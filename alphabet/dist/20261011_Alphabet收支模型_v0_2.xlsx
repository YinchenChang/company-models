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Tokenomics_取數!$G$122</definedName>
    <definedName function="false" hidden="false" name="TK_IFW_RevGWFleet_100_GB300" vbProcedure="false">Tokenomics_取數!$G$123</definedName>
    <definedName function="false" hidden="false" name="TK_IFW_RevGWFleet_100_H100" vbProcedure="false">Tokenomics_取數!$G$121</definedName>
    <definedName function="false" hidden="false" name="TK_IFW_RevGWFleet_100_RU" vbProcedure="false">Tokenomics_取數!$G$125</definedName>
    <definedName function="false" hidden="false" name="TK_IFW_RevGWFleet_100_VR200" vbProcedure="false">Tokenomics_取數!$G$124</definedName>
    <definedName function="false" hidden="false" name="TK_IFW_RevGWFleet_Life_GB200" vbProcedure="false">Tokenomics_取數!$G$137</definedName>
    <definedName function="false" hidden="false" name="TK_IFW_RevGWFleet_Life_GB300" vbProcedure="false">Tokenomics_取數!$G$138</definedName>
    <definedName function="false" hidden="false" name="TK_IFW_RevGWFleet_Life_H100" vbProcedure="false">Tokenomics_取數!$G$136</definedName>
    <definedName function="false" hidden="false" name="TK_IFW_RevGWFleet_Life_RU" vbProcedure="false">Tokenomics_取數!$G$140</definedName>
    <definedName function="false" hidden="false" name="TK_IFW_RevGWFleet_Life_VR200" vbProcedure="false">Tokenomics_取數!$G$139</definedName>
    <definedName function="false" hidden="false" name="TK_IFW_RevGWFleet_Prod_GB200" vbProcedure="false">Tokenomics_取數!$G$132</definedName>
    <definedName function="false" hidden="false" name="TK_IFW_RevGWFleet_Prod_GB300" vbProcedure="false">Tokenomics_取數!$G$133</definedName>
    <definedName function="false" hidden="false" name="TK_IFW_RevGWFleet_Prod_H100" vbProcedure="false">Tokenomics_取數!$G$131</definedName>
    <definedName function="false" hidden="false" name="TK_IFW_RevGWFleet_Prod_RU" vbProcedure="false">Tokenomics_取數!$G$135</definedName>
    <definedName function="false" hidden="false" name="TK_IFW_RevGWFleet_Prod_VR200" vbProcedure="false">Tokenomics_取數!$G$134</definedName>
    <definedName function="false" hidden="false" name="TK_IFW_RevGWFleet_Util_GB200" vbProcedure="false">Tokenomics_取數!$G$127</definedName>
    <definedName function="false" hidden="false" name="TK_IFW_RevGWFleet_Util_GB300" vbProcedure="false">Tokenomics_取數!$G$128</definedName>
    <definedName function="false" hidden="false" name="TK_IFW_RevGWFleet_Util_H100" vbProcedure="false">Tokenomics_取數!$G$126</definedName>
    <definedName function="false" hidden="false" name="TK_IFW_RevGWFleet_Util_RU" vbProcedure="false">Tokenomics_取數!$G$130</definedName>
    <definedName function="false" hidden="false" name="TK_IFW_RevGWFleet_Util_VR200" vbProcedure="false">Tokenomics_取數!$G$129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<sst xmlns="http://schemas.openxmlformats.org/spreadsheetml/2006/main" count="4886" uniqueCount="2647">
  <si>
    <r>
      <rPr>
        <b val="true"/>
        <sz val="14"/>
        <rFont val="Arial"/>
        <family val="0"/>
        <charset val="1"/>
      </rPr>
      <t xml:space="preserve">Alphabet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2026-10-09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</si>
  <si>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</si>
  <si>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</si>
  <si>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</si>
  <si>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</si>
  <si>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</si>
  <si>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</si>
  <si>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</si>
  <si>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</si>
  <si>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</si>
  <si>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</si>
  <si>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</si>
  <si>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</si>
  <si>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</si>
  <si>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</si>
  <si>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</si>
  <si>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</si>
  <si>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</si>
  <si>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</si>
  <si>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</si>
  <si>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</si>
  <si>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</si>
  <si>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</si>
  <si>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</si>
  <si>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</si>
  <si>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</si>
  <si>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</si>
  <si>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</si>
  <si>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</si>
  <si>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</si>
  <si>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</si>
  <si>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</si>
  <si>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</si>
  <si>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</si>
  <si>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</si>
  <si>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</si>
  <si>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</si>
  <si>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</si>
  <si>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</si>
  <si>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</si>
  <si>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</si>
  <si>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</si>
  <si>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</si>
  <si>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</si>
  <si>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</si>
  <si>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</si>
  <si>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</si>
  <si>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</si>
  <si>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</si>
  <si>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</si>
  <si>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</si>
  <si>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</si>
  <si>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</si>
  <si>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</si>
  <si>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</si>
  <si>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</si>
  <si>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</si>
  <si>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</si>
  <si>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</si>
  <si>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</si>
  <si>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</si>
  <si>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</si>
  <si>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</si>
  <si>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</si>
  <si>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</si>
  <si>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</si>
  <si>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</si>
  <si>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</si>
  <si>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</si>
  <si>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</si>
  <si>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</si>
  <si>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</si>
  <si>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</si>
  <si>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</si>
  <si>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</si>
  <si>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</si>
  <si>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</si>
  <si>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</si>
  <si>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</si>
  <si>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</si>
  <si>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</si>
  <si>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</si>
  <si>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</si>
  <si>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</si>
  <si>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</si>
  <si>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</si>
  <si>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</si>
  <si>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</si>
  <si>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</si>
  <si>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</si>
  <si>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</si>
  <si>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</si>
  <si>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</si>
  <si>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</si>
  <si>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</si>
  <si>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</si>
  <si>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</si>
  <si>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</si>
  <si>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</si>
  <si>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</si>
  <si>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</si>
  <si>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</si>
  <si>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</si>
  <si>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</si>
  <si>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</si>
  <si>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</si>
  <si>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</si>
  <si>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</si>
  <si>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</si>
  <si>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</si>
  <si>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</si>
  <si>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</si>
  <si>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</si>
  <si>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</si>
  <si>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</si>
  <si>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</si>
  <si>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</si>
  <si>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</si>
  <si>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</si>
  <si>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</si>
  <si>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</si>
  <si>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</si>
  <si>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</si>
  <si>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</si>
  <si>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</si>
  <si>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</si>
  <si>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</si>
  <si>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</si>
  <si>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</si>
  <si>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</si>
  <si>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</si>
  <si>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</si>
  <si>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</si>
  <si>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</si>
  <si>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</si>
  <si>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</si>
  <si>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</si>
  <si>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</si>
  <si>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</si>
  <si>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</si>
  <si>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</si>
  <si>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</si>
  <si>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</si>
  <si>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</si>
  <si>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系；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分析頁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498.69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498.690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615.038 </t>
    </r>
    <r>
      <rPr>
        <sz val="9"/>
        <color rgb="FF595959"/>
        <rFont val="Noto Sans CJK SC"/>
        <family val="2"/>
      </rPr>
      <t xml:space="preserve">完全相同、與 </t>
    </r>
    <r>
      <rPr>
        <sz val="9"/>
        <color rgb="FF595959"/>
        <rFont val="Arial"/>
        <family val="0"/>
        <charset val="1"/>
      </rPr>
      <t xml:space="preserve">StockAnalysis 498.74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614.95 </t>
    </r>
    <r>
      <rPr>
        <sz val="9"/>
        <color rgb="FF595959"/>
        <rFont val="Noto Sans CJK SC"/>
        <family val="2"/>
      </rPr>
      <t xml:space="preserve">略異，三者視為同一或高度重疊的底層來源，不算獨立交叉驗證。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429.47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完全相同，推測同源。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</si>
  <si>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</si>
  <si>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</si>
  <si>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</si>
  <si>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</si>
  <si>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已交付＋已公開在建、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擴張幅度）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</si>
  <si>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</si>
  <si>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</si>
  <si>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</si>
  <si>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</si>
  <si>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</si>
  <si>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</si>
  <si>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</si>
  <si>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</si>
  <si>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</si>
  <si>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已交付＋已公開在建｜合約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</si>
  <si>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</si>
  <si>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已交付＋已公開在建｜併網速度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</si>
  <si>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</si>
  <si>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</si>
  <si>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已交付＋已公開在建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</si>
  <si>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只加已公開在建：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由約 </t>
    </r>
    <r>
      <rPr>
        <sz val="9"/>
        <color rgb="FF595959"/>
        <rFont val="Arial"/>
        <family val="0"/>
        <charset val="1"/>
      </rPr>
      <t xml:space="preserve">0.77 GW </t>
    </r>
    <r>
      <rPr>
        <sz val="9"/>
        <color rgb="FF595959"/>
        <rFont val="Noto Sans CJK SC"/>
        <family val="2"/>
      </rPr>
      <t xml:space="preserve">擴到 </t>
    </r>
    <r>
      <rPr>
        <sz val="9"/>
        <color rgb="FF595959"/>
        <rFont val="Arial"/>
        <family val="0"/>
        <charset val="1"/>
      </rPr>
      <t xml:space="preserve">1.54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anthropic/ </t>
    </r>
    <r>
      <rPr>
        <sz val="9"/>
        <color rgb="FF595959"/>
        <rFont val="Noto Sans CJK SC"/>
        <family val="2"/>
      </rPr>
      <t xml:space="preserve">模型供給路徑）＋</t>
    </r>
    <r>
      <rPr>
        <sz val="9"/>
        <color rgb="FF595959"/>
        <rFont val="Arial"/>
        <family val="0"/>
        <charset val="1"/>
      </rPr>
      <t xml:space="preserve">Google–Blackstone TPU </t>
    </r>
    <r>
      <rPr>
        <sz val="9"/>
        <color rgb="FF595959"/>
        <rFont val="Noto Sans CJK SC"/>
        <family val="2"/>
      </rPr>
      <t xml:space="preserve">合資 </t>
    </r>
    <r>
      <rPr>
        <sz val="9"/>
        <color rgb="FF595959"/>
        <rFont val="Arial"/>
        <family val="0"/>
        <charset val="1"/>
      </rPr>
      <t xml:space="preserve">0.5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+1,270</t>
    </r>
    <r>
      <rPr>
        <sz val="9"/>
        <color rgb="FF595959"/>
        <rFont val="Noto Sans CJK SC"/>
        <family val="2"/>
      </rPr>
      <t xml:space="preserve">，每年 </t>
    </r>
    <r>
      <rPr>
        <sz val="9"/>
        <color rgb="FF595959"/>
        <rFont val="Arial"/>
        <family val="0"/>
        <charset val="1"/>
      </rPr>
      <t xml:space="preserve">+850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3,171 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</si>
  <si>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</si>
  <si>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</si>
  <si>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</si>
  <si>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全年指引中點 </t>
    </r>
    <r>
      <rPr>
        <sz val="9"/>
        <color rgb="FF595959"/>
        <rFont val="Arial"/>
        <family val="0"/>
        <charset val="1"/>
      </rPr>
      <t xml:space="preserve">$200bn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× </t>
    </r>
    <r>
      <rPr>
        <sz val="9"/>
        <color rgb="FF595959"/>
        <rFont val="Noto Sans CJK SC"/>
        <family val="2"/>
      </rPr>
      <t xml:space="preserve">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</si>
  <si>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</si>
  <si>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擴張幅度｜併網速度</t>
    </r>
  </si>
  <si>
    <r>
      <rPr>
        <sz val="10"/>
        <rFont val="Noto Sans CJK SC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</si>
  <si>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r>
      <rPr>
        <sz val="9"/>
        <color rgb="FF595959"/>
        <rFont val="Noto Sans CJK SC"/>
        <family val="2"/>
      </rPr>
      <t xml:space="preserve">公司無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目標（只有「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容量每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個月倍增」的內部說法）→ 以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擴張幅度代替：共識資本支出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Morgan Stanley TPU </t>
    </r>
    <r>
      <rPr>
        <sz val="9"/>
        <color rgb="FF595959"/>
        <rFont val="Noto Sans CJK SC"/>
        <family val="2"/>
      </rPr>
      <t xml:space="preserve">產量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1.5 × </t>
    </r>
    <r>
      <rPr>
        <sz val="9"/>
        <color rgb="FF595959"/>
        <rFont val="Noto Sans CJK SC"/>
        <family val="2"/>
      </rPr>
      <t xml:space="preserve">基準速度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；共識與賣方為 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</si>
  <si>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</si>
  <si>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Noto Sans CJK SC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</si>
  <si>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</si>
  <si>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</si>
  <si>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</si>
  <si>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</si>
  <si>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</si>
  <si>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</si>
  <si>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</si>
  <si>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</si>
  <si>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</si>
  <si>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</si>
  <si>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</si>
  <si>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</si>
  <si>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519.5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</si>
  <si>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</si>
  <si>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</si>
  <si>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</si>
  <si>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</si>
  <si>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</si>
  <si>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</si>
  <si>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</si>
  <si>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1462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2,223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730 MW TDP × 1.65 × 30%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4,873 × 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</si>
  <si>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</si>
  <si>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</si>
  <si>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</si>
  <si>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</si>
  <si>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</si>
  <si>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</si>
  <si>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</si>
  <si>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</si>
  <si>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</si>
  <si>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</si>
  <si>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</si>
  <si>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</si>
  <si>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</si>
  <si>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519.5B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Cloud 513.9B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個月內略多於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，其後未分桶）含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Noto Sans CJK SC"/>
        <family val="2"/>
      </rPr>
      <t xml:space="preserve">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</si>
  <si>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</si>
  <si>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</si>
  <si>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</si>
  <si>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</si>
  <si>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</si>
  <si>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</si>
  <si>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</si>
  <si>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</si>
  <si>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</si>
  <si>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</si>
  <si>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</si>
  <si>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</si>
  <si>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</si>
  <si>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</si>
  <si>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</si>
  <si>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</si>
  <si>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</si>
  <si>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</si>
  <si>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未分攤公司層費用改列 </t>
    </r>
    <r>
      <rPr>
        <sz val="9"/>
        <color rgb="FF595959"/>
        <rFont val="Arial"/>
        <family val="0"/>
        <charset val="1"/>
      </rPr>
      <t xml:space="preserve">legacyBiz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層級費用」一線（</t>
    </r>
    <r>
      <rPr>
        <sz val="9"/>
        <color rgb="FF595959"/>
        <rFont val="Arial"/>
        <family val="0"/>
        <charset val="1"/>
      </rPr>
      <t xml:space="preserve">C8 a</t>
    </r>
    <r>
      <rPr>
        <sz val="9"/>
        <color rgb="FF595959"/>
        <rFont val="Noto Sans CJK SC"/>
        <family val="2"/>
      </rPr>
      <t xml:space="preserve">）；此欄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</si>
  <si>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Noto Sans CJK SC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</si>
  <si>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</si>
  <si>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219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</si>
  <si>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Noto Sans CJK SC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Noto Sans CJK SC"/>
        <family val="2"/>
      </rPr>
      <t xml:space="preserve">｜在租年數</t>
    </r>
  </si>
  <si>
    <r>
      <rPr>
        <sz val="9"/>
        <color rgb="FF595959"/>
        <rFont val="Noto Sans CJK SC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（建置時由日曆推算）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</si>
  <si>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</si>
  <si>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與營運現金；不是資本支出）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</si>
  <si>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</si>
  <si>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</si>
  <si>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</si>
  <si>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28.147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445.866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6.31%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）。股權獎酬代扣稅款（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12.1B</t>
    </r>
    <r>
      <rPr>
        <sz val="9"/>
        <color rgb="FF595959"/>
        <rFont val="Noto Sans CJK SC"/>
        <family val="2"/>
      </rPr>
      <t xml:space="preserve">，融資活動）由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增發支應（公司稱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30B</t>
    </r>
    <r>
      <rPr>
        <sz val="9"/>
        <color rgb="FF595959"/>
        <rFont val="Noto Sans CJK SC"/>
        <family val="2"/>
      </rPr>
      <t xml:space="preserve">），兩者都不建模（現金與股數影響大致相抵）。股數稀釋沿用模板每年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</si>
  <si>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</si>
  <si>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全年「資產與負債變動」合計 </t>
    </r>
    <r>
      <rPr>
        <sz val="9"/>
        <color rgb="FF595959"/>
        <rFont val="Arial"/>
        <family val="0"/>
        <charset val="1"/>
      </rPr>
      <t xml:space="preserve">+618</t>
    </r>
    <r>
      <rPr>
        <sz val="9"/>
        <color rgb="FF595959"/>
        <rFont val="Noto Sans CJK SC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8,779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3,226</t>
    </r>
    <r>
      <rPr>
        <sz val="9"/>
        <color rgb="FF595959"/>
        <rFont val="Noto Sans CJK SC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4,542</t>
    </r>
    <r>
      <rPr>
        <sz val="9"/>
        <color rgb="FF595959"/>
        <rFont val="Noto Sans CJK SC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+907</t>
    </r>
    <r>
      <rPr>
        <sz val="9"/>
        <color rgb="FF595959"/>
        <rFont val="Noto Sans CJK SC"/>
        <family val="2"/>
      </rPr>
      <t xml:space="preserve">、應計 </t>
    </r>
    <r>
      <rPr>
        <sz val="9"/>
        <color rgb="FF595959"/>
        <rFont val="Arial"/>
        <family val="0"/>
        <charset val="1"/>
      </rPr>
      <t xml:space="preserve">+12,939</t>
    </r>
    <r>
      <rPr>
        <sz val="9"/>
        <color rgb="FF595959"/>
        <rFont val="Noto Sans CJK SC"/>
        <family val="2"/>
      </rPr>
      <t xml:space="preserve">、應計分潤 </t>
    </r>
    <r>
      <rPr>
        <sz val="9"/>
        <color rgb="FF595959"/>
        <rFont val="Arial"/>
        <family val="0"/>
        <charset val="1"/>
      </rPr>
      <t xml:space="preserve">+899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+2,420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7,872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Noto Sans CJK SC"/>
        <family val="2"/>
      </rPr>
      <t xml:space="preserve">比較欄：應收 −</t>
    </r>
    <r>
      <rPr>
        <sz val="9"/>
        <color rgb="FF595959"/>
        <rFont val="Arial"/>
        <family val="0"/>
        <charset val="1"/>
      </rPr>
      <t xml:space="preserve">1,201</t>
    </r>
    <r>
      <rPr>
        <sz val="9"/>
        <color rgb="FF595959"/>
        <rFont val="Noto Sans CJK SC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628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2,434</t>
    </r>
    <r>
      <rPr>
        <sz val="9"/>
        <color rgb="FF595959"/>
        <rFont val="Noto Sans CJK SC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2,139</t>
    </r>
    <r>
      <rPr>
        <sz val="9"/>
        <color rgb="FF595959"/>
        <rFont val="Noto Sans CJK SC"/>
        <family val="2"/>
      </rPr>
      <t xml:space="preserve">、應付 −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Noto Sans CJK SC"/>
        <family val="2"/>
      </rPr>
      <t xml:space="preserve">、應計 −</t>
    </r>
    <r>
      <rPr>
        <sz val="9"/>
        <color rgb="FF595959"/>
        <rFont val="Arial"/>
        <family val="0"/>
        <charset val="1"/>
      </rPr>
      <t xml:space="preserve">1,779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+636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+8.490</t>
    </r>
    <r>
      <rPr>
        <sz val="9"/>
        <color rgb="FF595959"/>
        <rFont val="Noto Sans CJK SC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</si>
  <si>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</si>
  <si>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GCP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</si>
  <si>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</si>
  <si>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</si>
  <si>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</si>
  <si>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</si>
  <si>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</si>
  <si>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</si>
  <si>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</si>
  <si>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Anthropic–Google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TPU 0.63–0.75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Anthropic–Google Cloud 0.78–1.20</t>
    </r>
    <r>
      <rPr>
        <sz val="9"/>
        <color rgb="FF595959"/>
        <rFont val="Noto Sans CJK SC"/>
        <family val="2"/>
      </rPr>
      <t xml:space="preserve">（容量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IREN–Microsoft 0.76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區間下緣 </t>
    </r>
    <r>
      <rPr>
        <sz val="9"/>
        <color rgb="FF595959"/>
        <rFont val="Arial"/>
        <family val="0"/>
        <charset val="1"/>
      </rPr>
      <t xml:space="preserve">0.6 [Analogy]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k.lt.*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</si>
  <si>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</si>
  <si>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＝與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同一市場現貨指數（對照表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牌價換算：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a3-highgpu-8g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4.86 ÷ IF_GPUhrEcon Hopper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3.03</t>
    </r>
    <r>
      <rPr>
        <sz val="9"/>
        <color rgb="FF595959"/>
        <rFont val="Noto Sans CJK SC"/>
        <family val="2"/>
      </rPr>
      <t xml:space="preserve">（牌價最低層；隨需 </t>
    </r>
    <r>
      <rPr>
        <sz val="9"/>
        <color rgb="FF595959"/>
        <rFont val="Arial"/>
        <family val="0"/>
        <charset val="1"/>
      </rPr>
      <t xml:space="preserve">6.89 </t>
    </r>
    <r>
      <rPr>
        <sz val="9"/>
        <color rgb="FF595959"/>
        <rFont val="Noto Sans CJK SC"/>
        <family val="2"/>
      </rPr>
      <t xml:space="preserve">為替代，</t>
    </r>
    <r>
      <rPr>
        <sz val="9"/>
        <color rgb="FF595959"/>
        <rFont val="Arial"/>
        <family val="0"/>
        <charset val="1"/>
      </rPr>
      <t xml:space="preserve">kevidence k.gcp.a3-highgpu-8g.cud3y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</si>
  <si>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</si>
  <si>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40%–80%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積壓以多年期大客戶為主，</t>
    </r>
    <r>
      <rPr>
        <sz val="9"/>
        <color rgb="FF595959"/>
        <rFont val="Arial"/>
        <family val="0"/>
        <charset val="1"/>
      </rPr>
      <t xml:space="preserve">Anthropic ≥111.1B ≈ </t>
    </r>
    <r>
      <rPr>
        <sz val="9"/>
        <color rgb="FF595959"/>
        <rFont val="Noto Sans CJK SC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</si>
  <si>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</si>
  <si>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</si>
  <si>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</si>
  <si>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</si>
  <si>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</si>
  <si>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v5p →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v6e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→ GB300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Noto Sans CJK SC"/>
        <family val="2"/>
      </rPr>
      <t xml:space="preserve">之後世代 →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C2 </t>
    </r>
    <r>
      <rPr>
        <sz val="9"/>
        <color rgb="FF595959"/>
        <rFont val="Noto Sans CJK SC"/>
        <family val="2"/>
      </rPr>
      <t xml:space="preserve">原文「</t>
    </r>
    <r>
      <rPr>
        <sz val="9"/>
        <color rgb="FF595959"/>
        <rFont val="Arial"/>
        <family val="0"/>
        <charset val="1"/>
      </rPr>
      <t xml:space="preserve">TPU v6e → 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Trillium → GB200</t>
    </r>
    <r>
      <rPr>
        <sz val="9"/>
        <color rgb="FF595959"/>
        <rFont val="Noto Sans CJK SC"/>
        <family val="2"/>
      </rPr>
      <t xml:space="preserve">」中 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Noto Sans CJK SC"/>
        <family val="2"/>
      </rPr>
      <t xml:space="preserve">，本模型以「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Noto Sans CJK SC"/>
        <family val="2"/>
      </rPr>
      <t xml:space="preserve">之前世代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」解讀（見報告已套用的預設）。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</si>
  <si>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</si>
  <si>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</si>
  <si>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</si>
  <si>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</si>
  <si>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</si>
  <si>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</si>
  <si>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</si>
  <si>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</si>
  <si>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</si>
  <si>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</si>
  <si>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</si>
  <si>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</si>
  <si>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</si>
  <si>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</si>
  <si>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期初在役（評價日，對外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 15%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 GPU 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 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30% [Assumed]——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晶片功耗：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約占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 </t>
    </r>
    <r>
      <rPr>
        <sz val="9"/>
        <color rgb="FF595959"/>
        <rFont val="Noto Sans CJK SC"/>
        <family val="2"/>
      </rPr>
      <t xml:space="preserve">為主）</t>
    </r>
    <r>
      <rPr>
        <sz val="9"/>
        <color rgb="FF595959"/>
        <rFont val="Arial"/>
        <family val="0"/>
        <charset val="1"/>
      </rPr>
      <t xml:space="preserve">991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1,232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Trillium </t>
    </r>
    <r>
      <rPr>
        <sz val="9"/>
        <color rgb="FF595959"/>
        <rFont val="Noto Sans CJK SC"/>
        <family val="2"/>
      </rPr>
      <t xml:space="preserve">為主、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Noto Sans CJK SC"/>
        <family val="2"/>
      </rPr>
      <t xml:space="preserve">為主；對外客戶（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等）以新世代為主。新增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75%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2025 </t>
    </r>
    <r>
      <rPr>
        <sz val="9"/>
        <color rgb="FF595959"/>
        <rFont val="Noto Sans CJK SC"/>
        <family val="2"/>
      </rPr>
      <t xml:space="preserve">年新增功耗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TPU 2026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Ironwood</t>
    </r>
    <r>
      <rPr>
        <sz val="9"/>
        <color rgb="FF595959"/>
        <rFont val="Noto Sans CJK SC"/>
        <family val="2"/>
      </rPr>
      <t xml:space="preserve">／下一代各半、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起下一代；</t>
    </r>
    <r>
      <rPr>
        <sz val="9"/>
        <color rgb="FF595959"/>
        <rFont val="Arial"/>
        <family val="0"/>
        <charset val="1"/>
      </rPr>
      <t xml:space="preserve">NVIDIA 2026 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（不建模退役後的世代替換）。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</si>
  <si>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</si>
  <si>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</si>
  <si>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</si>
  <si>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</si>
  <si>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</si>
  <si>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</si>
  <si>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</si>
  <si>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</si>
  <si>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</si>
  <si>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</si>
  <si>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</si>
  <si>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</si>
  <si>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</si>
  <si>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</si>
  <si>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</si>
  <si>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</si>
  <si>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</si>
  <si>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</si>
  <si>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</si>
  <si>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</si>
  <si>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</si>
  <si>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</si>
  <si>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</si>
  <si>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</si>
  <si>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</si>
  <si>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</si>
  <si>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</si>
  <si>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</si>
  <si>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</si>
  <si>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</si>
  <si>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</si>
  <si>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</si>
  <si>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</si>
  <si>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</si>
  <si>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</si>
  <si>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</si>
  <si>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</si>
  <si>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</si>
  <si>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</si>
  <si>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</si>
  <si>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</si>
  <si>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</si>
  <si>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</si>
  <si>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</si>
  <si>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</si>
  <si>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</si>
  <si>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</si>
  <si>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</si>
  <si>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</si>
  <si>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</si>
  <si>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</si>
  <si>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</si>
  <si>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</si>
  <si>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</si>
  <si>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</si>
  <si>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</si>
  <si>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</si>
  <si>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</si>
  <si>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</si>
  <si>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</si>
  <si>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</si>
  <si>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Noto Sans CJK SC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世代｜在役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</si>
  <si>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</si>
  <si>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</si>
  <si>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</si>
  <si>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</si>
  <si>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</si>
  <si>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</si>
  <si>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</si>
  <si>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</si>
  <si>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</si>
  <si>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</si>
  <si>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</si>
  <si>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</si>
  <si>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</si>
  <si>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</si>
  <si>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</si>
  <si>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</si>
  <si>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</si>
  <si>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</si>
  <si>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</si>
  <si>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</si>
  <si>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</si>
  <si>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</si>
  <si>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</si>
  <si>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</si>
  <si>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</si>
  <si>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</si>
  <si>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</si>
  <si>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</si>
  <si>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</si>
  <si>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</si>
  <si>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</si>
  <si>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</si>
  <si>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</si>
  <si>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</si>
  <si>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</si>
  <si>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</si>
  <si>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Google Services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其他三線（殘差）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；依賴其他三線的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利潤率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</si>
  <si>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</si>
  <si>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</si>
  <si>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</si>
  <si>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</si>
  <si>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</si>
  <si>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</si>
  <si>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</si>
  <si>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</si>
  <si>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</si>
  <si>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</si>
  <si>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</si>
  <si>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</si>
  <si>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</si>
  <si>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</si>
  <si>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</si>
  <si>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</si>
  <si>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</si>
  <si>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事業｜搜尋與其他｜其他攤銷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</si>
  <si>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</si>
  <si>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</si>
  <si>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</si>
  <si>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</si>
  <si>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</si>
  <si>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Noto Sans CJK SC"/>
        <family val="2"/>
      </rPr>
      <t xml:space="preserve">廣告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30%–50%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</si>
  <si>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</si>
  <si>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</si>
  <si>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</si>
  <si>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</si>
  <si>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</si>
  <si>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</si>
  <si>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</si>
  <si>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</si>
  <si>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</si>
  <si>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廣告｜其他攤銷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</si>
  <si>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</si>
  <si>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</si>
  <si>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</si>
  <si>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</si>
  <si>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分部未拆線揭露：聯播網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10%–25%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</si>
  <si>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</si>
  <si>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</si>
  <si>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</si>
  <si>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</si>
  <si>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</si>
  <si>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</si>
  <si>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</si>
  <si>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</si>
  <si>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</si>
  <si>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事業｜聯播網｜其他攤銷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</si>
  <si>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</si>
  <si>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</si>
  <si>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</si>
  <si>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</si>
  <si>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分部未拆線揭露：訂閱、平台與裝置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10%–30%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</si>
  <si>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</si>
  <si>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</si>
  <si>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</si>
  <si>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</si>
  <si>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</si>
  <si>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</si>
  <si>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</si>
  <si>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</si>
  <si>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</si>
  <si>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事業｜訂閱、平台與裝置｜其他攤銷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</si>
  <si>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</si>
  <si>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</si>
  <si>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</si>
  <si>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</si>
  <si>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</si>
  <si>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</si>
  <si>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</si>
  <si>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</si>
  <si>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</si>
  <si>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</si>
  <si>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</si>
  <si>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</si>
  <si>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</si>
  <si>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</si>
  <si>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</si>
  <si>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1H </t>
    </r>
    <r>
      <rPr>
        <sz val="10"/>
        <rFont val="Noto Sans CJK SC"/>
        <family val="2"/>
      </rPr>
      <t xml:space="preserve">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</si>
  <si>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</si>
  <si>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</si>
  <si>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</si>
  <si>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</si>
  <si>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</si>
  <si>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</si>
  <si>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</si>
  <si>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</si>
  <si>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</si>
  <si>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</si>
  <si>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</si>
  <si>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</si>
  <si>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</si>
  <si>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</si>
  <si>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</si>
  <si>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</si>
  <si>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</si>
  <si>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</si>
  <si>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</si>
  <si>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</si>
  <si>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</si>
  <si>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</si>
  <si>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</si>
  <si>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</si>
  <si>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</si>
  <si>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等）｜模型期營收（輸入）</t>
    </r>
  </si>
  <si>
    <r>
      <rPr>
        <sz val="9"/>
        <color rgb="FF595959"/>
        <rFont val="Noto Sans CJK SC"/>
        <family val="2"/>
      </rPr>
      <t xml:space="preserve">各期模型期營收（首期為模型部分；</t>
    </r>
    <r>
      <rPr>
        <sz val="9"/>
        <color rgb="FF595959"/>
        <rFont val="Arial"/>
        <family val="0"/>
        <charset val="1"/>
      </rPr>
      <t xml:space="preserve">company.json → legacyBiz.lines.rev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</si>
  <si>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</si>
  <si>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company.json → legacyBiz.lines.m0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</si>
  <si>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</si>
  <si>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</si>
  <si>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</si>
  <si>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</si>
  <si>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＝模型期＋</t>
    </r>
    <r>
      <rPr>
        <sz val="9"/>
        <color rgb="FF595959"/>
        <rFont val="Arial"/>
        <family val="0"/>
        <charset val="1"/>
      </rPr>
      <t xml:space="preserve">1H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</si>
  <si>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</si>
  <si>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</si>
  <si>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直接輸入（未分攤公司層費用等；</t>
    </r>
    <r>
      <rPr>
        <sz val="9"/>
        <color rgb="FF595959"/>
        <rFont val="Arial"/>
        <family val="0"/>
        <charset val="1"/>
      </rPr>
      <t xml:space="preserve">company.json → legacyBiz.lines.ebitda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</si>
  <si>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Noto Sans CJK SC"/>
        <family val="2"/>
      </rPr>
      <t xml:space="preserve">等）｜其他攤銷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</si>
  <si>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</si>
  <si>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系統銷售（硬體）｜模型期營收（輸入）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</si>
  <si>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</si>
  <si>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</si>
  <si>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</si>
  <si>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</si>
  <si>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</si>
  <si>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</si>
  <si>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</si>
  <si>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系統銷售（硬體）｜其他攤銷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</si>
  <si>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</si>
  <si>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層級費用（未分攤）｜模型期營收（輸入）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</si>
  <si>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</si>
  <si>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</si>
  <si>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</si>
  <si>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</si>
  <si>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</si>
  <si>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</si>
  <si>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</si>
  <si>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層級費用（未分攤）｜其他攤銷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</si>
  <si>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</si>
  <si>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</si>
  <si>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</si>
  <si>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</si>
  <si>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</si>
  <si>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</si>
  <si>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</si>
  <si>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分部營業利益＋折舊按營收分攤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Noto Sans CJK SC"/>
        <family val="2"/>
      </rPr>
      <t xml:space="preserve">四線拆分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、搜尋為殘差；近四季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＝殘差（</t>
    </r>
    <r>
      <rPr>
        <sz val="9"/>
        <color rgb="FF595959"/>
        <rFont val="Arial"/>
        <family val="0"/>
        <charset val="1"/>
      </rPr>
      <t xml:space="preserve">Cloud EBITDA − 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估計）；含 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層級費用與 </t>
    </r>
    <r>
      <rPr>
        <sz val="9"/>
        <color rgb="FF595959"/>
        <rFont val="Arial"/>
        <family val="0"/>
        <charset val="1"/>
      </rPr>
      <t xml:space="preserve">Other Bets </t>
    </r>
    <r>
      <rPr>
        <sz val="9"/>
        <color rgb="FF595959"/>
        <rFont val="Noto Sans CJK SC"/>
        <family val="2"/>
      </rPr>
      <t xml:space="preserve">虧損，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</si>
  <si>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</si>
  <si>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</si>
  <si>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</si>
  <si>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</si>
  <si>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</si>
  <si>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</si>
  <si>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</si>
  <si>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</si>
  <si>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</si>
  <si>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</si>
  <si>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</si>
  <si>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</si>
  <si>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</si>
  <si>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</si>
  <si>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</si>
  <si>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</si>
  <si>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</si>
  <si>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</si>
  <si>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</si>
  <si>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</si>
  <si>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</si>
  <si>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</si>
  <si>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</si>
  <si>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</si>
  <si>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</si>
  <si>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Noto Sans CJK SC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</si>
  <si>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</si>
  <si>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Alphabet 10-K 2025</t>
    </r>
    <r>
      <rPr>
        <sz val="9"/>
        <color rgb="FF595959"/>
        <rFont val="Noto Sans CJK SC"/>
        <family val="2"/>
      </rPr>
      <t xml:space="preserve">：伺服器與網通設備一般依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</si>
  <si>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</si>
  <si>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25%–40%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mw.extShare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C9 </t>
    </r>
    <r>
      <rPr>
        <sz val="9"/>
        <color rgb="FF595959"/>
        <rFont val="Noto Sans CJK SC"/>
        <family val="2"/>
      </rPr>
      <t xml:space="preserve">敏感度 </t>
    </r>
    <r>
      <rPr>
        <sz val="9"/>
        <color rgb="FF595959"/>
        <rFont val="Arial"/>
        <family val="0"/>
        <charset val="1"/>
      </rPr>
      <t xml:space="preserve">±20pt → 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Gemini</t>
    </r>
    <r>
      <rPr>
        <sz val="9"/>
        <color rgb="FF595959"/>
        <rFont val="Noto Sans CJK SC"/>
        <family val="2"/>
      </rPr>
      <t xml:space="preserve">、搜尋、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DeepMind </t>
    </r>
    <r>
      <rPr>
        <sz val="9"/>
        <color rgb="FF595959"/>
        <rFont val="Noto Sans CJK SC"/>
        <family val="2"/>
      </rPr>
      <t xml:space="preserve">研發）同樣需要資本支出，影子收入只作對照；對外比例無揭露</t>
    </r>
  </si>
  <si>
    <t xml:space="preserve">自建機房比例</t>
  </si>
  <si>
    <r>
      <rPr>
        <sz val="9"/>
        <color rgb="FF595959"/>
        <rFont val="Noto Sans CJK SC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75%–95%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）：營業租賃負債 </t>
    </r>
    <r>
      <rPr>
        <sz val="9"/>
        <color rgb="FF595959"/>
        <rFont val="Arial"/>
        <family val="0"/>
        <charset val="1"/>
      </rPr>
      <t xml:space="preserve">18.0B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PP&amp;E 321.2B</t>
    </r>
    <r>
      <rPr>
        <sz val="9"/>
        <color rgb="FF595959"/>
        <rFont val="Noto Sans CJK SC"/>
        <family val="2"/>
      </rPr>
      <t xml:space="preserve">，租用占比低；但尚未起租租賃 </t>
    </r>
    <r>
      <rPr>
        <sz val="9"/>
        <color rgb="FF595959"/>
        <rFont val="Arial"/>
        <family val="0"/>
        <charset val="1"/>
      </rPr>
      <t xml:space="preserve">85.2B</t>
    </r>
    <r>
      <rPr>
        <sz val="9"/>
        <color rgb="FF595959"/>
        <rFont val="Noto Sans CJK SC"/>
        <family val="2"/>
      </rPr>
      <t xml:space="preserve">（主要為資料中心）顯示租用上升。租用部分不計機房資本支出（租金由未起租租賃承擔）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</si>
  <si>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</si>
  <si>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）合併折舊 </t>
    </r>
    <r>
      <rPr>
        <sz val="9"/>
        <color rgb="FF595959"/>
        <rFont val="Arial"/>
        <family val="0"/>
        <charset val="1"/>
      </rPr>
      <t xml:space="preserve">7.104 × 4</t>
    </r>
    <r>
      <rPr>
        <sz val="9"/>
        <color rgb="FF595959"/>
        <rFont val="Noto Sans CJK SC"/>
        <family val="2"/>
      </rPr>
      <t xml:space="preserve">（現金流量表；公司不揭露分部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對帳基準（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</si>
  <si>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</si>
  <si>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287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98 MW TDP × 1.65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</si>
  <si>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</si>
  <si>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991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307 MW TDP × 1.65 × 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</si>
  <si>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</si>
  <si>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321.2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；技術基礎設施在役原值 </t>
    </r>
    <r>
      <rPr>
        <sz val="9"/>
        <color rgb="FF595959"/>
        <rFont val="Arial"/>
        <family val="0"/>
        <charset val="1"/>
      </rPr>
      <t xml:space="preserve">247.2</t>
    </r>
    <r>
      <rPr>
        <sz val="9"/>
        <color rgb="FF595959"/>
        <rFont val="Noto Sans CJK SC"/>
        <family val="2"/>
      </rPr>
      <t xml:space="preserve">、尚未啟用 </t>
    </r>
    <r>
      <rPr>
        <sz val="9"/>
        <color rgb="FF595959"/>
        <rFont val="Arial"/>
        <family val="0"/>
        <charset val="1"/>
      </rPr>
      <t xml:space="preserve">122.8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（其餘，壽命以最新季折舊年化校準）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</si>
  <si>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</si>
  <si>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</si>
  <si>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</si>
  <si>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85%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世代代理，</t>
    </r>
    <r>
      <rPr>
        <sz val="9"/>
        <color rgb="FF595959"/>
        <rFont val="Arial"/>
        <family val="0"/>
        <charset val="1"/>
      </rPr>
      <t xml:space="preserve">C2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</si>
  <si>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</si>
  <si>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</si>
  <si>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</si>
  <si>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</si>
  <si>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</si>
  <si>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</si>
  <si>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</si>
  <si>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</si>
  <si>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</si>
  <si>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</si>
  <si>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</si>
  <si>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</si>
  <si>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</si>
  <si>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</si>
  <si>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</si>
  <si>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</si>
  <si>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</si>
  <si>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</si>
  <si>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</si>
  <si>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</si>
  <si>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</si>
  <si>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</si>
  <si>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Alphabet</t>
    </r>
    <r>
      <rPr>
        <sz val="9"/>
        <color rgb="FF595959"/>
        <rFont val="Noto Sans CJK SC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18.037 ÷ (18.037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2.590)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87.4%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；類型未揭露；未起租預付款 </t>
    </r>
    <r>
      <rPr>
        <sz val="9"/>
        <color rgb="FF595959"/>
        <rFont val="Arial"/>
        <family val="0"/>
        <charset val="1"/>
      </rPr>
      <t xml:space="preserve">835 </t>
    </r>
    <r>
      <rPr>
        <sz val="9"/>
        <color rgb="FF595959"/>
        <rFont val="Noto Sans CJK SC"/>
        <family val="2"/>
      </rPr>
      <t xml:space="preserve">預期為融資租賃）；本格＝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</si>
  <si>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</si>
  <si>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</si>
  <si>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</si>
  <si>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</si>
  <si>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</si>
  <si>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</si>
  <si>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</si>
  <si>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</si>
  <si>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1462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</si>
  <si>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</si>
  <si>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</si>
  <si>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</si>
  <si>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無已揭露的租用對外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算力：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雲端服務合約（</t>
    </r>
    <r>
      <rPr>
        <sz val="9"/>
        <color rgb="FF595959"/>
        <rFont val="Arial"/>
        <family val="0"/>
        <charset val="1"/>
      </rPr>
      <t xml:space="preserve">219 MW-IT</t>
    </r>
    <r>
      <rPr>
        <sz val="9"/>
        <color rgb="FF595959"/>
        <rFont val="Noto Sans CJK SC"/>
        <family val="2"/>
      </rPr>
      <t xml:space="preserve">）用途未揭露，列自用（</t>
    </r>
    <r>
      <rPr>
        <sz val="9"/>
        <color rgb="FF595959"/>
        <rFont val="Arial"/>
        <family val="0"/>
        <charset val="1"/>
      </rPr>
      <t xml:space="preserve">leases.rentedCompute</t>
    </r>
    <r>
      <rPr>
        <sz val="9"/>
        <color rgb="FF595959"/>
        <rFont val="Noto Sans CJK SC"/>
        <family val="2"/>
      </rPr>
      <t xml:space="preserve">，租金入營運成本）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</si>
  <si>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</si>
  <si>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</si>
  <si>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</si>
  <si>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</si>
  <si>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</si>
  <si>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</si>
  <si>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</si>
  <si>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</si>
  <si>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</si>
  <si>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</si>
  <si>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</si>
  <si>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</si>
  <si>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</si>
  <si>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</si>
  <si>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</si>
  <si>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</si>
  <si>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</si>
  <si>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</si>
  <si>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</si>
  <si>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</si>
  <si>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</si>
  <si>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</si>
  <si>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</si>
  <si>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</si>
  <si>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</si>
  <si>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</si>
  <si>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</si>
  <si>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</si>
  <si>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</si>
  <si>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</si>
  <si>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</si>
  <si>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</si>
  <si>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</si>
  <si>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</si>
  <si>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</si>
  <si>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</si>
  <si>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</si>
  <si>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</si>
  <si>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</si>
  <si>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（機隊多為 </t>
    </r>
    <r>
      <rPr>
        <sz val="9"/>
        <color rgb="FF595959"/>
        <rFont val="Arial"/>
        <family val="0"/>
        <charset val="1"/>
      </rPr>
      <t xml:space="preserve">2024–2026 </t>
    </r>
    <r>
      <rPr>
        <sz val="9"/>
        <color rgb="FF595959"/>
        <rFont val="Noto Sans CJK SC"/>
        <family val="2"/>
      </rPr>
      <t xml:space="preserve">建置、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</si>
  <si>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</si>
  <si>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以合併折舊反解時退化（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期初折舊 </t>
    </r>
    <r>
      <rPr>
        <sz val="9"/>
        <color rgb="FF595959"/>
        <rFont val="Arial"/>
        <family val="0"/>
        <charset val="1"/>
      </rPr>
      <t xml:space="preserve">34.0 &gt; </t>
    </r>
    <r>
      <rPr>
        <sz val="9"/>
        <color rgb="FF595959"/>
        <rFont val="Noto Sans CJK SC"/>
        <family val="2"/>
      </rPr>
      <t xml:space="preserve">合併折舊年化 </t>
    </r>
    <r>
      <rPr>
        <sz val="9"/>
        <color rgb="FF595959"/>
        <rFont val="Arial"/>
        <family val="0"/>
        <charset val="1"/>
      </rPr>
      <t xml:space="preserve">28.4</t>
    </r>
    <r>
      <rPr>
        <sz val="9"/>
        <color rgb="FF595959"/>
        <rFont val="Noto Sans CJK SC"/>
        <family val="2"/>
      </rPr>
      <t xml:space="preserve">，年限 ≈ </t>
    </r>
    <r>
      <rPr>
        <sz val="9"/>
        <color rgb="FF595959"/>
        <rFont val="Arial"/>
        <family val="0"/>
        <charset val="1"/>
      </rPr>
      <t xml:space="preserve">7×10¹⁰ </t>
    </r>
    <r>
      <rPr>
        <sz val="9"/>
        <color rgb="FF595959"/>
        <rFont val="Noto Sans CJK SC"/>
        <family val="2"/>
      </rPr>
      <t xml:space="preserve">年），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Noto Sans CJK SC"/>
        <family val="2"/>
      </rPr>
      <t xml:space="preserve">改為預設年限，差額列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：伺服器與網通設備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年、資料中心與辦公建築 </t>
    </r>
    <r>
      <rPr>
        <sz val="9"/>
        <color rgb="FF595959"/>
        <rFont val="Arial"/>
        <family val="0"/>
        <charset val="1"/>
      </rPr>
      <t xml:space="preserve">7–40 </t>
    </r>
    <r>
      <rPr>
        <sz val="9"/>
        <color rgb="FF595959"/>
        <rFont val="Noto Sans CJK SC"/>
        <family val="2"/>
      </rPr>
      <t xml:space="preserve">年）（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</si>
  <si>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</si>
  <si>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</si>
  <si>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</si>
  <si>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</si>
  <si>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</si>
  <si>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</si>
  <si>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</si>
  <si>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</si>
  <si>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</si>
  <si>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</si>
  <si>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</si>
  <si>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</si>
  <si>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</si>
  <si>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</si>
  <si>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</si>
  <si>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</si>
  <si>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</si>
  <si>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</si>
  <si>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</si>
  <si>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55.911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99.5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</si>
  <si>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</si>
  <si>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</si>
  <si>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</si>
  <si>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</si>
  <si>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</si>
  <si>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Noto Sans CJK SC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Noto Sans CJK SC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Noto Sans CJK SC"/>
        <family val="2"/>
      </rPr>
      <t xml:space="preserve">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</si>
  <si>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</si>
  <si>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</si>
  <si>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</si>
  <si>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</si>
  <si>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</si>
  <si>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</si>
  <si>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</si>
  <si>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</si>
  <si>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</si>
  <si>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</si>
  <si>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</si>
  <si>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</si>
  <si>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</si>
  <si>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</si>
  <si>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普通股股利＝每股每季 </t>
    </r>
    <r>
      <rPr>
        <sz val="9"/>
        <color rgb="FF595959"/>
        <rFont val="Arial"/>
        <family val="0"/>
        <charset val="1"/>
      </rPr>
      <t xml:space="preserve">$0.22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起）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期初股數（基礎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2026-07-15 </t>
    </r>
    <r>
      <rPr>
        <sz val="9"/>
        <color rgb="FF595959"/>
        <rFont val="Noto Sans CJK SC"/>
        <family val="2"/>
      </rPr>
      <t xml:space="preserve">流通股＋前期累計瀑布新股＋已強制轉換的特別股）；每股依 </t>
    </r>
    <r>
      <rPr>
        <sz val="9"/>
        <color rgb="FF595959"/>
        <rFont val="Arial"/>
        <family val="0"/>
        <charset val="1"/>
      </rPr>
      <t xml:space="preserve">growth 5%</t>
    </r>
    <r>
      <rPr>
        <sz val="9"/>
        <color rgb="FF595959"/>
        <rFont val="Noto Sans CJK SC"/>
        <family val="2"/>
      </rPr>
      <t xml:space="preserve">／年遞增（第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g)^n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；特別股股利：</t>
    </r>
    <r>
      <rPr>
        <sz val="9"/>
        <color rgb="FF595959"/>
        <rFont val="Arial"/>
        <family val="0"/>
        <charset val="1"/>
      </rPr>
      <t xml:space="preserve">6.25% × $19.25B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1.203</t>
    </r>
    <r>
      <rPr>
        <sz val="9"/>
        <color rgb="FF595959"/>
        <rFont val="Noto Sans CJK SC"/>
        <family val="2"/>
      </rPr>
      <t xml:space="preserve">／年，每季 </t>
    </r>
    <r>
      <rPr>
        <sz val="9"/>
        <color rgb="FF595959"/>
        <rFont val="Arial"/>
        <family val="0"/>
        <charset val="1"/>
      </rPr>
      <t xml:space="preserve">2/15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8/15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11/15 </t>
    </r>
    <r>
      <rPr>
        <sz val="9"/>
        <color rgb="FF595959"/>
        <rFont val="Noto Sans CJK SC"/>
        <family val="2"/>
      </rPr>
      <t xml:space="preserve">支付至 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Noto Sans CJK SC"/>
        <family val="2"/>
      </rPr>
      <t xml:space="preserve">轉換（首期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Noto Sans CJK SC"/>
        <family val="2"/>
      </rPr>
      <t xml:space="preserve">短期 </t>
    </r>
    <r>
      <rPr>
        <sz val="9"/>
        <color rgb="FF595959"/>
        <rFont val="Arial"/>
        <family val="0"/>
        <charset val="1"/>
      </rPr>
      <t xml:space="preserve">0.234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11-15 0.301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兩季 </t>
    </r>
    <r>
      <rPr>
        <sz val="9"/>
        <color rgb="FF595959"/>
        <rFont val="Arial"/>
        <family val="0"/>
        <charset val="1"/>
      </rPr>
      <t xml:space="preserve">0.602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mapTo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0.937</t>
    </r>
    <r>
      <rPr>
        <sz val="9"/>
        <color rgb="FF595959"/>
        <rFont val="Noto Sans CJK SC"/>
        <family val="2"/>
      </rPr>
      <t xml:space="preserve">／年誤用首期短期股利，已更正）。（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</si>
  <si>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</si>
  <si>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每季股利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首次）→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+4.8%</t>
    </r>
    <r>
      <rPr>
        <sz val="9"/>
        <color rgb="FF595959"/>
        <rFont val="Noto Sans CJK SC"/>
        <family val="2"/>
      </rPr>
      <t xml:space="preserve">）→ 每股年成長 </t>
    </r>
    <r>
      <rPr>
        <sz val="9"/>
        <color rgb="FF595959"/>
        <rFont val="Arial"/>
        <family val="0"/>
        <charset val="1"/>
      </rPr>
      <t xml:space="preserve">5% [Derived]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條；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</si>
  <si>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</si>
  <si>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</si>
  <si>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</si>
  <si>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</si>
  <si>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</si>
  <si>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</si>
  <si>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17.003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2025Q3 11.504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 5.499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2026Q1 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bb.paid.4q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上半年暫停回購、授權餘額 </t>
    </r>
    <r>
      <rPr>
        <sz val="9"/>
        <color rgb="FF595959"/>
        <rFont val="Arial"/>
        <family val="0"/>
        <charset val="1"/>
      </rPr>
      <t xml:space="preserve">69.5B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Noto Sans CJK SC"/>
        <family val="2"/>
      </rPr>
      <t xml:space="preserve">＝缺口時可全數取消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</si>
  <si>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</si>
  <si>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</si>
  <si>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</si>
  <si>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</si>
  <si>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</si>
  <si>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</si>
  <si>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</si>
  <si>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</si>
  <si>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</si>
  <si>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</si>
  <si>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已交付＋已公開在建</t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</si>
  <si>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</si>
  <si>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</si>
  <si>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r>
      <rPr>
        <sz val="10"/>
        <rFont val="Noto Sans CJK SC"/>
        <family val="2"/>
      </rPr>
      <t xml:space="preserve">可轉債年發行上限｜積極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</si>
  <si>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</si>
  <si>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</si>
  <si>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</si>
  <si>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</si>
  <si>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</si>
  <si>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</si>
  <si>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</si>
  <si>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</si>
  <si>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</si>
  <si>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</si>
  <si>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</si>
  <si>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</si>
  <si>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GOOGL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</si>
  <si>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</si>
  <si>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</si>
  <si>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</si>
  <si>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</si>
  <si>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</si>
  <si>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</si>
  <si>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</si>
  <si>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</si>
  <si>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</si>
  <si>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86.459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</si>
  <si>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</si>
  <si>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美元票據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Noto Sans CJK SC"/>
        <family val="2"/>
      </rPr>
      <t xml:space="preserve">）上下的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新債加權票面約 </t>
    </r>
    <r>
      <rPr>
        <sz val="9"/>
        <color rgb="FF595959"/>
        <rFont val="Arial"/>
        <family val="0"/>
        <charset val="1"/>
      </rPr>
      <t xml:space="preserve">4.8%</t>
    </r>
    <r>
      <rPr>
        <sz val="9"/>
        <color rgb="FF595959"/>
        <rFont val="Noto Sans CJK SC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</si>
  <si>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</si>
  <si>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</si>
  <si>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</si>
  <si>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</si>
  <si>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https://stockanalysis.com/stocks/googl/history/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</si>
  <si>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</si>
  <si>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</t>
    </r>
    <r>
      <rPr>
        <sz val="9"/>
        <color rgb="FF595959"/>
        <rFont val="Noto Sans CJK SC"/>
        <family val="2"/>
      </rPr>
      <t xml:space="preserve">＋流通股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5.868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 0.835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 5.527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封面 </t>
    </r>
    <r>
      <rPr>
        <sz val="9"/>
        <color rgb="FF595959"/>
        <rFont val="Arial"/>
        <family val="0"/>
        <charset val="1"/>
      </rPr>
      <t xml:space="preserve">2026-07-15</t>
    </r>
    <r>
      <rPr>
        <sz val="9"/>
        <color rgb="FF595959"/>
        <rFont val="Noto Sans CJK SC"/>
        <family val="2"/>
      </rPr>
      <t xml:space="preserve">）；評價股數取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稀釋加權 </t>
    </r>
    <r>
      <rPr>
        <sz val="9"/>
        <color rgb="FF595959"/>
        <rFont val="Arial"/>
        <family val="0"/>
        <charset val="1"/>
      </rPr>
      <t xml:space="preserve">12.309bn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Noto Sans CJK SC"/>
        <family val="2"/>
      </rPr>
      <t xml:space="preserve">稀釋）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</si>
  <si>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</si>
  <si>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</si>
  <si>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</si>
  <si>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</si>
  <si>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</si>
  <si>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法院文件約 </t>
    </r>
    <r>
      <rPr>
        <sz val="9"/>
        <color rgb="FF595959"/>
        <rFont val="Arial"/>
        <family val="0"/>
        <charset val="1"/>
      </rPr>
      <t xml:space="preserve">14%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Allocations </t>
    </r>
    <r>
      <rPr>
        <sz val="9"/>
        <color rgb="FF595959"/>
        <rFont val="Noto Sans CJK SC"/>
        <family val="2"/>
      </rPr>
      <t xml:space="preserve">轉述）、非上市證券帳面 </t>
    </r>
    <r>
      <rPr>
        <sz val="9"/>
        <color rgb="FF595959"/>
        <rFont val="Arial"/>
        <family val="0"/>
        <charset val="1"/>
      </rPr>
      <t xml:space="preserve">124.3B 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965B </t>
    </r>
    <r>
      <rPr>
        <sz val="9"/>
        <color rgb="FF595959"/>
        <rFont val="Noto Sans CJK SC"/>
        <family val="2"/>
      </rPr>
      <t xml:space="preserve">隱含上限 </t>
    </r>
    <r>
      <rPr>
        <sz val="9"/>
        <color rgb="FF595959"/>
        <rFont val="Arial"/>
        <family val="0"/>
        <charset val="1"/>
      </rPr>
      <t xml:space="preserve">12.9% → 12.5%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11%–14%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 Series H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</si>
  <si>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</si>
  <si>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</si>
  <si>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</si>
  <si>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</si>
  <si>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：短期限售 </t>
    </r>
    <r>
      <rPr>
        <sz val="9"/>
        <color rgb="FF595959"/>
        <rFont val="Arial"/>
        <family val="0"/>
        <charset val="1"/>
      </rPr>
      <t xml:space="preserve">80.0B</t>
    </r>
    <r>
      <rPr>
        <sz val="9"/>
        <color rgb="FF595959"/>
        <rFont val="Noto Sans CJK SC"/>
        <family val="2"/>
      </rPr>
      <t xml:space="preserve">（流動有價證券）＋長期限售至 </t>
    </r>
    <r>
      <rPr>
        <sz val="9"/>
        <color rgb="FF595959"/>
        <rFont val="Arial"/>
        <family val="0"/>
        <charset val="1"/>
      </rPr>
      <t xml:space="preserve">2027Q3 14.1B</t>
    </r>
    <r>
      <rPr>
        <sz val="9"/>
        <color rgb="FF595959"/>
        <rFont val="Noto Sans CJK SC"/>
        <family val="2"/>
      </rPr>
      <t xml:space="preserve">（其他非流動資產）＝</t>
    </r>
    <r>
      <rPr>
        <sz val="9"/>
        <color rgb="FF595959"/>
        <rFont val="Arial"/>
        <family val="0"/>
        <charset val="1"/>
      </rPr>
      <t xml:space="preserve">94.1B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公允價值）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；上市持股不折價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</si>
  <si>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（有價權益證券，公允價值）｜持股比例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</si>
  <si>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Noto Sans CJK SC"/>
        <family val="2"/>
      </rPr>
      <t xml:space="preserve">（有價權益證券，公允價值）｜上市（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</si>
  <si>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10"/>
        <rFont val="Noto Sans CJK SC"/>
        <family val="2"/>
      </rPr>
      <t xml:space="preserve">其他有價權益證券｜估值（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</si>
  <si>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87.063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14.126 − SpaceX 94.1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7.089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；上市不折價</t>
    </r>
  </si>
  <si>
    <t xml:space="preserve">其他有價權益證券｜持股比例</t>
  </si>
  <si>
    <r>
      <rPr>
        <sz val="10"/>
        <rFont val="Noto Sans CJK SC"/>
        <family val="2"/>
      </rPr>
      <t xml:space="preserve">其他有價權益證券｜上市（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</si>
  <si>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</si>
  <si>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）。非上市證券其他部分（</t>
    </r>
    <r>
      <rPr>
        <sz val="9"/>
        <color rgb="FF595959"/>
        <rFont val="Arial"/>
        <family val="0"/>
        <charset val="1"/>
      </rPr>
      <t xml:space="preserve">131.461 − Anthropic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124.3 </t>
    </r>
    <r>
      <rPr>
        <sz val="9"/>
        <color rgb="FF595959"/>
        <rFont val="Noto Sans CJK SC"/>
        <family val="2"/>
      </rPr>
      <t xml:space="preserve">帳面）未列（保守）</t>
    </r>
  </si>
  <si>
    <t xml:space="preserve">類債：應計罰款與和解（主要為歐盟罰款）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</si>
  <si>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應計罰款與和解 </t>
    </r>
    <r>
      <rPr>
        <sz val="9"/>
        <color rgb="FF595959"/>
        <rFont val="Arial"/>
        <family val="0"/>
        <charset val="1"/>
      </rPr>
      <t xml:space="preserve">17,356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Android </t>
    </r>
    <r>
      <rPr>
        <sz val="9"/>
        <color rgb="FF595959"/>
        <rFont val="Noto Sans CJK SC"/>
        <family val="2"/>
      </rPr>
      <t xml:space="preserve">案 </t>
    </r>
    <r>
      <rPr>
        <sz val="9"/>
        <color rgb="FF595959"/>
        <rFont val="Arial"/>
        <family val="0"/>
        <charset val="1"/>
      </rPr>
      <t xml:space="preserve">5.2B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；現金流出未在模型營運成本內</t>
    </r>
  </si>
  <si>
    <t xml:space="preserve">類債：非控制權益（含可贖回）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</si>
  <si>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非控制權益 </t>
    </r>
    <r>
      <rPr>
        <sz val="9"/>
        <color rgb="FF595959"/>
        <rFont val="Arial"/>
        <family val="0"/>
        <charset val="1"/>
      </rPr>
      <t xml:space="preserve">7,100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等子公司少數股權）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</si>
  <si>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</si>
  <si>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</si>
  <si>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</si>
  <si>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16.8%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2024 16.4%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19.1% </t>
    </r>
    <r>
      <rPr>
        <sz val="9"/>
        <color rgb="FF595959"/>
        <rFont val="Noto Sans CJK SC"/>
        <family val="2"/>
      </rPr>
      <t xml:space="preserve">含權益證券未實現利益的遞延稅，不作基準（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建議）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</si>
  <si>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</si>
  <si>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</si>
  <si>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</si>
  <si>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1.3669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；不同資料商、不同期間）→ </t>
    </r>
    <r>
      <rPr>
        <sz val="9"/>
        <color rgb="FF595959"/>
        <rFont val="Arial"/>
        <family val="0"/>
        <charset val="1"/>
      </rPr>
      <t xml:space="preserve">1.288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1.21–1.367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</si>
  <si>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</si>
  <si>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</si>
  <si>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</si>
  <si>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</si>
  <si>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</si>
  <si>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6.500% 2066 </t>
    </r>
    <r>
      <rPr>
        <sz val="9"/>
        <color rgb="FF595959"/>
        <rFont val="Noto Sans CJK SC"/>
        <family val="2"/>
      </rPr>
      <t xml:space="preserve">票據發行殖利率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FWP 2026-08-06</t>
    </r>
    <r>
      <rPr>
        <sz val="9"/>
        <color rgb="FF595959"/>
        <rFont val="Noto Sans CJK SC"/>
        <family val="2"/>
      </rPr>
      <t xml:space="preserve">）（市場邊際成本）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</si>
  <si>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</si>
  <si>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</si>
  <si>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</si>
  <si>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</si>
  <si>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</si>
  <si>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</si>
  <si>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</si>
  <si>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</si>
  <si>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</si>
  <si>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</si>
  <si>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</si>
  <si>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</si>
  <si>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</si>
  <si>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</si>
  <si>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</si>
  <si>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</si>
  <si>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</si>
  <si>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</si>
  <si>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</si>
  <si>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</si>
  <si>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</si>
  <si>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</si>
  <si>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</si>
  <si>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</si>
  <si>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</si>
  <si>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</si>
  <si>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</si>
  <si>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</si>
  <si>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</si>
  <si>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</si>
  <si>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</si>
  <si>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</si>
  <si>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</si>
  <si>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</si>
  <si>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</si>
  <si>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</si>
  <si>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</si>
  <si>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</si>
  <si>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</si>
  <si>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</si>
  <si>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</si>
  <si>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</si>
  <si>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val.peer.nflx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事實總帳；</t>
    </r>
    <r>
      <rPr>
        <sz val="9"/>
        <color rgb="FF595959"/>
        <rFont val="Arial"/>
        <family val="0"/>
        <charset val="1"/>
      </rPr>
      <t xml:space="preserve">Amazon val.peer.subs.nflx </t>
    </r>
    <r>
      <rPr>
        <sz val="9"/>
        <color rgb="FF595959"/>
        <rFont val="Noto Sans CJK SC"/>
        <family val="2"/>
      </rPr>
      <t xml:space="preserve">同值））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</si>
  <si>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</si>
  <si>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val.peerTTM.subs.spot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</si>
  <si>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</si>
  <si>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val.peerTTM.subs.dis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</si>
  <si>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</si>
  <si>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</si>
  <si>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</si>
  <si>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</si>
  <si>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</si>
  <si>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</si>
  <si>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</si>
  <si>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</si>
  <si>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</si>
  <si>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</si>
  <si>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</si>
  <si>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</si>
  <si>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</si>
  <si>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</si>
  <si>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</si>
  <si>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</si>
  <si>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</si>
  <si>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</si>
  <si>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</t>
    </r>
    <r>
      <rPr>
        <sz val="10"/>
        <rFont val="Arial"/>
        <family val="0"/>
        <charset val="1"/>
      </rPr>
      <t xml:space="preserve">Other Bets</t>
    </r>
  </si>
  <si>
    <r>
      <rPr>
        <sz val="9"/>
        <color rgb="FF595959"/>
        <rFont val="Noto Sans CJK SC"/>
        <family val="2"/>
      </rPr>
      <t xml:space="preserve">無同業倍數（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等未上市）→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為負，即虧損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倍數（保守；未計 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Noto Sans CJK SC"/>
        <family val="2"/>
      </rPr>
      <t xml:space="preserve">募資估值）</t>
    </r>
  </si>
  <si>
    <r>
      <rPr>
        <sz val="10"/>
        <rFont val="Noto Sans CJK SC"/>
        <family val="2"/>
      </rPr>
      <t xml:space="preserve">分部倍數｜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硬體銷售</t>
    </r>
  </si>
  <si>
    <r>
      <rPr>
        <sz val="9"/>
        <color rgb="FF595959"/>
        <rFont val="Noto Sans CJK SC"/>
        <family val="2"/>
      </rPr>
      <t xml:space="preserve">未蒐集半導體同業倍數 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 </t>
    </r>
    <r>
      <rPr>
        <sz val="9"/>
        <color rgb="FF595959"/>
        <rFont val="Arial"/>
        <family val="0"/>
        <charset val="1"/>
      </rPr>
      <t xml:space="preserve">6×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</si>
  <si>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</si>
  <si>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家）：搜尋、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Noto Sans CJK SC"/>
        <family val="2"/>
      </rPr>
      <t xml:space="preserve">廣告、聯播網、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層級費用＝數位廣告＝共用同業組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；中位數 </t>
    </r>
    <r>
      <rPr>
        <sz val="9"/>
        <color rgb="FF595959"/>
        <rFont val="Arial"/>
        <family val="0"/>
        <charset val="1"/>
      </rPr>
      <t xml:space="preserve">9.11×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Noto Sans CJK SC"/>
        <family val="2"/>
      </rPr>
      <t xml:space="preserve">，複製自 </t>
    </r>
    <r>
      <rPr>
        <sz val="9"/>
        <color rgb="FF595959"/>
        <rFont val="Arial"/>
        <family val="0"/>
        <charset val="1"/>
      </rPr>
      <t xml:space="preserve">amazon/data/</t>
    </r>
    <r>
      <rPr>
        <sz val="9"/>
        <color rgb="FF595959"/>
        <rFont val="Noto Sans CJK SC"/>
        <family val="2"/>
      </rPr>
      <t xml:space="preserve">）；訂閱平台裝置＝訂閱影音（</t>
    </r>
    <r>
      <rPr>
        <sz val="9"/>
        <color rgb="FF595959"/>
        <rFont val="Arial"/>
        <family val="0"/>
        <charset val="1"/>
      </rPr>
      <t xml:space="preserve">NFLX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同組；中位數 </t>
    </r>
    <r>
      <rPr>
        <sz val="9"/>
        <color rgb="FF595959"/>
        <rFont val="Arial"/>
        <family val="0"/>
        <charset val="1"/>
      </rPr>
      <t xml:space="preserve">15.41×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Other Bets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硬體銷售無同業組 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</si>
  <si>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</si>
  <si>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</si>
  <si>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</si>
  <si>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</si>
  <si>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</si>
  <si>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</si>
  <si>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</si>
  <si>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</si>
  <si>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</si>
  <si>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</si>
  <si>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</si>
  <si>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</si>
  <si>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</si>
  <si>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</si>
  <si>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14.708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</si>
  <si>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</si>
  <si>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</si>
  <si>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</si>
  <si>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</si>
  <si>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</si>
  <si>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</si>
  <si>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</si>
  <si>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</si>
  <si>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</si>
  <si>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</si>
  <si>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</si>
  <si>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</si>
  <si>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</si>
  <si>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</si>
  <si>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</si>
  <si>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</si>
  <si>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</si>
  <si>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</si>
  <si>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</si>
  <si>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</si>
  <si>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</si>
  <si>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</si>
  <si>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</si>
  <si>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</si>
  <si>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</si>
  <si>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2026-10-09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</si>
  <si>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</si>
  <si>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</si>
  <si>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</si>
  <si>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</si>
  <si>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</si>
  <si>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</si>
  <si>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</si>
  <si>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</si>
  <si>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</si>
  <si>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</si>
  <si>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</si>
  <si>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</si>
  <si>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</si>
  <si>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</si>
  <si>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</si>
  <si>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</si>
  <si>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</si>
  <si>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</si>
  <si>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</si>
  <si>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</si>
  <si>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</si>
  <si>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</si>
  <si>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</si>
  <si>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</si>
  <si>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</si>
  <si>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</si>
  <si>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</si>
  <si>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</si>
  <si>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</si>
  <si>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</si>
  <si>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</si>
  <si>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</si>
  <si>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</si>
  <si>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30,708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96,135 − </t>
    </r>
    <r>
      <rPr>
        <sz val="9"/>
        <color rgb="FF595959"/>
        <rFont val="Noto Sans CJK SC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6,313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120,530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經查核；模型現金口徑＝現金＋債權類有價證券，有價權益證券改列持股）</t>
    </r>
    <r>
      <rPr>
        <sz val="9"/>
        <color rgb="FF595959"/>
        <rFont val="Arial"/>
        <family val="0"/>
        <charset val="1"/>
      </rPr>
      <t xml:space="preserve">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</si>
  <si>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</si>
  <si>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現金流量表：上半年營運現金流 </t>
    </r>
    <r>
      <rPr>
        <sz val="9"/>
        <color rgb="FF595959"/>
        <rFont val="Arial"/>
        <family val="0"/>
        <charset val="1"/>
      </rPr>
      <t xml:space="preserve">84,859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45,790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39,069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</si>
  <si>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</si>
  <si>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購置不動產與設備 </t>
    </r>
    <r>
      <rPr>
        <sz val="9"/>
        <color rgb="FF595959"/>
        <rFont val="Arial"/>
        <family val="0"/>
        <charset val="1"/>
      </rPr>
      <t xml:space="preserve">Q1 35,674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44,924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80,598</t>
    </r>
    <r>
      <rPr>
        <sz val="9"/>
        <color rgb="FF595959"/>
        <rFont val="Noto Sans CJK SC"/>
        <family val="2"/>
      </rPr>
      <t xml:space="preserve">（公司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定義；與指引 </t>
    </r>
    <r>
      <rPr>
        <sz val="9"/>
        <color rgb="FF595959"/>
        <rFont val="Arial"/>
        <family val="0"/>
        <charset val="1"/>
      </rPr>
      <t xml:space="preserve">195–205B </t>
    </r>
    <r>
      <rPr>
        <sz val="9"/>
        <color rgb="FF595959"/>
        <rFont val="Noto Sans CJK SC"/>
        <family val="2"/>
      </rPr>
      <t xml:space="preserve">同口徑）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</si>
  <si>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</si>
  <si>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應計口徑未揭露，以現金購置代替；應計未付 </t>
    </r>
    <r>
      <rPr>
        <sz val="9"/>
        <color rgb="FF595959"/>
        <rFont val="Arial"/>
        <family val="0"/>
        <charset val="1"/>
      </rPr>
      <t xml:space="preserve">PP&amp;E 29,113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補充資訊）不在本列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</si>
  <si>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</si>
  <si>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購買非上市證券 </t>
    </r>
    <r>
      <rPr>
        <sz val="9"/>
        <color rgb="FF595959"/>
        <rFont val="Arial"/>
        <family val="0"/>
        <charset val="1"/>
      </rPr>
      <t xml:space="preserve">22,051</t>
    </r>
    <r>
      <rPr>
        <sz val="9"/>
        <color rgb="FF595959"/>
        <rFont val="Noto Sans CJK SC"/>
        <family val="2"/>
      </rPr>
      <t xml:space="preserve">（主要為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條件式出資約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）＋收購（</t>
    </r>
    <r>
      <rPr>
        <sz val="9"/>
        <color rgb="FF595959"/>
        <rFont val="Arial"/>
        <family val="0"/>
        <charset val="1"/>
      </rPr>
      <t xml:space="preserve">Wiz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Intersect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33,697</t>
    </r>
    <r>
      <rPr>
        <sz val="9"/>
        <color rgb="FF595959"/>
        <rFont val="Noto Sans CJK SC"/>
        <family val="2"/>
      </rPr>
      <t xml:space="preserve">＋其他投資 </t>
    </r>
    <r>
      <rPr>
        <sz val="9"/>
        <color rgb="FF595959"/>
        <rFont val="Arial"/>
        <family val="0"/>
        <charset val="1"/>
      </rPr>
      <t xml:space="preserve">1,359 − </t>
    </r>
    <r>
      <rPr>
        <sz val="9"/>
        <color rgb="FF595959"/>
        <rFont val="Noto Sans CJK SC"/>
        <family val="2"/>
      </rPr>
      <t xml:space="preserve">出售非上市證券 </t>
    </r>
    <r>
      <rPr>
        <sz val="9"/>
        <color rgb="FF595959"/>
        <rFont val="Arial"/>
        <family val="0"/>
        <charset val="1"/>
      </rPr>
      <t xml:space="preserve">1,667 [Derived]</t>
    </r>
  </si>
  <si>
    <t xml:space="preserve">借款</t>
  </si>
  <si>
    <r>
      <rPr>
        <sz val="9"/>
        <color rgb="FF595959"/>
        <rFont val="Noto Sans CJK SC"/>
        <family val="2"/>
      </rPr>
      <t xml:space="preserve">發債收入淨額 </t>
    </r>
    <r>
      <rPr>
        <sz val="9"/>
        <color rgb="FF595959"/>
        <rFont val="Arial"/>
        <family val="0"/>
        <charset val="1"/>
      </rPr>
      <t xml:space="preserve">56,226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Noto Sans CJK SC"/>
        <family val="2"/>
      </rPr>
      <t xml:space="preserve">美元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£5.5B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CHF3.1B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Q2 €9.0B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C$8.5B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¥576.5B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</si>
  <si>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</si>
  <si>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償還債務 </t>
    </r>
    <r>
      <rPr>
        <sz val="9"/>
        <color rgb="FF595959"/>
        <rFont val="Arial"/>
        <family val="0"/>
        <charset val="1"/>
      </rPr>
      <t xml:space="preserve">5,253 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</si>
  <si>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</si>
  <si>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強制轉換特別股的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權利金 </t>
    </r>
    <r>
      <rPr>
        <sz val="9"/>
        <color rgb="FF595959"/>
        <rFont val="Arial"/>
        <family val="0"/>
        <charset val="1"/>
      </rPr>
      <t xml:space="preserve">1,011</t>
    </r>
    <r>
      <rPr>
        <sz val="9"/>
        <color rgb="FF595959"/>
        <rFont val="Noto Sans CJK SC"/>
        <family val="2"/>
      </rPr>
      <t xml:space="preserve">（股東權益變動表）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</si>
  <si>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私募股權</t>
  </si>
  <si>
    <r>
      <rPr>
        <sz val="9"/>
        <color rgb="FF595959"/>
        <rFont val="Noto Sans CJK SC"/>
        <family val="2"/>
      </rPr>
      <t xml:space="preserve">普通股發行淨額 </t>
    </r>
    <r>
      <rPr>
        <sz val="9"/>
        <color rgb="FF595959"/>
        <rFont val="Arial"/>
        <family val="0"/>
        <charset val="1"/>
      </rPr>
      <t xml:space="preserve">30,499</t>
    </r>
    <r>
      <rPr>
        <sz val="9"/>
        <color rgb="FF595959"/>
        <rFont val="Noto Sans CJK SC"/>
        <family val="2"/>
      </rPr>
      <t xml:space="preserve">（承銷 </t>
    </r>
    <r>
      <rPr>
        <sz val="9"/>
        <color rgb="FF595959"/>
        <rFont val="Arial"/>
        <family val="0"/>
        <charset val="1"/>
      </rPr>
      <t xml:space="preserve">20.5B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Berkshire </t>
    </r>
    <r>
      <rPr>
        <sz val="9"/>
        <color rgb="FF595959"/>
        <rFont val="Noto Sans CJK SC"/>
        <family val="2"/>
      </rPr>
      <t xml:space="preserve">私募 </t>
    </r>
    <r>
      <rPr>
        <sz val="9"/>
        <color rgb="FF595959"/>
        <rFont val="Arial"/>
        <family val="0"/>
        <charset val="1"/>
      </rPr>
      <t xml:space="preserve">10.0B</t>
    </r>
    <r>
      <rPr>
        <sz val="9"/>
        <color rgb="FF595959"/>
        <rFont val="Noto Sans CJK SC"/>
        <family val="2"/>
      </rPr>
      <t xml:space="preserve">）＋強制轉換特別股淨額 </t>
    </r>
    <r>
      <rPr>
        <sz val="9"/>
        <color rgb="FF595959"/>
        <rFont val="Arial"/>
        <family val="0"/>
        <charset val="1"/>
      </rPr>
      <t xml:space="preserve">19,063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</si>
  <si>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</si>
  <si>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Q1 533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1,278</t>
    </r>
    <r>
      <rPr>
        <sz val="9"/>
        <color rgb="FF595959"/>
        <rFont val="Noto Sans CJK SC"/>
        <family val="2"/>
      </rPr>
      <t xml:space="preserve">；現金利息未揭露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</si>
  <si>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</si>
  <si>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1,817</t>
    </r>
    <r>
      <rPr>
        <sz val="9"/>
        <color rgb="FF595959"/>
        <rFont val="Noto Sans CJK SC"/>
        <family val="2"/>
      </rPr>
      <t xml:space="preserve">＋融資租賃利息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＋本金 </t>
    </r>
    <r>
      <rPr>
        <sz val="9"/>
        <color rgb="FF595959"/>
        <rFont val="Arial"/>
        <family val="0"/>
        <charset val="1"/>
      </rPr>
      <t xml:space="preserve">840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補充資訊）；營業租賃已含在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</si>
  <si>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</si>
  <si>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Noto Sans CJK SC"/>
        <family val="2"/>
      </rPr>
      <t xml:space="preserve">搜尋 </t>
    </r>
    <r>
      <rPr>
        <sz val="9"/>
        <color rgb="FF595959"/>
        <rFont val="Arial"/>
        <family val="0"/>
        <charset val="1"/>
      </rPr>
      <t xml:space="preserve">123,670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YouTube 20,938</t>
    </r>
    <r>
      <rPr>
        <sz val="9"/>
        <color rgb="FF595959"/>
        <rFont val="Noto Sans CJK SC"/>
        <family val="2"/>
      </rPr>
      <t xml:space="preserve">＋聯播網 </t>
    </r>
    <r>
      <rPr>
        <sz val="9"/>
        <color rgb="FF595959"/>
        <rFont val="Arial"/>
        <family val="0"/>
        <charset val="1"/>
      </rPr>
      <t xml:space="preserve">14,274</t>
    </r>
    <r>
      <rPr>
        <sz val="9"/>
        <color rgb="FF595959"/>
        <rFont val="Noto Sans CJK SC"/>
        <family val="2"/>
      </rPr>
      <t xml:space="preserve">＋訂閱平台裝置 </t>
    </r>
    <r>
      <rPr>
        <sz val="9"/>
        <color rgb="FF595959"/>
        <rFont val="Arial"/>
        <family val="0"/>
        <charset val="1"/>
      </rPr>
      <t xml:space="preserve">25,295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 44,796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Other Bets 793</t>
    </r>
    <r>
      <rPr>
        <sz val="9"/>
        <color rgb="FF595959"/>
        <rFont val="Noto Sans CJK SC"/>
        <family val="2"/>
      </rPr>
      <t xml:space="preserve">＋避險 −</t>
    </r>
    <r>
      <rPr>
        <sz val="9"/>
        <color rgb="FF595959"/>
        <rFont val="Arial"/>
        <family val="0"/>
        <charset val="1"/>
      </rPr>
      <t xml:space="preserve">74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</si>
  <si>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</si>
  <si>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39,696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40,770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</si>
  <si>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</si>
  <si>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62,578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Q2 112,193</t>
    </r>
    <r>
      <rPr>
        <sz val="9"/>
        <color rgb="FF595959"/>
        <rFont val="Noto Sans CJK SC"/>
        <family val="2"/>
      </rPr>
      <t xml:space="preserve">（含權益證券利益 </t>
    </r>
    <r>
      <rPr>
        <sz val="9"/>
        <color rgb="FF595959"/>
        <rFont val="Arial"/>
        <family val="0"/>
        <charset val="1"/>
      </rPr>
      <t xml:space="preserve">135,946</t>
    </r>
    <r>
      <rPr>
        <sz val="9"/>
        <color rgb="FF595959"/>
        <rFont val="Noto Sans CJK SC"/>
        <family val="2"/>
      </rPr>
      <t xml:space="preserve">，主要為 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上市與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重估，非營業）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</si>
  <si>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</si>
  <si>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</si>
  <si>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</si>
  <si>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Noto Sans CJK SC"/>
        <family val="2"/>
      </rPr>
      <t xml:space="preserve">現金流量表不動產與設備折舊 </t>
    </r>
    <r>
      <rPr>
        <sz val="9"/>
        <color rgb="FF595959"/>
        <rFont val="Arial"/>
        <family val="0"/>
        <charset val="1"/>
      </rPr>
      <t xml:space="preserve">Q1 6,482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7,104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</si>
  <si>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</si>
  <si>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股權報酬費用 </t>
    </r>
    <r>
      <rPr>
        <sz val="9"/>
        <color rgb="FF595959"/>
        <rFont val="Arial"/>
        <family val="0"/>
        <charset val="1"/>
      </rPr>
      <t xml:space="preserve">14,708</t>
    </r>
    <r>
      <rPr>
        <sz val="9"/>
        <color rgb="FF595959"/>
        <rFont val="Noto Sans CJK SC"/>
        <family val="2"/>
      </rPr>
      <t xml:space="preserve">（現金流量表）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</si>
  <si>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</si>
  <si>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Q1 5.11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9.11</t>
    </r>
    <r>
      <rPr>
        <sz val="9"/>
        <color rgb="FF595959"/>
        <rFont val="Noto Sans CJK SC"/>
        <family val="2"/>
      </rPr>
      <t xml:space="preserve">（含權益證券利益）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</si>
  <si>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</si>
  <si>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Noto Sans CJK SC"/>
        <family val="2"/>
      </rPr>
      <t xml:space="preserve">上半年平均稀釋加權股數 </t>
    </r>
    <r>
      <rPr>
        <sz val="9"/>
        <color rgb="FF595959"/>
        <rFont val="Arial"/>
        <family val="0"/>
        <charset val="1"/>
      </rPr>
      <t xml:space="preserve">12,274m [Derived]</t>
    </r>
    <r>
      <rPr>
        <sz val="9"/>
        <color rgb="FF595959"/>
        <rFont val="Noto Sans CJK SC"/>
        <family val="2"/>
      </rPr>
      <t xml:space="preserve">（含權益證券利益，與共識不可比）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</si>
  <si>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</si>
  <si>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普通股股利支付 </t>
    </r>
    <r>
      <rPr>
        <sz val="9"/>
        <color rgb="FF595959"/>
        <rFont val="Arial"/>
        <family val="0"/>
        <charset val="1"/>
      </rPr>
      <t xml:space="preserve">5,231</t>
    </r>
    <r>
      <rPr>
        <sz val="9"/>
        <color rgb="FF595959"/>
        <rFont val="Noto Sans CJK SC"/>
        <family val="2"/>
      </rPr>
      <t xml:space="preserve">（每季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</si>
  <si>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</si>
  <si>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46.178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47.874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2026-07-23</t>
    </r>
    <r>
      <rPr>
        <sz val="9"/>
        <color rgb="FF595959"/>
        <rFont val="Noto Sans CJK SC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營業利益＋現金流量表折舊（不動產與設備；無形資產攤銷未另列）。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含加回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矛盾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），比較時口徑不同。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39.696</t>
    </r>
    <r>
      <rPr>
        <sz val="9"/>
        <color rgb="FF595959"/>
        <rFont val="Noto Sans CJK SC"/>
        <family val="2"/>
      </rPr>
      <t xml:space="preserve">＋折舊 </t>
    </r>
    <r>
      <rPr>
        <sz val="9"/>
        <color rgb="FF595959"/>
        <rFont val="Arial"/>
        <family val="0"/>
        <charset val="1"/>
      </rPr>
      <t xml:space="preserve">6.482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40.770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7.104 [Derived] [Derived]</t>
    </r>
  </si>
  <si>
    <t xml:space="preserve">回購（買回庫藏股）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</si>
  <si>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上半年未買回（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2025H1 28,306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</si>
  <si>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</si>
  <si>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</si>
  <si>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</si>
  <si>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已交付＋已公開在建</t>
  </si>
  <si>
    <t xml:space="preserve">情境區間運算表｜基準 依資本支出指引</t>
  </si>
  <si>
    <r>
      <rPr>
        <sz val="10"/>
        <rFont val="Noto Sans CJK SC"/>
        <family val="2"/>
      </rPr>
      <t xml:space="preserve">情境區間運算表｜積極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</si>
  <si>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data/consensus_googl_20261008.json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</si>
  <si>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＝賣方分析師預估：有利益關係（投行業務、承銷——</t>
    </r>
    <r>
      <rPr>
        <sz val="9"/>
        <color rgb="FF595959"/>
        <rFont val="Arial"/>
        <family val="0"/>
        <charset val="1"/>
      </rPr>
      <t xml:space="preserve">Alphabet 2026-06 </t>
    </r>
    <r>
      <rPr>
        <sz val="9"/>
        <color rgb="FF595959"/>
        <rFont val="Noto Sans CJK SC"/>
        <family val="2"/>
      </rPr>
      <t xml:space="preserve">股權募資與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發債的承銷商包含多家覆蓋券商——偏多傾向），數字本身是意見而非事實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</si>
  <si>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</si>
  <si>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</si>
  <si>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</si>
  <si>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</si>
  <si>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</si>
  <si>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</si>
  <si>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</si>
  <si>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</si>
  <si>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https://stockanalysis.com/stocks/googl/history/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</si>
  <si>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</si>
  <si>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</si>
  <si>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</si>
  <si>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</si>
  <si>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</si>
  <si>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</si>
  <si>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</si>
  <si>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</si>
  <si>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</si>
  <si>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</si>
  <si>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</si>
  <si>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</si>
  <si>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https://www.marketbeat.com/stocks/NASDAQ/GOOGL/forecast/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</si>
  <si>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</si>
  <si>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</si>
  <si>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</si>
  <si>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</si>
  <si>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https://finance.yahoo.com/quote/GOOGL/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</si>
  <si>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</si>
  <si>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</si>
  <si>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</si>
  <si>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</si>
  <si>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</si>
  <si>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</si>
  <si>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</si>
  <si>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</si>
  <si>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</si>
  <si>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https://www.marketscreener.com/quote/stock/ALPHABET-INC-24203373/finances/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</si>
  <si>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</si>
  <si>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</si>
  <si>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</si>
  <si>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</si>
  <si>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</si>
  <si>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</si>
  <si>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</si>
  <si>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</si>
  <si>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</si>
  <si>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</si>
  <si>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Noto Sans CJK SC"/>
        <family val="2"/>
      </rPr>
      <t xml:space="preserve">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129.039 </t>
    </r>
    <r>
      <rPr>
        <sz val="10"/>
        <rFont val="Noto Sans CJK SC"/>
        <family val="2"/>
      </rPr>
      <t xml:space="preserve">與公司相同）、淨利與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（含權益證券未實現利益：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淨利 </t>
    </r>
    <r>
      <rPr>
        <sz val="10"/>
        <rFont val="Arial"/>
        <family val="0"/>
        <charset val="1"/>
      </rPr>
      <t xml:space="preserve">254.9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EPS 20.63 </t>
    </r>
    <r>
      <rPr>
        <sz val="10"/>
        <rFont val="Noto Sans CJK SC"/>
        <family val="2"/>
      </rPr>
      <t xml:space="preserve">含上半年 </t>
    </r>
    <r>
      <rPr>
        <sz val="10"/>
        <rFont val="Arial"/>
        <family val="0"/>
        <charset val="1"/>
      </rPr>
      <t xml:space="preserve">135.9 </t>
    </r>
    <r>
      <rPr>
        <sz val="10"/>
        <rFont val="Noto Sans CJK SC"/>
        <family val="2"/>
      </rPr>
      <t xml:space="preserve">的權益證券利益，故高於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）、資本支出（購置不動產與設備）、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、淨負債（負值＝淨現金）。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口徑＝營業利益＋折舊＋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175.128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129.039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21.136</t>
    </r>
    <r>
      <rPr>
        <sz val="10"/>
        <rFont val="Noto Sans CJK SC"/>
        <family val="2"/>
      </rPr>
      <t xml:space="preserve">（折舊）＋</t>
    </r>
    <r>
      <rPr>
        <sz val="10"/>
        <rFont val="Arial"/>
        <family val="0"/>
        <charset val="1"/>
      </rPr>
      <t xml:space="preserve">24.953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），兩者相加恰為 </t>
    </r>
    <r>
      <rPr>
        <sz val="10"/>
        <rFont val="Arial"/>
        <family val="0"/>
        <charset val="1"/>
      </rPr>
      <t xml:space="preserve">46.089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[Derived] </t>
    </r>
    <r>
      <rPr>
        <sz val="10"/>
        <rFont val="Noto Sans CJK SC"/>
        <family val="2"/>
      </rPr>
      <t xml:space="preserve">推得；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未說明）→ </t>
    </r>
    <r>
      <rPr>
        <sz val="10"/>
        <rFont val="Arial"/>
        <family val="0"/>
        <charset val="1"/>
      </rPr>
      <t xml:space="preserve">v0.1b </t>
    </r>
    <r>
      <rPr>
        <sz val="10"/>
        <rFont val="Noto Sans CJK SC"/>
        <family val="2"/>
      </rPr>
      <t xml:space="preserve">若以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率比較，需扣回 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或改用營業利益＋折舊。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</si>
  <si>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</si>
  <si>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</si>
  <si>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</si>
  <si>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</si>
  <si>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</si>
  <si>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</si>
  <si>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口徑與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不同：</t>
    </r>
    <r>
      <rPr>
        <sz val="9"/>
        <color rgb="FF595959"/>
        <rFont val="Arial"/>
        <family val="0"/>
        <charset val="1"/>
      </rPr>
      <t xml:space="preserve">12.15 </t>
    </r>
    <r>
      <rPr>
        <sz val="9"/>
        <color rgb="FF595959"/>
        <rFont val="Noto Sans CJK SC"/>
        <family val="2"/>
      </rPr>
      <t xml:space="preserve">推測排除權益證券利益（頁面標示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起需付費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</si>
  <si>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</si>
  <si>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2026 CapEx</t>
    </r>
    <r>
      <rPr>
        <sz val="10"/>
        <rFont val="Noto Sans CJK SC"/>
        <family val="2"/>
      </rPr>
      <t xml:space="preserve">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</si>
  <si>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</si>
  <si>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；二手逐字稿）：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195–205B</t>
    </r>
    <r>
      <rPr>
        <sz val="9"/>
        <color rgb="FF595959"/>
        <rFont val="Noto Sans CJK SC"/>
        <family val="2"/>
      </rPr>
      <t xml:space="preserve">；公司不給營收或營業利益指引｜</t>
    </r>
    <r>
      <rPr>
        <sz val="9"/>
        <color rgb="FF595959"/>
        <rFont val="Arial"/>
        <family val="0"/>
        <charset val="1"/>
      </rPr>
      <t xml:space="preserve">https://www.benzinga.com/news/26/09/61834150</t>
    </r>
  </si>
  <si>
    <r>
      <rPr>
        <sz val="9"/>
        <color rgb="FF595959"/>
        <rFont val="Noto Sans CJK SC"/>
        <family val="2"/>
      </rPr>
      <t xml:space="preserve">公司指引屬利害關係人（管理層）預估；資本支出只見於法說（事實總帳 </t>
    </r>
    <r>
      <rPr>
        <sz val="9"/>
        <color rgb="FF595959"/>
        <rFont val="Arial"/>
        <family val="0"/>
        <charset val="1"/>
      </rPr>
      <t xml:space="preserve">guid.capex.2026.jul</t>
    </r>
    <r>
      <rPr>
        <sz val="9"/>
        <color rgb="FF595959"/>
        <rFont val="Noto Sans CJK SC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201.7 </t>
    </r>
    <r>
      <rPr>
        <sz val="9"/>
        <color rgb="FF595959"/>
        <rFont val="Noto Sans CJK SC"/>
        <family val="2"/>
      </rPr>
      <t xml:space="preserve">落在指引區間內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</si>
  <si>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</si>
  <si>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</si>
  <si>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</si>
  <si>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</si>
  <si>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Morgan Stanley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</si>
  <si>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</si>
  <si>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Guggenheim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</si>
  <si>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Wells Fargo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Ken Gawrelski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</si>
  <si>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</si>
  <si>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2026-10-03 Cantor Fitzgerald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Deepak Mathivanan</t>
    </r>
    <r>
      <rPr>
        <sz val="10"/>
        <rFont val="Noto Sans CJK SC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</si>
  <si>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</si>
  <si>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</si>
  <si>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系；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分析頁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498.69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615.04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498.690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615.038 </t>
    </r>
    <r>
      <rPr>
        <sz val="10"/>
        <rFont val="Noto Sans CJK SC"/>
        <family val="2"/>
      </rPr>
      <t xml:space="preserve">完全相同、與 </t>
    </r>
    <r>
      <rPr>
        <sz val="10"/>
        <rFont val="Arial"/>
        <family val="0"/>
        <charset val="1"/>
      </rPr>
      <t xml:space="preserve">StockAnalysis 498.74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614.95 </t>
    </r>
    <r>
      <rPr>
        <sz val="10"/>
        <rFont val="Noto Sans CJK SC"/>
        <family val="2"/>
      </rPr>
      <t xml:space="preserve">略異，三者視為同一或高度重疊的底層來源，不算獨立交叉驗證。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429.47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完全相同，推測同源。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</si>
  <si>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</si>
  <si>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</si>
  <si>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季度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與營業利益共識（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只有營收與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季度頁未取得）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</si>
  <si>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</si>
  <si>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S&amp;P 2028 </t>
    </r>
    <r>
      <rPr>
        <sz val="10"/>
        <rFont val="Noto Sans CJK SC"/>
        <family val="2"/>
      </rPr>
      <t xml:space="preserve">年度營收與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付費內容）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</si>
  <si>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</si>
  <si>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第二個獨立的年度營收／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共識供應商（</t>
    </r>
    <r>
      <rPr>
        <sz val="10"/>
        <rFont val="Arial"/>
        <family val="0"/>
        <charset val="1"/>
      </rPr>
      <t xml:space="preserve">StockAnalysis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視為同一或高度重疊底層）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</si>
  <si>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</si>
  <si>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</si>
  <si>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</si>
  <si>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</si>
  <si>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</si>
  <si>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</si>
  <si>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</si>
  <si>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</si>
  <si>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</si>
  <si>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</si>
  <si>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</si>
  <si>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</si>
  <si>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</si>
  <si>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</si>
  <si>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</si>
  <si>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</si>
  <si>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</si>
  <si>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</si>
  <si>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</si>
  <si>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</si>
  <si>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晶片功耗 </t>
    </r>
    <r>
      <rPr>
        <sz val="9"/>
        <color rgb="FF595959"/>
        <rFont val="Arial"/>
        <family val="0"/>
        <charset val="1"/>
      </rPr>
      <t xml:space="preserve">× 1.65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mw.ext.it.2026q2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</si>
  <si>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</si>
  <si>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</si>
  <si>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</si>
  <si>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</si>
  <si>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</si>
  <si>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</si>
  <si>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</si>
  <si>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</si>
  <si>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</si>
  <si>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</si>
  <si>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全年資本支出指引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（法說二手逐字稿；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上修）−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；公司未給營收指引；只用於判斷季度差距是否為「拆法」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</si>
  <si>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</si>
  <si>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</si>
  <si>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</si>
  <si>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</si>
  <si>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</si>
  <si>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</si>
  <si>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</si>
  <si>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</si>
  <si>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</si>
  <si>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</si>
  <si>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</si>
  <si>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</si>
  <si>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</si>
  <si>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</si>
  <si>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</si>
  <si>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</si>
  <si>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</si>
  <si>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</si>
  <si>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</si>
  <si>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</si>
  <si>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2.692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</si>
  <si>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</si>
  <si>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85.2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</si>
  <si>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</si>
  <si>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</si>
  <si>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</si>
  <si>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</si>
  <si>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</si>
  <si>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</si>
  <si>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</si>
  <si>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</si>
  <si>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</si>
  <si>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</si>
  <si>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</si>
  <si>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55.44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55.440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</si>
  <si>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</si>
  <si>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</si>
  <si>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</si>
  <si>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</si>
  <si>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</si>
  <si>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</si>
  <si>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</si>
  <si>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</si>
  <si>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</si>
  <si>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</si>
  <si>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</si>
  <si>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</si>
  <si>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</si>
  <si>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</si>
  <si>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</si>
  <si>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</si>
  <si>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</si>
  <si>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</si>
  <si>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</si>
  <si>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</si>
  <si>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</si>
  <si>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</si>
  <si>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</si>
  <si>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</si>
  <si>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</si>
  <si>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</si>
  <si>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</si>
  <si>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</si>
  <si>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</si>
  <si>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</si>
  <si>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</si>
  <si>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</si>
  <si>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</si>
  <si>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</si>
  <si>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</si>
  <si>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</si>
  <si>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</si>
  <si>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</si>
  <si>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49.6</t>
    </r>
    <r>
      <rPr>
        <sz val="9"/>
        <color rgb="FF595959"/>
        <rFont val="Noto Sans CJK SC"/>
        <family val="2"/>
      </rPr>
      <t xml:space="preserve">（普通股 </t>
    </r>
    <r>
      <rPr>
        <sz val="9"/>
        <color rgb="FF595959"/>
        <rFont val="Arial"/>
        <family val="0"/>
        <charset val="1"/>
      </rPr>
      <t xml:space="preserve">30.5</t>
    </r>
    <r>
      <rPr>
        <sz val="9"/>
        <color rgb="FF595959"/>
        <rFont val="Noto Sans CJK SC"/>
        <family val="2"/>
      </rPr>
      <t xml:space="preserve">＋強制轉換特別股 </t>
    </r>
    <r>
      <rPr>
        <sz val="9"/>
        <color rgb="FF595959"/>
        <rFont val="Arial"/>
        <family val="0"/>
        <charset val="1"/>
      </rPr>
      <t xml:space="preserve">19.1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（瀑布另計）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</si>
  <si>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</si>
  <si>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56.226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</si>
  <si>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</si>
  <si>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</si>
  <si>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</si>
  <si>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</si>
  <si>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</si>
  <si>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</si>
  <si>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</si>
  <si>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</si>
  <si>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</si>
  <si>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</si>
  <si>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</si>
  <si>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</si>
  <si>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</si>
  <si>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</si>
  <si>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</si>
  <si>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</si>
  <si>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</si>
  <si>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</si>
  <si>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</si>
  <si>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</si>
  <si>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</si>
  <si>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</si>
  <si>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</si>
  <si>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</si>
  <si>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</si>
  <si>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</si>
  <si>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</si>
  <si>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</si>
  <si>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</si>
  <si>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</si>
  <si>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</si>
  <si>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</si>
  <si>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</si>
  <si>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</si>
  <si>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</si>
  <si>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</si>
  <si>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</si>
  <si>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</si>
  <si>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</si>
  <si>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</si>
  <si>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</si>
  <si>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</si>
  <si>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</si>
  <si>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</si>
  <si>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</si>
  <si>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</si>
  <si>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</si>
  <si>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</si>
  <si>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</si>
  <si>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</si>
  <si>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</si>
  <si>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</si>
  <si>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</si>
  <si>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101.085)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</si>
  <si>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</si>
  <si>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</si>
  <si>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</si>
  <si>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</si>
  <si>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</si>
  <si>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</si>
  <si>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</si>
  <si>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</si>
  <si>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</si>
  <si>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</si>
  <si>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</si>
  <si>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</si>
  <si>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</si>
  <si>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</si>
  <si>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12.23bn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</si>
  <si>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</si>
  <si>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</si>
  <si>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</si>
  <si>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</si>
  <si>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</si>
  <si>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</si>
  <si>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</si>
  <si>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</si>
  <si>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</si>
  <si>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</si>
  <si>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</si>
  <si>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</si>
  <si>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</si>
  <si>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</si>
  <si>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</si>
  <si>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</si>
  <si>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</si>
  <si>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</si>
  <si>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</si>
  <si>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</si>
  <si>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</si>
  <si>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</si>
  <si>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</si>
  <si>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</si>
  <si>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</si>
  <si>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</si>
  <si>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</si>
  <si>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</si>
  <si>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</si>
  <si>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</si>
  <si>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</si>
  <si>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Noto Sans CJK SC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Noto Sans CJK SC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</si>
  <si>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</si>
  <si>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</si>
  <si>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</si>
  <si>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2.692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</si>
  <si>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</si>
  <si>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</si>
  <si>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</si>
  <si>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</si>
  <si>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</si>
  <si>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</si>
  <si>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</si>
  <si>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</si>
  <si>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</si>
  <si>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</si>
  <si>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</si>
  <si>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</si>
  <si>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</si>
  <si>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</si>
  <si>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</si>
  <si>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</si>
  <si>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</si>
  <si>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</si>
  <si>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</si>
  <si>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</si>
  <si>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</si>
  <si>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</si>
  <si>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</si>
  <si>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</si>
  <si>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</si>
  <si>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</si>
  <si>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</si>
  <si>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</si>
  <si>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</si>
  <si>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</si>
  <si>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</si>
  <si>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</si>
  <si>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</si>
  <si>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</si>
  <si>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</si>
  <si>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</si>
  <si>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</si>
  <si>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</si>
  <si>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</si>
  <si>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</si>
  <si>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</si>
  <si>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</si>
  <si>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</si>
  <si>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</si>
  <si>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</si>
  <si>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</si>
  <si>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</si>
  <si>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</si>
  <si>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</si>
  <si>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</si>
  <si>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</si>
  <si>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</si>
  <si>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</si>
  <si>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</si>
  <si>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</si>
  <si>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</si>
  <si>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</si>
  <si>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</si>
  <si>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</si>
  <si>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</si>
  <si>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</si>
  <si>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</si>
  <si>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</si>
  <si>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</si>
  <si>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</si>
  <si>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</si>
  <si>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</si>
  <si>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</si>
  <si>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</si>
  <si>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</si>
  <si>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</si>
  <si>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</si>
  <si>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</si>
  <si>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</si>
  <si>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</si>
  <si>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</si>
  <si>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</si>
  <si>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</si>
  <si>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</si>
  <si>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</si>
  <si>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</si>
  <si>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</si>
  <si>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</si>
  <si>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</si>
  <si>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</si>
  <si>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</si>
  <si>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</si>
  <si>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</si>
  <si>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</si>
  <si>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</si>
  <si>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</si>
  <si>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</si>
  <si>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</si>
  <si>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</si>
  <si>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</si>
  <si>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</si>
  <si>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</si>
  <si>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</si>
  <si>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</si>
  <si>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</si>
  <si>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</si>
  <si>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</si>
  <si>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</si>
  <si>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</si>
  <si>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</si>
  <si>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</si>
  <si>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</si>
  <si>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</si>
  <si>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</si>
  <si>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</si>
  <si>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</si>
  <si>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</si>
  <si>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</si>
  <si>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</si>
  <si>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</si>
  <si>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</si>
  <si>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</si>
  <si>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</si>
  <si>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</si>
  <si>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</si>
  <si>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</si>
  <si>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</si>
  <si>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</si>
  <si>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</si>
  <si>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</si>
  <si>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</si>
  <si>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</si>
  <si>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</si>
  <si>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</si>
  <si>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</si>
  <si>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</si>
  <si>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</si>
  <si>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</si>
  <si>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</si>
  <si>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</si>
  <si>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</si>
  <si>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</si>
  <si>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</si>
  <si>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</si>
  <si>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</si>
  <si>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</si>
  <si>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</si>
  <si>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</si>
  <si>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</si>
  <si>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</si>
  <si>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</si>
  <si>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</si>
  <si>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</si>
  <si>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</si>
  <si>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</si>
  <si>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</si>
  <si>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</si>
  <si>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</si>
  <si>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</si>
  <si>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</si>
  <si>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</si>
  <si>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</si>
  <si>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</si>
  <si>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</si>
  <si>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</si>
  <si>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</si>
  <si>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</si>
  <si>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</si>
  <si>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</si>
  <si>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</si>
  <si>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</si>
  <si>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</si>
  <si>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</si>
  <si>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</si>
  <si>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</si>
  <si>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</si>
  <si>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</si>
  <si>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</si>
  <si>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</si>
  <si>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</si>
  <si>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</si>
  <si>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</si>
  <si>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</si>
  <si>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</si>
  <si>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</si>
  <si>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</si>
  <si>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</si>
  <si>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</si>
  <si>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</si>
  <si>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</si>
  <si>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</si>
  <si>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</si>
  <si>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</si>
  <si>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</si>
  <si>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</si>
  <si>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</si>
  <si>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</si>
  <si>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</si>
  <si>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</si>
  <si>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</si>
  <si>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</si>
  <si>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</si>
  <si>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</si>
  <si>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</si>
  <si>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</si>
  <si>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</si>
  <si>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</si>
  <si>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</si>
  <si>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</si>
  <si>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</si>
  <si>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</si>
  <si>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</si>
  <si>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</si>
  <si>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</si>
  <si>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519.5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</si>
  <si>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</si>
  <si>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</si>
  <si>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</si>
  <si>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</si>
  <si>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</si>
  <si>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</si>
  <si>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</si>
  <si>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</si>
  <si>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</si>
  <si>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</si>
  <si>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</si>
  <si>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</si>
  <si>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</si>
  <si>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</si>
  <si>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</si>
  <si>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</si>
  <si>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</si>
  <si>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</si>
  <si>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</si>
  <si>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</si>
  <si>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已交付＋已公開在建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</si>
  <si>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</si>
  <si>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</si>
  <si>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r>
      <rPr>
        <sz val="10"/>
        <rFont val="Noto Sans CJK SC"/>
        <family val="2"/>
      </rPr>
      <t xml:space="preserve">建設延誤月數｜積極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</t>
    </r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</si>
  <si>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</si>
  <si>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</si>
  <si>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</si>
  <si>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</si>
  <si>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</si>
  <si>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</si>
  <si>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</si>
  <si>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</si>
  <si>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</si>
  <si>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</si>
  <si>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</si>
  <si>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</si>
  <si>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</si>
  <si>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</si>
  <si>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</si>
  <si>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</si>
  <si>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</si>
  <si>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</si>
  <si>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</si>
  <si>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</si>
  <si>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</si>
  <si>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</si>
  <si>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</si>
  <si>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</si>
  <si>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</si>
  <si>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</si>
  <si>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</si>
  <si>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</si>
  <si>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</si>
  <si>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</si>
  <si>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</si>
  <si>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</si>
  <si>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</si>
  <si>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</si>
  <si>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</si>
  <si>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</si>
  <si>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</si>
  <si>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</si>
  <si>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Mesa, AZ</t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</si>
  <si>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自建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</si>
  <si>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</si>
  <si>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</si>
  <si>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資料中心目錄：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183 MW</t>
    </r>
    <r>
      <rPr>
        <sz val="9"/>
        <color rgb="FF595959"/>
        <rFont val="Noto Sans CJK SC"/>
        <family val="2"/>
      </rPr>
      <t xml:space="preserve">（估計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Noto Sans CJK SC"/>
        <family val="2"/>
      </rPr>
      <t xml:space="preserve">營運；事實總帳 </t>
    </r>
    <r>
      <rPr>
        <sz val="9"/>
        <color rgb="FF595959"/>
        <rFont val="Arial"/>
        <family val="0"/>
        <charset val="1"/>
      </rPr>
      <t xml:space="preserve">mw.site.mesa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</si>
  <si>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</si>
  <si>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</si>
  <si>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</si>
  <si>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</si>
  <si>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</si>
  <si>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</si>
  <si>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</si>
  <si>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</si>
  <si>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</si>
  <si>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</si>
  <si>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</si>
  <si>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</si>
  <si>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</si>
  <si>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</si>
  <si>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</si>
  <si>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</si>
  <si>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</si>
  <si>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</si>
  <si>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</si>
  <si>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</si>
  <si>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</si>
  <si>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</si>
  <si>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</si>
  <si>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</si>
  <si>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</si>
  <si>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</si>
  <si>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</si>
  <si>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</si>
  <si>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</si>
  <si>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</si>
  <si>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</si>
  <si>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</si>
  <si>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</si>
  <si>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</si>
  <si>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</si>
  <si>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2.0B</t>
    </r>
    <r>
      <rPr>
        <sz val="10"/>
        <rFont val="Noto Sans CJK SC"/>
        <family val="2"/>
      </rPr>
      <t xml:space="preserve">）</t>
    </r>
  </si>
  <si>
    <t xml:space="preserve">無擔保</t>
  </si>
  <si>
    <t xml:space="preserve">2026-08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</si>
  <si>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2.00%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2.23%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</si>
  <si>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9.0B</t>
    </r>
    <r>
      <rPr>
        <sz val="10"/>
        <rFont val="Noto Sans CJK SC"/>
        <family val="2"/>
      </rPr>
      <t xml:space="preserve">）</t>
    </r>
  </si>
  <si>
    <t xml:space="preserve">2040-08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</si>
  <si>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0.93%–2.33%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Noto Sans CJK SC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</si>
  <si>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22.5B</t>
    </r>
    <r>
      <rPr>
        <sz val="10"/>
        <rFont val="Noto Sans CJK SC"/>
        <family val="2"/>
      </rPr>
      <t xml:space="preserve">；含浮動 </t>
    </r>
    <r>
      <rPr>
        <sz val="10"/>
        <rFont val="Arial"/>
        <family val="0"/>
        <charset val="1"/>
      </rPr>
      <t xml:space="preserve">0.5B</t>
    </r>
    <r>
      <rPr>
        <sz val="10"/>
        <rFont val="Noto Sans CJK SC"/>
        <family val="2"/>
      </rPr>
      <t xml:space="preserve">）</t>
    </r>
  </si>
  <si>
    <t xml:space="preserve">2045-05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</si>
  <si>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22,500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4.00%–5.79%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2028–2075</t>
    </r>
    <r>
      <rPr>
        <sz val="9"/>
        <color rgb="FF595959"/>
        <rFont val="Noto Sans CJK SC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</si>
  <si>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歐元票據</t>
    </r>
  </si>
  <si>
    <t xml:space="preserve">2042-11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</si>
  <si>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15,074</t>
    </r>
    <r>
      <rPr>
        <sz val="9"/>
        <color rgb="FF595959"/>
        <rFont val="Noto Sans CJK SC"/>
        <family val="2"/>
      </rPr>
      <t xml:space="preserve">（含匯率）、有效利率 </t>
    </r>
    <r>
      <rPr>
        <sz val="9"/>
        <color rgb="FF595959"/>
        <rFont val="Arial"/>
        <family val="0"/>
        <charset val="1"/>
      </rPr>
      <t xml:space="preserve">2.57%–4.51%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 [Assumed </t>
    </r>
    <r>
      <rPr>
        <sz val="9"/>
        <color rgb="FF595959"/>
        <rFont val="Noto Sans CJK SC"/>
        <family val="2"/>
      </rPr>
      <t xml:space="preserve">到期日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</si>
  <si>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20.0B</t>
    </r>
    <r>
      <rPr>
        <sz val="10"/>
        <rFont val="Noto Sans CJK SC"/>
        <family val="2"/>
      </rPr>
      <t xml:space="preserve">）</t>
    </r>
  </si>
  <si>
    <t xml:space="preserve">2041-02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</si>
  <si>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20,000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4.80%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Noto Sans CJK SC"/>
        <family val="2"/>
      </rPr>
      <t xml:space="preserve">發行）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</si>
  <si>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英鎊票據（</t>
    </r>
    <r>
      <rPr>
        <sz val="10"/>
        <rFont val="Arial"/>
        <family val="0"/>
        <charset val="1"/>
      </rPr>
      <t xml:space="preserve">£5.5B</t>
    </r>
    <r>
      <rPr>
        <sz val="10"/>
        <rFont val="Noto Sans CJK SC"/>
        <family val="2"/>
      </rPr>
      <t xml:space="preserve">）</t>
    </r>
  </si>
  <si>
    <t xml:space="preserve">2057-02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</si>
  <si>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7,263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5.31%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</si>
  <si>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瑞士法郎票據（</t>
    </r>
    <r>
      <rPr>
        <sz val="10"/>
        <rFont val="Arial"/>
        <family val="0"/>
        <charset val="1"/>
      </rPr>
      <t xml:space="preserve">CHF3.1B</t>
    </r>
    <r>
      <rPr>
        <sz val="10"/>
        <rFont val="Noto Sans CJK SC"/>
        <family val="2"/>
      </rPr>
      <t xml:space="preserve">）</t>
    </r>
  </si>
  <si>
    <t xml:space="preserve">2036-02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</si>
  <si>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3,772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1.06%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</si>
  <si>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歐元票據（€</t>
    </r>
    <r>
      <rPr>
        <sz val="10"/>
        <rFont val="Arial"/>
        <family val="0"/>
        <charset val="1"/>
      </rPr>
      <t xml:space="preserve">9.0B</t>
    </r>
    <r>
      <rPr>
        <sz val="10"/>
        <rFont val="Noto Sans CJK SC"/>
        <family val="2"/>
      </rPr>
      <t xml:space="preserve">）</t>
    </r>
  </si>
  <si>
    <t xml:space="preserve">2039-05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</si>
  <si>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10,239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3.90%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</si>
  <si>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加幣票據（</t>
    </r>
    <r>
      <rPr>
        <sz val="10"/>
        <rFont val="Arial"/>
        <family val="0"/>
        <charset val="1"/>
      </rPr>
      <t xml:space="preserve">C$8.5B</t>
    </r>
    <r>
      <rPr>
        <sz val="10"/>
        <rFont val="Noto Sans CJK SC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</si>
  <si>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</si>
  <si>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5,985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4.35%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</si>
  <si>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日圓票據（</t>
    </r>
    <r>
      <rPr>
        <sz val="10"/>
        <rFont val="Arial"/>
        <family val="0"/>
        <charset val="1"/>
      </rPr>
      <t xml:space="preserve">¥576.5B</t>
    </r>
    <r>
      <rPr>
        <sz val="10"/>
        <rFont val="Noto Sans CJK SC"/>
        <family val="2"/>
      </rPr>
      <t xml:space="preserve">）</t>
    </r>
  </si>
  <si>
    <t xml:space="preserve">2034-05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</si>
  <si>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3,566</t>
    </r>
    <r>
      <rPr>
        <sz val="9"/>
        <color rgb="FF595959"/>
        <rFont val="Noto Sans CJK SC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2.65%</t>
    </r>
    <r>
      <rPr>
        <sz val="9"/>
        <color rgb="FF595959"/>
        <rFont val="Noto Sans CJK SC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</si>
  <si>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其他長期債（含信用額度動用 </t>
    </r>
    <r>
      <rPr>
        <sz val="10"/>
        <rFont val="Arial"/>
        <family val="0"/>
        <charset val="1"/>
      </rPr>
      <t xml:space="preserve">1.3B</t>
    </r>
    <r>
      <rPr>
        <sz val="10"/>
        <rFont val="Noto Sans CJK SC"/>
        <family val="2"/>
      </rPr>
      <t xml:space="preserve">）</t>
    </r>
  </si>
  <si>
    <t xml:space="preserve">2030-04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</si>
  <si>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：其他長期債 </t>
    </r>
    <r>
      <rPr>
        <sz val="9"/>
        <color rgb="FF595959"/>
        <rFont val="Arial"/>
        <family val="0"/>
        <charset val="1"/>
      </rPr>
      <t xml:space="preserve">1,686</t>
    </r>
    <r>
      <rPr>
        <sz val="9"/>
        <color rgb="FF595959"/>
        <rFont val="Noto Sans CJK SC"/>
        <family val="2"/>
      </rPr>
      <t xml:space="preserve">；信用額度動用 </t>
    </r>
    <r>
      <rPr>
        <sz val="9"/>
        <color rgb="FF595959"/>
        <rFont val="Arial"/>
        <family val="0"/>
        <charset val="1"/>
      </rPr>
      <t xml:space="preserve">1,300 </t>
    </r>
    <r>
      <rPr>
        <sz val="9"/>
        <color rgb="FF595959"/>
        <rFont val="Noto Sans CJK SC"/>
        <family val="2"/>
      </rPr>
      <t xml:space="preserve">利率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1.5%–2.25%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5.9%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）、至 </t>
    </r>
    <r>
      <rPr>
        <sz val="9"/>
        <color rgb="FF595959"/>
        <rFont val="Arial"/>
        <family val="0"/>
        <charset val="1"/>
      </rPr>
      <t xml:space="preserve">2030-04 </t>
    </r>
    <r>
      <rPr>
        <sz val="9"/>
        <color rgb="FF595959"/>
        <rFont val="Noto Sans CJK SC"/>
        <family val="2"/>
      </rPr>
      <t xml:space="preserve">到期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</si>
  <si>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</si>
  <si>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101.085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</si>
  <si>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</si>
  <si>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</si>
  <si>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</si>
  <si>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</si>
  <si>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</si>
  <si>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</si>
  <si>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</si>
  <si>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</si>
  <si>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</si>
  <si>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</si>
  <si>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</si>
  <si>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</si>
  <si>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6.25% </t>
    </r>
    <r>
      <rPr>
        <sz val="10"/>
        <rFont val="Noto Sans CJK SC"/>
        <family val="2"/>
      </rPr>
      <t xml:space="preserve">強制轉換特別股（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系列，</t>
    </r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</rPr>
      <t xml:space="preserve">）</t>
    </r>
  </si>
  <si>
    <t xml:space="preserve">2029-05</t>
  </si>
  <si>
    <r>
      <rPr>
        <sz val="9"/>
        <color rgb="FF595959"/>
        <rFont val="Noto Sans CJK SC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$19.25B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19.25M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$1,000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385M </t>
    </r>
    <r>
      <rPr>
        <sz val="9"/>
        <color rgb="FF595959"/>
        <rFont val="Noto Sans CJK SC"/>
        <family val="2"/>
      </rPr>
      <t xml:space="preserve">存託股）；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Noto Sans CJK SC"/>
        <family val="2"/>
      </rPr>
      <t xml:space="preserve">強制轉換：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系列每股轉 </t>
    </r>
    <r>
      <rPr>
        <sz val="9"/>
        <color rgb="FF595959"/>
        <rFont val="Arial"/>
        <family val="0"/>
        <charset val="1"/>
      </rPr>
      <t xml:space="preserve">2.2520–2.8160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股、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系列 </t>
    </r>
    <r>
      <rPr>
        <sz val="9"/>
        <color rgb="FF595959"/>
        <rFont val="Arial"/>
        <family val="0"/>
        <charset val="1"/>
      </rPr>
      <t xml:space="preserve">2.2740–2.8420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股 → </t>
    </r>
    <r>
      <rPr>
        <sz val="9"/>
        <color rgb="FF595959"/>
        <rFont val="Arial"/>
        <family val="0"/>
        <charset val="1"/>
      </rPr>
      <t xml:space="preserve">43.6–54.6M </t>
    </r>
    <r>
      <rPr>
        <sz val="9"/>
        <color rgb="FF595959"/>
        <rFont val="Noto Sans CJK SC"/>
        <family val="2"/>
      </rPr>
      <t xml:space="preserve">股，一律轉股，取稀釋最大 </t>
    </r>
    <r>
      <rPr>
        <sz val="9"/>
        <color rgb="FF595959"/>
        <rFont val="Arial"/>
        <family val="0"/>
        <charset val="1"/>
      </rPr>
      <t xml:space="preserve">54.6M </t>
    </r>
    <r>
      <rPr>
        <sz val="9"/>
        <color rgb="FF595959"/>
        <rFont val="Noto Sans CJK SC"/>
        <family val="2"/>
      </rPr>
      <t xml:space="preserve">股（轉換價下限約 </t>
    </r>
    <r>
      <rPr>
        <sz val="9"/>
        <color rgb="FF595959"/>
        <rFont val="Arial"/>
        <family val="0"/>
        <charset val="1"/>
      </rPr>
      <t xml:space="preserve">$352.56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8-K 2026-06-05 [Interested-party]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6.25% </t>
    </r>
    <r>
      <rPr>
        <sz val="9"/>
        <color rgb="FF595959"/>
        <rFont val="Noto Sans CJK SC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Noto Sans CJK SC"/>
        <family val="2"/>
      </rPr>
      <t xml:space="preserve">；權益，不列債務本金；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532.67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527.80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）未建模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</si>
  <si>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</si>
  <si>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</si>
  <si>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</si>
  <si>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</si>
  <si>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</si>
  <si>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</si>
  <si>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</si>
  <si>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</si>
  <si>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</si>
  <si>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</si>
  <si>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</si>
  <si>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</si>
  <si>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</si>
  <si>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</si>
  <si>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</si>
  <si>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</si>
  <si>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</si>
  <si>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</si>
  <si>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</si>
  <si>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</si>
  <si>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</si>
  <si>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</si>
  <si>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</si>
  <si>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</si>
  <si>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</si>
  <si>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</si>
  <si>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</si>
  <si>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</si>
  <si>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</si>
  <si>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</si>
  <si>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</si>
  <si>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</si>
  <si>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</si>
  <si>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</si>
  <si>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</si>
  <si>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</si>
  <si>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</si>
  <si>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</si>
  <si>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</si>
  <si>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</si>
  <si>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</si>
  <si>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</si>
  <si>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</si>
  <si>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</si>
  <si>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</si>
  <si>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</si>
  <si>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</si>
  <si>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</si>
  <si>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</si>
  <si>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</si>
  <si>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</si>
  <si>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</si>
  <si>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</si>
  <si>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</si>
  <si>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</si>
  <si>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</si>
  <si>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</si>
  <si>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</si>
  <si>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</si>
  <si>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</si>
  <si>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</si>
  <si>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</si>
  <si>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</si>
  <si>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</si>
  <si>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</si>
  <si>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</si>
  <si>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</si>
  <si>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</si>
  <si>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</si>
  <si>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</si>
  <si>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</si>
  <si>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</si>
  <si>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</si>
  <si>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</si>
  <si>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</si>
  <si>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</si>
  <si>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</si>
  <si>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</si>
  <si>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</si>
  <si>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</si>
  <si>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</si>
  <si>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</si>
  <si>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</si>
  <si>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</si>
  <si>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</si>
  <si>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</si>
  <si>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18.037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2.59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</si>
  <si>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</si>
  <si>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</si>
  <si>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</si>
  <si>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</si>
  <si>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</si>
  <si>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</si>
  <si>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</si>
  <si>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</si>
  <si>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</si>
  <si>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</si>
  <si>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</si>
  <si>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</si>
  <si>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</si>
  <si>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Noto Sans CJK SC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Noto Sans CJK SC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Noto Sans CJK SC"/>
        <family val="2"/>
      </rPr>
      <t xml:space="preserve">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</si>
  <si>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</si>
  <si>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</si>
  <si>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</si>
  <si>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</si>
  <si>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</si>
  <si>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</si>
  <si>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</si>
  <si>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</si>
  <si>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</si>
  <si>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</si>
  <si>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</si>
  <si>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</si>
  <si>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</si>
  <si>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</si>
  <si>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</si>
  <si>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</si>
  <si>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</si>
  <si>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</si>
  <si>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</si>
  <si>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</si>
  <si>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</si>
  <si>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</si>
  <si>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</si>
  <si>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</si>
  <si>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</si>
  <si>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</si>
  <si>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</si>
  <si>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</si>
  <si>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</si>
  <si>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</si>
  <si>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</si>
  <si>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</si>
  <si>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</si>
  <si>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</si>
  <si>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</si>
  <si>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</si>
  <si>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</si>
  <si>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</si>
  <si>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</si>
  <si>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</si>
  <si>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</si>
  <si>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</si>
  <si>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</si>
  <si>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</si>
  <si>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</si>
  <si>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</si>
  <si>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</si>
  <si>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</si>
  <si>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13.586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</si>
  <si>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</si>
  <si>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</si>
  <si>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</si>
  <si>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</si>
  <si>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</si>
  <si>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</si>
  <si>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14.22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</si>
  <si>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</si>
  <si>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</si>
  <si>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</si>
  <si>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</si>
  <si>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</si>
  <si>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</si>
  <si>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80.598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</si>
  <si>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</si>
  <si>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</si>
  <si>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</si>
  <si>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</si>
  <si>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</si>
  <si>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</si>
  <si>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</si>
  <si>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</si>
  <si>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</si>
  <si>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</si>
  <si>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</si>
  <si>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</si>
  <si>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</si>
  <si>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</si>
  <si>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</si>
  <si>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</si>
  <si>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</si>
  <si>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</si>
  <si>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</si>
  <si>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</si>
  <si>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</si>
  <si>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</si>
  <si>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</si>
  <si>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</si>
  <si>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</si>
  <si>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</si>
  <si>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</si>
  <si>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</si>
  <si>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</si>
  <si>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</si>
  <si>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</si>
  <si>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</si>
  <si>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</si>
  <si>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</si>
  <si>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</si>
  <si>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</si>
  <si>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</si>
  <si>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</si>
  <si>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</si>
  <si>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</si>
  <si>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</si>
  <si>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</si>
  <si>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</si>
  <si>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</si>
  <si>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</si>
  <si>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</si>
  <si>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</si>
  <si>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</si>
  <si>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</si>
  <si>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</si>
  <si>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</si>
  <si>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</si>
  <si>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</si>
  <si>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</si>
  <si>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</si>
  <si>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</si>
  <si>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</si>
  <si>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</si>
  <si>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</si>
  <si>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</si>
  <si>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</si>
  <si>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</si>
  <si>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</si>
  <si>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</si>
  <si>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</si>
  <si>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</si>
  <si>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</si>
  <si>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</si>
  <si>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</si>
  <si>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</si>
  <si>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</si>
  <si>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</si>
  <si>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</si>
  <si>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</si>
  <si>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</si>
  <si>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</si>
  <si>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</si>
  <si>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</si>
  <si>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</si>
  <si>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</si>
  <si>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</si>
  <si>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</si>
  <si>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</si>
  <si>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</si>
  <si>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</si>
  <si>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</si>
  <si>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</si>
  <si>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</si>
  <si>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</si>
  <si>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</si>
  <si>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</si>
  <si>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</si>
  <si>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</si>
  <si>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</si>
  <si>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</si>
  <si>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</si>
  <si>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</si>
  <si>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</si>
  <si>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</si>
  <si>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</si>
  <si>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</si>
  <si>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</si>
  <si>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</si>
  <si>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</si>
  <si>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</si>
  <si>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</si>
  <si>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</si>
  <si>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</si>
  <si>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</si>
  <si>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</si>
  <si>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</si>
  <si>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</si>
  <si>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</si>
  <si>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</si>
  <si>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</si>
  <si>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</si>
  <si>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</si>
  <si>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</si>
  <si>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</si>
  <si>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</si>
  <si>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</si>
  <si>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</si>
  <si>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</si>
  <si>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</si>
  <si>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</si>
  <si>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</si>
  <si>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</si>
  <si>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</si>
  <si>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</si>
  <si>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已交付＋已公開在建（加權目標價／評等代碼／距賣出門檻）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</si>
  <si>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</si>
  <si>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</si>
  <si>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r>
      <rPr>
        <sz val="10"/>
        <rFont val="Noto Sans CJK SC"/>
        <family val="2"/>
      </rPr>
      <t xml:space="preserve">目標價區間｜積極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</si>
  <si>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</si>
  <si>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</si>
  <si>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</si>
  <si>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</si>
  <si>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</si>
  <si>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</si>
  <si>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已交付＋已公開在建（加權目標價／讀法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</si>
  <si>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</si>
  <si>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</si>
  <si>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</si>
  <si>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</si>
  <si>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</si>
  <si>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</si>
  <si>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</si>
  <si>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</si>
  <si>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</si>
  <si>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</si>
  <si>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14.68×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</si>
  <si>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</si>
  <si>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</si>
  <si>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</si>
  <si>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已交付＋已公開在建（價格軸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</si>
  <si>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</si>
  <si>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</si>
  <si>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擴張幅度（價格軸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</si>
  <si>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</si>
  <si>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</si>
  <si>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</si>
  <si>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</si>
  <si>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</si>
  <si>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</si>
  <si>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</si>
  <si>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</si>
  <si>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</si>
  <si>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</si>
  <si>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</si>
  <si>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</si>
  <si>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</si>
  <si>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</si>
  <si>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</si>
  <si>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</si>
  <si>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</si>
  <si>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</si>
  <si>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</si>
  <si>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</si>
  <si>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</si>
  <si>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</si>
  <si>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</si>
  <si>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</si>
  <si>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</si>
  <si>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</si>
  <si>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</si>
  <si>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</si>
  <si>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</si>
  <si>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</si>
  <si>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</si>
  <si>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</si>
  <si>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</si>
  <si>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</si>
  <si>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</si>
  <si>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</si>
  <si>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</si>
  <si>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</si>
  <si>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Anthropic–Google Cloud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10.0–15.3 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</si>
  <si>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</si>
  <si>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</t>
    </r>
    <r>
      <rPr>
        <sz val="9"/>
        <color rgb="FF595959"/>
        <rFont val="Noto Sans CJK SC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$43.0m → 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$48.4m/MW-IT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；新增世代由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轉向下一代／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</si>
  <si>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</si>
  <si>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</si>
  <si>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</si>
  <si>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</si>
  <si>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</si>
  <si>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</si>
  <si>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</si>
  <si>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$38.7m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</si>
  <si>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$43.5m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</si>
  <si>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$48.4m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</si>
  <si>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$53.2m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</si>
  <si>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</si>
  <si>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</si>
  <si>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</si>
  <si>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</si>
  <si>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</si>
  <si>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</si>
  <si>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</si>
  <si>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</si>
  <si>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</si>
  <si>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</si>
  <si>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</si>
  <si>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</si>
  <si>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</si>
  <si>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</si>
  <si>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</si>
  <si>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</si>
  <si>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</si>
  <si>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</si>
  <si>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</si>
  <si>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</si>
  <si>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</si>
  <si>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</si>
  <si>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</si>
  <si>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</si>
  <si>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</si>
  <si>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</si>
  <si>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</si>
  <si>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</si>
  <si>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</si>
  <si>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GOOGL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</si>
  <si>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</si>
  <si>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18.037</t>
    </r>
  </si>
  <si>
    <r>
      <rPr>
        <sz val="10"/>
        <rFont val="Arial"/>
        <family val="0"/>
        <charset val="1"/>
      </rPr>
      <t xml:space="preserve">GOOGL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</si>
  <si>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</si>
  <si>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為整體公司（搜尋＋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</si>
  <si>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85.2B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</si>
  <si>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</si>
  <si>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</si>
  <si>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</si>
  <si>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</si>
  <si>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</si>
  <si>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</si>
  <si>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</si>
  <si>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</si>
  <si>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</si>
  <si>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</si>
  <si>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</si>
  <si>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</si>
  <si>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</si>
  <si>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</si>
  <si>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</si>
  <si>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</si>
  <si>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</si>
  <si>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</si>
  <si>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</si>
  <si>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</si>
  <si>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</si>
  <si>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</si>
  <si>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</si>
  <si>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</si>
  <si>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</si>
  <si>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</si>
  <si>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</si>
  <si>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</si>
  <si>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</si>
  <si>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</si>
  <si>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</si>
  <si>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</si>
  <si>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</si>
  <si>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</si>
  <si>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</si>
  <si>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</si>
  <si>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</si>
  <si>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</si>
  <si>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</si>
  <si>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</si>
  <si>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</si>
  <si>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</si>
  <si>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</si>
  <si>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</si>
  <si>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</si>
  <si>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</si>
  <si>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</si>
  <si>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</si>
  <si>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</si>
  <si>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</si>
  <si>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</si>
  <si>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</si>
  <si>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</si>
  <si>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</si>
  <si>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</si>
  <si>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</si>
  <si>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</si>
  <si>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</si>
  <si>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</si>
  <si>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</si>
  <si>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</si>
  <si>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</si>
  <si>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</si>
  <si>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</si>
  <si>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</si>
  <si>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</si>
  <si>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</si>
  <si>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</si>
  <si>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</si>
  <si>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</si>
  <si>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</si>
  <si>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</si>
  <si>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</si>
  <si>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</si>
  <si>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</si>
  <si>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</si>
  <si>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72.5%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</si>
  <si>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</si>
  <si>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</si>
  <si>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</si>
  <si>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</si>
  <si>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</si>
  <si>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</si>
  <si>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195–205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</si>
  <si>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</si>
  <si>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</si>
  <si>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</si>
  <si>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</si>
  <si>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</si>
  <si>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</si>
  <si>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</si>
  <si>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</si>
  <si>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Noto Sans CJK SC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</si>
  <si>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</si>
  <si>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</si>
  <si>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</si>
  <si>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Google Cloud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Noto Sans CJK SC"/>
        <family val="2"/>
      </rPr>
      <t xml:space="preserve">）（殘差）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</si>
  <si>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</si>
  <si>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</si>
  <si>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</si>
  <si>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</si>
  <si>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</si>
  <si>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</si>
  <si>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</si>
  <si>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</si>
  <si>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</si>
  <si>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</si>
  <si>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</si>
  <si>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</si>
  <si>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</si>
  <si>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</si>
  <si>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</si>
  <si>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≥1.8</t>
  </si>
  <si>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</si>
  <si>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</si>
  <si>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</si>
  <si>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</si>
  <si>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</si>
  <si>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</si>
  <si>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</si>
  <si>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</si>
  <si>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</si>
  <si>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</si>
  <si>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</si>
  <si>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</si>
  <si>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</si>
  <si>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</si>
  <si>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</si>
  <si>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</si>
  <si>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</si>
  <si>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101.085 − </t>
    </r>
    <r>
      <rPr>
        <sz val="10"/>
        <rFont val="Noto Sans CJK SC"/>
        <family val="2"/>
      </rPr>
      <t xml:space="preserve">以股換債 ＋ 期後新發</t>
    </r>
  </si>
  <si>
    <t xml:space="preserve">101.085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</si>
  <si>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</si>
  <si>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</si>
  <si>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</si>
  <si>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</si>
  <si>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</si>
  <si>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</si>
  <si>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</si>
  <si>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</si>
  <si>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</si>
  <si>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</si>
  <si>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</si>
  <si>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</si>
  <si>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519.5 × 59%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</si>
  <si>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</si>
  <si>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</si>
  <si>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</si>
  <si>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</si>
  <si>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</si>
  <si>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Google Cloud</t>
    </r>
    <r>
      <rPr>
        <sz val="10"/>
        <rFont val="Noto Sans CJK SC"/>
        <family val="2"/>
      </rPr>
      <t xml:space="preserve">，≥</t>
    </r>
    <r>
      <rPr>
        <sz val="10"/>
        <rFont val="Arial"/>
        <family val="0"/>
        <charset val="1"/>
      </rPr>
      <t xml:space="preserve">$111.1B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2026-04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2033-07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</si>
  <si>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招股書草稿（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轉述，二手；事實總帳 </t>
    </r>
    <r>
      <rPr>
        <sz val="9"/>
        <color rgb="FF595959"/>
        <rFont val="Arial"/>
        <family val="0"/>
        <charset val="1"/>
      </rPr>
      <t xml:space="preserve">rp.anthropic.cloudCommit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7.33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；另 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200B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年）歸屬不明，不列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</si>
  <si>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</si>
  <si>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</si>
  <si>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</si>
  <si>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111.1B ÷ RPO 519.5B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21.4%</t>
    </r>
    <r>
      <rPr>
        <sz val="9"/>
        <color rgb="FF595959"/>
        <rFont val="Noto Sans CJK SC"/>
        <family val="2"/>
      </rPr>
      <t xml:space="preserve">（下限；一手比例不存在；事實總帳 </t>
    </r>
    <r>
      <rPr>
        <sz val="9"/>
        <color rgb="FF595959"/>
        <rFont val="Arial"/>
        <family val="0"/>
        <charset val="1"/>
      </rPr>
      <t xml:space="preserve">rp.anthropic.rpoShare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Noto Sans CJK SC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513.9 </t>
    </r>
    <r>
      <rPr>
        <sz val="9"/>
        <color rgb="FF595959"/>
        <rFont val="Noto Sans CJK SC"/>
        <family val="2"/>
      </rPr>
      <t xml:space="preserve">計 </t>
    </r>
    <r>
      <rPr>
        <sz val="9"/>
        <color rgb="FF595959"/>
        <rFont val="Arial"/>
        <family val="0"/>
        <charset val="1"/>
      </rPr>
      <t xml:space="preserve">21.6%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</si>
  <si>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Google Cloud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</si>
  <si>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K32</t>
    </r>
    <r>
      <rPr>
        <sz val="9"/>
        <color rgb="FF595959"/>
        <rFont val="Noto Sans CJK SC"/>
        <family val="2"/>
      </rPr>
      <t xml:space="preserve">；只讀，不連動）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</si>
  <si>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Broadcom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Broadcom </t>
    </r>
    <r>
      <rPr>
        <sz val="10"/>
        <rFont val="Noto Sans CJK SC"/>
        <family val="2"/>
      </rPr>
      <t xml:space="preserve">硬體）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</si>
  <si>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K33</t>
    </r>
    <r>
      <rPr>
        <sz val="9"/>
        <color rgb="FF595959"/>
        <rFont val="Noto Sans CJK SC"/>
        <family val="2"/>
      </rPr>
      <t xml:space="preserve">；歸屬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比例未知；只讀）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</si>
  <si>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</si>
  <si>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</si>
  <si>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</si>
  <si>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</si>
  <si>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</si>
  <si>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</si>
  <si>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</si>
  <si>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</si>
  <si>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</si>
  <si>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</si>
  <si>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</si>
  <si>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</si>
  <si>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</si>
  <si>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</si>
  <si>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</si>
  <si>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</si>
  <si>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</si>
  <si>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</si>
  <si>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</t>
  </si>
  <si>
    <t xml:space="preserve">10-11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</si>
  <si>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Noto Sans CJK SC"/>
        <family val="2"/>
      </rPr>
      <t xml:space="preserve">）：快照改 </t>
    </r>
    <r>
      <rPr>
        <sz val="10"/>
        <rFont val="Arial"/>
        <family val="0"/>
        <charset val="1"/>
      </rPr>
      <t xml:space="preserve">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維護兩段機齡約 −</t>
    </r>
    <r>
      <rPr>
        <sz val="10"/>
        <rFont val="Arial"/>
        <family val="0"/>
        <charset val="1"/>
      </rPr>
      <t xml:space="preserve">50% → IF_HoldEcon GB300 −14%</t>
    </r>
    <r>
      <rPr>
        <sz val="10"/>
        <rFont val="Noto Sans CJK SC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），名稱加四層瀑布 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；上限檢查改四層瀑布（利用率層示警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、生產折減層硬上限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基準速度重解 </t>
    </r>
    <r>
      <rPr>
        <sz val="10"/>
        <rFont val="Arial"/>
        <family val="0"/>
        <charset val="1"/>
      </rPr>
      <t xml:space="preserve">1,069.4 → 1,246.1 MW-IT</t>
    </r>
    <r>
      <rPr>
        <sz val="10"/>
        <rFont val="Noto Sans CJK SC"/>
        <family val="2"/>
      </rPr>
      <t xml:space="preserve">／年（積極＝</t>
    </r>
    <r>
      <rPr>
        <sz val="10"/>
        <rFont val="Arial"/>
        <family val="0"/>
        <charset val="1"/>
      </rPr>
      <t xml:space="preserve">1.5 × </t>
    </r>
    <r>
      <rPr>
        <sz val="10"/>
        <rFont val="Noto Sans CJK SC"/>
        <family val="2"/>
      </rPr>
      <t xml:space="preserve">基準）；引擎同步 </t>
    </r>
    <r>
      <rPr>
        <sz val="10"/>
        <rFont val="Arial"/>
        <family val="0"/>
        <charset val="1"/>
      </rPr>
      <t xml:space="preserve">amazon v0.2</t>
    </r>
  </si>
  <si>
    <t xml:space="preserve">$145.9</t>
  </si>
  <si>
    <r>
      <rPr>
        <sz val="10"/>
        <rFont val="Arial"/>
        <family val="0"/>
        <charset val="1"/>
      </rPr>
      <t xml:space="preserve">−$4.68</t>
    </r>
    <r>
      <rPr>
        <sz val="10"/>
        <rFont val="Noto Sans CJK SC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收入錨 </t>
    </r>
    <r>
      <rPr>
        <sz val="10"/>
        <rFont val="Arial"/>
        <family val="0"/>
        <charset val="1"/>
      </rPr>
      <t xml:space="preserve">IF_HoldEcon +0.88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 </t>
    </r>
    <r>
      <rPr>
        <sz val="10"/>
        <rFont val="Arial"/>
        <family val="0"/>
        <charset val="1"/>
      </rPr>
      <t xml:space="preserve">+0.57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Noto Sans CJK SC"/>
        <family val="2"/>
      </rPr>
      <t xml:space="preserve">速度重解 −</t>
    </r>
    <r>
      <rPr>
        <sz val="10"/>
        <rFont val="Arial"/>
        <family val="0"/>
        <charset val="1"/>
      </rPr>
      <t xml:space="preserve">5.81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其他（</t>
    </r>
    <r>
      <rPr>
        <sz val="10"/>
        <rFont val="Arial"/>
        <family val="0"/>
        <charset val="1"/>
      </rPr>
      <t xml:space="preserve">Alphabet </t>
    </r>
    <r>
      <rPr>
        <sz val="10"/>
        <rFont val="Noto Sans CJK SC"/>
        <family val="2"/>
      </rPr>
      <t xml:space="preserve">層級費用隨營收重算）−</t>
    </r>
    <r>
      <rPr>
        <sz val="10"/>
        <rFont val="Arial"/>
        <family val="0"/>
        <charset val="1"/>
      </rPr>
      <t xml:space="preserve">0.31</t>
    </r>
    <r>
      <rPr>
        <sz val="10"/>
        <rFont val="Noto Sans CJK SC"/>
        <family val="2"/>
      </rPr>
      <t xml:space="preserve">；保守 </t>
    </r>
    <r>
      <rPr>
        <sz val="10"/>
        <rFont val="Arial"/>
        <family val="0"/>
        <charset val="1"/>
      </rPr>
      <t xml:space="preserve">$174.8 → $175.8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$130.3 → $122.0</t>
    </r>
    <r>
      <rPr>
        <sz val="10"/>
        <rFont val="Noto Sans CJK SC"/>
        <family val="2"/>
      </rPr>
      <t xml:space="preserve">（皆賣出）；讀法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$218.2 → $218.5</t>
    </r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</si>
  <si>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</si>
  <si>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</si>
  <si>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</t>
    </r>
  </si>
  <si>
    <t xml:space="preserve">$150.5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</si>
  <si>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$174.8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$130.3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$218.2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Noto Sans CJK SC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、組合；評等翻轉點）與終值占比規則句、自研晶片係數雙邊敏感度（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收入與資本支出同乘 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Services </t>
    </r>
    <r>
      <rPr>
        <sz val="10"/>
        <rFont val="Noto Sans CJK SC"/>
        <family val="2"/>
      </rPr>
      <t xml:space="preserve">四線與 </t>
    </r>
    <r>
      <rPr>
        <sz val="10"/>
        <rFont val="Arial"/>
        <family val="0"/>
        <charset val="1"/>
      </rPr>
      <t xml:space="preserve">TPU </t>
    </r>
    <r>
      <rPr>
        <sz val="10"/>
        <rFont val="Noto Sans CJK SC"/>
        <family val="2"/>
      </rPr>
      <t xml:space="preserve">銷售起始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率標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、無形資產來源更正（數字不變）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</si>
  <si>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</si>
  <si>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</si>
  <si>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</si>
  <si>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2026-07-23</t>
    </r>
    <r>
      <rPr>
        <sz val="10"/>
        <rFont val="Noto Sans CJK SC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229.7</t>
    </r>
    <r>
      <rPr>
        <sz val="10"/>
        <rFont val="Noto Sans CJK SC"/>
        <family val="2"/>
      </rPr>
      <t xml:space="preserve">（搜尋 </t>
    </r>
    <r>
      <rPr>
        <sz val="10"/>
        <rFont val="Arial"/>
        <family val="0"/>
        <charset val="1"/>
      </rPr>
      <t xml:space="preserve">123.7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YouTube 20.9</t>
    </r>
    <r>
      <rPr>
        <sz val="10"/>
        <rFont val="Noto Sans CJK SC"/>
        <family val="2"/>
      </rPr>
      <t xml:space="preserve">、聯播網 </t>
    </r>
    <r>
      <rPr>
        <sz val="10"/>
        <rFont val="Arial"/>
        <family val="0"/>
        <charset val="1"/>
      </rPr>
      <t xml:space="preserve">14.3</t>
    </r>
    <r>
      <rPr>
        <sz val="10"/>
        <rFont val="Noto Sans CJK SC"/>
        <family val="2"/>
      </rPr>
      <t xml:space="preserve">、訂閱平台裝置 </t>
    </r>
    <r>
      <rPr>
        <sz val="10"/>
        <rFont val="Arial"/>
        <family val="0"/>
        <charset val="1"/>
      </rPr>
      <t xml:space="preserve">25.3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Cloud 44.8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Other Bets 0.8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80.5</t>
    </r>
    <r>
      <rPr>
        <sz val="10"/>
        <rFont val="Noto Sans CJK SC"/>
        <family val="2"/>
      </rPr>
      <t xml:space="preserve">；折舊 </t>
    </r>
    <r>
      <rPr>
        <sz val="10"/>
        <rFont val="Arial"/>
        <family val="0"/>
        <charset val="1"/>
      </rPr>
      <t xml:space="preserve">13.6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14.7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174.8</t>
    </r>
    <r>
      <rPr>
        <sz val="10"/>
        <rFont val="Noto Sans CJK SC"/>
        <family val="2"/>
      </rPr>
      <t xml:space="preserve">（含權益證券利益 </t>
    </r>
    <r>
      <rPr>
        <sz val="10"/>
        <rFont val="Arial"/>
        <family val="0"/>
        <charset val="1"/>
      </rPr>
      <t xml:space="preserve">135.9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</si>
  <si>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55.9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186.6</t>
    </r>
    <r>
      <rPr>
        <sz val="10"/>
        <rFont val="Noto Sans CJK SC"/>
        <family val="2"/>
      </rPr>
      <t xml:space="preserve">（有價權益證券 </t>
    </r>
    <r>
      <rPr>
        <sz val="10"/>
        <rFont val="Arial"/>
        <family val="0"/>
        <charset val="1"/>
      </rPr>
      <t xml:space="preserve">87.1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321.2</t>
    </r>
    <r>
      <rPr>
        <sz val="10"/>
        <rFont val="Noto Sans CJK SC"/>
        <family val="2"/>
      </rPr>
      <t xml:space="preserve">；長期債面額 </t>
    </r>
    <r>
      <rPr>
        <sz val="10"/>
        <rFont val="Arial"/>
        <family val="0"/>
        <charset val="1"/>
      </rPr>
      <t xml:space="preserve">101.1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18.0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2.6</t>
    </r>
    <r>
      <rPr>
        <sz val="10"/>
        <rFont val="Noto Sans CJK SC"/>
        <family val="2"/>
      </rPr>
      <t xml:space="preserve">；尚未起租租賃 </t>
    </r>
    <r>
      <rPr>
        <sz val="10"/>
        <rFont val="Arial"/>
        <family val="0"/>
        <charset val="1"/>
      </rPr>
      <t xml:space="preserve">85.2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640.5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</si>
  <si>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84.9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80.6</t>
    </r>
    <r>
      <rPr>
        <sz val="10"/>
        <rFont val="Noto Sans CJK SC"/>
        <family val="2"/>
      </rPr>
      <t xml:space="preserve">；非上市投資與收購 </t>
    </r>
    <r>
      <rPr>
        <sz val="10"/>
        <rFont val="Arial"/>
        <family val="0"/>
        <charset val="1"/>
      </rPr>
      <t xml:space="preserve">55.4</t>
    </r>
    <r>
      <rPr>
        <sz val="10"/>
        <rFont val="Noto Sans CJK SC"/>
        <family val="2"/>
      </rPr>
      <t xml:space="preserve">；發債 </t>
    </r>
    <r>
      <rPr>
        <sz val="10"/>
        <rFont val="Arial"/>
        <family val="0"/>
        <charset val="1"/>
      </rPr>
      <t xml:space="preserve">56.2</t>
    </r>
    <r>
      <rPr>
        <sz val="10"/>
        <rFont val="Noto Sans CJK SC"/>
        <family val="2"/>
      </rPr>
      <t xml:space="preserve">、償還 </t>
    </r>
    <r>
      <rPr>
        <sz val="10"/>
        <rFont val="Arial"/>
        <family val="0"/>
        <charset val="1"/>
      </rPr>
      <t xml:space="preserve">5.3</t>
    </r>
    <r>
      <rPr>
        <sz val="10"/>
        <rFont val="Noto Sans CJK SC"/>
        <family val="2"/>
      </rPr>
      <t xml:space="preserve">；股權 </t>
    </r>
    <r>
      <rPr>
        <sz val="10"/>
        <rFont val="Arial"/>
        <family val="0"/>
        <charset val="1"/>
      </rPr>
      <t xml:space="preserve">49.6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5.2</t>
    </r>
    <r>
      <rPr>
        <sz val="10"/>
        <rFont val="Noto Sans CJK SC"/>
        <family val="2"/>
      </rPr>
      <t xml:space="preserve">；無買回。</t>
    </r>
  </si>
  <si>
    <r>
      <rPr>
        <sz val="10"/>
        <rFont val="Arial"/>
        <family val="0"/>
        <charset val="1"/>
      </rPr>
      <t xml:space="preserve">RPO 519.5B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Cloud 513.9B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指引：資本支出 </t>
    </r>
    <r>
      <rPr>
        <sz val="10"/>
        <rFont val="Arial"/>
        <family val="0"/>
        <charset val="1"/>
      </rPr>
      <t xml:space="preserve">195–205</t>
    </r>
    <r>
      <rPr>
        <sz val="10"/>
        <rFont val="Noto Sans CJK SC"/>
        <family val="2"/>
      </rPr>
      <t xml:space="preserve">（法說）；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「顯著增加」。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</si>
  <si>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402.8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129.0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132.2</t>
    </r>
    <r>
      <rPr>
        <sz val="10"/>
        <rFont val="Noto Sans CJK SC"/>
        <family val="2"/>
      </rPr>
      <t xml:space="preserve">；折舊 </t>
    </r>
    <r>
      <rPr>
        <sz val="10"/>
        <rFont val="Arial"/>
        <family val="0"/>
        <charset val="1"/>
      </rPr>
      <t xml:space="preserve">21.1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91.4</t>
    </r>
    <r>
      <rPr>
        <sz val="10"/>
        <rFont val="Noto Sans CJK SC"/>
        <family val="2"/>
      </rPr>
      <t xml:space="preserve">；回購 </t>
    </r>
    <r>
      <rPr>
        <sz val="10"/>
        <rFont val="Arial"/>
        <family val="0"/>
        <charset val="1"/>
      </rPr>
      <t xml:space="preserve">45.7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10.0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</si>
  <si>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GOOGL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$350.50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4,286.61bn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12,230.00m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</si>
  <si>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$429.47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$430.00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$340.00–$515.00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61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$425.72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55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</si>
  <si>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</si>
  <si>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</si>
  <si>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</si>
  <si>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20261008_Tokenomics_v5.31.xlsx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f16f161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2026-10-11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</si>
  <si>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</si>
  <si>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</si>
  <si>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</si>
  <si>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</si>
  <si>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</si>
  <si>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</si>
  <si>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</si>
  <si>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</si>
  <si>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</si>
  <si>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</si>
  <si>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</si>
  <si>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</si>
  <si>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</si>
  <si>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</si>
  <si>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</si>
  <si>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v5.31 · f16f161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</si>
  <si>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</si>
  <si>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</si>
  <si>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</si>
  <si>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</si>
  <si>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</si>
  <si>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</si>
  <si>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</si>
  <si>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</si>
  <si>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</si>
  <si>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</si>
  <si>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</si>
  <si>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</si>
  <si>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</si>
  <si>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</si>
  <si>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</si>
  <si>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</si>
  <si>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</si>
  <si>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</si>
  <si>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</si>
  <si>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</si>
  <si>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</si>
  <si>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</si>
  <si>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</si>
  <si>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</si>
  <si>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</si>
  <si>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</si>
  <si>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</si>
  <si>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</si>
  <si>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</si>
  <si>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</si>
  <si>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</si>
  <si>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</si>
  <si>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</si>
  <si>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</si>
  <si>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</si>
  <si>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</si>
  <si>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</si>
  <si>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</si>
  <si>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</si>
  <si>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</si>
  <si>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</si>
  <si>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</si>
  <si>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</si>
  <si>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</si>
  <si>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</si>
  <si>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</si>
  <si>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</si>
  <si>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</si>
  <si>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</si>
  <si>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</si>
  <si>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</si>
  <si>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</si>
  <si>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</si>
  <si>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</si>
  <si>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</si>
  <si>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</si>
  <si>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</si>
  <si>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</si>
  <si>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</si>
  <si>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</si>
  <si>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</si>
  <si>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</si>
  <si>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</si>
  <si>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</si>
  <si>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</si>
  <si>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</si>
  <si>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</si>
  <si>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</si>
  <si>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</si>
  <si>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</si>
  <si>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</si>
  <si>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</si>
  <si>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</si>
  <si>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</si>
  <si>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</si>
  <si>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</si>
  <si>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</si>
  <si>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</si>
  <si>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</si>
  <si>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</si>
  <si>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</si>
  <si>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</si>
  <si>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</si>
  <si>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</si>
  <si>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</si>
  <si>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</si>
  <si>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</si>
  <si>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</si>
  <si>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</si>
  <si>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</si>
  <si>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</si>
  <si>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</si>
  <si>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</si>
  <si>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</si>
  <si>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</si>
  <si>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</si>
  <si>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</si>
  <si>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</si>
  <si>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</si>
  <si>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</si>
  <si>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</si>
  <si>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</si>
  <si>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</si>
  <si>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</si>
  <si>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</si>
  <si>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</si>
  <si>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</si>
  <si>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</si>
  <si>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</si>
  <si>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</si>
  <si>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</si>
  <si>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</si>
  <si>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</si>
  <si>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</si>
  <si>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</si>
  <si>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</si>
  <si>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</si>
  <si>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</si>
  <si>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</si>
  <si>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</si>
  <si>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</si>
  <si>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</si>
  <si>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</si>
  <si>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</si>
  <si>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</si>
  <si>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</si>
  <si>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</si>
  <si>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</si>
  <si>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</si>
  <si>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</si>
  <si>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</si>
  <si>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</si>
  <si>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</si>
  <si>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</si>
  <si>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</si>
  <si>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</si>
  <si>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</si>
  <si>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</si>
  <si>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</si>
  <si>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</si>
  <si>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</si>
  <si>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</si>
  <si>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</si>
  <si>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</si>
  <si>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</si>
  <si>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</si>
  <si>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</si>
  <si>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</si>
  <si>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</si>
  <si>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</si>
  <si>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</si>
  <si>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</si>
  <si>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</si>
  <si>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</si>
  <si>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</si>
  <si>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</si>
  <si>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</si>
  <si>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</si>
  <si>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</si>
  <si>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</si>
  <si>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</si>
  <si>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</si>
  <si>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</si>
  <si>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</si>
  <si>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</si>
  <si>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</si>
  <si>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</si>
  <si>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</si>
  <si>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</si>
  <si>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</si>
  <si>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</si>
  <si>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</si>
  <si>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</si>
  <si>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</si>
  <si>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</si>
  <si>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</si>
  <si>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</si>
  <si>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</si>
  <si>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</si>
  <si>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</si>
  <si>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</si>
  <si>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</si>
  <si>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</si>
  <si>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</si>
  <si>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</si>
  <si>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</si>
  <si>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</si>
  <si>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</si>
  <si>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</si>
  <si>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</si>
  <si>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</si>
  <si>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</si>
  <si>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</si>
  <si>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</si>
  <si>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</si>
  <si>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</si>
  <si>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</si>
  <si>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</si>
  <si>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</si>
  <si>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</si>
  <si>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</si>
  <si>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</si>
  <si>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</si>
  <si>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</si>
  <si>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</si>
  <si>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</si>
  <si>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</si>
  <si>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</si>
  <si>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</si>
  <si>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</si>
  <si>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</si>
  <si>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</si>
  <si>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</si>
  <si>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</si>
  <si>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</si>
  <si>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</si>
  <si>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</si>
  <si>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</si>
  <si>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</si>
  <si>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</si>
  <si>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</si>
  <si>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</si>
  <si>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</si>
  <si>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</si>
  <si>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</si>
  <si>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</si>
  <si>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</si>
  <si>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</si>
  <si>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</si>
  <si>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</si>
  <si>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</si>
  <si>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</si>
  <si>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</si>
  <si>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</si>
  <si>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</si>
  <si>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</si>
  <si>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</si>
  <si>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</si>
  <si>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</si>
  <si>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</si>
  <si>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</si>
  <si>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</si>
  <si>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</si>
  <si>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</si>
  <si>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</si>
  <si>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</si>
  <si>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</si>
  <si>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</si>
  <si>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</si>
  <si>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</si>
  <si>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</si>
  <si>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</si>
  <si>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</si>
  <si>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</si>
  <si>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</si>
  <si>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</si>
  <si>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</si>
  <si>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</si>
  <si>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</si>
  <si>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</si>
  <si>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</si>
  <si>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</si>
  <si>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</si>
  <si>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</si>
  <si>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</si>
  <si>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</si>
  <si>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</si>
  <si>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</si>
  <si>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</si>
  <si>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</si>
  <si>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</si>
  <si>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</si>
  <si>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</si>
  <si>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</si>
  <si>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</si>
  <si>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</si>
  <si>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</si>
  <si>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</si>
  <si>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</si>
  <si>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</si>
  <si>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</si>
  <si>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</si>
  <si>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</si>
  <si>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</si>
  <si>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</si>
  <si>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</si>
  <si>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</si>
  <si>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</si>
  <si>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</si>
  <si>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</si>
  <si>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</si>
  <si>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</si>
  <si>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</si>
  <si>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</si>
  <si>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</si>
  <si>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</si>
  <si>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</si>
  <si>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</si>
  <si>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</si>
  <si>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</si>
  <si>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</si>
  <si>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</si>
  <si>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</si>
  <si>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</si>
  <si>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TK_IFW_RevGWFleet_100_H100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</si>
  <si>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</si>
  <si>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</si>
  <si>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</si>
  <si>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</si>
  <si>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</si>
  <si>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</si>
  <si>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</si>
  <si>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</si>
  <si>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</si>
  <si>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</si>
  <si>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</si>
  <si>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</si>
  <si>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</si>
  <si>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</si>
  <si>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</si>
  <si>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</si>
  <si>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</si>
  <si>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</si>
  <si>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</si>
  <si>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</si>
  <si>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</si>
  <si>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</si>
  <si>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</si>
  <si>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</si>
  <si>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</si>
  <si>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</si>
  <si>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</si>
  <si>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</si>
  <si>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</si>
  <si>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</si>
  <si>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</si>
  <si>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</si>
  <si>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</si>
  <si>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</si>
  <si>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</si>
  <si>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</si>
  <si>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</si>
  <si>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</si>
  <si>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</si>
  <si>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</si>
  <si>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</si>
  <si>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</si>
  <si>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</si>
  <si>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</si>
  <si>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</si>
  <si>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</si>
  <si>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</si>
  <si>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</si>
  <si>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Noto Sans CJK SC"/>
        <family val="2"/>
      </rPr>
      <t xml:space="preserve">（公式）（用途限制）</t>
    </r>
  </si>
  <si>
    <t xml:space="preserve">情境、相對比較、反轉門檻</t>
  </si>
  <si>
    <t xml:space="preserve">Interface!S6:S315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</si>
  <si>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</si>
  <si>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</si>
  <si>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</si>
  <si>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</si>
  <si>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</si>
  <si>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</si>
  <si>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</si>
  <si>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</si>
  <si>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</si>
  <si>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</si>
  <si>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</si>
  <si>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</si>
  <si>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</si>
  <si>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</si>
  <si>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</si>
  <si>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</si>
  <si>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</si>
  <si>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</si>
  <si>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</si>
  <si>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</si>
  <si>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</si>
  <si>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</si>
  <si>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</si>
  <si>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</si>
  <si>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</si>
  <si>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</si>
  <si>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</si>
  <si>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TK_NonNVRatio</t>
  </si>
  <si>
    <t xml:space="preserve">IF_NonNVRatio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</si>
  <si>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</si>
  <si>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Noto Sans CJK SC"/>
        <family val="2"/>
      </rPr>
      <t xml:space="preserve">，資料缺口已回報）；未建具名範圍</t>
    </r>
  </si>
  <si>
    <t xml:space="preserve">TK_NonNVCostRatio</t>
  </si>
  <si>
    <t xml:space="preserve">IF_NonNVCostRatio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</si>
</sst>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已交付＋已公開在建","基準 依資本支出指引","積極 依 2027 擴張幅度") &amp; "（預設＝基準）；共識＝data/consensus_googl_20261008.json（2026-10-08）"</f>
        <v>模型端＝目前情境：基準 依資本支出指引（預設＝基準）；共識＝data/consensus_googl_20261008.json（2026-10-08）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145.847691260205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輸入與假設!$C$366</f>
        <v>350.5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-0.583886758173454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121.98878600526</v>
      </c>
      <c r="D10" s="12" t="n">
        <f aca="false">評價_DCF與目標價!D104</f>
        <v>175.7683098576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143.986680668302</v>
      </c>
      <c r="D11" s="12" t="n">
        <f aca="false">評價_DCF與目標價!D106</f>
        <v>145.847691260205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297.925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-152.077308739795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$145.8，較現價 $350.50 低 58%；情境區間 $122.0–$175.8，方法區間 $144.0–$145.8；點位低於賣出門檻 $297.9 達 $152.1。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$175.8 低於現價 $350.50：賣出在三個擴張情境下都成立。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$334="ebitda",輸入與假設!$C$334="leaseAdj"),"需失去投資級才能融資的金額："&amp;IF(SUM(各期收支!C93:G93)&gt;0.05,"$"&amp;TEXT(SUM(各期收支!C93:G93),"0.0")&amp;"bn（五期高息債溢出）","$0")&amp;"；投資級上限＝"&amp;IF(輸入與假設!$C$334="leaseAdj","(總債務＋租賃負債) ≤ "&amp;IF(輸入與假設!$C$335=INT(輸入與假設!$C$335),TEXT(輸入與假設!$C$335,"0"),TEXT(輸入與假設!$C$335,"0.0"))&amp;"×(EBITDA＋租金)","總債務 ≤ "&amp;IF(輸入與假設!$C$335=INT(輸入與假設!$C$335),TEXT(輸入與假設!$C$335,"0"),TEXT(輸入與假設!$C$335,"0.0"))&amp;"× 當期 EBITDA")&amp;"，股權每年 ≤ 現市值 "&amp;IF(ROUND(ABS(輸入與假設!$C$345)*100,4)=INT(ROUND(ABS(輸入與假設!$C$345)*100,4)),TEXT(ROUND(ABS(輸入與假設!$C$345)*100,4),"0"),TEXT(ROUND(ABS(輸入與假設!$C$345)*100,4),"0.0"))&amp;"%"&amp;"。","")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$335=INT(輸入與假設!$C$335),TEXT(輸入與假設!$C$335,"0"),TEXT(輸入與假設!$C$335,"0.0"))&amp;"×，"&amp;IF(MAX(資產負債_新債與新股!$C$37:$G$37)&gt;輸入與假設!$C$335+0.000000001,CHOOSE(MATCH(MAX(資產負債_新債與新股!$C$37:$G$37),資產負債_新債與新股!$C$37:$G$37,0),"2026","2027","2028","2029","2030")&amp;" 超過 "&amp;TEXT(MAX(資產負債_新債與新股!$C$37:$G$37)-輸入與假設!$C$335,"0.0")&amp;"×：需股權或失去投資級。","最小空間 "&amp;TEXT(輸入與假設!$C$335-MAX(資產負債_新債與新股!$C$37:$G$37),"0.0")&amp;"×（"&amp;CHOOSE(MATCH(MAX(資產負債_新債與新股!$C$37:$G$37),資產負債_新債與新股!$C$37:$G$37,0),"2026","2027","2028","2029","2030")&amp;"）。")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0.6／0.6／0.5／0.5／0.7×；上限 3×，最小空間 2.3×（2030）。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14.68×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$177.51（賣出）、WACC 10% $162.81（賣出）、WACC 11% $151.39（賣出）；非 AI 分部改用公司自身 NTM EV/EBITDA 14.68× $180.99（賣出）、AI 雲端 15× $161.17（賣出）、組合：WACC 9%＋非 AI 自身倍數＋AI 15× $232.52（賣出）；評等翻轉點：WACC 約 5.7%（ERP 0.29%）以下由「賣出」轉為「中立」。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+"&amp;IF(ROUND(ABS(輸入與假設!$C$457)*100,4)=INT(ROUND(ABS(輸入與假設!$C$457)*100,4)),TEXT(ROUND(ABS(輸入與假設!$C$457)*100,4),"0"),TEXT(ROUND(ABS(輸入與假設!$C$457)*100,4),"0.0"))&amp;"%"&amp;" 且終值占 EV &lt; "&amp;IF(ROUND(ABS(輸入與假設!$C$458)*100,4)=INT(ROUND(ABS(輸入與假設!$C$458)*100,4)),TEXT(ROUND(ABS(輸入與假設!$C$458)*100,4),"0"),TEXT(ROUND(ABS(輸入與假設!$C$458)*100,4),"0.0"))&amp;"%"&amp;"；目前終值占 EV "&amp;TEXT(評價_DCF與目標價!C97*100,"0")&amp;"%"&amp;IF(評價_DCF與目標價!C97&gt;=輸入與假設!$C$458,"，此規則下只可能「賣出」或「中立」","")&amp;"（規則是否修改待 Andy 決定）。"</f>
        <v>評等規則：買進須空間 ≥ +25% 且終值占 EV &lt; 90%；目前終值占 EV 116%，此規則下只可能「賣出」或「中立」（規則是否修改待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1（影子收入不進評價）$145.85；讀法 2（自用 AI 價值中性：自用 MW 以 k＝1 計影子收入並進評價）$218.47；差額 +$72.62。主值取哪一個是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"&amp;TEXT(輸入與假設!$C$263*100,"0")&amp;"%，[Assumed]），是最大不確定："&amp;TEXT(評價_DCF與目標價!C112*100,"0")&amp;"%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30%，[Assumed]），是最大不確定：10% → $99.72、50% → $179.43（基準 $145.85）。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"&amp;TEXT(輸入與假設!$C$393*100,"0.0")&amp;"%（"&amp;IF(AI增量報酬!F25&lt;0,"−","+")&amp;TEXT(ABS(AI增量報酬!F25)*100,"0.0")&amp;"pt）；打平 k "&amp;TEXT(AI增量報酬!C29,"0.00")&amp;"（目前 "&amp;TEXT(輸入與假設!$C$58,"0.00")&amp;"）；全 AI（含影子收入）"&amp;TEXT(AI增量報酬!F27*100,"0.0")&amp;"%。"</f>
        <v>主命題（AI 資本支出有沒有賺到資金成本）：2029 對外 AI ROIC 12.7% vs WACC 11.6%（+1.1pt）；打平 k 1.12（目前 1.15）；全 AI（含影子收入）12.7%。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2026（−$4.2bn）；回購被迫減少：2030 $17.0bn；五期新債 $85.8bn、股權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492.268310257</v>
      </c>
      <c r="D28" s="10" t="n">
        <f aca="false">損益!D29</f>
        <v>599.075955158032</v>
      </c>
      <c r="E28" s="10" t="n">
        <f aca="false">損益!E29</f>
        <v>695.234652095486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輸入與假設!$C$516</f>
        <v>498.69</v>
      </c>
      <c r="D29" s="10" t="n">
        <f aca="false">輸入與假設!$D$516</f>
        <v>615.038</v>
      </c>
      <c r="E29" s="10" t="n">
        <f aca="false">輸入與假設!$E$516</f>
        <v>734.199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-0.0128771175339388</v>
      </c>
      <c r="D30" s="13" t="n">
        <f aca="false">D28/D29-1</f>
        <v>-0.0259529408621386</v>
      </c>
      <c r="E30" s="13" t="n">
        <f aca="false">E28/E29-1</f>
        <v>-0.0530705543109079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輸入與假設!$C$486+損益!C22</f>
        <v>194.479277281884</v>
      </c>
      <c r="D31" s="10" t="n">
        <f aca="false">損益!D34</f>
        <v>220.640841830285</v>
      </c>
      <c r="E31" s="10" t="n">
        <f aca="false">損益!E34</f>
        <v>256.853209184176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輸入與假設!$C$517</f>
        <v>233.431</v>
      </c>
      <c r="D32" s="10" t="n">
        <f aca="false">輸入與假設!$D$517</f>
        <v>298.668</v>
      </c>
      <c r="E32" s="10" t="n">
        <f aca="false">輸入與假設!$E$517</f>
        <v>382.826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-0.166866109120537</v>
      </c>
      <c r="D33" s="13" t="n">
        <f aca="false">D31/D32-1</f>
        <v>-0.261250479360746</v>
      </c>
      <c r="E33" s="13" t="n">
        <f aca="false">E31/E32-1</f>
        <v>-0.329060175682489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-38.951722718116</v>
      </c>
      <c r="D34" s="10" t="n">
        <f aca="false">D31-D32</f>
        <v>-78.0271581697154</v>
      </c>
      <c r="E34" s="10" t="n">
        <f aca="false">E31-E32</f>
        <v>-125.972790815824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0.395067635331536</v>
      </c>
      <c r="D35" s="13" t="n">
        <f aca="false">D31/D28</f>
        <v>0.368301948910771</v>
      </c>
      <c r="E35" s="13" t="n">
        <f aca="false">E31/E28</f>
        <v>0.369448226451317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輸入與假設!$C$518</f>
        <v>0.468088391585955</v>
      </c>
      <c r="D36" s="13" t="n">
        <f aca="false">輸入與假設!$D$518</f>
        <v>0.48560901928011</v>
      </c>
      <c r="E36" s="13" t="n">
        <f aca="false">輸入與假設!$E$518</f>
        <v>0.521419942004824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-0.073020756254419</v>
      </c>
      <c r="D37" s="13" t="n">
        <f aca="false">D35-D36</f>
        <v>-0.117307070369339</v>
      </c>
      <c r="E37" s="13" t="n">
        <f aca="false">E35-E36</f>
        <v>-0.151971715553507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輸入與假設!$C$469+輸入與假設!C$323</f>
        <v>200.004790442699</v>
      </c>
      <c r="D38" s="10" t="n">
        <f aca="false">輸入與假設!D$323</f>
        <v>236.835022204047</v>
      </c>
      <c r="E38" s="10" t="n">
        <f aca="false">輸入與假設!E$323</f>
        <v>256.545779414001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輸入與假設!$C$522</f>
        <v>201.748</v>
      </c>
      <c r="D39" s="10" t="n">
        <f aca="false">輸入與假設!$D$522</f>
        <v>300.979</v>
      </c>
      <c r="E39" s="10" t="n">
        <f aca="false">輸入與假設!$E$522</f>
        <v>339.451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-0.00864052955816552</v>
      </c>
      <c r="D40" s="13" t="n">
        <f aca="false">D38/D39-1</f>
        <v>-0.213117784948294</v>
      </c>
      <c r="E40" s="13" t="n">
        <f aca="false">E38/E39-1</f>
        <v>-0.244233248940198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-29.0379065581144</v>
      </c>
      <c r="D41" s="10" t="n">
        <f aca="false">資產負債_新債與新股!D25</f>
        <v>12.1494925629375</v>
      </c>
      <c r="E41" s="10" t="n">
        <f aca="false">資產負債_新債與新股!E25</f>
        <v>31.9680349373683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輸入與假設!$C$524</f>
        <v>-131.323</v>
      </c>
      <c r="D42" s="10" t="n">
        <f aca="false">輸入與假設!$D$524</f>
        <v>-79.012</v>
      </c>
      <c r="E42" s="10" t="n">
        <f aca="false">輸入與假設!$E$524</f>
        <v>-56.291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-0.778881791018219</v>
      </c>
      <c r="D43" s="13" t="n">
        <f aca="false">D41/D42-1</f>
        <v>-1.15376768798331</v>
      </c>
      <c r="E43" s="13" t="n">
        <f aca="false">E41/E42-1</f>
        <v>-1.56790668023962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102.285093441886</v>
      </c>
      <c r="D44" s="10" t="n">
        <f aca="false">D41-D42</f>
        <v>91.1614925629375</v>
      </c>
      <c r="E44" s="10" t="n">
        <f aca="false">E41-E42</f>
        <v>88.2590349373683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MID(IF(ABS(C30)&gt;輸入與假設!$C$545,"、營收 "&amp;IF(C30&lt;0,"−","+")&amp;TEXT(ABS(C30)*100,"0.0")&amp;"%","")&amp;IF(ABS(C33)&gt;輸入與假設!$C$545,"、EBITDA "&amp;IF(C34&lt;0,"−","+")&amp;"$"&amp;TEXT(ABS(C34),"#,##0.00")&amp;"bn"&amp;"／"&amp;IF(C37&lt;0,"−","+")&amp;TEXT(ABS(C37)*100,"0.0")&amp;"pt","")&amp;IF(ABS(C40)&gt;輸入與假設!$C$545,"、CapEx "&amp;IF(C40&lt;0,"−","+")&amp;TEXT(ABS(C40)*100,"0.0")&amp;"%",""),2,999)</f>
        <v>EBITDA −$38.95bn／−7.3pt</v>
      </c>
      <c r="D45" s="10" t="str">
        <f aca="false">MID(IF(ABS(D30)&gt;輸入與假設!$C$545,"、營收 "&amp;IF(D30&lt;0,"−","+")&amp;TEXT(ABS(D30)*100,"0.0")&amp;"%","")&amp;IF(ABS(D33)&gt;輸入與假設!$C$545,"、EBITDA "&amp;IF(D34&lt;0,"−","+")&amp;"$"&amp;TEXT(ABS(D34),"#,##0.00")&amp;"bn"&amp;"／"&amp;IF(D37&lt;0,"−","+")&amp;TEXT(ABS(D37)*100,"0.0")&amp;"pt","")&amp;IF(ABS(D40)&gt;輸入與假設!$C$545,"、CapEx "&amp;IF(D40&lt;0,"−","+")&amp;TEXT(ABS(D40)*100,"0.0")&amp;"%",""),2,999)</f>
        <v>EBITDA −$78.03bn／−11.7pt、CapEx −21.3%</v>
      </c>
      <c r="E45" s="10" t="str">
        <f aca="false">MID(IF(ABS(E30)&gt;輸入與假設!$C$545,"、營收 "&amp;IF(E30&lt;0,"−","+")&amp;TEXT(ABS(E30)*100,"0.0")&amp;"%","")&amp;IF(ABS(E33)&gt;輸入與假設!$C$545,"、EBITDA "&amp;IF(E34&lt;0,"−","+")&amp;"$"&amp;TEXT(ABS(E34),"#,##0.00")&amp;"bn"&amp;"／"&amp;IF(E37&lt;0,"−","+")&amp;TEXT(ABS(E37)*100,"0.0")&amp;"pt","")&amp;IF(ABS(E40)&gt;輸入與假設!$C$545,"、CapEx "&amp;IF(E40&lt;0,"−","+")&amp;TEXT(ABS(E40)*100,"0.0")&amp;"%",""),2,999)</f>
        <v>營收 −5.3%、EBITDA −$125.97bn／−15.2pt、CapEx −24.4%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"&amp;IF(ROUND(ABS(輸入與假設!$C$545)*100,4)=INT(ROUND(ABS(輸入與假設!$C$545)*100,4)),TEXT(ROUND(ABS(輸入與假設!$C$545)*100,4),"0"),TEXT(ROUND(ABS(輸入與假設!$C$545)*100,4),"0.0"))&amp;"%"&amp;" 以內。","分歧始於 2026（"&amp;C45&amp;"）"&amp;"；2027 "&amp;IF(D45="","回到 "&amp;IF(ROUND(ABS(輸入與假設!$C$545)*100,4)=INT(ROUND(ABS(輸入與假設!$C$545)*100,4)),TEXT(ROUND(ABS(輸入與假設!$C$545)*100,4),"0"),TEXT(ROUND(ABS(輸入與假設!$C$545)*100,4),"0.0"))&amp;"%"&amp;" 以內",D45)&amp;"；2028 "&amp;IF(E45="","回到 "&amp;IF(ROUND(ABS(輸入與假設!$C$545)*100,4)=INT(ROUND(ABS(輸入與假設!$C$545)*100,4)),TEXT(ROUND(ABS(輸入與假設!$C$545)*100,4),"0"),TEXT(ROUND(ABS(輸入與假設!$C$545)*100,4),"0.0"))&amp;"%"&amp;" 以內",E45)&amp;"。","2026 營收、EBITDA、CapEx 與共識差距在 "&amp;IF(ROUND(ABS(輸入與假設!$C$545)*100,4)=INT(ROUND(ABS(輸入與假設!$C$545)*100,4)),TEXT(ROUND(ABS(輸入與假設!$C$545)*100,4),"0"),TEXT(ROUND(ABS(輸入與假設!$C$545)*100,4),"0.0"))&amp;"%"&amp;" 以內；分歧始於 2027（"&amp;D45&amp;"）"&amp;"；2028 "&amp;IF(E45="","回到 "&amp;IF(ROUND(ABS(輸入與假設!$C$545)*100,4)=INT(ROUND(ABS(輸入與假設!$C$545)*100,4)),TEXT(ROUND(ABS(輸入與假設!$C$545)*100,4),"0"),TEXT(ROUND(ABS(輸入與假設!$C$545)*100,4),"0.0"))&amp;"%"&amp;" 以內",E45)&amp;"。","2026–2027 營收、EBITDA、CapEx 與共識差距在 "&amp;IF(ROUND(ABS(輸入與假設!$C$545)*100,4)=INT(ROUND(ABS(輸入與假設!$C$545)*100,4)),TEXT(ROUND(ABS(輸入與假設!$C$545)*100,4),"0"),TEXT(ROUND(ABS(輸入與假設!$C$545)*100,4),"0.0"))&amp;"%"&amp;" 以內；分歧始於 2028（"&amp;E45&amp;"）。")</f>
        <v>分歧始於 2026（EBITDA −$38.95bn／−7.3pt）；2027 EBITDA −$78.03bn／−11.7pt、CapEx −21.3%；2028 營收 −5.3%、EBITDA −$125.97bn／−15.2pt、CapEx −24.4%。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IF(ABS(C30)&gt;輸入與假設!$C$545,"觀點","")</f>
        <v/>
      </c>
      <c r="D48" s="10" t="str">
        <f aca="false">IF(ABS(C30)&gt;輸入與假設!$C$545,"營收＝對外 AI 雲端（年底 "&amp;IF((輸入與假設!C$36)&lt;0,"−","")&amp;TEXT(ABS((輸入與假設!C$36)),"#,##0")&amp;" MW-IT × 每 MW 年收入，Tokenomics × k）＋搜尋／YouTube／聯播網／訂閱／Cloud 非 AI／TPU 銷售（近四季年增率收斂到長期值）；共識未揭露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IF(ABS(C37)&gt;輸入與假設!$C$546,"觀點","")</f>
        <v>觀點</v>
      </c>
      <c r="D49" s="10" t="str">
        <f aca="false">IF(ABS(C37)&gt;輸入與假設!$C$546,"營收差距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−1.3%；EBITDA 率 39.5% 對共識 46.8%（分部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IF(ABS(C40)&gt;輸入與假設!$C$545,"觀點","")</f>
        <v/>
      </c>
      <c r="D50" s="10" t="str">
        <f aca="false">IF(ABS(C40)&gt;輸入與假設!$C$545,"CapEx：首期取公司指引中點 200；公司 2027 只說「顯著增加」、無數字 → 依新增 AI MW（"&amp;IF((輸入與假設!C$290)&lt;0,"−","")&amp;TEXT(ABS((輸入與假設!C$290)),"#,##0")&amp;" MW-IT 對外）÷ 對外比例 × 每 MW $"&amp;IF((輸入與假設!C$271)&lt;0,"−","")&amp;TEXT(ABS((輸入與假設!C$271)),"#,##0")&amp;"m＋非 AI 強度推導；基準情境的新增速度由 2026 指引解出（C10），之後各年資本支出＝MW 路徑 × 每 MW 成本；共識 2027 301.0","")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IF(ABS(C43)&gt;輸入與假設!$C$545,"觀點","")</f>
        <v>觀點</v>
      </c>
      <c r="D51" s="10" t="str">
        <f aca="false">IF(ABS(C43)&gt;輸入與假設!$C$545,"淨負債隨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IF(ABS(D30)&gt;輸入與假設!$C$545,"觀點","")</f>
        <v/>
      </c>
      <c r="D52" s="10" t="str">
        <f aca="false">IF(ABS(D30)&gt;輸入與假設!$C$545,"營收＝對外 AI 雲端（年底 "&amp;IF((輸入與假設!D$36)&lt;0,"−","")&amp;TEXT(ABS((輸入與假設!D$36)),"#,##0")&amp;" MW-IT × 每 MW 年收入，Tokenomics × k）＋搜尋／YouTube／聯播網／訂閱／Cloud 非 AI／TPU 銷售（近四季年增率收斂到長期值）；共識未揭露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IF(ABS(D37)&gt;輸入與假設!$C$546,"觀點","")</f>
        <v>觀點</v>
      </c>
      <c r="D53" s="10" t="str">
        <f aca="false">IF(ABS(D37)&gt;輸入與假設!$C$546,"營收差距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−2.6%；EBITDA 率 36.8% 對共識 48.6%（分部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IF(ABS(D40)&gt;輸入與假設!$C$545,"觀點","")</f>
        <v>觀點</v>
      </c>
      <c r="D54" s="10" t="str">
        <f aca="false">IF(ABS(D40)&gt;輸入與假設!$C$545,"CapEx：首期取公司指引中點 200；公司 2027 只說「顯著增加」、無數字 → 依新增 AI MW（"&amp;IF((輸入與假設!D$290)&lt;0,"−","")&amp;TEXT(ABS((輸入與假設!D$290)),"#,##0")&amp;" MW-IT 對外）÷ 對外比例 × 每 MW $"&amp;IF((輸入與假設!D$271)&lt;0,"−","")&amp;TEXT(ABS((輸入與假設!D$271)),"#,##0")&amp;"m＋非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MW（1,246 MW-IT 對外）÷ 對外比例 × 每 MW $46m＋非 AI 強度推導；基準情境的新增速度由 2026 指引解出（C10），之後各年資本支出＝MW 路徑 × 每 MW 成本；共識 2027 301.0</v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IF(ABS(D43)&gt;輸入與假設!$C$545,"觀點","")</f>
        <v>觀點</v>
      </c>
      <c r="D55" s="10" t="str">
        <f aca="false">IF(ABS(D43)&gt;輸入與假設!$C$545,"淨負債隨 CapEx、投資與融資瀑布而定（模型 CapEx 差距 "&amp;IF((D40)&lt;0,"−","+")&amp;TEXT(ABS((D40))*100,"#,##0.0")&amp;"%"&amp;"）；共識淨負債不含租賃","")</f>
        <v>淨負債隨 CapEx、投資與融資瀑布而定（模型 CapEx 差距 −21.3%）；共識淨負債不含租賃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IF(ABS(E30)&gt;輸入與假設!$C$545,"觀點","")</f>
        <v>觀點</v>
      </c>
      <c r="D56" s="10" t="str">
        <f aca="false">IF(ABS(E30)&gt;輸入與假設!$C$545,"營收＝對外 AI 雲端（年底 "&amp;IF((輸入與假設!E$36)&lt;0,"−","")&amp;TEXT(ABS((輸入與假設!E$36)),"#,##0")&amp;" MW-IT × 每 MW 年收入，Tokenomics × k）＋搜尋／YouTube／聯播網／訂閱／Cloud 非 AI／TPU 銷售（近四季年增率收斂到長期值）；共識未揭露 MW 與單價假設","")</f>
        <v>營收＝對外 AI 雲端（年底 5,016 MW-IT × 每 MW 年收入，Tokenomics × k）＋搜尋／YouTube／聯播網／訂閱／Cloud 非 AI／TPU 銷售（近四季年增率收斂到長期值）；共識未揭露 MW 與單價假設</v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IF(ABS(E37)&gt;輸入與假設!$C$546,"觀點","")</f>
        <v>觀點</v>
      </c>
      <c r="D57" s="10" t="str">
        <f aca="false">IF(ABS(E37)&gt;輸入與假設!$C$546,"營收差距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−5.3%；EBITDA 率 36.9% 對共識 52.1%（分部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IF(ABS(E40)&gt;輸入與假設!$C$545,"觀點","")</f>
        <v>觀點</v>
      </c>
      <c r="D58" s="10" t="str">
        <f aca="false">IF(ABS(E40)&gt;輸入與假設!$C$545,"CapEx：首期取公司指引中點 200；公司 2027 只說「顯著增加」、無數字 → 依新增 AI MW（"&amp;IF((輸入與假設!E$290)&lt;0,"−","")&amp;TEXT(ABS((輸入與假設!E$290)),"#,##0")&amp;" MW-IT 對外）÷ 對外比例 × 每 MW $"&amp;IF((輸入與假設!E$271)&lt;0,"−","")&amp;TEXT(ABS((輸入與假設!E$271)),"#,##0")&amp;"m＋非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MW（1,246 MW-IT 對外）÷ 對外比例 × 每 MW $48m＋非 AI 強度推導；基準情境的新增速度由 2026 指引解出（C10），之後各年資本支出＝MW 路徑 × 每 MW 成本；共識 2027 301.0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IF(ABS(E43)&gt;輸入與假設!$C$545,"觀點","")</f>
        <v>觀點</v>
      </c>
      <c r="D59" s="10" t="str">
        <f aca="false">IF(ABS(E43)&gt;輸入與假設!$C$545,"淨負債隨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−24.4%）；共識淨負債不含租賃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SUMPRODUCT(--(ABS(C30:E30)&gt;輸入與假設!$C$545))+SUMPRODUCT(--(ABS(C37:E37)&gt;輸入與假設!$C$546))+SUMPRODUCT(--(ABS(C40:E40)&gt;輸入與假設!$C$545))+SUMPRODUCT(--(ABS(C43:E43)&gt;輸入與假設!$C$545))</f>
        <v>9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9 項差距：觀點 9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(輸入與假設!$C$498*輸入與假設!$C$367+輸入與假設!$E$524)/輸入與假設!$E$517</f>
        <v>13.661703306463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(輸入與假設!$C$366*輸入與假設!$C$367+輸入與假設!$E$524)/輸入與假設!$E$517</f>
        <v>11.1225817995643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MAX(輸入與假設!$C$434,輸入與假設!$C$435)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輸入與假設!E$241</f>
        <v>221.245347397264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$498*輸入與假設!$C$367+輸入與假設!$E$524-輸入與假設!E$241*輸入與假設!$C$430)/MAX(輸入與假設!$E$517-輸入與假設!E$241,0.01))&lt;0.05,0,(輸入與假設!$C$498*輸入與假設!$C$367+輸入與假設!$E$524-輸入與假設!E$241*輸入與假設!$C$430)/MAX(輸入與假設!$E$517-輸入與假設!E$241,0.01))</f>
        <v>18.312026901354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$366*輸入與假設!$C$367+輸入與假設!$E$524-輸入與假設!E$241*輸入與假設!$C$430)/MAX(輸入與假設!$E$517-輸入與假設!E$241,0.01))&lt;0.05,0,(輸入與假設!$C$366*輸入與假設!$C$367+輸入與假設!$E$524-輸入與假設!E$241*輸入與假設!$C$430)/MAX(輸入與假設!$E$517-輸入與假設!E$241,0.01))</f>
        <v>12.2961969468243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$"&amp;TEXT(輸入與假設!$C$498,"0.00")&amp;" 隱含 2028 EV/EBITDA "&amp;TEXT(C64,"0.0")&amp;"x（扣除非 AI 事業 "&amp;TEXT(輸入與假設!$C$430,"0.0")&amp;"x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$"&amp;TEXT(輸入與假設!$C$366,"0.00")&amp;" 隱含 "&amp;TEXT(C65,"0.0")&amp;"x（AI 雲端 "&amp;TEXT(C69,"0.0")&amp;"x）。"</f>
        <v>共識平均目標價 $429.47 隱含 2028 EV/EBITDA 13.7x（扣除非 AI 事業 10.3x × 模型 EBITDA $221.2bn 後，AI 雲端 18.3x），AI 雲端 倍數高於模型方法區間上緣 6x；現價 $350.50 隱含 11.1x（AI 雲端 12.3x）。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13.1035</v>
      </c>
      <c r="D71" s="17" t="str">
        <f aca="false">評價_反向DCF!C18</f>
        <v>無解</v>
      </c>
      <c r="E71" s="13" t="str">
        <f aca="false">評價_反向DCF!D18</f>
        <v>無解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48.3559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13.1035</v>
      </c>
      <c r="D74" s="17" t="str">
        <f aca="false">評價_反向DCF!C21</f>
        <v>無解</v>
      </c>
      <c r="E74" s="13" t="str">
        <f aca="false">評價_反向DCF!D21</f>
        <v>無解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127.457436752333</v>
      </c>
      <c r="D78" s="10" t="str">
        <f aca="false">季度追蹤!D6</f>
        <v>不適用</v>
      </c>
      <c r="E78" s="10" t="str">
        <f aca="false">季度追蹤!F6</f>
        <v>不適用</v>
      </c>
      <c r="F78" s="10" t="str">
        <f aca="false">季度追蹤!G6</f>
        <v>不適用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INDEX(季度追蹤!$C$125:$H$125,輸入與假設!$C$551)</f>
        <v>營收：模型 $127.46bn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37.0181675464867</v>
      </c>
      <c r="D80" s="10" t="str">
        <f aca="false">季度追蹤!D9</f>
        <v>不適用</v>
      </c>
      <c r="E80" s="10" t="str">
        <f aca="false">季度追蹤!F9</f>
        <v>不適用</v>
      </c>
      <c r="F80" s="10" t="str">
        <f aca="false">季度追蹤!G9</f>
        <v>不適用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INDEX(季度追蹤!$C$128:$H$128,輸入與假設!$C$551)</f>
        <v>調整後營業利益：模型 $37.02bn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59.7033952213496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INDEX(季度追蹤!$C$129:$H$129,輸入與假設!$C$551)</f>
        <v>CapEx（毛額）：模型 $59.70bn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輸入與假設!$C$509</f>
        <v>43</v>
      </c>
      <c r="D84" s="9" t="n">
        <f aca="false">輸入與假設!$C$510</f>
        <v>13</v>
      </c>
      <c r="E84" s="9" t="n">
        <f aca="false">輸入與假設!$C$511</f>
        <v>5</v>
      </c>
      <c r="F84" s="9" t="n">
        <f aca="false">輸入與假設!$C$512</f>
        <v>0</v>
      </c>
      <c r="G84" s="9" t="n">
        <f aca="false">輸入與假設!$C$513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輸入與假設!$C$498</f>
        <v>429.47</v>
      </c>
      <c r="D85" s="12" t="n">
        <f aca="false">輸入與假設!$C$499</f>
        <v>430</v>
      </c>
      <c r="E85" s="12" t="n">
        <f aca="false">輸入與假設!$C$500</f>
        <v>340</v>
      </c>
      <c r="F85" s="12" t="n">
        <f aca="false">輸入與假設!$C$501</f>
        <v>515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已交付＋已公開在建","基準 依資本支出指引","積極 依 2027 擴張幅度")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1901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3171</v>
      </c>
      <c r="D9" s="21" t="n">
        <v>3171</v>
      </c>
      <c r="E9" s="21" t="n">
        <v>3171</v>
      </c>
      <c r="F9" s="21" t="n">
        <v>3171</v>
      </c>
      <c r="G9" s="21" t="n">
        <v>3171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850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2326</v>
      </c>
      <c r="D11" s="22" t="n">
        <f aca="false">MIN(D9,C11+輸入與假設!$C$10*D$34)</f>
        <v>3171</v>
      </c>
      <c r="E11" s="22" t="n">
        <f aca="false">MIN(E9,D11+輸入與假設!$C$10*E$34)</f>
        <v>3171</v>
      </c>
      <c r="F11" s="22" t="n">
        <f aca="false">MIN(F9,E11+輸入與假設!$C$10*F$34)</f>
        <v>3171</v>
      </c>
      <c r="G11" s="22" t="n">
        <f aca="false">MIN(G9,F11+輸入與假設!$C$10*G$34)</f>
        <v>3171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1246.1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2524.05</v>
      </c>
      <c r="D14" s="22" t="n">
        <f aca="false">MIN(D12,C14+輸入與假設!$C$13*D$34)</f>
        <v>3770.15</v>
      </c>
      <c r="E14" s="22" t="n">
        <f aca="false">MIN(E12,D14+輸入與假設!$C$13*E$34)</f>
        <v>5016.25</v>
      </c>
      <c r="F14" s="22" t="n">
        <f aca="false">MIN(F12,E14+輸入與假設!$C$13*F$34)</f>
        <v>6262.35</v>
      </c>
      <c r="G14" s="22" t="n">
        <f aca="false">MIN(G12,F14+輸入與假設!$C$13*G$34)</f>
        <v>7508.45</v>
      </c>
      <c r="I14" s="21" t="n">
        <v>1246.1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1869.1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2835.55</v>
      </c>
      <c r="D17" s="22" t="n">
        <f aca="false">MIN(D15,C17+輸入與假設!$C$16*D$34)</f>
        <v>4704.65</v>
      </c>
      <c r="E17" s="22" t="n">
        <f aca="false">MIN(E15,D17+輸入與假設!$C$16*E$34)</f>
        <v>6573.75</v>
      </c>
      <c r="F17" s="22" t="n">
        <f aca="false">MIN(F15,E17+輸入與假設!$C$16*F$34)</f>
        <v>8442.85</v>
      </c>
      <c r="G17" s="22" t="n">
        <f aca="false">MIN(G15,F17+輸入與假設!$C$16*G$34)</f>
        <v>10311.95</v>
      </c>
      <c r="I17" s="21" t="n">
        <v>1869.1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85.2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22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1462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1901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0.125</v>
      </c>
      <c r="D35" s="23" t="n">
        <v>0.25</v>
      </c>
      <c r="E35" s="23" t="n">
        <v>0.17</v>
      </c>
      <c r="F35" s="23" t="n">
        <v>0.09</v>
      </c>
      <c r="G35" s="23" t="n">
        <v>0.09</v>
      </c>
      <c r="H35" s="29" t="n">
        <f aca="false">SUM(C35:G35)</f>
        <v>0.725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2524.05</v>
      </c>
      <c r="D36" s="22" t="n">
        <f aca="false">CHOOSE(輸入與假設!$C$5,D11,D14,D17)</f>
        <v>3770.15</v>
      </c>
      <c r="E36" s="22" t="n">
        <f aca="false">CHOOSE(輸入與假設!$C$5,E11,E14,E17)</f>
        <v>5016.25</v>
      </c>
      <c r="F36" s="22" t="n">
        <f aca="false">CHOOSE(輸入與假設!$C$5,F11,F14,F17)</f>
        <v>6262.35</v>
      </c>
      <c r="G36" s="22" t="n">
        <f aca="false">CHOOSE(輸入與假設!$C$5,G11,G14,G17)</f>
        <v>7508.45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2524</v>
      </c>
      <c r="D37" s="22" t="n">
        <f aca="false">ROUND(D36*D18,0)</f>
        <v>3770</v>
      </c>
      <c r="E37" s="22" t="n">
        <f aca="false">ROUND(E36*E18,0)</f>
        <v>5016</v>
      </c>
      <c r="F37" s="22" t="n">
        <f aca="false">ROUND(F36*F18,0)</f>
        <v>6262</v>
      </c>
      <c r="G37" s="22" t="n">
        <f aca="false">ROUND(G36*G18,0)</f>
        <v>7508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C120*輸入與假設!$C$58/1000</f>
        <v>0.011500792682779</v>
      </c>
      <c r="D39" s="30" t="n">
        <f aca="false">D120*輸入與假設!$C$58/1000</f>
        <v>0.0121072137713929</v>
      </c>
      <c r="E39" s="30" t="n">
        <f aca="false">E120*輸入與假設!$C$58/1000</f>
        <v>0.0126042824758587</v>
      </c>
      <c r="F39" s="30" t="n">
        <f aca="false">F120*輸入與假設!$C$58/1000</f>
        <v>0.0129035349252015</v>
      </c>
      <c r="G39" s="30" t="n">
        <f aca="false">G120*輸入與假設!$C$58/1000</f>
        <v>0.0131034596898354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11.04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0.25</v>
      </c>
      <c r="D46" s="31" t="n">
        <v>1</v>
      </c>
      <c r="E46" s="31" t="n">
        <v>1</v>
      </c>
      <c r="F46" s="31" t="n">
        <v>0.5</v>
      </c>
      <c r="G46" s="31" t="n">
        <v>0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65</v>
      </c>
      <c r="C47" s="32" t="n">
        <f aca="false">輸入與假設!$C$45*C46</f>
        <v>2.76</v>
      </c>
      <c r="D47" s="32" t="n">
        <f aca="false">輸入與假設!$C$45*D46</f>
        <v>11.04</v>
      </c>
      <c r="E47" s="32" t="n">
        <f aca="false">輸入與假設!$C$45*E46</f>
        <v>11.04</v>
      </c>
      <c r="F47" s="32" t="n">
        <f aca="false">輸入與假設!$C$45*F46</f>
        <v>5.52</v>
      </c>
      <c r="G47" s="32" t="n">
        <f aca="false">輸入與假設!$C$45*G46</f>
        <v>0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11" t="s">
        <v>65</v>
      </c>
      <c r="C48" s="32" t="n">
        <f aca="false">C44-C47</f>
        <v>-2.76</v>
      </c>
      <c r="D48" s="32" t="n">
        <f aca="false">D44-D47</f>
        <v>-11.04</v>
      </c>
      <c r="E48" s="32" t="n">
        <f aca="false">E44-E47</f>
        <v>-11.04</v>
      </c>
      <c r="F48" s="32" t="n">
        <f aca="false">F44-F47</f>
        <v>-5.52</v>
      </c>
      <c r="G48" s="32" t="n">
        <f aca="false">G44-G47</f>
        <v>0</v>
      </c>
      <c r="I48" s="6" t="s">
        <v>238</v>
      </c>
    </row>
    <row r="49" customFormat="false" ht="15" hidden="false" customHeight="false" outlineLevel="1" collapsed="false">
      <c r="A49" s="3" t="s">
        <v>239</v>
      </c>
      <c r="B49" s="11" t="s">
        <v>42</v>
      </c>
      <c r="C49" s="33" t="n">
        <v>0.063129</v>
      </c>
      <c r="I49" s="6" t="s">
        <v>240</v>
      </c>
    </row>
    <row r="50" customFormat="false" ht="15" hidden="false" customHeight="false" outlineLevel="1" collapsed="false">
      <c r="A50" s="4" t="s">
        <v>241</v>
      </c>
      <c r="B50" s="11" t="s">
        <v>65</v>
      </c>
      <c r="C50" s="24" t="n">
        <v>8.49</v>
      </c>
      <c r="I50" s="6" t="s">
        <v>242</v>
      </c>
    </row>
    <row r="51" customFormat="false" ht="15" hidden="false" customHeight="false" outlineLevel="1" collapsed="false">
      <c r="A51" s="34" t="s">
        <v>243</v>
      </c>
      <c r="B51" s="20"/>
      <c r="C51" s="20"/>
      <c r="D51" s="20"/>
      <c r="E51" s="20"/>
      <c r="F51" s="20"/>
      <c r="G51" s="20"/>
      <c r="H51" s="20"/>
    </row>
    <row r="52" customFormat="false" ht="15" hidden="false" customHeight="false" outlineLevel="2" collapsed="false">
      <c r="A52" s="2" t="s">
        <v>244</v>
      </c>
      <c r="C52" s="18" t="n">
        <v>2</v>
      </c>
      <c r="D52" s="2" t="str">
        <f aca="false">CHOOSE(C52,"低 長約下緣","基準 C1 混合","高 現貨改用 GCP 牌價")</f>
        <v>基準 C1 混合</v>
      </c>
      <c r="I52" s="6" t="s">
        <v>245</v>
      </c>
    </row>
    <row r="53" customFormat="false" ht="17.15" hidden="false" customHeight="false" outlineLevel="2" collapsed="false">
      <c r="A53" s="15" t="s">
        <v>246</v>
      </c>
      <c r="B53" s="14" t="s">
        <v>60</v>
      </c>
      <c r="C53" s="14" t="s">
        <v>247</v>
      </c>
      <c r="D53" s="14" t="s">
        <v>248</v>
      </c>
      <c r="E53" s="14" t="s">
        <v>249</v>
      </c>
    </row>
    <row r="54" customFormat="false" ht="15" hidden="false" customHeight="false" outlineLevel="2" collapsed="false">
      <c r="A54" s="4" t="s">
        <v>250</v>
      </c>
      <c r="B54" s="6" t="s">
        <v>251</v>
      </c>
      <c r="C54" s="35" t="n">
        <v>0.6</v>
      </c>
      <c r="D54" s="35" t="n">
        <v>0.75</v>
      </c>
      <c r="E54" s="35" t="n">
        <v>0.75</v>
      </c>
      <c r="I54" s="6" t="s">
        <v>252</v>
      </c>
    </row>
    <row r="55" customFormat="false" ht="15" hidden="false" customHeight="false" outlineLevel="2" collapsed="false">
      <c r="A55" s="4" t="s">
        <v>253</v>
      </c>
      <c r="B55" s="6" t="s">
        <v>251</v>
      </c>
      <c r="C55" s="35" t="n">
        <v>1.76</v>
      </c>
      <c r="D55" s="35" t="n">
        <v>1.76</v>
      </c>
      <c r="E55" s="35" t="n">
        <v>3.027</v>
      </c>
      <c r="I55" s="6" t="s">
        <v>254</v>
      </c>
    </row>
    <row r="56" customFormat="false" ht="15" hidden="false" customHeight="false" outlineLevel="2" collapsed="false">
      <c r="A56" s="3" t="s">
        <v>255</v>
      </c>
      <c r="B56" s="11" t="s">
        <v>42</v>
      </c>
      <c r="C56" s="23" t="n">
        <v>0.6</v>
      </c>
      <c r="D56" s="23" t="n">
        <v>0.6</v>
      </c>
      <c r="E56" s="23" t="n">
        <v>0.6</v>
      </c>
      <c r="I56" s="6" t="s">
        <v>256</v>
      </c>
    </row>
    <row r="57" customFormat="false" ht="15" hidden="false" customHeight="false" outlineLevel="2" collapsed="false">
      <c r="A57" s="3" t="s">
        <v>257</v>
      </c>
      <c r="B57" s="6" t="s">
        <v>251</v>
      </c>
      <c r="C57" s="31" t="n">
        <f aca="false">C56*C54+(1-C56)*C55</f>
        <v>1.064</v>
      </c>
      <c r="D57" s="31" t="n">
        <f aca="false">D56*D54+(1-D56)*D55</f>
        <v>1.154</v>
      </c>
      <c r="E57" s="31" t="n">
        <f aca="false">E56*E54+(1-E56)*E55</f>
        <v>1.6608</v>
      </c>
      <c r="I57" s="6" t="s">
        <v>258</v>
      </c>
    </row>
    <row r="58" customFormat="false" ht="15" hidden="false" customHeight="false" outlineLevel="2" collapsed="false">
      <c r="A58" s="3" t="s">
        <v>259</v>
      </c>
      <c r="B58" s="6" t="s">
        <v>251</v>
      </c>
      <c r="C58" s="36" t="n">
        <f aca="false">CHOOSE(輸入與假設!$C$52,C57,D57,E57)</f>
        <v>1.154</v>
      </c>
      <c r="I58" s="6" t="s">
        <v>260</v>
      </c>
    </row>
    <row r="59" customFormat="false" ht="15" hidden="false" customHeight="false" outlineLevel="2" collapsed="false">
      <c r="A59" s="3" t="s">
        <v>261</v>
      </c>
      <c r="B59" s="6" t="s">
        <v>251</v>
      </c>
      <c r="C59" s="37" t="n">
        <v>1</v>
      </c>
      <c r="I59" s="6" t="s">
        <v>262</v>
      </c>
    </row>
    <row r="60" customFormat="false" ht="15" hidden="false" customHeight="false" outlineLevel="2" collapsed="false">
      <c r="A60" s="3" t="s">
        <v>263</v>
      </c>
      <c r="B60" s="6" t="s">
        <v>251</v>
      </c>
      <c r="C60" s="37" t="n">
        <v>1</v>
      </c>
      <c r="I60" s="6" t="s">
        <v>264</v>
      </c>
    </row>
    <row r="61" customFormat="false" ht="15" hidden="false" customHeight="false" outlineLevel="2" collapsed="false">
      <c r="A61" s="3" t="s">
        <v>265</v>
      </c>
      <c r="B61" s="11" t="s">
        <v>42</v>
      </c>
      <c r="C61" s="23" t="n">
        <v>0.5</v>
      </c>
      <c r="I61" s="6" t="s">
        <v>266</v>
      </c>
    </row>
    <row r="62" customFormat="false" ht="15" hidden="false" customHeight="false" outlineLevel="2" collapsed="false">
      <c r="A62" s="14" t="s">
        <v>59</v>
      </c>
      <c r="B62" s="14" t="s">
        <v>60</v>
      </c>
      <c r="C62" s="28" t="s">
        <v>61</v>
      </c>
      <c r="D62" s="28" t="s">
        <v>62</v>
      </c>
      <c r="E62" s="28" t="s">
        <v>63</v>
      </c>
      <c r="F62" s="28" t="s">
        <v>153</v>
      </c>
      <c r="G62" s="28" t="s">
        <v>154</v>
      </c>
      <c r="I62" s="14" t="s">
        <v>206</v>
      </c>
    </row>
    <row r="63" customFormat="false" ht="15" hidden="false" customHeight="false" outlineLevel="2" collapsed="false">
      <c r="A63" s="3" t="s">
        <v>267</v>
      </c>
      <c r="B63" s="11" t="s">
        <v>268</v>
      </c>
      <c r="C63" s="31" t="n">
        <f aca="false">TK_HoldEcon_H100*輸入與假設!$C$59</f>
        <v>9.70308728611469</v>
      </c>
      <c r="I63" s="11" t="s">
        <v>269</v>
      </c>
    </row>
    <row r="64" customFormat="false" ht="15" hidden="false" customHeight="false" outlineLevel="2" collapsed="false">
      <c r="A64" s="3" t="s">
        <v>270</v>
      </c>
      <c r="B64" s="11" t="s">
        <v>268</v>
      </c>
      <c r="C64" s="31" t="n">
        <f aca="false">TK_OpexGW_H100</f>
        <v>1.88466748019734</v>
      </c>
      <c r="I64" s="11" t="s">
        <v>271</v>
      </c>
    </row>
    <row r="65" customFormat="false" ht="15" hidden="false" customHeight="false" outlineLevel="2" collapsed="false">
      <c r="A65" s="3" t="s">
        <v>272</v>
      </c>
      <c r="B65" s="11" t="s">
        <v>268</v>
      </c>
      <c r="C65" s="31" t="n">
        <f aca="false">TK_IFW_RevGWFleet_Util_H100</f>
        <v>4.00488774987164</v>
      </c>
      <c r="I65" s="11" t="s">
        <v>273</v>
      </c>
    </row>
    <row r="66" customFormat="false" ht="15" hidden="false" customHeight="false" outlineLevel="2" collapsed="false">
      <c r="A66" s="3" t="s">
        <v>274</v>
      </c>
      <c r="B66" s="11" t="s">
        <v>268</v>
      </c>
      <c r="C66" s="31" t="n">
        <f aca="false">TK_IFW_RevGWFleet_Prod_H100</f>
        <v>2.24296199760285</v>
      </c>
      <c r="I66" s="11" t="s">
        <v>275</v>
      </c>
    </row>
    <row r="67" customFormat="false" ht="15" hidden="false" customHeight="false" outlineLevel="2" collapsed="false">
      <c r="A67" s="3" t="s">
        <v>276</v>
      </c>
      <c r="B67" s="11" t="s">
        <v>42</v>
      </c>
      <c r="C67" s="23" t="n">
        <v>0.15</v>
      </c>
      <c r="I67" s="6" t="s">
        <v>277</v>
      </c>
    </row>
    <row r="68" customFormat="false" ht="15" hidden="false" customHeight="false" outlineLevel="2" collapsed="false">
      <c r="A68" s="3" t="s">
        <v>278</v>
      </c>
      <c r="B68" s="11" t="s">
        <v>42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I68" s="6" t="s">
        <v>279</v>
      </c>
    </row>
    <row r="69" customFormat="false" ht="15" hidden="false" customHeight="false" outlineLevel="2" collapsed="false">
      <c r="A69" s="3" t="s">
        <v>280</v>
      </c>
      <c r="B69" s="11" t="s">
        <v>157</v>
      </c>
      <c r="C69" s="22" t="n">
        <f aca="false">輸入與假設!$C$67*輸入與假設!$C$29+MAX(0,C36-輸入與假設!$C$29)*C68</f>
        <v>285.15</v>
      </c>
      <c r="D69" s="22" t="n">
        <f aca="false">C69+MAX(0,D36-C36)*D68</f>
        <v>285.15</v>
      </c>
      <c r="E69" s="22" t="n">
        <f aca="false">D69+MAX(0,E36-D36)*E68</f>
        <v>285.15</v>
      </c>
      <c r="F69" s="22" t="n">
        <f aca="false">E69+MAX(0,F36-E36)*F68</f>
        <v>285.15</v>
      </c>
      <c r="G69" s="22" t="n">
        <f aca="false">F69+MAX(0,G36-F36)*G68</f>
        <v>285.15</v>
      </c>
      <c r="I69" s="6" t="s">
        <v>281</v>
      </c>
    </row>
    <row r="70" customFormat="false" ht="15" hidden="false" customHeight="false" outlineLevel="2" collapsed="false">
      <c r="A70" s="3" t="s">
        <v>282</v>
      </c>
      <c r="B70" s="11" t="s">
        <v>268</v>
      </c>
      <c r="C70" s="31" t="n">
        <f aca="false">TK_HoldEcon_H100</f>
        <v>9.70308728611469</v>
      </c>
      <c r="I70" s="11" t="s">
        <v>283</v>
      </c>
    </row>
    <row r="71" customFormat="false" ht="15" hidden="false" customHeight="false" outlineLevel="2" collapsed="false">
      <c r="A71" s="3" t="s">
        <v>284</v>
      </c>
      <c r="B71" s="11" t="s">
        <v>268</v>
      </c>
      <c r="C71" s="31" t="n">
        <f aca="false">TK_OpexGW_H100</f>
        <v>1.88466748019734</v>
      </c>
      <c r="I71" s="11" t="s">
        <v>271</v>
      </c>
    </row>
    <row r="72" customFormat="false" ht="15" hidden="false" customHeight="false" outlineLevel="2" collapsed="false">
      <c r="A72" s="3" t="s">
        <v>285</v>
      </c>
      <c r="B72" s="11" t="s">
        <v>268</v>
      </c>
      <c r="C72" s="31" t="n">
        <f aca="false">TK_IFW_RevGWFleet_Util_H100</f>
        <v>4.00488774987164</v>
      </c>
      <c r="I72" s="11" t="s">
        <v>273</v>
      </c>
    </row>
    <row r="73" customFormat="false" ht="15" hidden="false" customHeight="false" outlineLevel="2" collapsed="false">
      <c r="A73" s="3" t="s">
        <v>286</v>
      </c>
      <c r="B73" s="11" t="s">
        <v>268</v>
      </c>
      <c r="C73" s="31" t="n">
        <f aca="false">TK_IFW_RevGWFleet_Prod_H100</f>
        <v>2.24296199760285</v>
      </c>
      <c r="I73" s="11" t="s">
        <v>275</v>
      </c>
    </row>
    <row r="74" customFormat="false" ht="15" hidden="false" customHeight="false" outlineLevel="2" collapsed="false">
      <c r="A74" s="3" t="s">
        <v>287</v>
      </c>
      <c r="B74" s="11" t="s">
        <v>42</v>
      </c>
      <c r="C74" s="23" t="n">
        <v>0.1</v>
      </c>
      <c r="I74" s="6" t="s">
        <v>288</v>
      </c>
    </row>
    <row r="75" customFormat="false" ht="15" hidden="false" customHeight="false" outlineLevel="2" collapsed="false">
      <c r="A75" s="3" t="s">
        <v>289</v>
      </c>
      <c r="B75" s="11" t="s">
        <v>42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I75" s="6" t="s">
        <v>279</v>
      </c>
    </row>
    <row r="76" customFormat="false" ht="15" hidden="false" customHeight="false" outlineLevel="2" collapsed="false">
      <c r="A76" s="3" t="s">
        <v>290</v>
      </c>
      <c r="B76" s="11" t="s">
        <v>157</v>
      </c>
      <c r="C76" s="22" t="n">
        <f aca="false">輸入與假設!$C$74*輸入與假設!$C$29+MAX(0,C36-輸入與假設!$C$29)*C75</f>
        <v>190.1</v>
      </c>
      <c r="D76" s="22" t="n">
        <f aca="false">C76+MAX(0,D36-C36)*D75</f>
        <v>190.1</v>
      </c>
      <c r="E76" s="22" t="n">
        <f aca="false">D76+MAX(0,E36-D36)*E75</f>
        <v>190.1</v>
      </c>
      <c r="F76" s="22" t="n">
        <f aca="false">E76+MAX(0,F36-E36)*F75</f>
        <v>190.1</v>
      </c>
      <c r="G76" s="22" t="n">
        <f aca="false">F76+MAX(0,G36-F36)*G75</f>
        <v>190.1</v>
      </c>
      <c r="I76" s="6" t="s">
        <v>281</v>
      </c>
    </row>
    <row r="77" customFormat="false" ht="15" hidden="false" customHeight="false" outlineLevel="2" collapsed="false">
      <c r="A77" s="3" t="s">
        <v>291</v>
      </c>
      <c r="B77" s="11" t="s">
        <v>268</v>
      </c>
      <c r="C77" s="31" t="n">
        <f aca="false">TK_HoldEcon_GB200*輸入與假設!$C$59</f>
        <v>8.82816556596761</v>
      </c>
      <c r="I77" s="11" t="s">
        <v>292</v>
      </c>
    </row>
    <row r="78" customFormat="false" ht="15" hidden="false" customHeight="false" outlineLevel="2" collapsed="false">
      <c r="A78" s="3" t="s">
        <v>293</v>
      </c>
      <c r="B78" s="11" t="s">
        <v>268</v>
      </c>
      <c r="C78" s="31" t="n">
        <f aca="false">TK_OpexGW_GB200</f>
        <v>1.812232738713</v>
      </c>
      <c r="I78" s="11" t="s">
        <v>294</v>
      </c>
    </row>
    <row r="79" customFormat="false" ht="15" hidden="false" customHeight="false" outlineLevel="2" collapsed="false">
      <c r="A79" s="3" t="s">
        <v>295</v>
      </c>
      <c r="B79" s="11" t="s">
        <v>268</v>
      </c>
      <c r="C79" s="31" t="n">
        <f aca="false">TK_IFW_RevGWFleet_Util_GB200</f>
        <v>20.1746158611128</v>
      </c>
      <c r="I79" s="11" t="s">
        <v>296</v>
      </c>
    </row>
    <row r="80" customFormat="false" ht="15" hidden="false" customHeight="false" outlineLevel="2" collapsed="false">
      <c r="A80" s="3" t="s">
        <v>297</v>
      </c>
      <c r="B80" s="11" t="s">
        <v>268</v>
      </c>
      <c r="C80" s="31" t="n">
        <f aca="false">TK_IFW_RevGWFleet_Prod_GB200</f>
        <v>15.2851605558118</v>
      </c>
      <c r="I80" s="11" t="s">
        <v>298</v>
      </c>
    </row>
    <row r="81" customFormat="false" ht="15" hidden="false" customHeight="false" outlineLevel="2" collapsed="false">
      <c r="A81" s="3" t="s">
        <v>299</v>
      </c>
      <c r="B81" s="11" t="s">
        <v>42</v>
      </c>
      <c r="C81" s="23" t="n">
        <v>0.35</v>
      </c>
      <c r="I81" s="6" t="s">
        <v>288</v>
      </c>
    </row>
    <row r="82" customFormat="false" ht="15" hidden="false" customHeight="false" outlineLevel="2" collapsed="false">
      <c r="A82" s="3" t="s">
        <v>300</v>
      </c>
      <c r="B82" s="11" t="s">
        <v>42</v>
      </c>
      <c r="C82" s="23" t="n">
        <v>0</v>
      </c>
      <c r="D82" s="23" t="n">
        <v>0</v>
      </c>
      <c r="E82" s="23" t="n">
        <v>0</v>
      </c>
      <c r="F82" s="23" t="n">
        <v>0</v>
      </c>
      <c r="G82" s="23" t="n">
        <v>0</v>
      </c>
      <c r="I82" s="6" t="s">
        <v>279</v>
      </c>
    </row>
    <row r="83" customFormat="false" ht="15" hidden="false" customHeight="false" outlineLevel="2" collapsed="false">
      <c r="A83" s="3" t="s">
        <v>301</v>
      </c>
      <c r="B83" s="11" t="s">
        <v>157</v>
      </c>
      <c r="C83" s="22" t="n">
        <f aca="false">輸入與假設!$C$81*輸入與假設!$C$29+MAX(0,C36-輸入與假設!$C$29)*C82</f>
        <v>665.35</v>
      </c>
      <c r="D83" s="22" t="n">
        <f aca="false">C83+MAX(0,D36-C36)*D82</f>
        <v>665.35</v>
      </c>
      <c r="E83" s="22" t="n">
        <f aca="false">D83+MAX(0,E36-D36)*E82</f>
        <v>665.35</v>
      </c>
      <c r="F83" s="22" t="n">
        <f aca="false">E83+MAX(0,F36-E36)*F82</f>
        <v>665.35</v>
      </c>
      <c r="G83" s="22" t="n">
        <f aca="false">F83+MAX(0,G36-F36)*G82</f>
        <v>665.35</v>
      </c>
      <c r="I83" s="6" t="s">
        <v>281</v>
      </c>
    </row>
    <row r="84" customFormat="false" ht="15" hidden="false" customHeight="false" outlineLevel="2" collapsed="false">
      <c r="A84" s="3" t="s">
        <v>302</v>
      </c>
      <c r="B84" s="11" t="s">
        <v>268</v>
      </c>
      <c r="C84" s="31" t="n">
        <f aca="false">TK_HoldEcon_GB200</f>
        <v>8.82816556596761</v>
      </c>
      <c r="I84" s="11" t="s">
        <v>303</v>
      </c>
    </row>
    <row r="85" customFormat="false" ht="15" hidden="false" customHeight="false" outlineLevel="2" collapsed="false">
      <c r="A85" s="3" t="s">
        <v>304</v>
      </c>
      <c r="B85" s="11" t="s">
        <v>268</v>
      </c>
      <c r="C85" s="31" t="n">
        <f aca="false">TK_OpexGW_GB200</f>
        <v>1.812232738713</v>
      </c>
      <c r="I85" s="11" t="s">
        <v>294</v>
      </c>
    </row>
    <row r="86" customFormat="false" ht="15" hidden="false" customHeight="false" outlineLevel="2" collapsed="false">
      <c r="A86" s="3" t="s">
        <v>305</v>
      </c>
      <c r="B86" s="11" t="s">
        <v>268</v>
      </c>
      <c r="C86" s="31" t="n">
        <f aca="false">TK_IFW_RevGWFleet_Util_GB200</f>
        <v>20.1746158611128</v>
      </c>
      <c r="I86" s="11" t="s">
        <v>296</v>
      </c>
    </row>
    <row r="87" customFormat="false" ht="15" hidden="false" customHeight="false" outlineLevel="2" collapsed="false">
      <c r="A87" s="3" t="s">
        <v>306</v>
      </c>
      <c r="B87" s="11" t="s">
        <v>268</v>
      </c>
      <c r="C87" s="31" t="n">
        <f aca="false">TK_IFW_RevGWFleet_Prod_GB200</f>
        <v>15.2851605558118</v>
      </c>
      <c r="I87" s="11" t="s">
        <v>298</v>
      </c>
    </row>
    <row r="88" customFormat="false" ht="15" hidden="false" customHeight="false" outlineLevel="2" collapsed="false">
      <c r="A88" s="3" t="s">
        <v>307</v>
      </c>
      <c r="B88" s="11" t="s">
        <v>42</v>
      </c>
      <c r="C88" s="23" t="n">
        <v>0.1</v>
      </c>
      <c r="I88" s="6" t="s">
        <v>288</v>
      </c>
    </row>
    <row r="89" customFormat="false" ht="15" hidden="false" customHeight="false" outlineLevel="2" collapsed="false">
      <c r="A89" s="3" t="s">
        <v>308</v>
      </c>
      <c r="B89" s="11" t="s">
        <v>42</v>
      </c>
      <c r="C89" s="23" t="n">
        <v>0</v>
      </c>
      <c r="D89" s="23" t="n">
        <v>0</v>
      </c>
      <c r="E89" s="23" t="n">
        <v>0</v>
      </c>
      <c r="F89" s="23" t="n">
        <v>0</v>
      </c>
      <c r="G89" s="23" t="n">
        <v>0</v>
      </c>
      <c r="I89" s="6" t="s">
        <v>279</v>
      </c>
    </row>
    <row r="90" customFormat="false" ht="15" hidden="false" customHeight="false" outlineLevel="2" collapsed="false">
      <c r="A90" s="3" t="s">
        <v>309</v>
      </c>
      <c r="B90" s="11" t="s">
        <v>157</v>
      </c>
      <c r="C90" s="22" t="n">
        <f aca="false">輸入與假設!$C$88*輸入與假設!$C$29+MAX(0,C36-輸入與假設!$C$29)*C89</f>
        <v>190.1</v>
      </c>
      <c r="D90" s="22" t="n">
        <f aca="false">C90+MAX(0,D36-C36)*D89</f>
        <v>190.1</v>
      </c>
      <c r="E90" s="22" t="n">
        <f aca="false">D90+MAX(0,E36-D36)*E89</f>
        <v>190.1</v>
      </c>
      <c r="F90" s="22" t="n">
        <f aca="false">E90+MAX(0,F36-E36)*F89</f>
        <v>190.1</v>
      </c>
      <c r="G90" s="22" t="n">
        <f aca="false">F90+MAX(0,G36-F36)*G89</f>
        <v>190.1</v>
      </c>
      <c r="I90" s="6" t="s">
        <v>281</v>
      </c>
    </row>
    <row r="91" customFormat="false" ht="15" hidden="false" customHeight="false" outlineLevel="2" collapsed="false">
      <c r="A91" s="3" t="s">
        <v>310</v>
      </c>
      <c r="B91" s="11" t="s">
        <v>268</v>
      </c>
      <c r="C91" s="31" t="n">
        <f aca="false">TK_HoldEcon_GB300*輸入與假設!$C$59</f>
        <v>10.8864110021101</v>
      </c>
      <c r="I91" s="11" t="s">
        <v>311</v>
      </c>
    </row>
    <row r="92" customFormat="false" ht="15" hidden="false" customHeight="false" outlineLevel="2" collapsed="false">
      <c r="A92" s="3" t="s">
        <v>312</v>
      </c>
      <c r="B92" s="11" t="s">
        <v>268</v>
      </c>
      <c r="C92" s="31" t="n">
        <f aca="false">TK_OpexGW_GB300</f>
        <v>1.98263481314457</v>
      </c>
      <c r="I92" s="11" t="s">
        <v>313</v>
      </c>
    </row>
    <row r="93" customFormat="false" ht="15" hidden="false" customHeight="false" outlineLevel="2" collapsed="false">
      <c r="A93" s="3" t="s">
        <v>314</v>
      </c>
      <c r="B93" s="11" t="s">
        <v>268</v>
      </c>
      <c r="C93" s="31" t="n">
        <f aca="false">TK_IFW_RevGWFleet_Util_GB300</f>
        <v>26.2652356996766</v>
      </c>
      <c r="I93" s="11" t="s">
        <v>315</v>
      </c>
    </row>
    <row r="94" customFormat="false" ht="15" hidden="false" customHeight="false" outlineLevel="2" collapsed="false">
      <c r="A94" s="3" t="s">
        <v>316</v>
      </c>
      <c r="B94" s="11" t="s">
        <v>268</v>
      </c>
      <c r="C94" s="31" t="n">
        <f aca="false">TK_IFW_RevGWFleet_Prod_GB300</f>
        <v>19.2324652424837</v>
      </c>
      <c r="I94" s="11" t="s">
        <v>317</v>
      </c>
    </row>
    <row r="95" customFormat="false" ht="15" hidden="false" customHeight="false" outlineLevel="2" collapsed="false">
      <c r="A95" s="3" t="s">
        <v>318</v>
      </c>
      <c r="B95" s="11" t="s">
        <v>42</v>
      </c>
      <c r="C95" s="23" t="n">
        <v>0.3</v>
      </c>
      <c r="I95" s="6" t="s">
        <v>288</v>
      </c>
    </row>
    <row r="96" customFormat="false" ht="15" hidden="false" customHeight="false" outlineLevel="2" collapsed="false">
      <c r="A96" s="3" t="s">
        <v>319</v>
      </c>
      <c r="B96" s="11" t="s">
        <v>42</v>
      </c>
      <c r="C96" s="23" t="n">
        <v>0.75</v>
      </c>
      <c r="D96" s="23" t="n">
        <v>0.4</v>
      </c>
      <c r="E96" s="23" t="n">
        <v>0</v>
      </c>
      <c r="F96" s="23" t="n">
        <v>0</v>
      </c>
      <c r="G96" s="23" t="n">
        <v>0</v>
      </c>
      <c r="I96" s="6" t="s">
        <v>279</v>
      </c>
    </row>
    <row r="97" customFormat="false" ht="15" hidden="false" customHeight="false" outlineLevel="2" collapsed="false">
      <c r="A97" s="3" t="s">
        <v>320</v>
      </c>
      <c r="B97" s="11" t="s">
        <v>157</v>
      </c>
      <c r="C97" s="22" t="n">
        <f aca="false">輸入與假設!$C$95*輸入與假設!$C$29+MAX(0,C36-輸入與假設!$C$29)*C96</f>
        <v>1037.5875</v>
      </c>
      <c r="D97" s="22" t="n">
        <f aca="false">C97+MAX(0,D36-C36)*D96</f>
        <v>1536.0275</v>
      </c>
      <c r="E97" s="22" t="n">
        <f aca="false">D97+MAX(0,E36-D36)*E96</f>
        <v>1536.0275</v>
      </c>
      <c r="F97" s="22" t="n">
        <f aca="false">E97+MAX(0,F36-E36)*F96</f>
        <v>1536.0275</v>
      </c>
      <c r="G97" s="22" t="n">
        <f aca="false">F97+MAX(0,G36-F36)*G96</f>
        <v>1536.0275</v>
      </c>
      <c r="I97" s="6" t="s">
        <v>281</v>
      </c>
    </row>
    <row r="98" customFormat="false" ht="15" hidden="false" customHeight="false" outlineLevel="2" collapsed="false">
      <c r="A98" s="3" t="s">
        <v>321</v>
      </c>
      <c r="B98" s="11" t="s">
        <v>268</v>
      </c>
      <c r="C98" s="31" t="n">
        <f aca="false">TK_HoldEcon_GB300</f>
        <v>10.8864110021101</v>
      </c>
      <c r="I98" s="11" t="s">
        <v>322</v>
      </c>
    </row>
    <row r="99" customFormat="false" ht="15" hidden="false" customHeight="false" outlineLevel="2" collapsed="false">
      <c r="A99" s="3" t="s">
        <v>323</v>
      </c>
      <c r="B99" s="11" t="s">
        <v>268</v>
      </c>
      <c r="C99" s="31" t="n">
        <f aca="false">TK_OpexGW_GB300</f>
        <v>1.98263481314457</v>
      </c>
      <c r="I99" s="11" t="s">
        <v>313</v>
      </c>
    </row>
    <row r="100" customFormat="false" ht="15" hidden="false" customHeight="false" outlineLevel="2" collapsed="false">
      <c r="A100" s="3" t="s">
        <v>324</v>
      </c>
      <c r="B100" s="11" t="s">
        <v>268</v>
      </c>
      <c r="C100" s="31" t="n">
        <f aca="false">TK_IFW_RevGWFleet_Util_GB300</f>
        <v>26.2652356996766</v>
      </c>
      <c r="I100" s="11" t="s">
        <v>315</v>
      </c>
    </row>
    <row r="101" customFormat="false" ht="15" hidden="false" customHeight="false" outlineLevel="2" collapsed="false">
      <c r="A101" s="3" t="s">
        <v>325</v>
      </c>
      <c r="B101" s="11" t="s">
        <v>268</v>
      </c>
      <c r="C101" s="31" t="n">
        <f aca="false">TK_IFW_RevGWFleet_Prod_GB300</f>
        <v>19.2324652424837</v>
      </c>
      <c r="I101" s="11" t="s">
        <v>317</v>
      </c>
    </row>
    <row r="102" customFormat="false" ht="15" hidden="false" customHeight="false" outlineLevel="2" collapsed="false">
      <c r="A102" s="3" t="s">
        <v>326</v>
      </c>
      <c r="B102" s="11" t="s">
        <v>42</v>
      </c>
      <c r="C102" s="23" t="n">
        <v>0</v>
      </c>
      <c r="I102" s="6" t="s">
        <v>288</v>
      </c>
    </row>
    <row r="103" customFormat="false" ht="15" hidden="false" customHeight="false" outlineLevel="2" collapsed="false">
      <c r="A103" s="3" t="s">
        <v>327</v>
      </c>
      <c r="B103" s="11" t="s">
        <v>42</v>
      </c>
      <c r="C103" s="23" t="n">
        <v>0.25</v>
      </c>
      <c r="D103" s="23" t="n">
        <v>0.1</v>
      </c>
      <c r="E103" s="23" t="n">
        <v>0</v>
      </c>
      <c r="F103" s="23" t="n">
        <v>0</v>
      </c>
      <c r="G103" s="23" t="n">
        <v>0</v>
      </c>
      <c r="I103" s="6" t="s">
        <v>279</v>
      </c>
    </row>
    <row r="104" customFormat="false" ht="15" hidden="false" customHeight="false" outlineLevel="2" collapsed="false">
      <c r="A104" s="3" t="s">
        <v>328</v>
      </c>
      <c r="B104" s="11" t="s">
        <v>157</v>
      </c>
      <c r="C104" s="22" t="n">
        <f aca="false">輸入與假設!$C$102*輸入與假設!$C$29+MAX(0,C36-輸入與假設!$C$29)*C103</f>
        <v>155.7625</v>
      </c>
      <c r="D104" s="22" t="n">
        <f aca="false">C104+MAX(0,D36-C36)*D103</f>
        <v>280.3725</v>
      </c>
      <c r="E104" s="22" t="n">
        <f aca="false">D104+MAX(0,E36-D36)*E103</f>
        <v>280.3725</v>
      </c>
      <c r="F104" s="22" t="n">
        <f aca="false">E104+MAX(0,F36-E36)*F103</f>
        <v>280.3725</v>
      </c>
      <c r="G104" s="22" t="n">
        <f aca="false">F104+MAX(0,G36-F36)*G103</f>
        <v>280.3725</v>
      </c>
      <c r="I104" s="6" t="s">
        <v>281</v>
      </c>
    </row>
    <row r="105" customFormat="false" ht="15" hidden="false" customHeight="false" outlineLevel="2" collapsed="false">
      <c r="A105" s="3" t="s">
        <v>329</v>
      </c>
      <c r="B105" s="11" t="s">
        <v>268</v>
      </c>
      <c r="C105" s="31" t="n">
        <f aca="false">TK_HoldEcon_VR200*輸入與假設!$C$59</f>
        <v>12.2254710045841</v>
      </c>
      <c r="I105" s="11" t="s">
        <v>330</v>
      </c>
    </row>
    <row r="106" customFormat="false" ht="15" hidden="false" customHeight="false" outlineLevel="2" collapsed="false">
      <c r="A106" s="3" t="s">
        <v>331</v>
      </c>
      <c r="B106" s="11" t="s">
        <v>268</v>
      </c>
      <c r="C106" s="31" t="n">
        <f aca="false">TK_OpexGW_VR200</f>
        <v>2.09349554831403</v>
      </c>
      <c r="I106" s="11" t="s">
        <v>332</v>
      </c>
    </row>
    <row r="107" customFormat="false" ht="15" hidden="false" customHeight="false" outlineLevel="2" collapsed="false">
      <c r="A107" s="3" t="s">
        <v>333</v>
      </c>
      <c r="B107" s="11" t="s">
        <v>268</v>
      </c>
      <c r="C107" s="31" t="n">
        <f aca="false">TK_IFW_RevGWFleet_Util_VR200</f>
        <v>48.7237019639935</v>
      </c>
      <c r="I107" s="11" t="s">
        <v>334</v>
      </c>
    </row>
    <row r="108" customFormat="false" ht="15" hidden="false" customHeight="false" outlineLevel="2" collapsed="false">
      <c r="A108" s="3" t="s">
        <v>335</v>
      </c>
      <c r="B108" s="11" t="s">
        <v>268</v>
      </c>
      <c r="C108" s="31" t="n">
        <f aca="false">TK_IFW_RevGWFleet_Prod_VR200</f>
        <v>38.1145472754025</v>
      </c>
      <c r="I108" s="11" t="s">
        <v>336</v>
      </c>
    </row>
    <row r="109" customFormat="false" ht="15" hidden="false" customHeight="false" outlineLevel="2" collapsed="false">
      <c r="A109" s="3" t="s">
        <v>337</v>
      </c>
      <c r="B109" s="11" t="s">
        <v>42</v>
      </c>
      <c r="C109" s="23" t="n">
        <v>0</v>
      </c>
      <c r="I109" s="6" t="s">
        <v>288</v>
      </c>
    </row>
    <row r="110" customFormat="false" ht="15" hidden="false" customHeight="false" outlineLevel="2" collapsed="false">
      <c r="A110" s="3" t="s">
        <v>338</v>
      </c>
      <c r="B110" s="11" t="s">
        <v>42</v>
      </c>
      <c r="C110" s="23" t="n">
        <v>0</v>
      </c>
      <c r="D110" s="23" t="n">
        <v>0.35</v>
      </c>
      <c r="E110" s="23" t="n">
        <v>0.75</v>
      </c>
      <c r="F110" s="23" t="n">
        <v>0.75</v>
      </c>
      <c r="G110" s="23" t="n">
        <v>0.75</v>
      </c>
      <c r="I110" s="6" t="s">
        <v>279</v>
      </c>
    </row>
    <row r="111" customFormat="false" ht="15" hidden="false" customHeight="false" outlineLevel="2" collapsed="false">
      <c r="A111" s="3" t="s">
        <v>339</v>
      </c>
      <c r="B111" s="11" t="s">
        <v>157</v>
      </c>
      <c r="C111" s="22" t="n">
        <f aca="false">輸入與假設!$C$109*輸入與假設!$C$29+MAX(0,C36-輸入與假設!$C$29)*C110</f>
        <v>0</v>
      </c>
      <c r="D111" s="22" t="n">
        <f aca="false">C111+MAX(0,D36-C36)*D110</f>
        <v>436.135</v>
      </c>
      <c r="E111" s="22" t="n">
        <f aca="false">D111+MAX(0,E36-D36)*E110</f>
        <v>1370.71</v>
      </c>
      <c r="F111" s="22" t="n">
        <f aca="false">E111+MAX(0,F36-E36)*F110</f>
        <v>2305.285</v>
      </c>
      <c r="G111" s="22" t="n">
        <f aca="false">F111+MAX(0,G36-F36)*G110</f>
        <v>3239.86</v>
      </c>
      <c r="I111" s="6" t="s">
        <v>281</v>
      </c>
    </row>
    <row r="112" customFormat="false" ht="15" hidden="false" customHeight="false" outlineLevel="2" collapsed="false">
      <c r="A112" s="3" t="s">
        <v>340</v>
      </c>
      <c r="B112" s="11" t="s">
        <v>268</v>
      </c>
      <c r="C112" s="31" t="n">
        <f aca="false">TK_HoldEcon_VR200</f>
        <v>12.2254710045841</v>
      </c>
      <c r="I112" s="11" t="s">
        <v>341</v>
      </c>
    </row>
    <row r="113" customFormat="false" ht="15" hidden="false" customHeight="false" outlineLevel="2" collapsed="false">
      <c r="A113" s="3" t="s">
        <v>342</v>
      </c>
      <c r="B113" s="11" t="s">
        <v>268</v>
      </c>
      <c r="C113" s="31" t="n">
        <f aca="false">TK_OpexGW_VR200</f>
        <v>2.09349554831403</v>
      </c>
      <c r="I113" s="11" t="s">
        <v>332</v>
      </c>
    </row>
    <row r="114" customFormat="false" ht="15" hidden="false" customHeight="false" outlineLevel="2" collapsed="false">
      <c r="A114" s="3" t="s">
        <v>343</v>
      </c>
      <c r="B114" s="11" t="s">
        <v>268</v>
      </c>
      <c r="C114" s="31" t="n">
        <f aca="false">TK_IFW_RevGWFleet_Util_VR200</f>
        <v>48.7237019639935</v>
      </c>
      <c r="I114" s="11" t="s">
        <v>334</v>
      </c>
    </row>
    <row r="115" customFormat="false" ht="15" hidden="false" customHeight="false" outlineLevel="2" collapsed="false">
      <c r="A115" s="3" t="s">
        <v>344</v>
      </c>
      <c r="B115" s="11" t="s">
        <v>268</v>
      </c>
      <c r="C115" s="31" t="n">
        <f aca="false">TK_IFW_RevGWFleet_Prod_VR200</f>
        <v>38.1145472754025</v>
      </c>
      <c r="I115" s="11" t="s">
        <v>336</v>
      </c>
    </row>
    <row r="116" customFormat="false" ht="15" hidden="false" customHeight="false" outlineLevel="2" collapsed="false">
      <c r="A116" s="3" t="s">
        <v>345</v>
      </c>
      <c r="B116" s="11" t="s">
        <v>42</v>
      </c>
      <c r="C116" s="23" t="n">
        <v>0</v>
      </c>
      <c r="I116" s="6" t="s">
        <v>288</v>
      </c>
    </row>
    <row r="117" customFormat="false" ht="15" hidden="false" customHeight="false" outlineLevel="2" collapsed="false">
      <c r="A117" s="3" t="s">
        <v>346</v>
      </c>
      <c r="B117" s="11" t="s">
        <v>42</v>
      </c>
      <c r="C117" s="23" t="n">
        <v>0</v>
      </c>
      <c r="D117" s="23" t="n">
        <v>0.15</v>
      </c>
      <c r="E117" s="23" t="n">
        <v>0.25</v>
      </c>
      <c r="F117" s="23" t="n">
        <v>0.25</v>
      </c>
      <c r="G117" s="23" t="n">
        <v>0.25</v>
      </c>
      <c r="I117" s="6" t="s">
        <v>279</v>
      </c>
    </row>
    <row r="118" customFormat="false" ht="15" hidden="false" customHeight="false" outlineLevel="2" collapsed="false">
      <c r="A118" s="3" t="s">
        <v>347</v>
      </c>
      <c r="B118" s="11" t="s">
        <v>157</v>
      </c>
      <c r="C118" s="22" t="n">
        <f aca="false">輸入與假設!$C$116*輸入與假設!$C$29+MAX(0,C36-輸入與假設!$C$29)*C117</f>
        <v>0</v>
      </c>
      <c r="D118" s="22" t="n">
        <f aca="false">C118+MAX(0,D36-C36)*D117</f>
        <v>186.915</v>
      </c>
      <c r="E118" s="22" t="n">
        <f aca="false">D118+MAX(0,E36-D36)*E117</f>
        <v>498.44</v>
      </c>
      <c r="F118" s="22" t="n">
        <f aca="false">E118+MAX(0,F36-E36)*F117</f>
        <v>809.965</v>
      </c>
      <c r="G118" s="22" t="n">
        <f aca="false">F118+MAX(0,G36-F36)*G117</f>
        <v>1121.49</v>
      </c>
      <c r="I118" s="6" t="s">
        <v>281</v>
      </c>
    </row>
    <row r="119" customFormat="false" ht="15" hidden="false" customHeight="false" outlineLevel="2" collapsed="false">
      <c r="A119" s="3" t="s">
        <v>348</v>
      </c>
      <c r="B119" s="11" t="s">
        <v>157</v>
      </c>
      <c r="C119" s="22" t="n">
        <f aca="false">C69+C76+C83+C90+C97+C104+C111+C118</f>
        <v>2524.05</v>
      </c>
      <c r="D119" s="22" t="n">
        <f aca="false">D69+D76+D83+D90+D97+D104+D111+D118</f>
        <v>3770.15</v>
      </c>
      <c r="E119" s="22" t="n">
        <f aca="false">E69+E76+E83+E90+E97+E104+E111+E118</f>
        <v>5016.25</v>
      </c>
      <c r="F119" s="22" t="n">
        <f aca="false">F69+F76+F83+F90+F97+F104+F111+F118</f>
        <v>6262.35</v>
      </c>
      <c r="G119" s="22" t="n">
        <f aca="false">G69+G76+G83+G90+G97+G104+G111+G118</f>
        <v>7508.45</v>
      </c>
      <c r="I119" s="6" t="s">
        <v>349</v>
      </c>
    </row>
    <row r="120" customFormat="false" ht="15" hidden="false" customHeight="false" outlineLevel="2" collapsed="false">
      <c r="A120" s="3" t="s">
        <v>350</v>
      </c>
      <c r="B120" s="11" t="s">
        <v>268</v>
      </c>
      <c r="C120" s="31" t="n">
        <f aca="false">(C69*輸入與假設!$C$63+C76*輸入與假設!$C$70+C83*輸入與假設!$C$77+C90*輸入與假設!$C$84+C97*輸入與假設!$C$91+C104*輸入與假設!$C$98+C111*輸入與假設!$C$105+C118*輸入與假設!$C$112)/MAX(0.000000001,C119)</f>
        <v>9.96602485509443</v>
      </c>
      <c r="D120" s="31" t="n">
        <f aca="false">(D69*輸入與假設!$C$63+D76*輸入與假設!$C$70+D83*輸入與假設!$C$77+D90*輸入與假設!$C$84+D97*輸入與假設!$C$91+D104*輸入與假設!$C$98+D111*輸入與假設!$C$105+D118*輸入與假設!$C$112)/MAX(0.000000001,D119)</f>
        <v>10.4915197325761</v>
      </c>
      <c r="E120" s="31" t="n">
        <f aca="false">(E69*輸入與假設!$C$63+E76*輸入與假設!$C$70+E83*輸入與假設!$C$77+E90*輸入與假設!$C$84+E97*輸入與假設!$C$91+E104*輸入與假設!$C$98+E111*輸入與假設!$C$105+E118*輸入與假設!$C$112)/MAX(0.000000001,E119)</f>
        <v>10.9222551783871</v>
      </c>
      <c r="F120" s="31" t="n">
        <f aca="false">(F69*輸入與假設!$C$63+F76*輸入與假設!$C$70+F83*輸入與假設!$C$77+F90*輸入與假設!$C$84+F97*輸入與假設!$C$91+F104*輸入與假設!$C$98+F111*輸入與假設!$C$105+F118*輸入與假設!$C$112)/MAX(0.000000001,F119)</f>
        <v>11.1815727254779</v>
      </c>
      <c r="G120" s="31" t="n">
        <f aca="false">(G69*輸入與假設!$C$63+G76*輸入與假設!$C$70+G83*輸入與假設!$C$77+G90*輸入與假設!$C$84+G97*輸入與假設!$C$91+G104*輸入與假設!$C$98+G111*輸入與假設!$C$105+G118*輸入與假設!$C$112)/MAX(0.000000001,G119)</f>
        <v>11.35481775549</v>
      </c>
      <c r="I120" s="6" t="s">
        <v>351</v>
      </c>
    </row>
    <row r="121" customFormat="false" ht="15" hidden="false" customHeight="false" outlineLevel="2" collapsed="false">
      <c r="A121" s="3" t="s">
        <v>352</v>
      </c>
      <c r="B121" s="11" t="s">
        <v>268</v>
      </c>
      <c r="C121" s="31" t="n">
        <f aca="false">(C69*輸入與假設!$C$64+C76*輸入與假設!$C$71+C83*輸入與假設!$C$78+C90*輸入與假設!$C$85+C97*輸入與假設!$C$92+C104*輸入與假設!$C$99+C111*輸入與假設!$C$106+C118*輸入與假設!$C$113)/MAX(0.000000001,C119)</f>
        <v>1.90643607320057</v>
      </c>
      <c r="D121" s="31" t="n">
        <f aca="false">(D69*輸入與假設!$C$64+D76*輸入與假設!$C$71+D83*輸入與假設!$C$78+D90*輸入與假設!$C$85+D97*輸入與假設!$C$92+D104*輸入與假設!$C$99+D111*輸入與假設!$C$106+D118*輸入與假設!$C$113)/MAX(0.000000001,D119)</f>
        <v>1.94994177745413</v>
      </c>
      <c r="E121" s="31" t="n">
        <f aca="false">(E69*輸入與假設!$C$64+E76*輸入與假設!$C$71+E83*輸入與假設!$C$78+E90*輸入與假設!$C$85+E97*輸入與假設!$C$92+E104*輸入與假設!$C$99+E111*輸入與假設!$C$106+E118*輸入與假設!$C$113)/MAX(0.000000001,E119)</f>
        <v>1.98560235136263</v>
      </c>
      <c r="F121" s="31" t="n">
        <f aca="false">(F69*輸入與假設!$C$64+F76*輸入與假設!$C$71+F83*輸入與假設!$C$78+F90*輸入與假設!$C$85+F97*輸入與假設!$C$92+F104*輸入與假設!$C$99+F111*輸入與假設!$C$106+F118*輸入與假設!$C$113)/MAX(0.000000001,F119)</f>
        <v>2.0070712428684</v>
      </c>
      <c r="G121" s="31" t="n">
        <f aca="false">(G69*輸入與假設!$C$64+G76*輸入與假設!$C$71+G83*輸入與假設!$C$78+G90*輸入與假設!$C$85+G97*輸入與假設!$C$92+G104*輸入與假設!$C$99+G111*輸入與假設!$C$106+G118*輸入與假設!$C$113)/MAX(0.000000001,G119)</f>
        <v>2.02141419341289</v>
      </c>
      <c r="I121" s="6" t="s">
        <v>353</v>
      </c>
    </row>
    <row r="122" customFormat="false" ht="15" hidden="false" customHeight="false" outlineLevel="2" collapsed="false">
      <c r="A122" s="3" t="s">
        <v>354</v>
      </c>
      <c r="B122" s="11" t="s">
        <v>268</v>
      </c>
      <c r="C122" s="31" t="n">
        <f aca="false">(C69*輸入與假設!$C$65+C76*輸入與假設!$C$72+C83*輸入與假設!$C$79+C90*輸入與假設!$C$86+C97*輸入與假設!$C$93+C104*輸入與假設!$C$100+C111*輸入與假設!$C$107+C118*輸入與假設!$C$114)/MAX(0.000000001,C119)</f>
        <v>20.0096341450148</v>
      </c>
      <c r="D122" s="31" t="n">
        <f aca="false">(D69*輸入與假設!$C$65+D76*輸入與假設!$C$72+D83*輸入與假設!$C$79+D90*輸入與假設!$C$86+D97*輸入與假設!$C$93+D104*輸入與假設!$C$100+D111*輸入與假設!$C$107+D118*輸入與假設!$C$114)/MAX(0.000000001,D119)</f>
        <v>25.7886754307055</v>
      </c>
      <c r="E122" s="31" t="n">
        <f aca="false">(E69*輸入與假設!$C$65+E76*輸入與假設!$C$72+E83*輸入與假設!$C$79+E90*輸入與假設!$C$86+E97*輸入與假設!$C$93+E104*輸入與假設!$C$100+E111*輸入與假設!$C$107+E118*輸入與假設!$C$114)/MAX(0.000000001,E119)</f>
        <v>31.4860263528346</v>
      </c>
      <c r="F122" s="31" t="n">
        <f aca="false">(F69*輸入與假設!$C$65+F76*輸入與假設!$C$72+F83*輸入與假設!$C$79+F90*輸入與假設!$C$86+F97*輸入與假設!$C$93+F104*輸入與假設!$C$100+F111*輸入與假設!$C$107+F118*輸入與假設!$C$114)/MAX(0.000000001,F119)</f>
        <v>34.9160274832513</v>
      </c>
      <c r="G122" s="31" t="n">
        <f aca="false">(G69*輸入與假設!$C$65+G76*輸入與假設!$C$72+G83*輸入與假設!$C$79+G90*輸入與假設!$C$86+G97*輸入與假設!$C$93+G104*輸入與假設!$C$100+G111*輸入與假設!$C$107+G118*輸入與假設!$C$114)/MAX(0.000000001,G119)</f>
        <v>37.2075447964721</v>
      </c>
      <c r="I122" s="6" t="s">
        <v>355</v>
      </c>
    </row>
    <row r="123" customFormat="false" ht="15" hidden="false" customHeight="false" outlineLevel="2" collapsed="false">
      <c r="A123" s="3" t="s">
        <v>356</v>
      </c>
      <c r="B123" s="11" t="s">
        <v>42</v>
      </c>
      <c r="C123" s="38" t="n">
        <f aca="false">C120*輸入與假設!$C$58/MAX(0.000000001,C122)</f>
        <v>0.574762766746752</v>
      </c>
      <c r="D123" s="38" t="n">
        <f aca="false">D120*輸入與假設!$C$58/MAX(0.000000001,D122)</f>
        <v>0.469477922738805</v>
      </c>
      <c r="E123" s="38" t="n">
        <f aca="false">E120*輸入與假設!$C$58/MAX(0.000000001,E122)</f>
        <v>0.400313533839241</v>
      </c>
      <c r="F123" s="38" t="n">
        <f aca="false">F120*輸入與假設!$C$58/MAX(0.000000001,F122)</f>
        <v>0.369559078030601</v>
      </c>
      <c r="G123" s="38" t="n">
        <f aca="false">G120*輸入與假設!$C$58/MAX(0.000000001,G122)</f>
        <v>0.352172113519241</v>
      </c>
      <c r="I123" s="6" t="s">
        <v>357</v>
      </c>
    </row>
    <row r="124" customFormat="false" ht="15" hidden="false" customHeight="false" outlineLevel="2" collapsed="false">
      <c r="A124" s="3" t="s">
        <v>358</v>
      </c>
      <c r="B124" s="11" t="s">
        <v>268</v>
      </c>
      <c r="C124" s="31" t="n">
        <f aca="false">(C69*輸入與假設!$C$66+C76*輸入與假設!$C$73+C83*輸入與假設!$C$80+C90*輸入與假設!$C$87+C97*輸入與假設!$C$94+C104*輸入與假設!$C$101+C111*輸入與假設!$C$108+C118*輸入與假設!$C$115)/MAX(0.000000001,C119)</f>
        <v>14.69571549056</v>
      </c>
      <c r="D124" s="31" t="n">
        <f aca="false">(D69*輸入與假設!$C$66+D76*輸入與假設!$C$73+D83*輸入與假設!$C$80+D90*輸入與假設!$C$87+D97*輸入與假設!$C$94+D104*輸入與假設!$C$101+D111*輸入與假設!$C$108+D118*輸入與假設!$C$115)/MAX(0.000000001,D119)</f>
        <v>19.3156179019978</v>
      </c>
      <c r="E124" s="31" t="n">
        <f aca="false">(E69*輸入與假設!$C$66+E76*輸入與假設!$C$73+E83*輸入與假設!$C$80+E90*輸入與假設!$C$87+E97*輸入與假設!$C$94+E104*輸入與假設!$C$101+E111*輸入與假設!$C$108+E118*輸入與假設!$C$115)/MAX(0.000000001,E119)</f>
        <v>23.9855099313423</v>
      </c>
      <c r="F124" s="31" t="n">
        <f aca="false">(F69*輸入與假設!$C$66+F76*輸入與假設!$C$73+F83*輸入與假設!$C$80+F90*輸入與假設!$C$87+F97*輸入與假設!$C$94+F104*輸入與假設!$C$101+F111*輸入與假設!$C$108+F118*輸入與假設!$C$115)/MAX(0.000000001,F119)</f>
        <v>26.7969454841992</v>
      </c>
      <c r="G124" s="31" t="n">
        <f aca="false">(G69*輸入與假設!$C$66+G76*輸入與假設!$C$73+G83*輸入與假設!$C$80+G90*輸入與假設!$C$87+G97*輸入與假設!$C$94+G104*輸入與假設!$C$101+G111*輸入與假設!$C$108+G118*輸入與假設!$C$115)/MAX(0.000000001,G119)</f>
        <v>28.6752111171885</v>
      </c>
      <c r="I124" s="6" t="s">
        <v>359</v>
      </c>
    </row>
    <row r="125" customFormat="false" ht="15" hidden="false" customHeight="false" outlineLevel="2" collapsed="false">
      <c r="A125" s="3" t="s">
        <v>360</v>
      </c>
      <c r="B125" s="11" t="s">
        <v>42</v>
      </c>
      <c r="C125" s="38" t="n">
        <f aca="false">C120*輸入與假設!$C$58/MAX(0.000000001,C124)</f>
        <v>0.782594946817438</v>
      </c>
      <c r="D125" s="38" t="n">
        <f aca="false">D120*輸入與假設!$C$58/MAX(0.000000001,D124)</f>
        <v>0.626809550324592</v>
      </c>
      <c r="E125" s="38" t="n">
        <f aca="false">E120*輸入與假設!$C$58/MAX(0.000000001,E124)</f>
        <v>0.525495706029932</v>
      </c>
      <c r="F125" s="38" t="n">
        <f aca="false">F120*輸入與假設!$C$58/MAX(0.000000001,F124)</f>
        <v>0.481530065910311</v>
      </c>
      <c r="G125" s="38" t="n">
        <f aca="false">G120*輸入與假設!$C$58/MAX(0.000000001,G124)</f>
        <v>0.456961228159221</v>
      </c>
      <c r="I125" s="6" t="s">
        <v>361</v>
      </c>
    </row>
    <row r="126" customFormat="false" ht="15" hidden="false" customHeight="false" outlineLevel="1" collapsed="false">
      <c r="A126" s="34" t="s">
        <v>362</v>
      </c>
      <c r="B126" s="20"/>
      <c r="C126" s="20"/>
      <c r="D126" s="20"/>
      <c r="E126" s="20"/>
      <c r="F126" s="20"/>
      <c r="G126" s="20"/>
      <c r="H126" s="20"/>
    </row>
    <row r="127" customFormat="false" ht="15" hidden="false" customHeight="false" outlineLevel="2" collapsed="false">
      <c r="A127" s="3" t="s">
        <v>363</v>
      </c>
      <c r="B127" s="11" t="s">
        <v>65</v>
      </c>
      <c r="C127" s="39" t="n">
        <f aca="false">運營_產能與收入!C26</f>
        <v>12.7227519053242</v>
      </c>
      <c r="D127" s="39" t="n">
        <f aca="false">運營_產能與收入!D26</f>
        <v>38.1014017385733</v>
      </c>
      <c r="E127" s="39" t="n">
        <f aca="false">運營_產能與收入!E26</f>
        <v>55.3706129164472</v>
      </c>
      <c r="F127" s="39" t="n">
        <f aca="false">運營_產能與收入!F26</f>
        <v>72.7630334432111</v>
      </c>
      <c r="G127" s="39" t="n">
        <f aca="false">運營_產能與收入!G26</f>
        <v>90.2173199645169</v>
      </c>
      <c r="I127" s="6" t="s">
        <v>364</v>
      </c>
    </row>
    <row r="128" customFormat="false" ht="15" hidden="false" customHeight="false" outlineLevel="2" collapsed="false">
      <c r="A128" s="4" t="s">
        <v>365</v>
      </c>
      <c r="B128" s="11" t="s">
        <v>218</v>
      </c>
      <c r="C128" s="30" t="n">
        <f aca="false">C39*輸入與假設!$C$32*C38</f>
        <v>0.011500792682779</v>
      </c>
      <c r="I128" s="6" t="s">
        <v>366</v>
      </c>
    </row>
    <row r="129" customFormat="false" ht="15" hidden="false" customHeight="false" outlineLevel="2" collapsed="false">
      <c r="A129" s="4" t="s">
        <v>367</v>
      </c>
      <c r="B129" s="11" t="s">
        <v>42</v>
      </c>
      <c r="C129" s="38" t="n">
        <f aca="false">1-C121/1000/MAX(0.000000001,C39*輸入與假設!$C$32)</f>
        <v>0.834234376204762</v>
      </c>
      <c r="I129" s="6" t="s">
        <v>368</v>
      </c>
    </row>
    <row r="130" customFormat="false" ht="15" hidden="false" customHeight="false" outlineLevel="2" collapsed="false">
      <c r="A130" s="3" t="s">
        <v>369</v>
      </c>
      <c r="B130" s="11" t="s">
        <v>65</v>
      </c>
      <c r="C130" s="24" t="n">
        <v>224.532</v>
      </c>
      <c r="I130" s="6" t="s">
        <v>370</v>
      </c>
    </row>
    <row r="131" customFormat="false" ht="15" hidden="false" customHeight="false" outlineLevel="2" collapsed="false">
      <c r="A131" s="3" t="s">
        <v>371</v>
      </c>
      <c r="B131" s="11" t="s">
        <v>65</v>
      </c>
      <c r="C131" s="24" t="n">
        <v>123.596</v>
      </c>
      <c r="I131" s="6" t="s">
        <v>372</v>
      </c>
    </row>
    <row r="132" customFormat="false" ht="15" hidden="false" customHeight="false" outlineLevel="2" collapsed="false">
      <c r="A132" s="3" t="s">
        <v>373</v>
      </c>
      <c r="B132" s="11" t="s">
        <v>42</v>
      </c>
      <c r="C132" s="23" t="n">
        <v>0.168013</v>
      </c>
      <c r="I132" s="6" t="s">
        <v>374</v>
      </c>
    </row>
    <row r="133" customFormat="false" ht="15" hidden="false" customHeight="false" outlineLevel="2" collapsed="false">
      <c r="A133" s="3" t="s">
        <v>375</v>
      </c>
      <c r="B133" s="11" t="s">
        <v>42</v>
      </c>
      <c r="C133" s="23" t="n">
        <v>0.586717</v>
      </c>
      <c r="I133" s="11" t="s">
        <v>376</v>
      </c>
    </row>
    <row r="134" customFormat="false" ht="15" hidden="false" customHeight="false" outlineLevel="2" collapsed="false">
      <c r="A134" s="3" t="s">
        <v>377</v>
      </c>
      <c r="B134" s="11" t="s">
        <v>42</v>
      </c>
      <c r="C134" s="23" t="n">
        <v>0.08</v>
      </c>
      <c r="I134" s="6" t="s">
        <v>378</v>
      </c>
    </row>
    <row r="135" customFormat="false" ht="15" hidden="false" customHeight="false" outlineLevel="2" collapsed="false">
      <c r="A135" s="3" t="s">
        <v>379</v>
      </c>
      <c r="B135" s="11" t="s">
        <v>42</v>
      </c>
      <c r="C135" s="23" t="n">
        <v>0.541632</v>
      </c>
      <c r="I135" s="11" t="s">
        <v>380</v>
      </c>
    </row>
    <row r="136" customFormat="false" ht="15" hidden="false" customHeight="false" outlineLevel="2" collapsed="false">
      <c r="A136" s="3" t="s">
        <v>381</v>
      </c>
      <c r="B136" s="11" t="s">
        <v>42</v>
      </c>
      <c r="C136" s="23" t="n">
        <v>0</v>
      </c>
      <c r="I136" s="6" t="s">
        <v>382</v>
      </c>
    </row>
    <row r="137" customFormat="false" ht="15" hidden="false" customHeight="false" outlineLevel="2" collapsed="false">
      <c r="A137" s="3" t="s">
        <v>383</v>
      </c>
      <c r="B137" s="11" t="s">
        <v>42</v>
      </c>
      <c r="C137" s="23" t="n">
        <v>0.06</v>
      </c>
      <c r="I137" s="6" t="s">
        <v>384</v>
      </c>
    </row>
    <row r="138" customFormat="false" ht="15" hidden="false" customHeight="false" outlineLevel="2" collapsed="false">
      <c r="A138" s="3" t="s">
        <v>385</v>
      </c>
      <c r="B138" s="11" t="s">
        <v>42</v>
      </c>
      <c r="C138" s="38" t="n">
        <f aca="false">輸入與假設!$C$132+(輸入與假設!$C$134-輸入與假設!$C$132)*0/4</f>
        <v>0.168013</v>
      </c>
      <c r="D138" s="38" t="n">
        <f aca="false">輸入與假設!$C$132+(輸入與假設!$C$134-輸入與假設!$C$132)*1/4</f>
        <v>0.14600975</v>
      </c>
      <c r="E138" s="38" t="n">
        <f aca="false">輸入與假設!$C$132+(輸入與假設!$C$134-輸入與假設!$C$132)*2/4</f>
        <v>0.1240065</v>
      </c>
      <c r="F138" s="38" t="n">
        <f aca="false">輸入與假設!$C$132+(輸入與假設!$C$134-輸入與假設!$C$132)*3/4</f>
        <v>0.10200325</v>
      </c>
      <c r="G138" s="38" t="n">
        <f aca="false">輸入與假設!$C$132+(輸入與假設!$C$134-輸入與假設!$C$132)*4/4</f>
        <v>0.08</v>
      </c>
      <c r="I138" s="6" t="s">
        <v>386</v>
      </c>
    </row>
    <row r="139" customFormat="false" ht="15" hidden="false" customHeight="false" outlineLevel="2" collapsed="false">
      <c r="A139" s="3" t="s">
        <v>387</v>
      </c>
      <c r="B139" s="11" t="s">
        <v>65</v>
      </c>
      <c r="C139" s="32" t="n">
        <f aca="false">輸入與假設!$C$130*(1+C138)</f>
        <v>262.256294916</v>
      </c>
      <c r="D139" s="32" t="n">
        <f aca="false">C139*(1+D138)</f>
        <v>300.548270972611</v>
      </c>
      <c r="E139" s="32" t="n">
        <f aca="false">D139*(1+E138)</f>
        <v>337.818210136977</v>
      </c>
      <c r="F139" s="32" t="n">
        <f aca="false">E139*(1+F138)</f>
        <v>372.276765480131</v>
      </c>
      <c r="G139" s="32" t="n">
        <f aca="false">F139*(1+G138)</f>
        <v>402.058906718542</v>
      </c>
      <c r="I139" s="6" t="s">
        <v>388</v>
      </c>
    </row>
    <row r="140" customFormat="false" ht="15" hidden="false" customHeight="false" outlineLevel="2" collapsed="false">
      <c r="A140" s="3" t="s">
        <v>389</v>
      </c>
      <c r="B140" s="11" t="s">
        <v>65</v>
      </c>
      <c r="C140" s="32" t="n">
        <f aca="false">C139-輸入與假設!$C$131</f>
        <v>138.660294916</v>
      </c>
      <c r="D140" s="32" t="n">
        <f aca="false">D139</f>
        <v>300.548270972611</v>
      </c>
      <c r="E140" s="32" t="n">
        <f aca="false">E139</f>
        <v>337.818210136977</v>
      </c>
      <c r="F140" s="32" t="n">
        <f aca="false">F139</f>
        <v>372.276765480131</v>
      </c>
      <c r="G140" s="32" t="n">
        <f aca="false">G139</f>
        <v>402.058906718542</v>
      </c>
      <c r="I140" s="11" t="s">
        <v>390</v>
      </c>
    </row>
    <row r="141" customFormat="false" ht="15" hidden="false" customHeight="false" outlineLevel="2" collapsed="false">
      <c r="A141" s="3" t="s">
        <v>391</v>
      </c>
      <c r="B141" s="11" t="s">
        <v>42</v>
      </c>
      <c r="C141" s="38" t="n">
        <f aca="false">輸入與假設!$C$133+(輸入與假設!$C$135-輸入與假設!$C$133)*0/4</f>
        <v>0.586717</v>
      </c>
      <c r="D141" s="38" t="n">
        <f aca="false">輸入與假設!$C$133+(輸入與假設!$C$135-輸入與假設!$C$133)*1/4</f>
        <v>0.57544575</v>
      </c>
      <c r="E141" s="38" t="n">
        <f aca="false">輸入與假設!$C$133+(輸入與假設!$C$135-輸入與假設!$C$133)*2/4</f>
        <v>0.5641745</v>
      </c>
      <c r="F141" s="38" t="n">
        <f aca="false">輸入與假設!$C$133+(輸入與假設!$C$135-輸入與假設!$C$133)*3/4</f>
        <v>0.55290325</v>
      </c>
      <c r="G141" s="38" t="n">
        <f aca="false">輸入與假設!$C$133+(輸入與假設!$C$135-輸入與假設!$C$133)*4/4</f>
        <v>0.541632</v>
      </c>
      <c r="I141" s="6" t="s">
        <v>386</v>
      </c>
    </row>
    <row r="142" customFormat="false" ht="15" hidden="false" customHeight="false" outlineLevel="2" collapsed="false">
      <c r="A142" s="3" t="s">
        <v>392</v>
      </c>
      <c r="B142" s="11" t="s">
        <v>65</v>
      </c>
      <c r="C142" s="32" t="n">
        <f aca="false">C140*C141</f>
        <v>81.3543522522308</v>
      </c>
      <c r="D142" s="32" t="n">
        <f aca="false">D140*D141</f>
        <v>172.949225201038</v>
      </c>
      <c r="E142" s="32" t="n">
        <f aca="false">E140*E141</f>
        <v>190.588419794924</v>
      </c>
      <c r="F142" s="32" t="n">
        <f aca="false">F140*F141</f>
        <v>205.833033533452</v>
      </c>
      <c r="G142" s="32" t="n">
        <f aca="false">G140*G141</f>
        <v>217.767969763777</v>
      </c>
      <c r="I142" s="6" t="s">
        <v>393</v>
      </c>
    </row>
    <row r="143" customFormat="false" ht="15" hidden="false" customHeight="false" outlineLevel="2" collapsed="false">
      <c r="A143" s="3" t="s">
        <v>394</v>
      </c>
      <c r="B143" s="11" t="s">
        <v>65</v>
      </c>
      <c r="C143" s="32" t="n">
        <f aca="false">C140*輸入與假設!$C$136</f>
        <v>0</v>
      </c>
      <c r="D143" s="32" t="n">
        <f aca="false">D140*輸入與假設!$C$136</f>
        <v>0</v>
      </c>
      <c r="E143" s="32" t="n">
        <f aca="false">E140*輸入與假設!$C$136</f>
        <v>0</v>
      </c>
      <c r="F143" s="32" t="n">
        <f aca="false">F140*輸入與假設!$C$136</f>
        <v>0</v>
      </c>
      <c r="G143" s="32" t="n">
        <f aca="false">G140*輸入與假設!$C$136</f>
        <v>0</v>
      </c>
      <c r="I143" s="6" t="s">
        <v>395</v>
      </c>
    </row>
    <row r="144" customFormat="false" ht="15" hidden="false" customHeight="false" outlineLevel="2" collapsed="false">
      <c r="A144" s="3" t="s">
        <v>396</v>
      </c>
      <c r="B144" s="11" t="s">
        <v>65</v>
      </c>
      <c r="C144" s="24" t="n">
        <v>40.367</v>
      </c>
      <c r="I144" s="6" t="s">
        <v>370</v>
      </c>
    </row>
    <row r="145" customFormat="false" ht="15" hidden="false" customHeight="false" outlineLevel="2" collapsed="false">
      <c r="A145" s="3" t="s">
        <v>397</v>
      </c>
      <c r="B145" s="11" t="s">
        <v>65</v>
      </c>
      <c r="C145" s="24" t="n">
        <v>20.938</v>
      </c>
      <c r="I145" s="6" t="s">
        <v>372</v>
      </c>
    </row>
    <row r="146" customFormat="false" ht="15" hidden="false" customHeight="false" outlineLevel="2" collapsed="false">
      <c r="A146" s="3" t="s">
        <v>398</v>
      </c>
      <c r="B146" s="11" t="s">
        <v>42</v>
      </c>
      <c r="C146" s="23" t="n">
        <v>0.117139</v>
      </c>
      <c r="I146" s="6" t="s">
        <v>374</v>
      </c>
    </row>
    <row r="147" customFormat="false" ht="15" hidden="false" customHeight="false" outlineLevel="2" collapsed="false">
      <c r="A147" s="3" t="s">
        <v>399</v>
      </c>
      <c r="B147" s="11" t="s">
        <v>42</v>
      </c>
      <c r="C147" s="23" t="n">
        <v>0.4</v>
      </c>
      <c r="I147" s="11" t="s">
        <v>400</v>
      </c>
    </row>
    <row r="148" customFormat="false" ht="15" hidden="false" customHeight="false" outlineLevel="2" collapsed="false">
      <c r="A148" s="3" t="s">
        <v>401</v>
      </c>
      <c r="B148" s="11" t="s">
        <v>42</v>
      </c>
      <c r="C148" s="23" t="n">
        <v>0.08</v>
      </c>
      <c r="I148" s="6" t="s">
        <v>378</v>
      </c>
    </row>
    <row r="149" customFormat="false" ht="15" hidden="false" customHeight="false" outlineLevel="2" collapsed="false">
      <c r="A149" s="3" t="s">
        <v>402</v>
      </c>
      <c r="B149" s="11" t="s">
        <v>42</v>
      </c>
      <c r="C149" s="23" t="n">
        <v>0.354915</v>
      </c>
      <c r="I149" s="11" t="s">
        <v>380</v>
      </c>
    </row>
    <row r="150" customFormat="false" ht="15" hidden="false" customHeight="false" outlineLevel="2" collapsed="false">
      <c r="A150" s="3" t="s">
        <v>403</v>
      </c>
      <c r="B150" s="11" t="s">
        <v>42</v>
      </c>
      <c r="C150" s="23" t="n">
        <v>0</v>
      </c>
      <c r="I150" s="6" t="s">
        <v>382</v>
      </c>
    </row>
    <row r="151" customFormat="false" ht="15" hidden="false" customHeight="false" outlineLevel="2" collapsed="false">
      <c r="A151" s="3" t="s">
        <v>404</v>
      </c>
      <c r="B151" s="11" t="s">
        <v>42</v>
      </c>
      <c r="C151" s="23" t="n">
        <v>0.06</v>
      </c>
      <c r="I151" s="6" t="s">
        <v>384</v>
      </c>
    </row>
    <row r="152" customFormat="false" ht="15" hidden="false" customHeight="false" outlineLevel="2" collapsed="false">
      <c r="A152" s="3" t="s">
        <v>405</v>
      </c>
      <c r="B152" s="11" t="s">
        <v>42</v>
      </c>
      <c r="C152" s="38" t="n">
        <f aca="false">輸入與假設!$C$146+(輸入與假設!$C$148-輸入與假設!$C$146)*0/4</f>
        <v>0.117139</v>
      </c>
      <c r="D152" s="38" t="n">
        <f aca="false">輸入與假設!$C$146+(輸入與假設!$C$148-輸入與假設!$C$146)*1/4</f>
        <v>0.10785425</v>
      </c>
      <c r="E152" s="38" t="n">
        <f aca="false">輸入與假設!$C$146+(輸入與假設!$C$148-輸入與假設!$C$146)*2/4</f>
        <v>0.0985695</v>
      </c>
      <c r="F152" s="38" t="n">
        <f aca="false">輸入與假設!$C$146+(輸入與假設!$C$148-輸入與假設!$C$146)*3/4</f>
        <v>0.08928475</v>
      </c>
      <c r="G152" s="38" t="n">
        <f aca="false">輸入與假設!$C$146+(輸入與假設!$C$148-輸入與假設!$C$146)*4/4</f>
        <v>0.08</v>
      </c>
      <c r="I152" s="6" t="s">
        <v>386</v>
      </c>
    </row>
    <row r="153" customFormat="false" ht="15" hidden="false" customHeight="false" outlineLevel="2" collapsed="false">
      <c r="A153" s="3" t="s">
        <v>406</v>
      </c>
      <c r="B153" s="11" t="s">
        <v>65</v>
      </c>
      <c r="C153" s="32" t="n">
        <f aca="false">輸入與假設!$C$144*(1+C152)</f>
        <v>45.095550013</v>
      </c>
      <c r="D153" s="32" t="n">
        <f aca="false">C153*(1+D152)</f>
        <v>49.9592967379896</v>
      </c>
      <c r="E153" s="32" t="n">
        <f aca="false">D153*(1+E152)</f>
        <v>54.8837596378049</v>
      </c>
      <c r="F153" s="32" t="n">
        <f aca="false">E153*(1+F152)</f>
        <v>59.7840423961264</v>
      </c>
      <c r="G153" s="32" t="n">
        <f aca="false">F153*(1+G152)</f>
        <v>64.5667657878165</v>
      </c>
      <c r="I153" s="6" t="s">
        <v>388</v>
      </c>
    </row>
    <row r="154" customFormat="false" ht="15" hidden="false" customHeight="false" outlineLevel="2" collapsed="false">
      <c r="A154" s="3" t="s">
        <v>407</v>
      </c>
      <c r="B154" s="11" t="s">
        <v>65</v>
      </c>
      <c r="C154" s="32" t="n">
        <f aca="false">C153-輸入與假設!$C$145</f>
        <v>24.157550013</v>
      </c>
      <c r="D154" s="32" t="n">
        <f aca="false">D153</f>
        <v>49.9592967379896</v>
      </c>
      <c r="E154" s="32" t="n">
        <f aca="false">E153</f>
        <v>54.8837596378049</v>
      </c>
      <c r="F154" s="32" t="n">
        <f aca="false">F153</f>
        <v>59.7840423961264</v>
      </c>
      <c r="G154" s="32" t="n">
        <f aca="false">G153</f>
        <v>64.5667657878165</v>
      </c>
      <c r="I154" s="11" t="s">
        <v>390</v>
      </c>
    </row>
    <row r="155" customFormat="false" ht="15" hidden="false" customHeight="false" outlineLevel="2" collapsed="false">
      <c r="A155" s="3" t="s">
        <v>408</v>
      </c>
      <c r="B155" s="11" t="s">
        <v>42</v>
      </c>
      <c r="C155" s="38" t="n">
        <f aca="false">輸入與假設!$C$147+(輸入與假設!$C$149-輸入與假設!$C$147)*0/4</f>
        <v>0.4</v>
      </c>
      <c r="D155" s="38" t="n">
        <f aca="false">輸入與假設!$C$147+(輸入與假設!$C$149-輸入與假設!$C$147)*1/4</f>
        <v>0.38872875</v>
      </c>
      <c r="E155" s="38" t="n">
        <f aca="false">輸入與假設!$C$147+(輸入與假設!$C$149-輸入與假設!$C$147)*2/4</f>
        <v>0.3774575</v>
      </c>
      <c r="F155" s="38" t="n">
        <f aca="false">輸入與假設!$C$147+(輸入與假設!$C$149-輸入與假設!$C$147)*3/4</f>
        <v>0.36618625</v>
      </c>
      <c r="G155" s="38" t="n">
        <f aca="false">輸入與假設!$C$147+(輸入與假設!$C$149-輸入與假設!$C$147)*4/4</f>
        <v>0.354915</v>
      </c>
      <c r="I155" s="6" t="s">
        <v>386</v>
      </c>
    </row>
    <row r="156" customFormat="false" ht="15" hidden="false" customHeight="false" outlineLevel="2" collapsed="false">
      <c r="A156" s="3" t="s">
        <v>409</v>
      </c>
      <c r="B156" s="11" t="s">
        <v>65</v>
      </c>
      <c r="C156" s="32" t="n">
        <f aca="false">C154*C155</f>
        <v>9.6630200052</v>
      </c>
      <c r="D156" s="32" t="n">
        <f aca="false">D154*D155</f>
        <v>19.4206149718378</v>
      </c>
      <c r="E156" s="32" t="n">
        <f aca="false">E154*E155</f>
        <v>20.7162867034867</v>
      </c>
      <c r="F156" s="32" t="n">
        <f aca="false">F154*F155</f>
        <v>21.8920942948785</v>
      </c>
      <c r="G156" s="32" t="n">
        <f aca="false">G154*G155</f>
        <v>22.9157136795829</v>
      </c>
      <c r="I156" s="6" t="s">
        <v>393</v>
      </c>
    </row>
    <row r="157" customFormat="false" ht="15" hidden="false" customHeight="false" outlineLevel="2" collapsed="false">
      <c r="A157" s="3" t="s">
        <v>410</v>
      </c>
      <c r="B157" s="11" t="s">
        <v>65</v>
      </c>
      <c r="C157" s="32" t="n">
        <f aca="false">C154*輸入與假設!$C$150</f>
        <v>0</v>
      </c>
      <c r="D157" s="32" t="n">
        <f aca="false">D154*輸入與假設!$C$150</f>
        <v>0</v>
      </c>
      <c r="E157" s="32" t="n">
        <f aca="false">E154*輸入與假設!$C$150</f>
        <v>0</v>
      </c>
      <c r="F157" s="32" t="n">
        <f aca="false">F154*輸入與假設!$C$150</f>
        <v>0</v>
      </c>
      <c r="G157" s="32" t="n">
        <f aca="false">G154*輸入與假設!$C$150</f>
        <v>0</v>
      </c>
      <c r="I157" s="6" t="s">
        <v>395</v>
      </c>
    </row>
    <row r="158" customFormat="false" ht="15" hidden="false" customHeight="false" outlineLevel="2" collapsed="false">
      <c r="A158" s="3" t="s">
        <v>411</v>
      </c>
      <c r="B158" s="11" t="s">
        <v>65</v>
      </c>
      <c r="C158" s="24" t="n">
        <v>29.792</v>
      </c>
      <c r="I158" s="6" t="s">
        <v>370</v>
      </c>
    </row>
    <row r="159" customFormat="false" ht="15" hidden="false" customHeight="false" outlineLevel="2" collapsed="false">
      <c r="A159" s="3" t="s">
        <v>412</v>
      </c>
      <c r="B159" s="11" t="s">
        <v>65</v>
      </c>
      <c r="C159" s="24" t="n">
        <v>14.274</v>
      </c>
      <c r="I159" s="6" t="s">
        <v>372</v>
      </c>
    </row>
    <row r="160" customFormat="false" ht="15" hidden="false" customHeight="false" outlineLevel="2" collapsed="false">
      <c r="A160" s="3" t="s">
        <v>413</v>
      </c>
      <c r="B160" s="11" t="s">
        <v>42</v>
      </c>
      <c r="C160" s="23" t="n">
        <v>-0.021785</v>
      </c>
      <c r="I160" s="6" t="s">
        <v>374</v>
      </c>
    </row>
    <row r="161" customFormat="false" ht="15" hidden="false" customHeight="false" outlineLevel="2" collapsed="false">
      <c r="A161" s="3" t="s">
        <v>414</v>
      </c>
      <c r="B161" s="11" t="s">
        <v>42</v>
      </c>
      <c r="C161" s="23" t="n">
        <v>0.15</v>
      </c>
      <c r="I161" s="11" t="s">
        <v>415</v>
      </c>
    </row>
    <row r="162" customFormat="false" ht="15" hidden="false" customHeight="false" outlineLevel="2" collapsed="false">
      <c r="A162" s="3" t="s">
        <v>416</v>
      </c>
      <c r="B162" s="11" t="s">
        <v>42</v>
      </c>
      <c r="C162" s="23" t="n">
        <v>0</v>
      </c>
      <c r="I162" s="6" t="s">
        <v>378</v>
      </c>
    </row>
    <row r="163" customFormat="false" ht="15" hidden="false" customHeight="false" outlineLevel="2" collapsed="false">
      <c r="A163" s="3" t="s">
        <v>417</v>
      </c>
      <c r="B163" s="11" t="s">
        <v>42</v>
      </c>
      <c r="C163" s="23" t="n">
        <v>0.104915</v>
      </c>
      <c r="I163" s="11" t="s">
        <v>380</v>
      </c>
    </row>
    <row r="164" customFormat="false" ht="15" hidden="false" customHeight="false" outlineLevel="2" collapsed="false">
      <c r="A164" s="3" t="s">
        <v>418</v>
      </c>
      <c r="B164" s="11" t="s">
        <v>42</v>
      </c>
      <c r="C164" s="23" t="n">
        <v>0</v>
      </c>
      <c r="I164" s="6" t="s">
        <v>382</v>
      </c>
    </row>
    <row r="165" customFormat="false" ht="15" hidden="false" customHeight="false" outlineLevel="2" collapsed="false">
      <c r="A165" s="3" t="s">
        <v>419</v>
      </c>
      <c r="B165" s="11" t="s">
        <v>42</v>
      </c>
      <c r="C165" s="23" t="n">
        <v>0.06</v>
      </c>
      <c r="I165" s="6" t="s">
        <v>384</v>
      </c>
    </row>
    <row r="166" customFormat="false" ht="15" hidden="false" customHeight="false" outlineLevel="2" collapsed="false">
      <c r="A166" s="3" t="s">
        <v>420</v>
      </c>
      <c r="B166" s="11" t="s">
        <v>42</v>
      </c>
      <c r="C166" s="38" t="n">
        <f aca="false">輸入與假設!$C$160+(輸入與假設!$C$162-輸入與假設!$C$160)*0/4</f>
        <v>-0.021785</v>
      </c>
      <c r="D166" s="38" t="n">
        <f aca="false">輸入與假設!$C$160+(輸入與假設!$C$162-輸入與假設!$C$160)*1/4</f>
        <v>-0.01633875</v>
      </c>
      <c r="E166" s="38" t="n">
        <f aca="false">輸入與假設!$C$160+(輸入與假設!$C$162-輸入與假設!$C$160)*2/4</f>
        <v>-0.0108925</v>
      </c>
      <c r="F166" s="38" t="n">
        <f aca="false">輸入與假設!$C$160+(輸入與假設!$C$162-輸入與假設!$C$160)*3/4</f>
        <v>-0.00544625</v>
      </c>
      <c r="G166" s="38" t="n">
        <f aca="false">輸入與假設!$C$160+(輸入與假設!$C$162-輸入與假設!$C$160)*4/4</f>
        <v>0</v>
      </c>
      <c r="I166" s="6" t="s">
        <v>386</v>
      </c>
    </row>
    <row r="167" customFormat="false" ht="15" hidden="false" customHeight="false" outlineLevel="2" collapsed="false">
      <c r="A167" s="3" t="s">
        <v>421</v>
      </c>
      <c r="B167" s="11" t="s">
        <v>65</v>
      </c>
      <c r="C167" s="32" t="n">
        <f aca="false">輸入與假設!$C$158*(1+C166)</f>
        <v>29.14298128</v>
      </c>
      <c r="D167" s="32" t="n">
        <f aca="false">C167*(1+D166)</f>
        <v>28.6668213946114</v>
      </c>
      <c r="E167" s="32" t="n">
        <f aca="false">D167*(1+E166)</f>
        <v>28.3545680425706</v>
      </c>
      <c r="F167" s="32" t="n">
        <f aca="false">E167*(1+F166)</f>
        <v>28.2001419763688</v>
      </c>
      <c r="G167" s="32" t="n">
        <f aca="false">F167*(1+G166)</f>
        <v>28.2001419763688</v>
      </c>
      <c r="I167" s="6" t="s">
        <v>388</v>
      </c>
    </row>
    <row r="168" customFormat="false" ht="15" hidden="false" customHeight="false" outlineLevel="2" collapsed="false">
      <c r="A168" s="3" t="s">
        <v>422</v>
      </c>
      <c r="B168" s="11" t="s">
        <v>65</v>
      </c>
      <c r="C168" s="32" t="n">
        <f aca="false">C167-輸入與假設!$C$159</f>
        <v>14.86898128</v>
      </c>
      <c r="D168" s="32" t="n">
        <f aca="false">D167</f>
        <v>28.6668213946114</v>
      </c>
      <c r="E168" s="32" t="n">
        <f aca="false">E167</f>
        <v>28.3545680425706</v>
      </c>
      <c r="F168" s="32" t="n">
        <f aca="false">F167</f>
        <v>28.2001419763688</v>
      </c>
      <c r="G168" s="32" t="n">
        <f aca="false">G167</f>
        <v>28.2001419763688</v>
      </c>
      <c r="I168" s="11" t="s">
        <v>390</v>
      </c>
    </row>
    <row r="169" customFormat="false" ht="15" hidden="false" customHeight="false" outlineLevel="2" collapsed="false">
      <c r="A169" s="3" t="s">
        <v>423</v>
      </c>
      <c r="B169" s="11" t="s">
        <v>42</v>
      </c>
      <c r="C169" s="38" t="n">
        <f aca="false">輸入與假設!$C$161+(輸入與假設!$C$163-輸入與假設!$C$161)*0/4</f>
        <v>0.15</v>
      </c>
      <c r="D169" s="38" t="n">
        <f aca="false">輸入與假設!$C$161+(輸入與假設!$C$163-輸入與假設!$C$161)*1/4</f>
        <v>0.13872875</v>
      </c>
      <c r="E169" s="38" t="n">
        <f aca="false">輸入與假設!$C$161+(輸入與假設!$C$163-輸入與假設!$C$161)*2/4</f>
        <v>0.1274575</v>
      </c>
      <c r="F169" s="38" t="n">
        <f aca="false">輸入與假設!$C$161+(輸入與假設!$C$163-輸入與假設!$C$161)*3/4</f>
        <v>0.11618625</v>
      </c>
      <c r="G169" s="38" t="n">
        <f aca="false">輸入與假設!$C$161+(輸入與假設!$C$163-輸入與假設!$C$161)*4/4</f>
        <v>0.104915</v>
      </c>
      <c r="I169" s="6" t="s">
        <v>386</v>
      </c>
    </row>
    <row r="170" customFormat="false" ht="15" hidden="false" customHeight="false" outlineLevel="2" collapsed="false">
      <c r="A170" s="3" t="s">
        <v>424</v>
      </c>
      <c r="B170" s="11" t="s">
        <v>65</v>
      </c>
      <c r="C170" s="32" t="n">
        <f aca="false">C168*C169</f>
        <v>2.230347192</v>
      </c>
      <c r="D170" s="32" t="n">
        <f aca="false">D168*D169</f>
        <v>3.9769122985477</v>
      </c>
      <c r="E170" s="32" t="n">
        <f aca="false">E168*E169</f>
        <v>3.61400235628594</v>
      </c>
      <c r="F170" s="32" t="n">
        <f aca="false">F168*F169</f>
        <v>3.27646874570187</v>
      </c>
      <c r="G170" s="32" t="n">
        <f aca="false">G168*G169</f>
        <v>2.95861789545073</v>
      </c>
      <c r="I170" s="6" t="s">
        <v>393</v>
      </c>
    </row>
    <row r="171" customFormat="false" ht="15" hidden="false" customHeight="false" outlineLevel="2" collapsed="false">
      <c r="A171" s="3" t="s">
        <v>425</v>
      </c>
      <c r="B171" s="11" t="s">
        <v>65</v>
      </c>
      <c r="C171" s="32" t="n">
        <f aca="false">C168*輸入與假設!$C$164</f>
        <v>0</v>
      </c>
      <c r="D171" s="32" t="n">
        <f aca="false">D168*輸入與假設!$C$164</f>
        <v>0</v>
      </c>
      <c r="E171" s="32" t="n">
        <f aca="false">E168*輸入與假設!$C$164</f>
        <v>0</v>
      </c>
      <c r="F171" s="32" t="n">
        <f aca="false">F168*輸入與假設!$C$164</f>
        <v>0</v>
      </c>
      <c r="G171" s="32" t="n">
        <f aca="false">G168*輸入與假設!$C$164</f>
        <v>0</v>
      </c>
      <c r="I171" s="6" t="s">
        <v>395</v>
      </c>
    </row>
    <row r="172" customFormat="false" ht="15" hidden="false" customHeight="false" outlineLevel="2" collapsed="false">
      <c r="A172" s="3" t="s">
        <v>426</v>
      </c>
      <c r="B172" s="11" t="s">
        <v>65</v>
      </c>
      <c r="C172" s="24" t="n">
        <v>48.03</v>
      </c>
      <c r="I172" s="6" t="s">
        <v>370</v>
      </c>
    </row>
    <row r="173" customFormat="false" ht="15" hidden="false" customHeight="false" outlineLevel="2" collapsed="false">
      <c r="A173" s="3" t="s">
        <v>427</v>
      </c>
      <c r="B173" s="11" t="s">
        <v>65</v>
      </c>
      <c r="C173" s="24" t="n">
        <v>25.295</v>
      </c>
      <c r="I173" s="6" t="s">
        <v>372</v>
      </c>
    </row>
    <row r="174" customFormat="false" ht="15" hidden="false" customHeight="false" outlineLevel="2" collapsed="false">
      <c r="A174" s="3" t="s">
        <v>428</v>
      </c>
      <c r="B174" s="11" t="s">
        <v>42</v>
      </c>
      <c r="C174" s="23" t="n">
        <v>0.179435</v>
      </c>
      <c r="I174" s="6" t="s">
        <v>374</v>
      </c>
    </row>
    <row r="175" customFormat="false" ht="15" hidden="false" customHeight="false" outlineLevel="2" collapsed="false">
      <c r="A175" s="3" t="s">
        <v>429</v>
      </c>
      <c r="B175" s="11" t="s">
        <v>42</v>
      </c>
      <c r="C175" s="23" t="n">
        <v>0.2</v>
      </c>
      <c r="I175" s="11" t="s">
        <v>430</v>
      </c>
    </row>
    <row r="176" customFormat="false" ht="15" hidden="false" customHeight="false" outlineLevel="2" collapsed="false">
      <c r="A176" s="3" t="s">
        <v>431</v>
      </c>
      <c r="B176" s="11" t="s">
        <v>42</v>
      </c>
      <c r="C176" s="23" t="n">
        <v>0.1</v>
      </c>
      <c r="I176" s="6" t="s">
        <v>378</v>
      </c>
    </row>
    <row r="177" customFormat="false" ht="15" hidden="false" customHeight="false" outlineLevel="2" collapsed="false">
      <c r="A177" s="3" t="s">
        <v>432</v>
      </c>
      <c r="B177" s="11" t="s">
        <v>42</v>
      </c>
      <c r="C177" s="23" t="n">
        <v>0.154915</v>
      </c>
      <c r="I177" s="11" t="s">
        <v>380</v>
      </c>
    </row>
    <row r="178" customFormat="false" ht="15" hidden="false" customHeight="false" outlineLevel="2" collapsed="false">
      <c r="A178" s="3" t="s">
        <v>433</v>
      </c>
      <c r="B178" s="11" t="s">
        <v>42</v>
      </c>
      <c r="C178" s="23" t="n">
        <v>0</v>
      </c>
      <c r="I178" s="6" t="s">
        <v>382</v>
      </c>
    </row>
    <row r="179" customFormat="false" ht="15" hidden="false" customHeight="false" outlineLevel="2" collapsed="false">
      <c r="A179" s="3" t="s">
        <v>434</v>
      </c>
      <c r="B179" s="11" t="s">
        <v>42</v>
      </c>
      <c r="C179" s="23" t="n">
        <v>0.06</v>
      </c>
      <c r="I179" s="6" t="s">
        <v>384</v>
      </c>
    </row>
    <row r="180" customFormat="false" ht="15" hidden="false" customHeight="false" outlineLevel="2" collapsed="false">
      <c r="A180" s="3" t="s">
        <v>435</v>
      </c>
      <c r="B180" s="11" t="s">
        <v>42</v>
      </c>
      <c r="C180" s="38" t="n">
        <f aca="false">輸入與假設!$C$174+(輸入與假設!$C$176-輸入與假設!$C$174)*0/4</f>
        <v>0.179435</v>
      </c>
      <c r="D180" s="38" t="n">
        <f aca="false">輸入與假設!$C$174+(輸入與假設!$C$176-輸入與假設!$C$174)*1/4</f>
        <v>0.15957625</v>
      </c>
      <c r="E180" s="38" t="n">
        <f aca="false">輸入與假設!$C$174+(輸入與假設!$C$176-輸入與假設!$C$174)*2/4</f>
        <v>0.1397175</v>
      </c>
      <c r="F180" s="38" t="n">
        <f aca="false">輸入與假設!$C$174+(輸入與假設!$C$176-輸入與假設!$C$174)*3/4</f>
        <v>0.11985875</v>
      </c>
      <c r="G180" s="38" t="n">
        <f aca="false">輸入與假設!$C$174+(輸入與假設!$C$176-輸入與假設!$C$174)*4/4</f>
        <v>0.1</v>
      </c>
      <c r="I180" s="6" t="s">
        <v>386</v>
      </c>
    </row>
    <row r="181" customFormat="false" ht="15" hidden="false" customHeight="false" outlineLevel="2" collapsed="false">
      <c r="A181" s="3" t="s">
        <v>436</v>
      </c>
      <c r="B181" s="11" t="s">
        <v>65</v>
      </c>
      <c r="C181" s="32" t="n">
        <f aca="false">輸入與假設!$C$172*(1+C180)</f>
        <v>56.64826305</v>
      </c>
      <c r="D181" s="32" t="n">
        <f aca="false">C181*(1+D180)</f>
        <v>65.6879804365326</v>
      </c>
      <c r="E181" s="32" t="n">
        <f aca="false">D181*(1+E180)</f>
        <v>74.8657408431738</v>
      </c>
      <c r="F181" s="32" t="n">
        <f aca="false">E181*(1+F180)</f>
        <v>83.8390549584606</v>
      </c>
      <c r="G181" s="32" t="n">
        <f aca="false">F181*(1+G180)</f>
        <v>92.2229604543066</v>
      </c>
      <c r="I181" s="6" t="s">
        <v>388</v>
      </c>
    </row>
    <row r="182" customFormat="false" ht="15" hidden="false" customHeight="false" outlineLevel="2" collapsed="false">
      <c r="A182" s="3" t="s">
        <v>437</v>
      </c>
      <c r="B182" s="11" t="s">
        <v>65</v>
      </c>
      <c r="C182" s="32" t="n">
        <f aca="false">C181-輸入與假設!$C$173</f>
        <v>31.35326305</v>
      </c>
      <c r="D182" s="32" t="n">
        <f aca="false">D181</f>
        <v>65.6879804365326</v>
      </c>
      <c r="E182" s="32" t="n">
        <f aca="false">E181</f>
        <v>74.8657408431738</v>
      </c>
      <c r="F182" s="32" t="n">
        <f aca="false">F181</f>
        <v>83.8390549584606</v>
      </c>
      <c r="G182" s="32" t="n">
        <f aca="false">G181</f>
        <v>92.2229604543066</v>
      </c>
      <c r="I182" s="11" t="s">
        <v>390</v>
      </c>
    </row>
    <row r="183" customFormat="false" ht="15" hidden="false" customHeight="false" outlineLevel="2" collapsed="false">
      <c r="A183" s="3" t="s">
        <v>438</v>
      </c>
      <c r="B183" s="11" t="s">
        <v>42</v>
      </c>
      <c r="C183" s="38" t="n">
        <f aca="false">輸入與假設!$C$175+(輸入與假設!$C$177-輸入與假設!$C$175)*0/4</f>
        <v>0.2</v>
      </c>
      <c r="D183" s="38" t="n">
        <f aca="false">輸入與假設!$C$175+(輸入與假設!$C$177-輸入與假設!$C$175)*1/4</f>
        <v>0.18872875</v>
      </c>
      <c r="E183" s="38" t="n">
        <f aca="false">輸入與假設!$C$175+(輸入與假設!$C$177-輸入與假設!$C$175)*2/4</f>
        <v>0.1774575</v>
      </c>
      <c r="F183" s="38" t="n">
        <f aca="false">輸入與假設!$C$175+(輸入與假設!$C$177-輸入與假設!$C$175)*3/4</f>
        <v>0.16618625</v>
      </c>
      <c r="G183" s="38" t="n">
        <f aca="false">輸入與假設!$C$175+(輸入與假設!$C$177-輸入與假設!$C$175)*4/4</f>
        <v>0.154915</v>
      </c>
      <c r="I183" s="6" t="s">
        <v>386</v>
      </c>
    </row>
    <row r="184" customFormat="false" ht="15" hidden="false" customHeight="false" outlineLevel="2" collapsed="false">
      <c r="A184" s="3" t="s">
        <v>439</v>
      </c>
      <c r="B184" s="11" t="s">
        <v>65</v>
      </c>
      <c r="C184" s="32" t="n">
        <f aca="false">C182*C183</f>
        <v>6.27065261</v>
      </c>
      <c r="D184" s="32" t="n">
        <f aca="false">D182*D183</f>
        <v>12.3972104378112</v>
      </c>
      <c r="E184" s="32" t="n">
        <f aca="false">E182*E183</f>
        <v>13.2854872056775</v>
      </c>
      <c r="F184" s="32" t="n">
        <f aca="false">F182*F183</f>
        <v>13.9328981470905</v>
      </c>
      <c r="G184" s="32" t="n">
        <f aca="false">G182*G183</f>
        <v>14.2867199187789</v>
      </c>
      <c r="I184" s="6" t="s">
        <v>393</v>
      </c>
    </row>
    <row r="185" customFormat="false" ht="15" hidden="false" customHeight="false" outlineLevel="2" collapsed="false">
      <c r="A185" s="3" t="s">
        <v>440</v>
      </c>
      <c r="B185" s="11" t="s">
        <v>65</v>
      </c>
      <c r="C185" s="32" t="n">
        <f aca="false">C182*輸入與假設!$C$178</f>
        <v>0</v>
      </c>
      <c r="D185" s="32" t="n">
        <f aca="false">D182*輸入與假設!$C$178</f>
        <v>0</v>
      </c>
      <c r="E185" s="32" t="n">
        <f aca="false">E182*輸入與假設!$C$178</f>
        <v>0</v>
      </c>
      <c r="F185" s="32" t="n">
        <f aca="false">F182*輸入與假設!$C$178</f>
        <v>0</v>
      </c>
      <c r="G185" s="32" t="n">
        <f aca="false">G182*輸入與假設!$C$178</f>
        <v>0</v>
      </c>
      <c r="I185" s="6" t="s">
        <v>395</v>
      </c>
    </row>
    <row r="186" customFormat="false" ht="15" hidden="false" customHeight="false" outlineLevel="2" collapsed="false">
      <c r="A186" s="3" t="s">
        <v>441</v>
      </c>
      <c r="B186" s="11" t="s">
        <v>65</v>
      </c>
      <c r="C186" s="24" t="n">
        <v>44.796</v>
      </c>
      <c r="I186" s="6" t="s">
        <v>442</v>
      </c>
    </row>
    <row r="187" customFormat="false" ht="15" hidden="false" customHeight="false" outlineLevel="2" collapsed="false">
      <c r="A187" s="3" t="s">
        <v>443</v>
      </c>
      <c r="B187" s="11" t="s">
        <v>65</v>
      </c>
      <c r="C187" s="24" t="n">
        <v>32.821</v>
      </c>
      <c r="I187" s="6" t="s">
        <v>444</v>
      </c>
    </row>
    <row r="188" customFormat="false" ht="15" hidden="false" customHeight="false" outlineLevel="2" collapsed="false">
      <c r="A188" s="3" t="s">
        <v>445</v>
      </c>
      <c r="B188" s="11" t="s">
        <v>42</v>
      </c>
      <c r="C188" s="23" t="n">
        <v>0.577838</v>
      </c>
      <c r="I188" s="6" t="s">
        <v>446</v>
      </c>
    </row>
    <row r="189" customFormat="false" ht="15" hidden="false" customHeight="false" outlineLevel="2" collapsed="false">
      <c r="A189" s="3" t="s">
        <v>447</v>
      </c>
      <c r="B189" s="11" t="s">
        <v>65</v>
      </c>
      <c r="C189" s="24" t="n">
        <v>77.617</v>
      </c>
      <c r="I189" s="11" t="s">
        <v>448</v>
      </c>
    </row>
    <row r="190" customFormat="false" ht="15" hidden="false" customHeight="false" outlineLevel="2" collapsed="false">
      <c r="A190" s="3" t="s">
        <v>449</v>
      </c>
      <c r="B190" s="11" t="s">
        <v>65</v>
      </c>
      <c r="C190" s="24" t="n">
        <v>49.192</v>
      </c>
      <c r="I190" s="11" t="s">
        <v>448</v>
      </c>
    </row>
    <row r="191" customFormat="false" ht="15" hidden="false" customHeight="false" outlineLevel="2" collapsed="false">
      <c r="A191" s="3" t="s">
        <v>450</v>
      </c>
      <c r="B191" s="11" t="s">
        <v>65</v>
      </c>
      <c r="C191" s="24" t="n">
        <v>28.708857</v>
      </c>
      <c r="I191" s="6" t="s">
        <v>451</v>
      </c>
    </row>
    <row r="192" customFormat="false" ht="15" hidden="false" customHeight="false" outlineLevel="2" collapsed="false">
      <c r="A192" s="3" t="s">
        <v>452</v>
      </c>
      <c r="B192" s="11" t="s">
        <v>157</v>
      </c>
      <c r="C192" s="21" t="n">
        <v>1447.9</v>
      </c>
      <c r="I192" s="6" t="s">
        <v>453</v>
      </c>
    </row>
    <row r="193" customFormat="false" ht="15" hidden="false" customHeight="false" outlineLevel="2" collapsed="false">
      <c r="A193" s="3" t="s">
        <v>454</v>
      </c>
      <c r="B193" s="11" t="s">
        <v>157</v>
      </c>
      <c r="C193" s="21" t="n">
        <v>657.3</v>
      </c>
      <c r="I193" s="6" t="s">
        <v>455</v>
      </c>
    </row>
    <row r="194" customFormat="false" ht="15" hidden="false" customHeight="false" outlineLevel="2" collapsed="false">
      <c r="A194" s="3" t="s">
        <v>456</v>
      </c>
      <c r="B194" s="11" t="s">
        <v>65</v>
      </c>
      <c r="C194" s="32" t="n">
        <f aca="false">輸入與假設!$C$128*(輸入與假設!$C$28+輸入與假設!$C$29)/2*0.5</f>
        <v>9.66929144804642</v>
      </c>
      <c r="I194" s="6" t="s">
        <v>457</v>
      </c>
    </row>
    <row r="195" customFormat="false" ht="15" hidden="false" customHeight="false" outlineLevel="2" collapsed="false">
      <c r="A195" s="3" t="s">
        <v>458</v>
      </c>
      <c r="B195" s="11" t="s">
        <v>65</v>
      </c>
      <c r="C195" s="32" t="n">
        <f aca="false">輸入與假設!$C$128*輸入與假設!$C$192</f>
        <v>16.6519977253957</v>
      </c>
      <c r="I195" s="6" t="s">
        <v>459</v>
      </c>
    </row>
    <row r="196" customFormat="false" ht="15" hidden="false" customHeight="false" outlineLevel="2" collapsed="false">
      <c r="A196" s="3" t="s">
        <v>460</v>
      </c>
      <c r="B196" s="11" t="s">
        <v>65</v>
      </c>
      <c r="C196" s="32" t="n">
        <f aca="false">輸入與假設!$C$128*輸入與假設!$C$193</f>
        <v>7.55947103039061</v>
      </c>
      <c r="I196" s="6" t="s">
        <v>461</v>
      </c>
    </row>
    <row r="197" customFormat="false" ht="15" hidden="false" customHeight="false" outlineLevel="2" collapsed="false">
      <c r="A197" s="3" t="s">
        <v>462</v>
      </c>
      <c r="B197" s="11" t="s">
        <v>42</v>
      </c>
      <c r="C197" s="38" t="n">
        <f aca="false">(輸入與假設!$C$189-輸入與假設!$C$195)/(輸入與假設!$C$190-輸入與假設!$C$196)-1</f>
        <v>0.46435981150958</v>
      </c>
      <c r="I197" s="6" t="s">
        <v>463</v>
      </c>
    </row>
    <row r="198" customFormat="false" ht="15" hidden="false" customHeight="false" outlineLevel="2" collapsed="false">
      <c r="A198" s="3" t="s">
        <v>464</v>
      </c>
      <c r="B198" s="11" t="s">
        <v>65</v>
      </c>
      <c r="C198" s="32" t="n">
        <f aca="false">輸入與假設!$C$186-輸入與假設!$C$194</f>
        <v>35.1267085519536</v>
      </c>
      <c r="I198" s="6" t="s">
        <v>465</v>
      </c>
    </row>
    <row r="199" customFormat="false" ht="15" hidden="false" customHeight="false" outlineLevel="2" collapsed="false">
      <c r="A199" s="3" t="s">
        <v>466</v>
      </c>
      <c r="B199" s="11" t="s">
        <v>42</v>
      </c>
      <c r="C199" s="38" t="n">
        <f aca="false">(輸入與假設!$C$191-輸入與假設!$C$195*輸入與假設!$C$129)/(輸入與假設!$C$189-輸入與假設!$C$195)</f>
        <v>0.243044164884149</v>
      </c>
      <c r="I199" s="6" t="s">
        <v>467</v>
      </c>
    </row>
    <row r="200" customFormat="false" ht="15" hidden="false" customHeight="false" outlineLevel="2" collapsed="false">
      <c r="A200" s="3" t="s">
        <v>468</v>
      </c>
      <c r="B200" s="11" t="s">
        <v>42</v>
      </c>
      <c r="C200" s="23" t="n">
        <v>0.08</v>
      </c>
      <c r="I200" s="6" t="s">
        <v>378</v>
      </c>
    </row>
    <row r="201" customFormat="false" ht="15" hidden="false" customHeight="false" outlineLevel="2" collapsed="false">
      <c r="A201" s="3" t="s">
        <v>469</v>
      </c>
      <c r="B201" s="11" t="s">
        <v>42</v>
      </c>
      <c r="C201" s="38" t="n">
        <f aca="false">輸入與假設!$C$199</f>
        <v>0.243044164884149</v>
      </c>
      <c r="I201" s="6" t="s">
        <v>470</v>
      </c>
    </row>
    <row r="202" customFormat="false" ht="15" hidden="false" customHeight="false" outlineLevel="2" collapsed="false">
      <c r="A202" s="3" t="s">
        <v>471</v>
      </c>
      <c r="B202" s="11" t="s">
        <v>42</v>
      </c>
      <c r="C202" s="23" t="n">
        <v>0</v>
      </c>
      <c r="I202" s="6" t="s">
        <v>382</v>
      </c>
    </row>
    <row r="203" customFormat="false" ht="15" hidden="false" customHeight="false" outlineLevel="2" collapsed="false">
      <c r="A203" s="3" t="s">
        <v>472</v>
      </c>
      <c r="B203" s="11" t="s">
        <v>42</v>
      </c>
      <c r="C203" s="23" t="n">
        <v>0.2</v>
      </c>
      <c r="I203" s="6" t="s">
        <v>384</v>
      </c>
    </row>
    <row r="204" customFormat="false" ht="15" hidden="false" customHeight="false" outlineLevel="2" collapsed="false">
      <c r="A204" s="3" t="s">
        <v>473</v>
      </c>
      <c r="B204" s="11" t="s">
        <v>42</v>
      </c>
      <c r="C204" s="38" t="n">
        <f aca="false">輸入與假設!$C$197+(輸入與假設!$C$200-輸入與假設!$C$197)*0/4</f>
        <v>0.46435981150958</v>
      </c>
      <c r="D204" s="38" t="n">
        <f aca="false">輸入與假設!$C$197+(輸入與假設!$C$200-輸入與假設!$C$197)*1/4</f>
        <v>0.368269858632185</v>
      </c>
      <c r="E204" s="38" t="n">
        <f aca="false">輸入與假設!$C$197+(輸入與假設!$C$200-輸入與假設!$C$197)*2/4</f>
        <v>0.27217990575479</v>
      </c>
      <c r="F204" s="38" t="n">
        <f aca="false">輸入與假設!$C$197+(輸入與假設!$C$200-輸入與假設!$C$197)*3/4</f>
        <v>0.176089952877395</v>
      </c>
      <c r="G204" s="38" t="n">
        <f aca="false">輸入與假設!$C$197+(輸入與假設!$C$200-輸入與假設!$C$197)*4/4</f>
        <v>0.08</v>
      </c>
      <c r="I204" s="6" t="s">
        <v>386</v>
      </c>
    </row>
    <row r="205" customFormat="false" ht="15" hidden="false" customHeight="false" outlineLevel="2" collapsed="false">
      <c r="A205" s="3" t="s">
        <v>474</v>
      </c>
      <c r="B205" s="11" t="s">
        <v>65</v>
      </c>
      <c r="C205" s="32" t="n">
        <f aca="false">輸入與假設!$C$186+輸入與假設!$C$187*(1+輸入與假設!$C$188)-輸入與假設!$C$194-C127</f>
        <v>74.1901776446294</v>
      </c>
      <c r="D205" s="32" t="n">
        <f aca="false">C205*(1+D204)</f>
        <v>101.512183877714</v>
      </c>
      <c r="E205" s="32" t="n">
        <f aca="false">D205*(1+E204)</f>
        <v>129.141760518513</v>
      </c>
      <c r="F205" s="32" t="n">
        <f aca="false">E205*(1+F204)</f>
        <v>151.882327042722</v>
      </c>
      <c r="G205" s="32" t="n">
        <f aca="false">F205*(1+G204)</f>
        <v>164.032913206139</v>
      </c>
      <c r="I205" s="11" t="s">
        <v>475</v>
      </c>
    </row>
    <row r="206" customFormat="false" ht="15" hidden="false" customHeight="false" outlineLevel="2" collapsed="false">
      <c r="A206" s="3" t="s">
        <v>476</v>
      </c>
      <c r="B206" s="11" t="s">
        <v>65</v>
      </c>
      <c r="C206" s="32" t="n">
        <f aca="false">C205-輸入與假設!$C$198</f>
        <v>39.0634690926758</v>
      </c>
      <c r="D206" s="32" t="n">
        <f aca="false">D205</f>
        <v>101.512183877714</v>
      </c>
      <c r="E206" s="32" t="n">
        <f aca="false">E205</f>
        <v>129.141760518513</v>
      </c>
      <c r="F206" s="32" t="n">
        <f aca="false">F205</f>
        <v>151.882327042722</v>
      </c>
      <c r="G206" s="32" t="n">
        <f aca="false">G205</f>
        <v>164.032913206139</v>
      </c>
      <c r="I206" s="11" t="s">
        <v>390</v>
      </c>
    </row>
    <row r="207" customFormat="false" ht="15" hidden="false" customHeight="false" outlineLevel="2" collapsed="false">
      <c r="A207" s="3" t="s">
        <v>477</v>
      </c>
      <c r="B207" s="11" t="s">
        <v>42</v>
      </c>
      <c r="C207" s="38" t="n">
        <f aca="false">輸入與假設!$C$199+(輸入與假設!$C$201-輸入與假設!$C$199)*0/4</f>
        <v>0.243044164884149</v>
      </c>
      <c r="D207" s="38" t="n">
        <f aca="false">輸入與假設!$C$199+(輸入與假設!$C$201-輸入與假設!$C$199)*1/4</f>
        <v>0.243044164884149</v>
      </c>
      <c r="E207" s="38" t="n">
        <f aca="false">輸入與假設!$C$199+(輸入與假設!$C$201-輸入與假設!$C$199)*2/4</f>
        <v>0.243044164884149</v>
      </c>
      <c r="F207" s="38" t="n">
        <f aca="false">輸入與假設!$C$199+(輸入與假設!$C$201-輸入與假設!$C$199)*3/4</f>
        <v>0.243044164884149</v>
      </c>
      <c r="G207" s="38" t="n">
        <f aca="false">輸入與假設!$C$199+(輸入與假設!$C$201-輸入與假設!$C$199)*4/4</f>
        <v>0.243044164884149</v>
      </c>
      <c r="I207" s="6" t="s">
        <v>386</v>
      </c>
    </row>
    <row r="208" customFormat="false" ht="15" hidden="false" customHeight="false" outlineLevel="2" collapsed="false">
      <c r="A208" s="3" t="s">
        <v>478</v>
      </c>
      <c r="B208" s="11" t="s">
        <v>65</v>
      </c>
      <c r="C208" s="32" t="n">
        <f aca="false">C206*C207</f>
        <v>9.49414822310713</v>
      </c>
      <c r="D208" s="32" t="n">
        <f aca="false">D206*D207</f>
        <v>24.6719439561251</v>
      </c>
      <c r="E208" s="32" t="n">
        <f aca="false">E206*E207</f>
        <v>31.3871513368907</v>
      </c>
      <c r="F208" s="32" t="n">
        <f aca="false">F206*F207</f>
        <v>36.9141133367594</v>
      </c>
      <c r="G208" s="32" t="n">
        <f aca="false">G206*G207</f>
        <v>39.8672424037001</v>
      </c>
      <c r="I208" s="6" t="s">
        <v>393</v>
      </c>
    </row>
    <row r="209" customFormat="false" ht="15" hidden="false" customHeight="false" outlineLevel="2" collapsed="false">
      <c r="A209" s="3" t="s">
        <v>479</v>
      </c>
      <c r="B209" s="11" t="s">
        <v>65</v>
      </c>
      <c r="C209" s="32" t="n">
        <f aca="false">C206*輸入與假設!$C$202</f>
        <v>0</v>
      </c>
      <c r="D209" s="32" t="n">
        <f aca="false">D206*輸入與假設!$C$202</f>
        <v>0</v>
      </c>
      <c r="E209" s="32" t="n">
        <f aca="false">E206*輸入與假設!$C$202</f>
        <v>0</v>
      </c>
      <c r="F209" s="32" t="n">
        <f aca="false">F206*輸入與假設!$C$202</f>
        <v>0</v>
      </c>
      <c r="G209" s="32" t="n">
        <f aca="false">G206*輸入與假設!$C$202</f>
        <v>0</v>
      </c>
      <c r="I209" s="6" t="s">
        <v>395</v>
      </c>
    </row>
    <row r="210" customFormat="false" ht="15" hidden="false" customHeight="false" outlineLevel="2" collapsed="false">
      <c r="A210" s="3" t="s">
        <v>480</v>
      </c>
      <c r="B210" s="11" t="s">
        <v>65</v>
      </c>
      <c r="C210" s="24" t="n">
        <v>0.793</v>
      </c>
      <c r="I210" s="6" t="s">
        <v>481</v>
      </c>
    </row>
    <row r="211" customFormat="false" ht="15" hidden="false" customHeight="false" outlineLevel="2" collapsed="false">
      <c r="A211" s="3" t="s">
        <v>482</v>
      </c>
      <c r="B211" s="11" t="s">
        <v>65</v>
      </c>
      <c r="C211" s="24" t="n">
        <v>0.75</v>
      </c>
      <c r="D211" s="24" t="n">
        <v>1.6</v>
      </c>
      <c r="E211" s="24" t="n">
        <v>1.8</v>
      </c>
      <c r="F211" s="24" t="n">
        <v>2</v>
      </c>
      <c r="G211" s="24" t="n">
        <v>2.2</v>
      </c>
      <c r="I211" s="6" t="s">
        <v>483</v>
      </c>
    </row>
    <row r="212" customFormat="false" ht="15" hidden="false" customHeight="false" outlineLevel="2" collapsed="false">
      <c r="A212" s="3" t="s">
        <v>484</v>
      </c>
      <c r="B212" s="11" t="s">
        <v>42</v>
      </c>
      <c r="C212" s="23" t="n">
        <v>0</v>
      </c>
      <c r="I212" s="11" t="s">
        <v>485</v>
      </c>
    </row>
    <row r="213" customFormat="false" ht="15" hidden="false" customHeight="false" outlineLevel="2" collapsed="false">
      <c r="A213" s="3" t="s">
        <v>486</v>
      </c>
      <c r="B213" s="11" t="s">
        <v>42</v>
      </c>
      <c r="C213" s="38" t="n">
        <f aca="false">輸入與假設!$C$212</f>
        <v>0</v>
      </c>
      <c r="I213" s="6" t="s">
        <v>470</v>
      </c>
    </row>
    <row r="214" customFormat="false" ht="15" hidden="false" customHeight="false" outlineLevel="2" collapsed="false">
      <c r="A214" s="3" t="s">
        <v>487</v>
      </c>
      <c r="B214" s="11" t="s">
        <v>42</v>
      </c>
      <c r="C214" s="23" t="n">
        <v>0</v>
      </c>
      <c r="I214" s="6" t="s">
        <v>382</v>
      </c>
    </row>
    <row r="215" customFormat="false" ht="15" hidden="false" customHeight="false" outlineLevel="2" collapsed="false">
      <c r="A215" s="3" t="s">
        <v>488</v>
      </c>
      <c r="B215" s="11" t="s">
        <v>42</v>
      </c>
      <c r="C215" s="23" t="n">
        <v>0.06</v>
      </c>
      <c r="I215" s="6" t="s">
        <v>384</v>
      </c>
    </row>
    <row r="216" customFormat="false" ht="15" hidden="false" customHeight="false" outlineLevel="2" collapsed="false">
      <c r="A216" s="3" t="s">
        <v>489</v>
      </c>
      <c r="B216" s="11" t="s">
        <v>65</v>
      </c>
      <c r="C216" s="32" t="n">
        <f aca="false">C211+輸入與假設!$C$210</f>
        <v>1.543</v>
      </c>
      <c r="D216" s="32" t="n">
        <f aca="false">D211</f>
        <v>1.6</v>
      </c>
      <c r="E216" s="32" t="n">
        <f aca="false">E211</f>
        <v>1.8</v>
      </c>
      <c r="F216" s="32" t="n">
        <f aca="false">F211</f>
        <v>2</v>
      </c>
      <c r="G216" s="32" t="n">
        <f aca="false">G211</f>
        <v>2.2</v>
      </c>
      <c r="I216" s="11" t="s">
        <v>490</v>
      </c>
    </row>
    <row r="217" customFormat="false" ht="15" hidden="false" customHeight="false" outlineLevel="2" collapsed="false">
      <c r="A217" s="3" t="s">
        <v>491</v>
      </c>
      <c r="B217" s="11" t="s">
        <v>42</v>
      </c>
      <c r="C217" s="38" t="n">
        <f aca="false">輸入與假設!$C$212+(輸入與假設!$C$213-輸入與假設!$C$212)*0/4</f>
        <v>0</v>
      </c>
      <c r="D217" s="38" t="n">
        <f aca="false">輸入與假設!$C$212+(輸入與假設!$C$213-輸入與假設!$C$212)*1/4</f>
        <v>0</v>
      </c>
      <c r="E217" s="38" t="n">
        <f aca="false">輸入與假設!$C$212+(輸入與假設!$C$213-輸入與假設!$C$212)*2/4</f>
        <v>0</v>
      </c>
      <c r="F217" s="38" t="n">
        <f aca="false">輸入與假設!$C$212+(輸入與假設!$C$213-輸入與假設!$C$212)*3/4</f>
        <v>0</v>
      </c>
      <c r="G217" s="38" t="n">
        <f aca="false">輸入與假設!$C$212+(輸入與假設!$C$213-輸入與假設!$C$212)*4/4</f>
        <v>0</v>
      </c>
      <c r="I217" s="6" t="s">
        <v>386</v>
      </c>
    </row>
    <row r="218" customFormat="false" ht="15" hidden="false" customHeight="false" outlineLevel="2" collapsed="false">
      <c r="A218" s="3" t="s">
        <v>492</v>
      </c>
      <c r="B218" s="11" t="s">
        <v>65</v>
      </c>
      <c r="C218" s="24" t="n">
        <v>-4</v>
      </c>
      <c r="D218" s="24" t="n">
        <v>-8</v>
      </c>
      <c r="E218" s="24" t="n">
        <v>-8</v>
      </c>
      <c r="F218" s="24" t="n">
        <v>-8</v>
      </c>
      <c r="G218" s="24" t="n">
        <v>-8</v>
      </c>
      <c r="I218" s="6" t="s">
        <v>493</v>
      </c>
    </row>
    <row r="219" customFormat="false" ht="15" hidden="false" customHeight="false" outlineLevel="2" collapsed="false">
      <c r="A219" s="3" t="s">
        <v>494</v>
      </c>
      <c r="B219" s="11" t="s">
        <v>65</v>
      </c>
      <c r="C219" s="32" t="n">
        <f aca="false">C211*輸入與假設!$C$214</f>
        <v>0</v>
      </c>
      <c r="D219" s="32" t="n">
        <f aca="false">D211*輸入與假設!$C$214</f>
        <v>0</v>
      </c>
      <c r="E219" s="32" t="n">
        <f aca="false">E211*輸入與假設!$C$214</f>
        <v>0</v>
      </c>
      <c r="F219" s="32" t="n">
        <f aca="false">F211*輸入與假設!$C$214</f>
        <v>0</v>
      </c>
      <c r="G219" s="32" t="n">
        <f aca="false">G211*輸入與假設!$C$214</f>
        <v>0</v>
      </c>
      <c r="I219" s="6" t="s">
        <v>395</v>
      </c>
    </row>
    <row r="220" customFormat="false" ht="15" hidden="false" customHeight="false" outlineLevel="2" collapsed="false">
      <c r="A220" s="3" t="s">
        <v>495</v>
      </c>
      <c r="B220" s="11" t="s">
        <v>65</v>
      </c>
      <c r="C220" s="24" t="n">
        <v>0</v>
      </c>
      <c r="I220" s="6" t="s">
        <v>481</v>
      </c>
    </row>
    <row r="221" customFormat="false" ht="15" hidden="false" customHeight="false" outlineLevel="2" collapsed="false">
      <c r="A221" s="3" t="s">
        <v>496</v>
      </c>
      <c r="B221" s="11" t="s">
        <v>65</v>
      </c>
      <c r="C221" s="24" t="n">
        <v>1</v>
      </c>
      <c r="D221" s="24" t="n">
        <v>13</v>
      </c>
      <c r="E221" s="24" t="n">
        <v>13</v>
      </c>
      <c r="F221" s="24" t="n">
        <v>13</v>
      </c>
      <c r="G221" s="24" t="n">
        <v>13</v>
      </c>
      <c r="I221" s="6" t="s">
        <v>483</v>
      </c>
    </row>
    <row r="222" customFormat="false" ht="15" hidden="false" customHeight="false" outlineLevel="2" collapsed="false">
      <c r="A222" s="3" t="s">
        <v>497</v>
      </c>
      <c r="B222" s="11" t="s">
        <v>42</v>
      </c>
      <c r="C222" s="23" t="n">
        <v>0.25</v>
      </c>
      <c r="I222" s="11" t="s">
        <v>485</v>
      </c>
    </row>
    <row r="223" customFormat="false" ht="15" hidden="false" customHeight="false" outlineLevel="2" collapsed="false">
      <c r="A223" s="3" t="s">
        <v>498</v>
      </c>
      <c r="B223" s="11" t="s">
        <v>42</v>
      </c>
      <c r="C223" s="38" t="n">
        <f aca="false">輸入與假設!$C$222</f>
        <v>0.25</v>
      </c>
      <c r="I223" s="6" t="s">
        <v>470</v>
      </c>
    </row>
    <row r="224" customFormat="false" ht="15" hidden="false" customHeight="false" outlineLevel="2" collapsed="false">
      <c r="A224" s="3" t="s">
        <v>499</v>
      </c>
      <c r="B224" s="11" t="s">
        <v>42</v>
      </c>
      <c r="C224" s="23" t="n">
        <v>0</v>
      </c>
      <c r="I224" s="6" t="s">
        <v>382</v>
      </c>
    </row>
    <row r="225" customFormat="false" ht="15" hidden="false" customHeight="false" outlineLevel="2" collapsed="false">
      <c r="A225" s="3" t="s">
        <v>500</v>
      </c>
      <c r="B225" s="11" t="s">
        <v>42</v>
      </c>
      <c r="C225" s="23" t="n">
        <v>0</v>
      </c>
      <c r="I225" s="6" t="s">
        <v>384</v>
      </c>
    </row>
    <row r="226" customFormat="false" ht="15" hidden="false" customHeight="false" outlineLevel="2" collapsed="false">
      <c r="A226" s="3" t="s">
        <v>501</v>
      </c>
      <c r="B226" s="11" t="s">
        <v>65</v>
      </c>
      <c r="C226" s="32" t="n">
        <f aca="false">C221+輸入與假設!$C$220</f>
        <v>1</v>
      </c>
      <c r="D226" s="32" t="n">
        <f aca="false">D221</f>
        <v>13</v>
      </c>
      <c r="E226" s="32" t="n">
        <f aca="false">E221</f>
        <v>13</v>
      </c>
      <c r="F226" s="32" t="n">
        <f aca="false">F221</f>
        <v>13</v>
      </c>
      <c r="G226" s="32" t="n">
        <f aca="false">G221</f>
        <v>13</v>
      </c>
      <c r="I226" s="11" t="s">
        <v>490</v>
      </c>
    </row>
    <row r="227" customFormat="false" ht="15" hidden="false" customHeight="false" outlineLevel="2" collapsed="false">
      <c r="A227" s="3" t="s">
        <v>502</v>
      </c>
      <c r="B227" s="11" t="s">
        <v>42</v>
      </c>
      <c r="C227" s="38" t="n">
        <f aca="false">輸入與假設!$C$222+(輸入與假設!$C$223-輸入與假設!$C$222)*0/4</f>
        <v>0.25</v>
      </c>
      <c r="D227" s="38" t="n">
        <f aca="false">輸入與假設!$C$222+(輸入與假設!$C$223-輸入與假設!$C$222)*1/4</f>
        <v>0.25</v>
      </c>
      <c r="E227" s="38" t="n">
        <f aca="false">輸入與假設!$C$222+(輸入與假設!$C$223-輸入與假設!$C$222)*2/4</f>
        <v>0.25</v>
      </c>
      <c r="F227" s="38" t="n">
        <f aca="false">輸入與假設!$C$222+(輸入與假設!$C$223-輸入與假設!$C$222)*3/4</f>
        <v>0.25</v>
      </c>
      <c r="G227" s="38" t="n">
        <f aca="false">輸入與假設!$C$222+(輸入與假設!$C$223-輸入與假設!$C$222)*4/4</f>
        <v>0.25</v>
      </c>
      <c r="I227" s="6" t="s">
        <v>386</v>
      </c>
    </row>
    <row r="228" customFormat="false" ht="15" hidden="false" customHeight="false" outlineLevel="2" collapsed="false">
      <c r="A228" s="3" t="s">
        <v>503</v>
      </c>
      <c r="B228" s="11" t="s">
        <v>65</v>
      </c>
      <c r="C228" s="32" t="n">
        <f aca="false">C221*C227</f>
        <v>0.25</v>
      </c>
      <c r="D228" s="32" t="n">
        <f aca="false">D221*D227</f>
        <v>3.25</v>
      </c>
      <c r="E228" s="32" t="n">
        <f aca="false">E221*E227</f>
        <v>3.25</v>
      </c>
      <c r="F228" s="32" t="n">
        <f aca="false">F221*F227</f>
        <v>3.25</v>
      </c>
      <c r="G228" s="32" t="n">
        <f aca="false">G221*G227</f>
        <v>3.25</v>
      </c>
      <c r="I228" s="6" t="s">
        <v>393</v>
      </c>
    </row>
    <row r="229" customFormat="false" ht="15" hidden="false" customHeight="false" outlineLevel="2" collapsed="false">
      <c r="A229" s="3" t="s">
        <v>504</v>
      </c>
      <c r="B229" s="11" t="s">
        <v>65</v>
      </c>
      <c r="C229" s="32" t="n">
        <f aca="false">C221*輸入與假設!$C$224</f>
        <v>0</v>
      </c>
      <c r="D229" s="32" t="n">
        <f aca="false">D221*輸入與假設!$C$224</f>
        <v>0</v>
      </c>
      <c r="E229" s="32" t="n">
        <f aca="false">E221*輸入與假設!$C$224</f>
        <v>0</v>
      </c>
      <c r="F229" s="32" t="n">
        <f aca="false">F221*輸入與假設!$C$224</f>
        <v>0</v>
      </c>
      <c r="G229" s="32" t="n">
        <f aca="false">G221*輸入與假設!$C$224</f>
        <v>0</v>
      </c>
      <c r="I229" s="6" t="s">
        <v>395</v>
      </c>
    </row>
    <row r="230" customFormat="false" ht="15" hidden="false" customHeight="false" outlineLevel="2" collapsed="false">
      <c r="A230" s="3" t="s">
        <v>505</v>
      </c>
      <c r="B230" s="11" t="s">
        <v>65</v>
      </c>
      <c r="C230" s="24" t="n">
        <v>0</v>
      </c>
      <c r="I230" s="6" t="s">
        <v>481</v>
      </c>
    </row>
    <row r="231" customFormat="false" ht="15" hidden="false" customHeight="false" outlineLevel="2" collapsed="false">
      <c r="A231" s="3" t="s">
        <v>506</v>
      </c>
      <c r="B231" s="11" t="s">
        <v>65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I231" s="6" t="s">
        <v>483</v>
      </c>
    </row>
    <row r="232" customFormat="false" ht="15" hidden="false" customHeight="false" outlineLevel="2" collapsed="false">
      <c r="A232" s="3" t="s">
        <v>507</v>
      </c>
      <c r="B232" s="11" t="s">
        <v>42</v>
      </c>
      <c r="C232" s="23" t="n">
        <v>0</v>
      </c>
      <c r="I232" s="11" t="s">
        <v>485</v>
      </c>
    </row>
    <row r="233" customFormat="false" ht="15" hidden="false" customHeight="false" outlineLevel="2" collapsed="false">
      <c r="A233" s="3" t="s">
        <v>508</v>
      </c>
      <c r="B233" s="11" t="s">
        <v>42</v>
      </c>
      <c r="C233" s="38" t="n">
        <f aca="false">輸入與假設!$C$232</f>
        <v>0</v>
      </c>
      <c r="I233" s="6" t="s">
        <v>470</v>
      </c>
    </row>
    <row r="234" customFormat="false" ht="15" hidden="false" customHeight="false" outlineLevel="2" collapsed="false">
      <c r="A234" s="3" t="s">
        <v>509</v>
      </c>
      <c r="B234" s="11" t="s">
        <v>42</v>
      </c>
      <c r="C234" s="23" t="n">
        <v>0</v>
      </c>
      <c r="I234" s="6" t="s">
        <v>382</v>
      </c>
    </row>
    <row r="235" customFormat="false" ht="15" hidden="false" customHeight="false" outlineLevel="2" collapsed="false">
      <c r="A235" s="3" t="s">
        <v>510</v>
      </c>
      <c r="B235" s="11" t="s">
        <v>42</v>
      </c>
      <c r="C235" s="23" t="n">
        <v>0</v>
      </c>
      <c r="I235" s="6" t="s">
        <v>384</v>
      </c>
    </row>
    <row r="236" customFormat="false" ht="15" hidden="false" customHeight="false" outlineLevel="2" collapsed="false">
      <c r="A236" s="3" t="s">
        <v>511</v>
      </c>
      <c r="B236" s="11" t="s">
        <v>65</v>
      </c>
      <c r="C236" s="32" t="n">
        <f aca="false">C231+輸入與假設!$C$230</f>
        <v>0</v>
      </c>
      <c r="D236" s="32" t="n">
        <f aca="false">D231</f>
        <v>0</v>
      </c>
      <c r="E236" s="32" t="n">
        <f aca="false">E231</f>
        <v>0</v>
      </c>
      <c r="F236" s="32" t="n">
        <f aca="false">F231</f>
        <v>0</v>
      </c>
      <c r="G236" s="32" t="n">
        <f aca="false">G231</f>
        <v>0</v>
      </c>
      <c r="I236" s="11" t="s">
        <v>490</v>
      </c>
    </row>
    <row r="237" customFormat="false" ht="15" hidden="false" customHeight="false" outlineLevel="2" collapsed="false">
      <c r="A237" s="3" t="s">
        <v>512</v>
      </c>
      <c r="B237" s="11" t="s">
        <v>42</v>
      </c>
      <c r="C237" s="38" t="n">
        <f aca="false">輸入與假設!$C$232+(輸入與假設!$C$233-輸入與假設!$C$232)*0/4</f>
        <v>0</v>
      </c>
      <c r="D237" s="38" t="n">
        <f aca="false">輸入與假設!$C$232+(輸入與假設!$C$233-輸入與假設!$C$232)*1/4</f>
        <v>0</v>
      </c>
      <c r="E237" s="38" t="n">
        <f aca="false">輸入與假設!$C$232+(輸入與假設!$C$233-輸入與假設!$C$232)*2/4</f>
        <v>0</v>
      </c>
      <c r="F237" s="38" t="n">
        <f aca="false">輸入與假設!$C$232+(輸入與假設!$C$233-輸入與假設!$C$232)*3/4</f>
        <v>0</v>
      </c>
      <c r="G237" s="38" t="n">
        <f aca="false">輸入與假設!$C$232+(輸入與假設!$C$233-輸入與假設!$C$232)*4/4</f>
        <v>0</v>
      </c>
      <c r="I237" s="6" t="s">
        <v>386</v>
      </c>
    </row>
    <row r="238" customFormat="false" ht="15" hidden="false" customHeight="false" outlineLevel="2" collapsed="false">
      <c r="A238" s="3" t="s">
        <v>513</v>
      </c>
      <c r="B238" s="11" t="s">
        <v>65</v>
      </c>
      <c r="C238" s="24" t="n">
        <v>-12.689</v>
      </c>
      <c r="D238" s="24" t="n">
        <v>-28.95</v>
      </c>
      <c r="E238" s="24" t="n">
        <v>-33.596</v>
      </c>
      <c r="F238" s="24" t="n">
        <v>-37.874</v>
      </c>
      <c r="G238" s="24" t="n">
        <v>-41.389</v>
      </c>
      <c r="I238" s="6" t="s">
        <v>493</v>
      </c>
    </row>
    <row r="239" customFormat="false" ht="15" hidden="false" customHeight="false" outlineLevel="2" collapsed="false">
      <c r="A239" s="3" t="s">
        <v>514</v>
      </c>
      <c r="B239" s="11" t="s">
        <v>65</v>
      </c>
      <c r="C239" s="32" t="n">
        <f aca="false">C231*輸入與假設!$C$234</f>
        <v>0</v>
      </c>
      <c r="D239" s="32" t="n">
        <f aca="false">D231*輸入與假設!$C$234</f>
        <v>0</v>
      </c>
      <c r="E239" s="32" t="n">
        <f aca="false">E231*輸入與假設!$C$234</f>
        <v>0</v>
      </c>
      <c r="F239" s="32" t="n">
        <f aca="false">F231*輸入與假設!$C$234</f>
        <v>0</v>
      </c>
      <c r="G239" s="32" t="n">
        <f aca="false">G231*輸入與假設!$C$234</f>
        <v>0</v>
      </c>
      <c r="I239" s="6" t="s">
        <v>395</v>
      </c>
    </row>
    <row r="240" customFormat="false" ht="15" hidden="false" customHeight="false" outlineLevel="2" collapsed="false">
      <c r="A240" s="3" t="s">
        <v>515</v>
      </c>
      <c r="B240" s="11" t="s">
        <v>65</v>
      </c>
      <c r="C240" s="32" t="n">
        <f aca="false">C140+C154+C168+C182+C206+C211+C221+C231</f>
        <v>249.853558351676</v>
      </c>
      <c r="D240" s="32" t="n">
        <f aca="false">D140+D154+D168+D182+D206+D211+D221+D231</f>
        <v>560.974553419459</v>
      </c>
      <c r="E240" s="32" t="n">
        <f aca="false">E140+E154+E168+E182+E206+E211+E221+E231</f>
        <v>639.864039179039</v>
      </c>
      <c r="F240" s="32" t="n">
        <f aca="false">F140+F154+F168+F182+F206+F211+F221+F231</f>
        <v>710.982331853808</v>
      </c>
      <c r="G240" s="32" t="n">
        <f aca="false">G140+G154+G168+G182+G206+G211+G221+G231</f>
        <v>766.281688143173</v>
      </c>
      <c r="I240" s="6" t="s">
        <v>516</v>
      </c>
    </row>
    <row r="241" customFormat="false" ht="15" hidden="false" customHeight="false" outlineLevel="2" collapsed="false">
      <c r="A241" s="3" t="s">
        <v>517</v>
      </c>
      <c r="B241" s="11" t="s">
        <v>65</v>
      </c>
      <c r="C241" s="32" t="n">
        <f aca="false">C142+C156+C170+C184+C208+C218+C228+C238</f>
        <v>92.5735202825379</v>
      </c>
      <c r="D241" s="32" t="n">
        <f aca="false">D142+D156+D170+D184+D208+D218+D228+D238</f>
        <v>199.715906865359</v>
      </c>
      <c r="E241" s="32" t="n">
        <f aca="false">E142+E156+E170+E184+E208+E218+E228+E238</f>
        <v>221.245347397264</v>
      </c>
      <c r="F241" s="32" t="n">
        <f aca="false">F142+F156+F170+F184+F208+F218+F228+F238</f>
        <v>239.224608057883</v>
      </c>
      <c r="G241" s="32" t="n">
        <f aca="false">G142+G156+G170+G184+G208+G218+G228+G238</f>
        <v>251.65726366129</v>
      </c>
      <c r="I241" s="6" t="s">
        <v>518</v>
      </c>
    </row>
    <row r="242" customFormat="false" ht="15" hidden="false" customHeight="false" outlineLevel="2" collapsed="false">
      <c r="A242" s="3" t="s">
        <v>519</v>
      </c>
      <c r="B242" s="11" t="s">
        <v>65</v>
      </c>
      <c r="C242" s="32" t="n">
        <f aca="false">C143+C157+C171+C185+C209+C219+C229+C239</f>
        <v>0</v>
      </c>
      <c r="D242" s="32" t="n">
        <f aca="false">D143+D157+D171+D185+D209+D219+D229+D239</f>
        <v>0</v>
      </c>
      <c r="E242" s="32" t="n">
        <f aca="false">E143+E157+E171+E185+E209+E219+E229+E239</f>
        <v>0</v>
      </c>
      <c r="F242" s="32" t="n">
        <f aca="false">F143+F157+F171+F185+F209+F219+F229+F239</f>
        <v>0</v>
      </c>
      <c r="G242" s="32" t="n">
        <f aca="false">G143+G157+G171+G185+G209+G219+G229+G239</f>
        <v>0</v>
      </c>
      <c r="I242" s="6" t="s">
        <v>520</v>
      </c>
    </row>
    <row r="243" customFormat="false" ht="15" hidden="false" customHeight="false" outlineLevel="2" collapsed="false">
      <c r="A243" s="3" t="s">
        <v>521</v>
      </c>
      <c r="B243" s="11" t="s">
        <v>42</v>
      </c>
      <c r="C243" s="38" t="n">
        <f aca="false">C241/MAX(0.000000001,C240)</f>
        <v>0.370511114163274</v>
      </c>
      <c r="D243" s="38" t="n">
        <f aca="false">D241/MAX(0.000000001,D240)</f>
        <v>0.356015982628762</v>
      </c>
      <c r="E243" s="38" t="n">
        <f aca="false">E241/MAX(0.000000001,E240)</f>
        <v>0.345769310119581</v>
      </c>
      <c r="F243" s="38" t="n">
        <f aca="false">F241/MAX(0.000000001,F240)</f>
        <v>0.336470538493032</v>
      </c>
      <c r="G243" s="38" t="n">
        <f aca="false">G241/MAX(0.000000001,G240)</f>
        <v>0.328413516276367</v>
      </c>
      <c r="I243" s="6" t="s">
        <v>522</v>
      </c>
    </row>
    <row r="244" customFormat="false" ht="15" hidden="false" customHeight="false" outlineLevel="2" collapsed="false">
      <c r="A244" s="3" t="s">
        <v>523</v>
      </c>
      <c r="B244" s="11" t="s">
        <v>65</v>
      </c>
      <c r="C244" s="32" t="n">
        <f aca="false">輸入與假設!$C$131+C140-C139+輸入與假設!$C$145+C154-C153+輸入與假設!$C$159+C168-C167+輸入與假設!$C$173+C182-C181+輸入與假設!$C$198+C206-C205+輸入與假設!$C$210+C211-C216+輸入與假設!$C$220+C221-C226+輸入與假設!$C$230+C231-C236</f>
        <v>0</v>
      </c>
      <c r="I244" s="6" t="s">
        <v>524</v>
      </c>
    </row>
    <row r="246" customFormat="false" ht="15" hidden="false" customHeight="false" outlineLevel="0" collapsed="false">
      <c r="A246" s="7" t="s">
        <v>525</v>
      </c>
      <c r="B246" s="8"/>
      <c r="C246" s="8"/>
      <c r="D246" s="8"/>
      <c r="E246" s="8"/>
      <c r="F246" s="8"/>
      <c r="G246" s="8"/>
      <c r="H246" s="8"/>
    </row>
    <row r="247" customFormat="false" ht="15" hidden="false" customHeight="false" outlineLevel="1" collapsed="false">
      <c r="A247" s="3" t="s">
        <v>526</v>
      </c>
      <c r="B247" s="11" t="s">
        <v>42</v>
      </c>
      <c r="C247" s="40" t="n">
        <v>0.765</v>
      </c>
      <c r="I247" s="11" t="s">
        <v>527</v>
      </c>
    </row>
    <row r="248" customFormat="false" ht="15" hidden="false" customHeight="false" outlineLevel="1" collapsed="false">
      <c r="A248" s="3" t="s">
        <v>528</v>
      </c>
      <c r="B248" s="11" t="s">
        <v>42</v>
      </c>
      <c r="C248" s="40" t="n">
        <v>0.765</v>
      </c>
      <c r="I248" s="6" t="s">
        <v>529</v>
      </c>
    </row>
    <row r="249" customFormat="false" ht="15" hidden="false" customHeight="false" outlineLevel="1" collapsed="false">
      <c r="A249" s="14" t="s">
        <v>59</v>
      </c>
      <c r="B249" s="14" t="s">
        <v>60</v>
      </c>
      <c r="C249" s="28" t="s">
        <v>61</v>
      </c>
      <c r="D249" s="28" t="s">
        <v>62</v>
      </c>
      <c r="E249" s="28" t="s">
        <v>63</v>
      </c>
      <c r="F249" s="28" t="s">
        <v>153</v>
      </c>
      <c r="G249" s="28" t="s">
        <v>154</v>
      </c>
      <c r="I249" s="14" t="s">
        <v>206</v>
      </c>
    </row>
    <row r="250" customFormat="false" ht="15" hidden="false" customHeight="false" outlineLevel="1" collapsed="false">
      <c r="A250" s="4" t="s">
        <v>530</v>
      </c>
      <c r="B250" s="11" t="s">
        <v>42</v>
      </c>
      <c r="C250" s="38" t="n">
        <f aca="false">1-C121/1000/MAX(0.000000001,C39*輸入與假設!$C$32)</f>
        <v>0.834234376204762</v>
      </c>
      <c r="D250" s="38" t="n">
        <f aca="false">1-D121/1000/MAX(0.000000001,D39*輸入與假設!$C$32)</f>
        <v>0.838943805381426</v>
      </c>
      <c r="E250" s="38" t="n">
        <f aca="false">1-E121/1000/MAX(0.000000001,E39*輸入與假設!$C$32)</f>
        <v>0.842466054282288</v>
      </c>
      <c r="F250" s="38" t="n">
        <f aca="false">1-F121/1000/MAX(0.000000001,F39*輸入與假設!$C$32)</f>
        <v>0.844455705006196</v>
      </c>
      <c r="G250" s="38" t="n">
        <f aca="false">1-G121/1000/MAX(0.000000001,G39*輸入與假設!$C$32)</f>
        <v>0.845734314352038</v>
      </c>
      <c r="I250" s="6" t="s">
        <v>531</v>
      </c>
    </row>
    <row r="251" customFormat="false" ht="15" hidden="false" customHeight="false" outlineLevel="1" collapsed="false">
      <c r="A251" s="3" t="s">
        <v>532</v>
      </c>
      <c r="B251" s="11" t="s">
        <v>65</v>
      </c>
      <c r="C251" s="32" t="n">
        <f aca="false">輸入與假設!C$43*運營_產能與收入!C39</f>
        <v>0</v>
      </c>
      <c r="D251" s="32" t="n">
        <f aca="false">輸入與假設!D$43*運營_產能與收入!D39</f>
        <v>0</v>
      </c>
      <c r="E251" s="32" t="n">
        <f aca="false">輸入與假設!E$43*運營_產能與收入!E39</f>
        <v>0</v>
      </c>
      <c r="F251" s="32" t="n">
        <f aca="false">輸入與假設!F$43*運營_產能與收入!F39</f>
        <v>0</v>
      </c>
      <c r="G251" s="32" t="n">
        <f aca="false">輸入與假設!G$43*運營_產能與收入!G39</f>
        <v>0</v>
      </c>
      <c r="I251" s="6" t="s">
        <v>533</v>
      </c>
    </row>
    <row r="252" customFormat="false" ht="15" hidden="false" customHeight="false" outlineLevel="1" collapsed="true">
      <c r="A252" s="19" t="s">
        <v>534</v>
      </c>
      <c r="B252" s="20"/>
      <c r="C252" s="20"/>
      <c r="D252" s="20"/>
      <c r="E252" s="20"/>
      <c r="F252" s="20"/>
      <c r="G252" s="20"/>
      <c r="H252" s="20"/>
    </row>
    <row r="253" customFormat="false" ht="15" hidden="true" customHeight="false" outlineLevel="2" collapsed="false">
      <c r="A253" s="3" t="s">
        <v>535</v>
      </c>
      <c r="B253" s="6"/>
      <c r="C253" s="21" t="n">
        <v>0</v>
      </c>
      <c r="I253" s="11" t="s">
        <v>536</v>
      </c>
    </row>
    <row r="254" customFormat="false" ht="15" hidden="true" customHeight="false" outlineLevel="2" collapsed="false">
      <c r="A254" s="3" t="s">
        <v>537</v>
      </c>
      <c r="B254" s="11" t="s">
        <v>538</v>
      </c>
      <c r="C254" s="21" t="n">
        <v>60</v>
      </c>
      <c r="D254" s="21" t="n">
        <v>62</v>
      </c>
      <c r="E254" s="21" t="n">
        <v>64</v>
      </c>
      <c r="F254" s="21" t="n">
        <v>66</v>
      </c>
      <c r="G254" s="21" t="n">
        <v>68</v>
      </c>
      <c r="I254" s="11" t="s">
        <v>539</v>
      </c>
    </row>
    <row r="255" customFormat="false" ht="15" hidden="true" customHeight="false" outlineLevel="2" collapsed="false">
      <c r="A255" s="4" t="s">
        <v>540</v>
      </c>
      <c r="B255" s="6"/>
      <c r="C255" s="37" t="n">
        <v>1.2</v>
      </c>
      <c r="D255" s="37" t="n">
        <v>1.2</v>
      </c>
      <c r="E255" s="37" t="n">
        <v>1.2</v>
      </c>
      <c r="F255" s="37" t="n">
        <v>1.2</v>
      </c>
      <c r="G255" s="37" t="n">
        <v>1.2</v>
      </c>
      <c r="I255" s="11" t="s">
        <v>539</v>
      </c>
    </row>
    <row r="256" customFormat="false" ht="15" hidden="true" customHeight="false" outlineLevel="2" collapsed="false">
      <c r="A256" s="3" t="s">
        <v>541</v>
      </c>
      <c r="B256" s="11" t="s">
        <v>268</v>
      </c>
      <c r="C256" s="37" t="n">
        <v>0.15</v>
      </c>
      <c r="D256" s="37" t="n">
        <v>0.15</v>
      </c>
      <c r="E256" s="37" t="n">
        <v>0.16</v>
      </c>
      <c r="F256" s="37" t="n">
        <v>0.16</v>
      </c>
      <c r="G256" s="37" t="n">
        <v>0.17</v>
      </c>
      <c r="I256" s="11" t="s">
        <v>539</v>
      </c>
    </row>
    <row r="258" customFormat="false" ht="15" hidden="false" customHeight="false" outlineLevel="0" collapsed="false">
      <c r="A258" s="7" t="s">
        <v>542</v>
      </c>
      <c r="B258" s="8"/>
      <c r="C258" s="8"/>
      <c r="D258" s="8"/>
      <c r="E258" s="8"/>
      <c r="F258" s="8"/>
      <c r="G258" s="8"/>
      <c r="H258" s="8"/>
    </row>
    <row r="259" customFormat="false" ht="15" hidden="false" customHeight="false" outlineLevel="1" collapsed="false">
      <c r="A259" s="3" t="s">
        <v>543</v>
      </c>
      <c r="B259" s="11" t="s">
        <v>42</v>
      </c>
      <c r="C259" s="23" t="n">
        <v>0.35</v>
      </c>
      <c r="I259" s="6" t="s">
        <v>544</v>
      </c>
    </row>
    <row r="260" customFormat="false" ht="15" hidden="false" customHeight="false" outlineLevel="1" collapsed="false">
      <c r="A260" s="4" t="s">
        <v>545</v>
      </c>
      <c r="B260" s="11" t="s">
        <v>157</v>
      </c>
      <c r="C260" s="22" t="n">
        <f aca="false">CHOOSE(輸入與假設!$C$5,I11,I14,I17)</f>
        <v>1246.1</v>
      </c>
      <c r="I260" s="6" t="s">
        <v>546</v>
      </c>
    </row>
    <row r="261" customFormat="false" ht="15" hidden="false" customHeight="false" outlineLevel="1" collapsed="false">
      <c r="A261" s="4" t="s">
        <v>547</v>
      </c>
      <c r="B261" s="11" t="s">
        <v>65</v>
      </c>
      <c r="C261" s="24" t="n">
        <v>200</v>
      </c>
      <c r="I261" s="6" t="s">
        <v>548</v>
      </c>
    </row>
    <row r="262" customFormat="false" ht="15" hidden="false" customHeight="false" outlineLevel="1" collapsed="false">
      <c r="A262" s="4" t="s">
        <v>549</v>
      </c>
      <c r="B262" s="6" t="s">
        <v>184</v>
      </c>
      <c r="C262" s="21" t="n">
        <v>6</v>
      </c>
      <c r="I262" s="11" t="s">
        <v>550</v>
      </c>
    </row>
    <row r="263" customFormat="false" ht="15" hidden="false" customHeight="false" outlineLevel="1" collapsed="false">
      <c r="A263" s="3" t="s">
        <v>551</v>
      </c>
      <c r="B263" s="11" t="s">
        <v>42</v>
      </c>
      <c r="C263" s="23" t="n">
        <v>0.3</v>
      </c>
      <c r="I263" s="6" t="s">
        <v>552</v>
      </c>
    </row>
    <row r="264" customFormat="false" ht="15" hidden="false" customHeight="false" outlineLevel="1" collapsed="false">
      <c r="A264" s="3" t="s">
        <v>553</v>
      </c>
      <c r="B264" s="11" t="s">
        <v>42</v>
      </c>
      <c r="C264" s="23" t="n">
        <v>0.85</v>
      </c>
      <c r="I264" s="6" t="s">
        <v>554</v>
      </c>
    </row>
    <row r="265" customFormat="false" ht="15" hidden="false" customHeight="false" outlineLevel="1" collapsed="false">
      <c r="A265" s="3" t="s">
        <v>555</v>
      </c>
      <c r="B265" s="11" t="s">
        <v>65</v>
      </c>
      <c r="C265" s="24" t="n">
        <v>28.416</v>
      </c>
      <c r="I265" s="6" t="s">
        <v>556</v>
      </c>
    </row>
    <row r="266" customFormat="false" ht="15" hidden="false" customHeight="false" outlineLevel="1" collapsed="false">
      <c r="A266" s="4" t="s">
        <v>557</v>
      </c>
      <c r="B266" s="11" t="s">
        <v>157</v>
      </c>
      <c r="C266" s="21" t="n">
        <v>191</v>
      </c>
      <c r="I266" s="11" t="s">
        <v>558</v>
      </c>
    </row>
    <row r="267" customFormat="false" ht="15" hidden="false" customHeight="false" outlineLevel="1" collapsed="false">
      <c r="A267" s="4" t="s">
        <v>559</v>
      </c>
      <c r="B267" s="11" t="s">
        <v>157</v>
      </c>
      <c r="C267" s="21" t="n">
        <v>643</v>
      </c>
      <c r="I267" s="11" t="s">
        <v>560</v>
      </c>
    </row>
    <row r="268" customFormat="false" ht="15" hidden="false" customHeight="false" outlineLevel="1" collapsed="false">
      <c r="A268" s="4" t="s">
        <v>561</v>
      </c>
      <c r="B268" s="11" t="s">
        <v>65</v>
      </c>
      <c r="C268" s="24" t="n">
        <v>321.212</v>
      </c>
      <c r="I268" s="6" t="s">
        <v>562</v>
      </c>
    </row>
    <row r="269" customFormat="false" ht="15" hidden="false" customHeight="false" outlineLevel="1" collapsed="false">
      <c r="A269" s="3" t="s">
        <v>563</v>
      </c>
      <c r="B269" s="11" t="s">
        <v>42</v>
      </c>
      <c r="C269" s="23" t="n">
        <v>1</v>
      </c>
      <c r="I269" s="6" t="s">
        <v>564</v>
      </c>
    </row>
    <row r="270" customFormat="false" ht="15" hidden="false" customHeight="false" outlineLevel="1" collapsed="false">
      <c r="A270" s="14" t="s">
        <v>59</v>
      </c>
      <c r="B270" s="14" t="s">
        <v>60</v>
      </c>
      <c r="C270" s="28" t="s">
        <v>61</v>
      </c>
      <c r="D270" s="28" t="s">
        <v>62</v>
      </c>
      <c r="E270" s="28" t="s">
        <v>63</v>
      </c>
      <c r="F270" s="28" t="s">
        <v>153</v>
      </c>
      <c r="G270" s="28" t="s">
        <v>154</v>
      </c>
      <c r="I270" s="14" t="s">
        <v>206</v>
      </c>
    </row>
    <row r="271" customFormat="false" ht="15" hidden="false" customHeight="false" outlineLevel="1" collapsed="false">
      <c r="A271" s="3" t="s">
        <v>565</v>
      </c>
      <c r="B271" s="11" t="s">
        <v>268</v>
      </c>
      <c r="C271" s="41" t="n">
        <f aca="false">C68*(TK_CapexIT_H100*輸入與假設!$C$60+輸入與假設!$C$264*TK_CapexFacility_H100)+C75*(TK_CapexIT_H100+輸入與假設!$C$264*TK_CapexFacility_H100)+C82*(TK_CapexIT_GB200*輸入與假設!$C$60+輸入與假設!$C$264*TK_CapexFacility_GB200)+C89*(TK_CapexIT_GB200+輸入與假設!$C$264*TK_CapexFacility_GB200)+C96*(TK_CapexIT_GB300*輸入與假設!$C$60+輸入與假設!$C$264*TK_CapexFacility_GB300)+C103*(TK_CapexIT_GB300+輸入與假設!$C$264*TK_CapexFacility_GB300)+C110*(TK_CapexIT_VR200*輸入與假設!$C$60+輸入與假設!$C$264*TK_CapexFacility_VR200)+C117*(TK_CapexIT_VR200+輸入與假設!$C$264*TK_CapexFacility_VR200)</f>
        <v>43.006724</v>
      </c>
      <c r="D271" s="41" t="n">
        <f aca="false">D68*(TK_CapexIT_H100*輸入與假設!$C$60+輸入與假設!$C$264*TK_CapexFacility_H100)+D75*(TK_CapexIT_H100+輸入與假設!$C$264*TK_CapexFacility_H100)+D82*(TK_CapexIT_GB200*輸入與假設!$C$60+輸入與假設!$C$264*TK_CapexFacility_GB200)+D89*(TK_CapexIT_GB200+輸入與假設!$C$264*TK_CapexFacility_GB200)+D96*(TK_CapexIT_GB300*輸入與假設!$C$60+輸入與假設!$C$264*TK_CapexFacility_GB300)+D103*(TK_CapexIT_GB300+輸入與假設!$C$264*TK_CapexFacility_GB300)+D110*(TK_CapexIT_VR200*輸入與假設!$C$60+輸入與假設!$C$264*TK_CapexFacility_VR200)+D117*(TK_CapexIT_VR200+輸入與假設!$C$264*TK_CapexFacility_VR200)</f>
        <v>45.681288</v>
      </c>
      <c r="E271" s="41" t="n">
        <f aca="false">E68*(TK_CapexIT_H100*輸入與假設!$C$60+輸入與假設!$C$264*TK_CapexFacility_H100)+E75*(TK_CapexIT_H100+輸入與假設!$C$264*TK_CapexFacility_H100)+E82*(TK_CapexIT_GB200*輸入與假設!$C$60+輸入與假設!$C$264*TK_CapexFacility_GB200)+E89*(TK_CapexIT_GB200+輸入與假設!$C$264*TK_CapexFacility_GB200)+E96*(TK_CapexIT_GB300*輸入與假設!$C$60+輸入與假設!$C$264*TK_CapexFacility_GB300)+E103*(TK_CapexIT_GB300+輸入與假設!$C$264*TK_CapexFacility_GB300)+E110*(TK_CapexIT_VR200*輸入與假設!$C$60+輸入與假設!$C$264*TK_CapexFacility_VR200)+E117*(TK_CapexIT_VR200+輸入與假設!$C$264*TK_CapexFacility_VR200)</f>
        <v>48.355852</v>
      </c>
      <c r="F271" s="41" t="n">
        <f aca="false">F68*(TK_CapexIT_H100*輸入與假設!$C$60+輸入與假設!$C$264*TK_CapexFacility_H100)+F75*(TK_CapexIT_H100+輸入與假設!$C$264*TK_CapexFacility_H100)+F82*(TK_CapexIT_GB200*輸入與假設!$C$60+輸入與假設!$C$264*TK_CapexFacility_GB200)+F89*(TK_CapexIT_GB200+輸入與假設!$C$264*TK_CapexFacility_GB200)+F96*(TK_CapexIT_GB300*輸入與假設!$C$60+輸入與假設!$C$264*TK_CapexFacility_GB300)+F103*(TK_CapexIT_GB300+輸入與假設!$C$264*TK_CapexFacility_GB300)+F110*(TK_CapexIT_VR200*輸入與假設!$C$60+輸入與假設!$C$264*TK_CapexFacility_VR200)+F117*(TK_CapexIT_VR200+輸入與假設!$C$264*TK_CapexFacility_VR200)</f>
        <v>48.355852</v>
      </c>
      <c r="G271" s="41" t="n">
        <f aca="false">G68*(TK_CapexIT_H100*輸入與假設!$C$60+輸入與假設!$C$264*TK_CapexFacility_H100)+G75*(TK_CapexIT_H100+輸入與假設!$C$264*TK_CapexFacility_H100)+G82*(TK_CapexIT_GB200*輸入與假設!$C$60+輸入與假設!$C$264*TK_CapexFacility_GB200)+G89*(TK_CapexIT_GB200+輸入與假設!$C$264*TK_CapexFacility_GB200)+G96*(TK_CapexIT_GB300*輸入與假設!$C$60+輸入與假設!$C$264*TK_CapexFacility_GB300)+G103*(TK_CapexIT_GB300+輸入與假設!$C$264*TK_CapexFacility_GB300)+G110*(TK_CapexIT_VR200*輸入與假設!$C$60+輸入與假設!$C$264*TK_CapexFacility_VR200)+G117*(TK_CapexIT_VR200+輸入與假設!$C$264*TK_CapexFacility_VR200)</f>
        <v>48.355852</v>
      </c>
      <c r="I271" s="6" t="s">
        <v>566</v>
      </c>
    </row>
    <row r="272" customFormat="false" ht="15" hidden="false" customHeight="false" outlineLevel="1" collapsed="false">
      <c r="A272" s="3" t="s">
        <v>567</v>
      </c>
      <c r="B272" s="11" t="s">
        <v>268</v>
      </c>
      <c r="C272" s="41" t="n">
        <f aca="false">C68*TK_CapexIT_H100*輸入與假設!$C$60+C75*TK_CapexIT_H100+C82*TK_CapexIT_GB200*輸入與假設!$C$60+C89*TK_CapexIT_GB200+C96*TK_CapexIT_GB300*輸入與假設!$C$60+C103*TK_CapexIT_GB300+C110*TK_CapexIT_VR200*輸入與假設!$C$60+C117*TK_CapexIT_VR200</f>
        <v>32.237224</v>
      </c>
      <c r="D272" s="41" t="n">
        <f aca="false">D68*TK_CapexIT_H100*輸入與假設!$C$60+D75*TK_CapexIT_H100+D82*TK_CapexIT_GB200*輸入與假設!$C$60+D89*TK_CapexIT_GB200+D96*TK_CapexIT_GB300*輸入與假設!$C$60+D103*TK_CapexIT_GB300+D110*TK_CapexIT_VR200*輸入與假設!$C$60+D117*TK_CapexIT_VR200</f>
        <v>34.911788</v>
      </c>
      <c r="E272" s="41" t="n">
        <f aca="false">E68*TK_CapexIT_H100*輸入與假設!$C$60+E75*TK_CapexIT_H100+E82*TK_CapexIT_GB200*輸入與假設!$C$60+E89*TK_CapexIT_GB200+E96*TK_CapexIT_GB300*輸入與假設!$C$60+E103*TK_CapexIT_GB300+E110*TK_CapexIT_VR200*輸入與假設!$C$60+E117*TK_CapexIT_VR200</f>
        <v>37.586352</v>
      </c>
      <c r="F272" s="41" t="n">
        <f aca="false">F68*TK_CapexIT_H100*輸入與假設!$C$60+F75*TK_CapexIT_H100+F82*TK_CapexIT_GB200*輸入與假設!$C$60+F89*TK_CapexIT_GB200+F96*TK_CapexIT_GB300*輸入與假設!$C$60+F103*TK_CapexIT_GB300+F110*TK_CapexIT_VR200*輸入與假設!$C$60+F117*TK_CapexIT_VR200</f>
        <v>37.586352</v>
      </c>
      <c r="G272" s="41" t="n">
        <f aca="false">G68*TK_CapexIT_H100*輸入與假設!$C$60+G75*TK_CapexIT_H100+G82*TK_CapexIT_GB200*輸入與假設!$C$60+G89*TK_CapexIT_GB200+G96*TK_CapexIT_GB300*輸入與假設!$C$60+G103*TK_CapexIT_GB300+G110*TK_CapexIT_VR200*輸入與假設!$C$60+G117*TK_CapexIT_VR200</f>
        <v>37.586352</v>
      </c>
      <c r="I272" s="6" t="s">
        <v>568</v>
      </c>
    </row>
    <row r="273" customFormat="false" ht="15" hidden="false" customHeight="false" outlineLevel="1" collapsed="false">
      <c r="A273" s="3" t="s">
        <v>569</v>
      </c>
      <c r="B273" s="11" t="s">
        <v>42</v>
      </c>
      <c r="C273" s="23" t="n">
        <v>0</v>
      </c>
      <c r="I273" s="6" t="s">
        <v>570</v>
      </c>
    </row>
    <row r="274" customFormat="false" ht="15" hidden="false" customHeight="false" outlineLevel="1" collapsed="false">
      <c r="A274" s="3" t="s">
        <v>571</v>
      </c>
      <c r="B274" s="11" t="s">
        <v>42</v>
      </c>
      <c r="C274" s="23" t="n">
        <v>0</v>
      </c>
      <c r="I274" s="6" t="s">
        <v>572</v>
      </c>
    </row>
    <row r="275" customFormat="false" ht="15" hidden="false" customHeight="false" outlineLevel="1" collapsed="false">
      <c r="A275" s="3" t="s">
        <v>573</v>
      </c>
      <c r="B275" s="6" t="s">
        <v>184</v>
      </c>
      <c r="C275" s="25" t="n">
        <v>5</v>
      </c>
      <c r="I275" s="6" t="s">
        <v>574</v>
      </c>
    </row>
    <row r="276" customFormat="false" ht="15" hidden="false" customHeight="false" outlineLevel="1" collapsed="false">
      <c r="A276" s="4" t="s">
        <v>575</v>
      </c>
      <c r="B276" s="11" t="s">
        <v>65</v>
      </c>
      <c r="C276" s="24" t="n">
        <v>0</v>
      </c>
      <c r="I276" s="6" t="s">
        <v>572</v>
      </c>
    </row>
    <row r="277" customFormat="false" ht="15" hidden="false" customHeight="false" outlineLevel="1" collapsed="false">
      <c r="A277" s="3" t="s">
        <v>576</v>
      </c>
      <c r="B277" s="11" t="s">
        <v>42</v>
      </c>
      <c r="C277" s="23" t="n">
        <v>0</v>
      </c>
      <c r="I277" s="6" t="s">
        <v>577</v>
      </c>
    </row>
    <row r="278" customFormat="false" ht="15" hidden="false" customHeight="false" outlineLevel="1" collapsed="false">
      <c r="A278" s="14" t="s">
        <v>59</v>
      </c>
      <c r="B278" s="14" t="s">
        <v>60</v>
      </c>
      <c r="C278" s="28" t="s">
        <v>61</v>
      </c>
      <c r="D278" s="28" t="s">
        <v>62</v>
      </c>
      <c r="E278" s="28" t="s">
        <v>63</v>
      </c>
      <c r="F278" s="28" t="s">
        <v>153</v>
      </c>
      <c r="G278" s="28" t="s">
        <v>154</v>
      </c>
      <c r="I278" s="14" t="s">
        <v>206</v>
      </c>
    </row>
    <row r="279" customFormat="false" ht="15" hidden="false" customHeight="false" outlineLevel="1" collapsed="false">
      <c r="A279" s="3" t="s">
        <v>578</v>
      </c>
      <c r="B279" s="11" t="s">
        <v>42</v>
      </c>
      <c r="C279" s="38" t="n">
        <f aca="false">輸入與假設!$C$273*輸入與假設!$C$274</f>
        <v>0</v>
      </c>
      <c r="D279" s="38" t="n">
        <f aca="false">輸入與假設!$C$273*輸入與假設!$C$274</f>
        <v>0</v>
      </c>
      <c r="E279" s="38" t="n">
        <f aca="false">輸入與假設!$C$273*輸入與假設!$C$274</f>
        <v>0</v>
      </c>
      <c r="F279" s="38" t="n">
        <f aca="false">輸入與假設!$C$273*輸入與假設!$C$274</f>
        <v>0</v>
      </c>
      <c r="G279" s="38" t="n">
        <f aca="false">輸入與假設!$C$273*輸入與假設!$C$274</f>
        <v>0</v>
      </c>
      <c r="I279" s="6" t="s">
        <v>579</v>
      </c>
    </row>
    <row r="280" customFormat="false" ht="15" hidden="false" customHeight="false" outlineLevel="1" collapsed="false">
      <c r="A280" s="3" t="s">
        <v>580</v>
      </c>
      <c r="B280" s="11" t="s">
        <v>65</v>
      </c>
      <c r="C280" s="24" t="n">
        <v>2.042</v>
      </c>
      <c r="D280" s="24" t="n">
        <v>3.885</v>
      </c>
      <c r="E280" s="24" t="n">
        <v>3.356</v>
      </c>
      <c r="F280" s="24" t="n">
        <v>2.932</v>
      </c>
      <c r="G280" s="24" t="n">
        <v>2.331</v>
      </c>
      <c r="I280" s="6" t="s">
        <v>581</v>
      </c>
    </row>
    <row r="281" customFormat="false" ht="15" hidden="false" customHeight="false" outlineLevel="1" collapsed="false">
      <c r="A281" s="3" t="s">
        <v>582</v>
      </c>
      <c r="B281" s="6" t="s">
        <v>179</v>
      </c>
      <c r="C281" s="22" t="n">
        <f aca="false">ROUND(4*SUM($C$34:C$34),0)</f>
        <v>2</v>
      </c>
      <c r="D281" s="22" t="n">
        <f aca="false">ROUND(4*SUM($C$34:D$34),0)</f>
        <v>6</v>
      </c>
      <c r="E281" s="22" t="n">
        <f aca="false">ROUND(4*SUM($C$34:E$34),0)</f>
        <v>10</v>
      </c>
      <c r="F281" s="22" t="n">
        <f aca="false">ROUND(4*SUM($C$34:F$34),0)</f>
        <v>14</v>
      </c>
      <c r="G281" s="22" t="n">
        <f aca="false">ROUND(4*SUM($C$34:G$34),0)</f>
        <v>18</v>
      </c>
      <c r="I281" s="6" t="s">
        <v>583</v>
      </c>
    </row>
    <row r="282" customFormat="false" ht="15" hidden="false" customHeight="false" outlineLevel="1" collapsed="false">
      <c r="A282" s="3" t="s">
        <v>584</v>
      </c>
      <c r="B282" s="11" t="s">
        <v>65</v>
      </c>
      <c r="C282" s="32" t="n">
        <f aca="false">輸入與假設!$C$19/輸入與假設!$C$21/輸入與假設!$C$22/4*((MIN(MAX(0,C281-輸入與假設!$C$20),輸入與假設!$C$21)*(MIN(MAX(0,C281-輸入與假設!$C$20),輸入與假設!$C$21)+1)/2+輸入與假設!$C$21*MAX(0,MAX(0,C281-輸入與假設!$C$20)-輸入與假設!$C$21))-(MIN(MAX(0,0-輸入與假設!$C$20),輸入與假設!$C$21)*(MIN(MAX(0,0-輸入與假設!$C$20),輸入與假設!$C$21)+1)/2+輸入與假設!$C$21*MAX(0,MAX(0,0-輸入與假設!$C$20)-輸入與假設!$C$21)))</f>
        <v>0.193636363636364</v>
      </c>
      <c r="D282" s="32" t="n">
        <f aca="false">輸入與假設!$C$19/輸入與假設!$C$21/輸入與假設!$C$22/4*((MIN(MAX(0,D281-輸入與假設!$C$20),輸入與假設!$C$21)*(MIN(MAX(0,D281-輸入與假設!$C$20),輸入與假設!$C$21)+1)/2+輸入與假設!$C$21*MAX(0,MAX(0,D281-輸入與假設!$C$20)-輸入與假設!$C$21))-(MIN(MAX(0,C281-輸入與假設!$C$20),輸入與假設!$C$21)*(MIN(MAX(0,C281-輸入與假設!$C$20),輸入與假設!$C$21)+1)/2+輸入與假設!$C$21*MAX(0,MAX(0,C281-輸入與假設!$C$20)-輸入與假設!$C$21)))</f>
        <v>1.16181818181818</v>
      </c>
      <c r="E282" s="32" t="n">
        <f aca="false">輸入與假設!$C$19/輸入與假設!$C$21/輸入與假設!$C$22/4*((MIN(MAX(0,E281-輸入與假設!$C$20),輸入與假設!$C$21)*(MIN(MAX(0,E281-輸入與假設!$C$20),輸入與假設!$C$21)+1)/2+輸入與假設!$C$21*MAX(0,MAX(0,E281-輸入與假設!$C$20)-輸入與假設!$C$21))-(MIN(MAX(0,D281-輸入與假設!$C$20),輸入與假設!$C$21)*(MIN(MAX(0,D281-輸入與假設!$C$20),輸入與假設!$C$21)+1)/2+輸入與假設!$C$21*MAX(0,MAX(0,D281-輸入與假設!$C$20)-輸入與假設!$C$21)))</f>
        <v>2.19454545454545</v>
      </c>
      <c r="F282" s="32" t="n">
        <f aca="false">輸入與假設!$C$19/輸入與假設!$C$21/輸入與假設!$C$22/4*((MIN(MAX(0,F281-輸入與假設!$C$20),輸入與假設!$C$21)*(MIN(MAX(0,F281-輸入與假設!$C$20),輸入與假設!$C$21)+1)/2+輸入與假設!$C$21*MAX(0,MAX(0,F281-輸入與假設!$C$20)-輸入與假設!$C$21))-(MIN(MAX(0,E281-輸入與假設!$C$20),輸入與假設!$C$21)*(MIN(MAX(0,E281-輸入與假設!$C$20),輸入與假設!$C$21)+1)/2+輸入與假設!$C$21*MAX(0,MAX(0,E281-輸入與假設!$C$20)-輸入與假設!$C$21)))</f>
        <v>3.22727272727273</v>
      </c>
      <c r="G282" s="32" t="n">
        <f aca="false">輸入與假設!$C$19/輸入與假設!$C$21/輸入與假設!$C$22/4*((MIN(MAX(0,G281-輸入與假設!$C$20),輸入與假設!$C$21)*(MIN(MAX(0,G281-輸入與假設!$C$20),輸入與假設!$C$21)+1)/2+輸入與假設!$C$21*MAX(0,MAX(0,G281-輸入與假設!$C$20)-輸入與假設!$C$21))-(MIN(MAX(0,F281-輸入與假設!$C$20),輸入與假設!$C$21)*(MIN(MAX(0,F281-輸入與假設!$C$20),輸入與假設!$C$21)+1)/2+輸入與假設!$C$21*MAX(0,MAX(0,F281-輸入與假設!$C$20)-輸入與假設!$C$21)))</f>
        <v>4.26</v>
      </c>
      <c r="I282" s="6" t="s">
        <v>585</v>
      </c>
    </row>
    <row r="283" customFormat="false" ht="15" hidden="false" customHeight="false" outlineLevel="1" collapsed="false">
      <c r="A283" s="3" t="s">
        <v>586</v>
      </c>
      <c r="B283" s="11" t="s">
        <v>65</v>
      </c>
      <c r="C283" s="24" t="n">
        <v>0.206</v>
      </c>
      <c r="D283" s="24" t="n">
        <v>0.387</v>
      </c>
      <c r="E283" s="24" t="n">
        <v>0.377</v>
      </c>
      <c r="F283" s="24" t="n">
        <v>0.356</v>
      </c>
      <c r="G283" s="24" t="n">
        <v>0.285</v>
      </c>
      <c r="H283" s="24" t="n">
        <v>1.309</v>
      </c>
      <c r="I283" s="6" t="s">
        <v>587</v>
      </c>
    </row>
    <row r="284" customFormat="false" ht="15" hidden="false" customHeight="false" outlineLevel="1" collapsed="false">
      <c r="A284" s="3" t="s">
        <v>588</v>
      </c>
      <c r="B284" s="11" t="s">
        <v>42</v>
      </c>
      <c r="C284" s="23" t="n">
        <v>0.125564</v>
      </c>
      <c r="I284" s="6" t="s">
        <v>589</v>
      </c>
    </row>
    <row r="285" customFormat="false" ht="15" hidden="false" customHeight="false" outlineLevel="1" collapsed="false">
      <c r="A285" s="4" t="s">
        <v>590</v>
      </c>
      <c r="B285" s="11" t="s">
        <v>65</v>
      </c>
      <c r="C285" s="24" t="n">
        <v>2.222222</v>
      </c>
      <c r="D285" s="24" t="n">
        <v>4.444444</v>
      </c>
      <c r="E285" s="24" t="n">
        <v>4.444444</v>
      </c>
      <c r="F285" s="24" t="n">
        <v>4.444444</v>
      </c>
      <c r="G285" s="24" t="n">
        <v>4.444444</v>
      </c>
      <c r="I285" s="6" t="s">
        <v>591</v>
      </c>
    </row>
    <row r="286" customFormat="false" ht="15" hidden="false" customHeight="false" outlineLevel="1" collapsed="false">
      <c r="A286" s="4" t="s">
        <v>592</v>
      </c>
      <c r="B286" s="11" t="s">
        <v>65</v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0</v>
      </c>
      <c r="I286" s="6" t="s">
        <v>593</v>
      </c>
    </row>
    <row r="287" customFormat="false" ht="15" hidden="false" customHeight="false" outlineLevel="1" collapsed="false">
      <c r="A287" s="4" t="s">
        <v>594</v>
      </c>
      <c r="B287" s="11" t="s">
        <v>65</v>
      </c>
      <c r="C287" s="32" t="n">
        <f aca="false">C285+C286</f>
        <v>2.222222</v>
      </c>
      <c r="D287" s="32" t="n">
        <f aca="false">D285+D286</f>
        <v>4.444444</v>
      </c>
      <c r="E287" s="32" t="n">
        <f aca="false">E285+E286</f>
        <v>4.444444</v>
      </c>
      <c r="F287" s="32" t="n">
        <f aca="false">F285+F286</f>
        <v>4.444444</v>
      </c>
      <c r="G287" s="32" t="n">
        <f aca="false">G285+G286</f>
        <v>4.444444</v>
      </c>
      <c r="I287" s="6" t="s">
        <v>595</v>
      </c>
    </row>
    <row r="288" customFormat="false" ht="15" hidden="false" customHeight="false" outlineLevel="1" collapsed="true">
      <c r="A288" s="34" t="s">
        <v>596</v>
      </c>
      <c r="B288" s="20"/>
      <c r="C288" s="20"/>
      <c r="D288" s="20"/>
      <c r="E288" s="20"/>
      <c r="F288" s="20"/>
      <c r="G288" s="20"/>
      <c r="H288" s="20"/>
    </row>
    <row r="289" customFormat="false" ht="15" hidden="true" customHeight="false" outlineLevel="2" collapsed="false">
      <c r="A289" s="3" t="s">
        <v>597</v>
      </c>
      <c r="B289" s="11" t="s">
        <v>157</v>
      </c>
      <c r="C289" s="22" t="n">
        <f aca="false">輸入與假設!$C$28</f>
        <v>1462</v>
      </c>
      <c r="D289" s="22" t="n">
        <f aca="false">C36</f>
        <v>2524.05</v>
      </c>
      <c r="E289" s="22" t="n">
        <f aca="false">D36</f>
        <v>3770.15</v>
      </c>
      <c r="F289" s="22" t="n">
        <f aca="false">E36</f>
        <v>5016.25</v>
      </c>
      <c r="G289" s="22" t="n">
        <f aca="false">F36</f>
        <v>6262.35</v>
      </c>
      <c r="I289" s="11" t="s">
        <v>598</v>
      </c>
    </row>
    <row r="290" customFormat="false" ht="15" hidden="true" customHeight="false" outlineLevel="2" collapsed="false">
      <c r="A290" s="3" t="s">
        <v>599</v>
      </c>
      <c r="B290" s="11" t="s">
        <v>157</v>
      </c>
      <c r="C290" s="22" t="n">
        <f aca="false">C36-C289</f>
        <v>1062.05</v>
      </c>
      <c r="D290" s="22" t="n">
        <f aca="false">D36-D289</f>
        <v>1246.1</v>
      </c>
      <c r="E290" s="22" t="n">
        <f aca="false">E36-E289</f>
        <v>1246.1</v>
      </c>
      <c r="F290" s="22" t="n">
        <f aca="false">F36-F289</f>
        <v>1246.1</v>
      </c>
      <c r="G290" s="22" t="n">
        <f aca="false">G36-G289</f>
        <v>1246.1</v>
      </c>
    </row>
    <row r="291" customFormat="false" ht="15" hidden="true" customHeight="false" outlineLevel="2" collapsed="false">
      <c r="A291" s="3" t="s">
        <v>600</v>
      </c>
      <c r="B291" s="11" t="s">
        <v>157</v>
      </c>
      <c r="C291" s="22" t="n">
        <f aca="false">D36-C36</f>
        <v>1246.1</v>
      </c>
      <c r="D291" s="22" t="n">
        <f aca="false">E36-D36</f>
        <v>1246.1</v>
      </c>
      <c r="E291" s="22" t="n">
        <f aca="false">F36-E36</f>
        <v>1246.1</v>
      </c>
      <c r="F291" s="22" t="n">
        <f aca="false">G36-F36</f>
        <v>1246.1</v>
      </c>
      <c r="G291" s="22" t="n">
        <f aca="false">輸入與假設!$C$260</f>
        <v>1246.1</v>
      </c>
    </row>
    <row r="292" customFormat="false" ht="15" hidden="true" customHeight="false" outlineLevel="2" collapsed="false">
      <c r="A292" s="3" t="s">
        <v>601</v>
      </c>
      <c r="B292" s="11" t="s">
        <v>157</v>
      </c>
      <c r="C292" s="21" t="n">
        <v>0</v>
      </c>
      <c r="I292" s="11" t="s">
        <v>602</v>
      </c>
    </row>
    <row r="293" customFormat="false" ht="15" hidden="true" customHeight="false" outlineLevel="2" collapsed="false">
      <c r="A293" s="3" t="s">
        <v>603</v>
      </c>
      <c r="B293" s="11" t="s">
        <v>157</v>
      </c>
      <c r="C293" s="21" t="n">
        <v>0</v>
      </c>
      <c r="D293" s="21" t="n">
        <v>0</v>
      </c>
      <c r="E293" s="21" t="n">
        <v>0</v>
      </c>
      <c r="F293" s="21" t="n">
        <v>0</v>
      </c>
      <c r="G293" s="21" t="n">
        <v>0</v>
      </c>
      <c r="I293" s="11" t="s">
        <v>604</v>
      </c>
    </row>
    <row r="294" customFormat="false" ht="15" hidden="true" customHeight="false" outlineLevel="2" collapsed="false">
      <c r="A294" s="3" t="s">
        <v>605</v>
      </c>
      <c r="B294" s="11" t="s">
        <v>157</v>
      </c>
      <c r="C294" s="22" t="n">
        <f aca="false">C293-輸入與假設!$C$292</f>
        <v>0</v>
      </c>
      <c r="D294" s="22" t="n">
        <f aca="false">D293-C293</f>
        <v>0</v>
      </c>
      <c r="E294" s="22" t="n">
        <f aca="false">E293-D293</f>
        <v>0</v>
      </c>
      <c r="F294" s="22" t="n">
        <f aca="false">F293-E293</f>
        <v>0</v>
      </c>
      <c r="G294" s="22" t="n">
        <f aca="false">G293-F293</f>
        <v>0</v>
      </c>
      <c r="I294" s="6" t="s">
        <v>606</v>
      </c>
    </row>
    <row r="295" customFormat="false" ht="15" hidden="true" customHeight="false" outlineLevel="2" collapsed="false">
      <c r="A295" s="3" t="s">
        <v>607</v>
      </c>
      <c r="B295" s="11" t="s">
        <v>157</v>
      </c>
      <c r="C295" s="22" t="n">
        <f aca="false">D294</f>
        <v>0</v>
      </c>
      <c r="D295" s="22" t="n">
        <f aca="false">E294</f>
        <v>0</v>
      </c>
      <c r="E295" s="22" t="n">
        <f aca="false">F294</f>
        <v>0</v>
      </c>
      <c r="F295" s="22" t="n">
        <f aca="false">G294</f>
        <v>0</v>
      </c>
      <c r="G295" s="22" t="n">
        <f aca="false">0</f>
        <v>0</v>
      </c>
    </row>
    <row r="296" customFormat="false" ht="15" hidden="true" customHeight="false" outlineLevel="2" collapsed="false">
      <c r="A296" s="3" t="s">
        <v>608</v>
      </c>
      <c r="B296" s="11" t="s">
        <v>65</v>
      </c>
      <c r="C296" s="32" t="n">
        <f aca="false">MAX(0,(C290*(1-輸入與假設!$C$259)+C291*輸入與假設!$C$259)/輸入與假設!$C$263-(C294*(1-輸入與假設!$C$259)+C295*輸入與假設!$C$259))*C271*輸入與假設!$C$269/1000</f>
        <v>161.485589558233</v>
      </c>
      <c r="D296" s="32" t="n">
        <f aca="false">MAX(0,(D290*(1-輸入與假設!$C$259)+D291*輸入與假設!$C$259)/輸入與假設!$C$263-(D294*(1-輸入與假設!$C$259)+D295*輸入與假設!$C$259))*D271*輸入與假設!$C$269/1000</f>
        <v>189.744843256</v>
      </c>
      <c r="E296" s="32" t="n">
        <f aca="false">MAX(0,(E290*(1-輸入與假設!$C$259)+E291*輸入與假設!$C$259)/輸入與假設!$C$263-(E294*(1-輸入與假設!$C$259)+E295*輸入與假設!$C$259))*E271*輸入與假設!$C$269/1000</f>
        <v>200.854090590667</v>
      </c>
      <c r="F296" s="32" t="n">
        <f aca="false">MAX(0,(F290*(1-輸入與假設!$C$259)+F291*輸入與假設!$C$259)/輸入與假設!$C$263-(F294*(1-輸入與假設!$C$259)+F295*輸入與假設!$C$259))*F271*輸入與假設!$C$269/1000</f>
        <v>200.854090590667</v>
      </c>
      <c r="G296" s="32" t="n">
        <f aca="false">MAX(0,(G290*(1-輸入與假設!$C$259)+G291*輸入與假設!$C$259)/輸入與假設!$C$263-(G294*(1-輸入與假設!$C$259)+G295*輸入與假設!$C$259))*G271*輸入與假設!$C$269/1000</f>
        <v>200.854090590667</v>
      </c>
      <c r="I296" s="6" t="s">
        <v>609</v>
      </c>
    </row>
    <row r="297" customFormat="false" ht="15" hidden="true" customHeight="false" outlineLevel="2" collapsed="false">
      <c r="A297" s="3" t="s">
        <v>610</v>
      </c>
      <c r="B297" s="11" t="s">
        <v>65</v>
      </c>
      <c r="C297" s="32" t="n">
        <f aca="false">C139*輸入與假設!$C$137+C153*輸入與假設!$C$151+C167*輸入與假設!$C$165+C181*輸入與假設!$C$179+C205*輸入與假設!$C$203+C216*輸入與假設!$C$215+C226*輸入與假設!$C$225+C236*輸入與假設!$C$235</f>
        <v>38.5192008844659</v>
      </c>
      <c r="D297" s="32" t="n">
        <f aca="false">D139*輸入與假設!$C$137+D153*輸入與假設!$C$151+D167*輸入與假設!$C$165+D181*輸入與假設!$C$179+D205*輸入與假設!$C$203+D216*輸入與假設!$C$215+D226*輸入與假設!$C$225+D236*輸入與假設!$C$235</f>
        <v>47.0901789480474</v>
      </c>
      <c r="E297" s="32" t="n">
        <f aca="false">E139*輸入與假設!$C$137+E153*輸入與假設!$C$151+E167*輸入與假設!$C$165+E181*輸入與假設!$C$179+E205*輸入與假設!$C$203+E216*輸入與假設!$C$215+E226*輸入與假設!$C$225+E236*輸入與假設!$C$235</f>
        <v>55.6916888233341</v>
      </c>
      <c r="F297" s="32" t="n">
        <f aca="false">F139*輸入與假設!$C$137+F153*輸入與假設!$C$151+F167*輸入與假設!$C$165+F181*輸入與假設!$C$179+F205*輸入與假設!$C$203+F216*輸入與假設!$C$215+F226*輸入與假設!$C$225+F236*輸入與假設!$C$235</f>
        <v>63.1424656972095</v>
      </c>
      <c r="G297" s="32" t="n">
        <f aca="false">G139*輸入與假設!$C$137+G153*輸入與假設!$C$151+G167*輸入與假設!$C$165+G181*輸入與假設!$C$179+G205*輸入與假設!$C$203+G216*輸入與假設!$C$215+G226*輸入與假設!$C$225+G236*輸入與假設!$C$235</f>
        <v>68.1615091374499</v>
      </c>
      <c r="I297" s="6" t="s">
        <v>611</v>
      </c>
    </row>
    <row r="298" customFormat="false" ht="15" hidden="true" customHeight="false" outlineLevel="2" collapsed="false">
      <c r="A298" s="3" t="s">
        <v>612</v>
      </c>
      <c r="B298" s="11" t="s">
        <v>65</v>
      </c>
      <c r="C298" s="32" t="n">
        <f aca="false">C297*0.5</f>
        <v>19.2596004422329</v>
      </c>
      <c r="D298" s="32" t="n">
        <f aca="false">D297</f>
        <v>47.0901789480474</v>
      </c>
      <c r="E298" s="32" t="n">
        <f aca="false">E297</f>
        <v>55.6916888233341</v>
      </c>
      <c r="F298" s="32" t="n">
        <f aca="false">F297</f>
        <v>63.1424656972095</v>
      </c>
      <c r="G298" s="32" t="n">
        <f aca="false">G297</f>
        <v>68.1615091374499</v>
      </c>
      <c r="I298" s="11" t="s">
        <v>613</v>
      </c>
    </row>
    <row r="299" customFormat="false" ht="15" hidden="true" customHeight="false" outlineLevel="2" collapsed="false">
      <c r="A299" s="3" t="s">
        <v>614</v>
      </c>
      <c r="B299" s="11" t="s">
        <v>65</v>
      </c>
      <c r="C299" s="32" t="n">
        <f aca="false">MAX(C296+C297,輸入與假設!$C$261)-輸入與假設!$C$469</f>
        <v>119.406790442699</v>
      </c>
      <c r="D299" s="32" t="n">
        <f aca="false">D296+D298</f>
        <v>236.835022204047</v>
      </c>
      <c r="E299" s="32" t="n">
        <f aca="false">E296+E298</f>
        <v>256.545779414001</v>
      </c>
      <c r="F299" s="32" t="n">
        <f aca="false">F296+F298</f>
        <v>263.996556287876</v>
      </c>
      <c r="G299" s="32" t="n">
        <f aca="false">G296+G298</f>
        <v>269.015599728117</v>
      </c>
      <c r="I299" s="11" t="s">
        <v>615</v>
      </c>
    </row>
    <row r="300" customFormat="false" ht="15" hidden="true" customHeight="false" outlineLevel="2" collapsed="false">
      <c r="A300" s="4" t="s">
        <v>616</v>
      </c>
      <c r="B300" s="11" t="s">
        <v>65</v>
      </c>
      <c r="C300" s="32" t="n">
        <f aca="false">C299-C298</f>
        <v>100.147190000466</v>
      </c>
      <c r="D300" s="32" t="n">
        <f aca="false">D299-D298</f>
        <v>189.744843256</v>
      </c>
      <c r="E300" s="32" t="n">
        <f aca="false">E299-E298</f>
        <v>200.854090590667</v>
      </c>
      <c r="F300" s="32" t="n">
        <f aca="false">F299-F298</f>
        <v>200.854090590667</v>
      </c>
      <c r="G300" s="32" t="n">
        <f aca="false">G299-G298</f>
        <v>200.854090590667</v>
      </c>
      <c r="I300" s="6" t="s">
        <v>617</v>
      </c>
    </row>
    <row r="301" customFormat="false" ht="15" hidden="true" customHeight="false" outlineLevel="2" collapsed="false">
      <c r="A301" s="3" t="s">
        <v>618</v>
      </c>
      <c r="B301" s="11" t="s">
        <v>65</v>
      </c>
      <c r="C301" s="32" t="n">
        <f aca="false">IF(2026-輸入與假設!$C$262=2023,輸入與假設!$C$266,IF(2026-輸入與假設!$C$262=2024,輸入與假設!$C$267-輸入與假設!$C$266,IF(2026-輸入與假設!$C$262=2025,輸入與假設!$C$28-輸入與假設!$C$267,0)))/輸入與假設!$C$263*C272*輸入與假設!$C$269/1000</f>
        <v>0</v>
      </c>
      <c r="D301" s="32" t="n">
        <f aca="false">IF(2027-輸入與假設!$C$262=2023,輸入與假設!$C$266,IF(2027-輸入與假設!$C$262=2024,輸入與假設!$C$267-輸入與假設!$C$266,IF(2027-輸入與假設!$C$262=2025,輸入與假設!$C$28-輸入與假設!$C$267,0)))/輸入與假設!$C$263*D272*輸入與假設!$C$269/1000</f>
        <v>0</v>
      </c>
      <c r="E301" s="32" t="n">
        <f aca="false">IF(2028-輸入與假設!$C$262=2023,輸入與假設!$C$266,IF(2028-輸入與假設!$C$262=2024,輸入與假設!$C$267-輸入與假設!$C$266,IF(2028-輸入與假設!$C$262=2025,輸入與假設!$C$28-輸入與假設!$C$267,0)))/輸入與假設!$C$263*E272*輸入與假設!$C$269/1000</f>
        <v>0</v>
      </c>
      <c r="F301" s="32" t="n">
        <f aca="false">IF(2029-輸入與假設!$C$262=2023,輸入與假設!$C$266,IF(2029-輸入與假設!$C$262=2024,輸入與假設!$C$267-輸入與假設!$C$266,IF(2029-輸入與假設!$C$262=2025,輸入與假設!$C$28-輸入與假設!$C$267,0)))/輸入與假設!$C$263*F272*輸入與假設!$C$269/1000</f>
        <v>23.92997744</v>
      </c>
      <c r="G301" s="32" t="n">
        <f aca="false">IF(2030-輸入與假設!$C$262=2023,輸入與假設!$C$266,IF(2030-輸入與假設!$C$262=2024,輸入與假設!$C$267-輸入與假設!$C$266,IF(2030-輸入與假設!$C$262=2025,輸入與假設!$C$28-輸入與假設!$C$267,0)))/輸入與假設!$C$263*G272*輸入與假設!$C$269/1000</f>
        <v>56.63010368</v>
      </c>
      <c r="I301" s="6" t="s">
        <v>619</v>
      </c>
    </row>
    <row r="302" customFormat="false" ht="15" hidden="true" customHeight="false" outlineLevel="2" collapsed="false">
      <c r="A302" s="3" t="s">
        <v>620</v>
      </c>
      <c r="B302" s="11" t="s">
        <v>65</v>
      </c>
      <c r="C302" s="32" t="n">
        <f aca="false">(C289+C36)/2/輸入與假設!$C$263*C272*輸入與假設!$C$269/1000/輸入與假設!$C$262*C34</f>
        <v>17.8471092673889</v>
      </c>
      <c r="D302" s="32" t="n">
        <f aca="false">(D289+D36)/2/輸入與假設!$C$263*D272*輸入與假設!$C$269/1000/輸入與假設!$C$262*D34</f>
        <v>61.0393822304445</v>
      </c>
      <c r="E302" s="32" t="n">
        <f aca="false">(E289+E36)/2/輸入與假設!$C$263*E272*輸入與假設!$C$269/1000/輸入與假設!$C$262*E34</f>
        <v>66.21462344</v>
      </c>
      <c r="F302" s="32" t="n">
        <f aca="false">(F289+F36)/2/輸入與假設!$C$263*F272*輸入與假設!$C$269/1000/輸入與假設!$C$262*F34</f>
        <v>66.21462344</v>
      </c>
      <c r="G302" s="32" t="n">
        <f aca="false">(G289+G36)/2/輸入與假設!$C$263*G272*輸入與假設!$C$269/1000/輸入與假設!$C$262*G34</f>
        <v>143.776148922667</v>
      </c>
      <c r="I302" s="6" t="s">
        <v>621</v>
      </c>
    </row>
    <row r="303" customFormat="false" ht="15" hidden="true" customHeight="false" outlineLevel="2" collapsed="false">
      <c r="A303" s="3" t="s">
        <v>622</v>
      </c>
      <c r="B303" s="6"/>
      <c r="C303" s="22" t="n">
        <f aca="false">IF(C290&lt;=0,1,0)</f>
        <v>0</v>
      </c>
      <c r="D303" s="22" t="n">
        <f aca="false">IF(D290&lt;=0,1,0)</f>
        <v>0</v>
      </c>
      <c r="E303" s="22" t="n">
        <f aca="false">IF(E290&lt;=0,1,0)</f>
        <v>0</v>
      </c>
      <c r="F303" s="22" t="n">
        <f aca="false">IF(F290&lt;=0,1,0)</f>
        <v>0</v>
      </c>
      <c r="G303" s="22" t="n">
        <f aca="false">1</f>
        <v>1</v>
      </c>
      <c r="I303" s="6" t="s">
        <v>623</v>
      </c>
    </row>
    <row r="304" customFormat="false" ht="15" hidden="true" customHeight="false" outlineLevel="2" collapsed="false">
      <c r="A304" s="4" t="s">
        <v>624</v>
      </c>
      <c r="B304" s="11" t="s">
        <v>65</v>
      </c>
      <c r="C304" s="32" t="n">
        <f aca="false">IF(C303=1,C302,C301)</f>
        <v>0</v>
      </c>
      <c r="D304" s="32" t="n">
        <f aca="false">IF(D303=1,D302,D301)</f>
        <v>0</v>
      </c>
      <c r="E304" s="32" t="n">
        <f aca="false">IF(E303=1,E302,E301)</f>
        <v>0</v>
      </c>
      <c r="F304" s="32" t="n">
        <f aca="false">IF(F303=1,F302,F301)</f>
        <v>23.92997744</v>
      </c>
      <c r="G304" s="32" t="n">
        <f aca="false">IF(G303=1,G302,G301)</f>
        <v>143.776148922667</v>
      </c>
      <c r="I304" s="6" t="s">
        <v>625</v>
      </c>
    </row>
    <row r="305" customFormat="false" ht="15" hidden="true" customHeight="false" outlineLevel="2" collapsed="false">
      <c r="A305" s="3" t="s">
        <v>626</v>
      </c>
      <c r="B305" s="11" t="s">
        <v>65</v>
      </c>
      <c r="C305" s="32" t="n">
        <f aca="false">輸入與假設!$C$268</f>
        <v>321.212</v>
      </c>
      <c r="D305" s="32" t="n">
        <f aca="false">C305+運營_產能與收入!C$54</f>
        <v>440.618790442699</v>
      </c>
      <c r="E305" s="32" t="n">
        <f aca="false">D305+運營_產能與收入!D$54</f>
        <v>677.453812646747</v>
      </c>
      <c r="F305" s="32" t="n">
        <f aca="false">E305+運營_產能與收入!E$54</f>
        <v>933.999592060747</v>
      </c>
      <c r="G305" s="32" t="n">
        <f aca="false">F305+運營_產能與收入!F$54</f>
        <v>1197.99614834862</v>
      </c>
      <c r="I305" s="6" t="s">
        <v>627</v>
      </c>
    </row>
    <row r="306" customFormat="false" ht="15" hidden="false" customHeight="false" outlineLevel="1" collapsed="false">
      <c r="A306" s="34" t="s">
        <v>628</v>
      </c>
      <c r="B306" s="20"/>
      <c r="C306" s="20"/>
      <c r="D306" s="20"/>
      <c r="E306" s="20"/>
      <c r="F306" s="20"/>
      <c r="G306" s="20"/>
      <c r="H306" s="20"/>
    </row>
    <row r="307" customFormat="false" ht="15" hidden="false" customHeight="false" outlineLevel="2" collapsed="false">
      <c r="A307" s="3" t="s">
        <v>629</v>
      </c>
      <c r="B307" s="11" t="s">
        <v>157</v>
      </c>
      <c r="C307" s="22" t="n">
        <f aca="false">MAX(0,輸入與假設!$C$29/輸入與假設!$C$263-輸入與假設!$C$292)</f>
        <v>6336.66666666667</v>
      </c>
      <c r="I307" s="6" t="s">
        <v>630</v>
      </c>
    </row>
    <row r="308" customFormat="false" ht="15" hidden="false" customHeight="false" outlineLevel="2" collapsed="false">
      <c r="A308" s="4" t="s">
        <v>631</v>
      </c>
      <c r="B308" s="11" t="s">
        <v>65</v>
      </c>
      <c r="C308" s="32" t="n">
        <f aca="false">輸入與假設!$C$307*(0.15*TK_CapexIT_H100*輸入與假設!$C$60+0.1*TK_CapexIT_H100+0.35*TK_CapexIT_GB200*輸入與假設!$C$60+0.1*TK_CapexIT_GB200+0.3*TK_CapexIT_GB300*輸入與假設!$C$60+0*TK_CapexIT_GB300+0*TK_CapexIT_VR200*輸入與假設!$C$60+0*TK_CapexIT_VR200)/1000</f>
        <v>173.342995496667</v>
      </c>
      <c r="I308" s="6" t="s">
        <v>632</v>
      </c>
    </row>
    <row r="309" customFormat="false" ht="15" hidden="false" customHeight="false" outlineLevel="2" collapsed="false">
      <c r="A309" s="4" t="s">
        <v>633</v>
      </c>
      <c r="B309" s="11" t="s">
        <v>65</v>
      </c>
      <c r="C309" s="32" t="n">
        <f aca="false">輸入與假設!$C$307*輸入與假設!$C$264*(0.15*TK_CapexFacility_H100+0.1*TK_CapexFacility_H100+0.35*TK_CapexFacility_GB200+0.1*TK_CapexFacility_GB200+0.3*TK_CapexFacility_GB300+0*TK_CapexFacility_GB300+0*TK_CapexFacility_VR200+0*TK_CapexFacility_VR200)/1000</f>
        <v>68.2427316666667</v>
      </c>
      <c r="I309" s="6" t="s">
        <v>634</v>
      </c>
    </row>
    <row r="310" customFormat="false" ht="15" hidden="false" customHeight="false" outlineLevel="2" collapsed="false">
      <c r="A310" s="3" t="s">
        <v>635</v>
      </c>
      <c r="B310" s="6" t="s">
        <v>184</v>
      </c>
      <c r="C310" s="41" t="n">
        <f aca="false">(0.15*TK_CapexFacility_H100+0.1*TK_CapexFacility_H100+0.35*TK_CapexFacility_GB200+0.1*TK_CapexFacility_GB200+0.3*TK_CapexFacility_GB300+0*TK_CapexFacility_GB300+0*TK_CapexFacility_VR200+0*TK_CapexFacility_VR200)/(0.15*TK_DeprFac_H100+0.1*TK_DeprFac_H100+0.35*TK_DeprFac_GB200+0.1*TK_DeprFac_GB200+0.3*TK_DeprFac_GB300+0*TK_DeprFac_GB300+0*TK_DeprFac_VR200+0*TK_DeprFac_VR200)</f>
        <v>19.9711020622619</v>
      </c>
      <c r="I310" s="6" t="s">
        <v>636</v>
      </c>
    </row>
    <row r="311" customFormat="false" ht="15" hidden="false" customHeight="false" outlineLevel="2" collapsed="false">
      <c r="A311" s="4" t="s">
        <v>637</v>
      </c>
      <c r="B311" s="11" t="s">
        <v>65</v>
      </c>
      <c r="C311" s="32" t="n">
        <f aca="false">輸入與假設!$C$308/輸入與假設!$C$262+輸入與假設!$C$309/輸入與假設!$C$310</f>
        <v>32.3075731522222</v>
      </c>
      <c r="I311" s="6" t="s">
        <v>638</v>
      </c>
    </row>
    <row r="312" customFormat="false" ht="15" hidden="false" customHeight="false" outlineLevel="2" collapsed="false">
      <c r="A312" s="3" t="s">
        <v>639</v>
      </c>
      <c r="B312" s="11" t="s">
        <v>65</v>
      </c>
      <c r="C312" s="32" t="n">
        <f aca="false">輸入與假設!$C$268-輸入與假設!$C$308-輸入與假設!$C$309</f>
        <v>79.6262728366666</v>
      </c>
      <c r="I312" s="6" t="s">
        <v>640</v>
      </c>
    </row>
    <row r="313" customFormat="false" ht="15" hidden="false" customHeight="false" outlineLevel="2" collapsed="false">
      <c r="A313" s="3" t="s">
        <v>641</v>
      </c>
      <c r="B313" s="11" t="s">
        <v>42</v>
      </c>
      <c r="C313" s="23" t="n">
        <v>0.75</v>
      </c>
      <c r="I313" s="6" t="s">
        <v>642</v>
      </c>
    </row>
    <row r="314" customFormat="false" ht="15" hidden="false" customHeight="false" outlineLevel="2" collapsed="false">
      <c r="A314" s="3" t="s">
        <v>643</v>
      </c>
      <c r="B314" s="6" t="s">
        <v>184</v>
      </c>
      <c r="C314" s="25" t="n">
        <v>10</v>
      </c>
      <c r="I314" s="6" t="s">
        <v>644</v>
      </c>
    </row>
    <row r="315" customFormat="false" ht="15" hidden="false" customHeight="false" outlineLevel="2" collapsed="false">
      <c r="A315" s="4" t="s">
        <v>645</v>
      </c>
      <c r="B315" s="11" t="s">
        <v>65</v>
      </c>
      <c r="C315" s="32" t="n">
        <f aca="false">輸入與假設!$C$265-輸入與假設!$C$311-輸入與假設!$C$312/輸入與假設!$C$314</f>
        <v>-11.8542004358889</v>
      </c>
      <c r="I315" s="6" t="s">
        <v>646</v>
      </c>
    </row>
    <row r="316" customFormat="false" ht="15" hidden="false" customHeight="false" outlineLevel="2" collapsed="false">
      <c r="A316" s="14" t="s">
        <v>59</v>
      </c>
      <c r="B316" s="14" t="s">
        <v>60</v>
      </c>
      <c r="C316" s="28" t="s">
        <v>61</v>
      </c>
      <c r="D316" s="28" t="s">
        <v>62</v>
      </c>
      <c r="E316" s="28" t="s">
        <v>63</v>
      </c>
      <c r="F316" s="28" t="s">
        <v>153</v>
      </c>
      <c r="G316" s="28" t="s">
        <v>154</v>
      </c>
      <c r="I316" s="14" t="s">
        <v>206</v>
      </c>
    </row>
    <row r="317" customFormat="false" ht="15" hidden="false" customHeight="false" outlineLevel="2" collapsed="false">
      <c r="A317" s="4" t="s">
        <v>647</v>
      </c>
      <c r="B317" s="11" t="s">
        <v>65</v>
      </c>
      <c r="C317" s="32" t="n">
        <f aca="false">輸入與假設!$C$308</f>
        <v>173.342995496667</v>
      </c>
      <c r="D317" s="32" t="n">
        <f aca="false">C317+(運營_產能與收入!C$54-C298)*C272/C271</f>
        <v>248.411893955791</v>
      </c>
      <c r="E317" s="32" t="n">
        <f aca="false">D317+(運營_產能與收入!D$54-D298)*D272/D271</f>
        <v>393.423824045124</v>
      </c>
      <c r="F317" s="32" t="n">
        <f aca="false">E317+(運營_產能與收入!E$54-E298)*E272/E271</f>
        <v>549.545001469125</v>
      </c>
      <c r="G317" s="32" t="n">
        <f aca="false">F317+(運營_產能與收入!F$54-F298)*F272/F271</f>
        <v>705.666178893124</v>
      </c>
      <c r="I317" s="6" t="s">
        <v>648</v>
      </c>
    </row>
    <row r="318" customFormat="false" ht="15" hidden="false" customHeight="false" outlineLevel="2" collapsed="false">
      <c r="A318" s="4" t="s">
        <v>649</v>
      </c>
      <c r="B318" s="11" t="s">
        <v>65</v>
      </c>
      <c r="C318" s="32" t="n">
        <f aca="false">輸入與假設!$C$309</f>
        <v>68.2427316666667</v>
      </c>
      <c r="D318" s="32" t="n">
        <f aca="false">C318+(運營_產能與收入!C$54-C298)*(1-C272/C271)</f>
        <v>93.3210232080085</v>
      </c>
      <c r="E318" s="32" t="n">
        <f aca="false">D318+(運營_產能與收入!D$54-D298)*(1-D272/D271)</f>
        <v>138.053936374675</v>
      </c>
      <c r="F318" s="32" t="n">
        <f aca="false">E318+(運營_產能與收入!E$54-E298)*(1-E272/E271)</f>
        <v>182.786849541342</v>
      </c>
      <c r="G318" s="32" t="n">
        <f aca="false">F318+(運營_產能與收入!F$54-F298)*(1-F272/F271)</f>
        <v>227.519762708009</v>
      </c>
      <c r="I318" s="6" t="s">
        <v>650</v>
      </c>
    </row>
    <row r="319" customFormat="false" ht="15" hidden="false" customHeight="false" outlineLevel="2" collapsed="false">
      <c r="A319" s="4" t="s">
        <v>651</v>
      </c>
      <c r="B319" s="11" t="s">
        <v>65</v>
      </c>
      <c r="C319" s="32" t="n">
        <f aca="false">((C317+0.5*(運營_產能與收入!C$54-C298)*C272/C271)/輸入與假設!$C$262+(C318+0.5*(運營_產能與收入!C$54-C298)*(1-C272/C271))/輸入與假設!$C$310)*C34</f>
        <v>19.5955895892301</v>
      </c>
      <c r="D319" s="32" t="n">
        <f aca="false">((D317+0.5*(運營_產能與收入!D$54-D298)*D272/D271)/輸入與假設!$C$262+(D318+0.5*(運營_產能與收入!D$54-D298)*(1-D272/D271))/輸入與假設!$C$310)*D34</f>
        <v>59.2790537406149</v>
      </c>
      <c r="E319" s="32" t="n">
        <f aca="false">((E317+0.5*(運營_產能與收入!E$54-E298)*E272/E271)/輸入與假設!$C$262+(E318+0.5*(運營_產能與收入!E$54-E298)*(1-E272/E271))/輸入與假設!$C$310)*E34</f>
        <v>86.6133614236704</v>
      </c>
      <c r="F319" s="32" t="n">
        <f aca="false">((F317+0.5*(運營_產能與收入!F$54-F298)*F272/F271)/輸入與假設!$C$262+(F318+0.5*(運營_產能與收入!F$54-F298)*(1-F272/F271))/輸入與假設!$C$310)*F34</f>
        <v>114.873439717948</v>
      </c>
      <c r="G319" s="32" t="n">
        <f aca="false">((G317+0.5*(運營_產能與收入!G$54-G298)*G272/G271)/輸入與假設!$C$262+(G318+0.5*(運營_產能與收入!G$54-G298)*(1-G272/G271))/輸入與假設!$C$310)*G34</f>
        <v>143.133518012226</v>
      </c>
      <c r="I319" s="6" t="s">
        <v>652</v>
      </c>
    </row>
    <row r="320" customFormat="false" ht="15" hidden="false" customHeight="false" outlineLevel="2" collapsed="false">
      <c r="A320" s="3" t="s">
        <v>653</v>
      </c>
      <c r="B320" s="11" t="s">
        <v>65</v>
      </c>
      <c r="C320" s="32" t="n">
        <f aca="false">輸入與假設!$C$312</f>
        <v>79.6262728366666</v>
      </c>
      <c r="D320" s="32" t="n">
        <f aca="false">C320+C298</f>
        <v>98.8858732788996</v>
      </c>
      <c r="E320" s="32" t="n">
        <f aca="false">D320+D298</f>
        <v>145.976052226947</v>
      </c>
      <c r="F320" s="32" t="n">
        <f aca="false">E320+E298</f>
        <v>201.667741050281</v>
      </c>
      <c r="G320" s="32" t="n">
        <f aca="false">F320+F298</f>
        <v>264.810206747491</v>
      </c>
      <c r="I320" s="6" t="s">
        <v>654</v>
      </c>
    </row>
    <row r="321" customFormat="false" ht="15" hidden="false" customHeight="false" outlineLevel="2" collapsed="false">
      <c r="A321" s="3" t="s">
        <v>655</v>
      </c>
      <c r="B321" s="11" t="s">
        <v>65</v>
      </c>
      <c r="C321" s="32" t="n">
        <f aca="false">(C320+0.5*C298)/輸入與假設!$C$314*C34</f>
        <v>4.46280365288916</v>
      </c>
      <c r="D321" s="32" t="n">
        <f aca="false">(D320+0.5*D298)/輸入與假設!$C$314*D34</f>
        <v>12.2430962752923</v>
      </c>
      <c r="E321" s="32" t="n">
        <f aca="false">(E320+0.5*E298)/輸入與假設!$C$314*E34</f>
        <v>17.3821896638614</v>
      </c>
      <c r="F321" s="32" t="n">
        <f aca="false">(F320+0.5*F298)/輸入與假設!$C$314*F34</f>
        <v>23.3238973898886</v>
      </c>
      <c r="G321" s="32" t="n">
        <f aca="false">(G320+0.5*G298)/輸入與假設!$C$314*G34</f>
        <v>29.8890961316216</v>
      </c>
      <c r="I321" s="6" t="s">
        <v>656</v>
      </c>
    </row>
    <row r="322" customFormat="false" ht="15" hidden="false" customHeight="false" outlineLevel="1" collapsed="false">
      <c r="A322" s="34" t="s">
        <v>657</v>
      </c>
      <c r="B322" s="20"/>
      <c r="C322" s="20"/>
      <c r="D322" s="20"/>
      <c r="E322" s="20"/>
      <c r="F322" s="20"/>
      <c r="G322" s="20"/>
      <c r="H322" s="20"/>
    </row>
    <row r="323" customFormat="false" ht="15" hidden="false" customHeight="false" outlineLevel="2" collapsed="false">
      <c r="A323" s="3" t="s">
        <v>658</v>
      </c>
      <c r="B323" s="11" t="s">
        <v>65</v>
      </c>
      <c r="C323" s="42" t="n">
        <f aca="false">C299+C304</f>
        <v>119.406790442699</v>
      </c>
      <c r="D323" s="42" t="n">
        <f aca="false">D299+D304</f>
        <v>236.835022204047</v>
      </c>
      <c r="E323" s="42" t="n">
        <f aca="false">E299+E304</f>
        <v>256.545779414001</v>
      </c>
      <c r="F323" s="42" t="n">
        <f aca="false">F299+F304</f>
        <v>287.926533727876</v>
      </c>
      <c r="G323" s="42" t="n">
        <f aca="false">G299+G304</f>
        <v>412.791748650783</v>
      </c>
      <c r="I323" s="6" t="s">
        <v>659</v>
      </c>
    </row>
    <row r="324" customFormat="false" ht="15" hidden="false" customHeight="false" outlineLevel="2" collapsed="false">
      <c r="A324" s="4" t="s">
        <v>660</v>
      </c>
      <c r="B324" s="11" t="s">
        <v>65</v>
      </c>
      <c r="C324" s="42" t="n">
        <f aca="false">C319+C321</f>
        <v>24.0583932421193</v>
      </c>
      <c r="D324" s="42" t="n">
        <f aca="false">D319+D321</f>
        <v>71.5221500159072</v>
      </c>
      <c r="E324" s="42" t="n">
        <f aca="false">E319+E321</f>
        <v>103.995551087532</v>
      </c>
      <c r="F324" s="42" t="n">
        <f aca="false">F319+F321</f>
        <v>138.197337107837</v>
      </c>
      <c r="G324" s="42" t="n">
        <f aca="false">G319+G321</f>
        <v>173.022614143848</v>
      </c>
      <c r="I324" s="6" t="s">
        <v>661</v>
      </c>
    </row>
    <row r="326" customFormat="false" ht="15" hidden="false" customHeight="false" outlineLevel="0" collapsed="false">
      <c r="A326" s="7" t="s">
        <v>662</v>
      </c>
      <c r="B326" s="8"/>
      <c r="C326" s="8"/>
      <c r="D326" s="8"/>
      <c r="E326" s="8"/>
      <c r="F326" s="8"/>
      <c r="G326" s="8"/>
      <c r="H326" s="8"/>
    </row>
    <row r="327" customFormat="false" ht="15" hidden="false" customHeight="false" outlineLevel="1" collapsed="false">
      <c r="A327" s="3" t="s">
        <v>663</v>
      </c>
      <c r="B327" s="11" t="s">
        <v>65</v>
      </c>
      <c r="C327" s="24" t="n">
        <v>155.411</v>
      </c>
      <c r="I327" s="6" t="s">
        <v>664</v>
      </c>
    </row>
    <row r="328" customFormat="false" ht="15" hidden="false" customHeight="false" outlineLevel="1" collapsed="false">
      <c r="A328" s="3" t="s">
        <v>665</v>
      </c>
      <c r="B328" s="11" t="s">
        <v>65</v>
      </c>
      <c r="C328" s="24" t="n">
        <v>0</v>
      </c>
      <c r="I328" s="6" t="s">
        <v>666</v>
      </c>
    </row>
    <row r="329" customFormat="false" ht="15" hidden="false" customHeight="false" outlineLevel="1" collapsed="false">
      <c r="A329" s="3" t="s">
        <v>667</v>
      </c>
      <c r="B329" s="6"/>
      <c r="C329" s="21" t="n">
        <v>1</v>
      </c>
      <c r="I329" s="6" t="s">
        <v>668</v>
      </c>
    </row>
    <row r="330" customFormat="false" ht="15" hidden="false" customHeight="false" outlineLevel="1" collapsed="false">
      <c r="A330" s="3" t="s">
        <v>669</v>
      </c>
      <c r="B330" s="11" t="s">
        <v>65</v>
      </c>
      <c r="C330" s="24" t="n">
        <v>10.4</v>
      </c>
      <c r="I330" s="6" t="s">
        <v>670</v>
      </c>
    </row>
    <row r="331" customFormat="false" ht="15" hidden="false" customHeight="false" outlineLevel="1" collapsed="false">
      <c r="A331" s="3" t="s">
        <v>671</v>
      </c>
      <c r="B331" s="6"/>
      <c r="C331" s="21" t="n">
        <v>0</v>
      </c>
      <c r="I331" s="6" t="s">
        <v>672</v>
      </c>
    </row>
    <row r="332" customFormat="false" ht="15" hidden="false" customHeight="false" outlineLevel="1" collapsed="false">
      <c r="A332" s="3" t="s">
        <v>673</v>
      </c>
      <c r="B332" s="6"/>
      <c r="C332" s="21" t="n">
        <v>1</v>
      </c>
      <c r="I332" s="6" t="s">
        <v>674</v>
      </c>
    </row>
    <row r="333" customFormat="false" ht="15" hidden="false" customHeight="false" outlineLevel="1" collapsed="false">
      <c r="A333" s="3" t="s">
        <v>675</v>
      </c>
      <c r="B333" s="11" t="s">
        <v>111</v>
      </c>
      <c r="C333" s="43" t="n">
        <v>0.5</v>
      </c>
      <c r="I333" s="6" t="s">
        <v>676</v>
      </c>
    </row>
    <row r="334" customFormat="false" ht="15" hidden="false" customHeight="false" outlineLevel="1" collapsed="false">
      <c r="A334" s="3" t="s">
        <v>677</v>
      </c>
      <c r="B334" s="6"/>
      <c r="C334" s="27" t="s">
        <v>678</v>
      </c>
      <c r="I334" s="11" t="s">
        <v>679</v>
      </c>
    </row>
    <row r="335" customFormat="false" ht="15" hidden="false" customHeight="false" outlineLevel="1" collapsed="false">
      <c r="A335" s="3" t="s">
        <v>680</v>
      </c>
      <c r="B335" s="11" t="s">
        <v>111</v>
      </c>
      <c r="C335" s="43" t="n">
        <v>3</v>
      </c>
      <c r="I335" s="11" t="s">
        <v>681</v>
      </c>
    </row>
    <row r="336" customFormat="false" ht="15" hidden="false" customHeight="false" outlineLevel="1" collapsed="false">
      <c r="A336" s="3" t="s">
        <v>682</v>
      </c>
      <c r="B336" s="6" t="s">
        <v>184</v>
      </c>
      <c r="C336" s="21" t="n">
        <v>3</v>
      </c>
      <c r="I336" s="11" t="s">
        <v>683</v>
      </c>
    </row>
    <row r="337" customFormat="false" ht="15" hidden="false" customHeight="false" outlineLevel="1" collapsed="false">
      <c r="A337" s="3" t="s">
        <v>684</v>
      </c>
      <c r="B337" s="11" t="s">
        <v>39</v>
      </c>
      <c r="C337" s="44" t="n">
        <v>0.22</v>
      </c>
      <c r="I337" s="6" t="s">
        <v>685</v>
      </c>
    </row>
    <row r="338" customFormat="false" ht="15" hidden="false" customHeight="false" outlineLevel="1" collapsed="false">
      <c r="A338" s="3" t="s">
        <v>686</v>
      </c>
      <c r="B338" s="11" t="s">
        <v>42</v>
      </c>
      <c r="C338" s="23" t="n">
        <v>0.05</v>
      </c>
      <c r="I338" s="6" t="s">
        <v>687</v>
      </c>
    </row>
    <row r="339" customFormat="false" ht="15" hidden="false" customHeight="false" outlineLevel="1" collapsed="false">
      <c r="A339" s="3" t="s">
        <v>688</v>
      </c>
      <c r="B339" s="11" t="s">
        <v>689</v>
      </c>
      <c r="C339" s="45" t="n">
        <v>12.23</v>
      </c>
      <c r="I339" s="6" t="s">
        <v>690</v>
      </c>
    </row>
    <row r="340" customFormat="false" ht="15" hidden="false" customHeight="false" outlineLevel="1" collapsed="false">
      <c r="A340" s="3" t="s">
        <v>691</v>
      </c>
      <c r="B340" s="11" t="s">
        <v>65</v>
      </c>
      <c r="C340" s="24" t="n">
        <v>50</v>
      </c>
      <c r="I340" s="6" t="s">
        <v>692</v>
      </c>
    </row>
    <row r="341" customFormat="false" ht="15" hidden="false" customHeight="false" outlineLevel="1" collapsed="false">
      <c r="A341" s="3" t="s">
        <v>693</v>
      </c>
      <c r="B341" s="11" t="s">
        <v>65</v>
      </c>
      <c r="C341" s="24" t="n">
        <v>17.003</v>
      </c>
      <c r="I341" s="6" t="s">
        <v>694</v>
      </c>
    </row>
    <row r="342" customFormat="false" ht="15" hidden="false" customHeight="false" outlineLevel="1" collapsed="false">
      <c r="A342" s="3" t="s">
        <v>695</v>
      </c>
      <c r="B342" s="11" t="s">
        <v>42</v>
      </c>
      <c r="C342" s="23" t="n">
        <v>0</v>
      </c>
      <c r="I342" s="11" t="s">
        <v>696</v>
      </c>
    </row>
    <row r="343" customFormat="false" ht="15" hidden="false" customHeight="false" outlineLevel="1" collapsed="false">
      <c r="A343" s="3" t="s">
        <v>697</v>
      </c>
      <c r="B343" s="11" t="s">
        <v>39</v>
      </c>
      <c r="C343" s="44" t="n">
        <v>350.5</v>
      </c>
      <c r="I343" s="6" t="s">
        <v>698</v>
      </c>
    </row>
    <row r="344" customFormat="false" ht="15" hidden="false" customHeight="false" outlineLevel="1" collapsed="false">
      <c r="A344" s="3" t="s">
        <v>699</v>
      </c>
      <c r="B344" s="11" t="s">
        <v>42</v>
      </c>
      <c r="C344" s="23" t="n">
        <v>0.1</v>
      </c>
      <c r="I344" s="6" t="s">
        <v>700</v>
      </c>
    </row>
    <row r="345" customFormat="false" ht="15" hidden="false" customHeight="false" outlineLevel="1" collapsed="false">
      <c r="A345" s="3" t="s">
        <v>701</v>
      </c>
      <c r="B345" s="11" t="s">
        <v>42</v>
      </c>
      <c r="C345" s="23" t="n">
        <v>0.05</v>
      </c>
      <c r="I345" s="6" t="s">
        <v>702</v>
      </c>
    </row>
    <row r="346" customFormat="false" ht="15" hidden="false" customHeight="false" outlineLevel="1" collapsed="false">
      <c r="A346" s="3" t="s">
        <v>703</v>
      </c>
      <c r="B346" s="11" t="s">
        <v>689</v>
      </c>
      <c r="C346" s="45" t="n">
        <v>12.23</v>
      </c>
      <c r="I346" s="6" t="s">
        <v>704</v>
      </c>
    </row>
    <row r="347" customFormat="false" ht="15" hidden="false" customHeight="false" outlineLevel="1" collapsed="false">
      <c r="A347" s="3" t="s">
        <v>705</v>
      </c>
      <c r="B347" s="11" t="s">
        <v>231</v>
      </c>
      <c r="C347" s="24" t="n">
        <v>0</v>
      </c>
      <c r="I347" s="6" t="s">
        <v>706</v>
      </c>
    </row>
    <row r="348" customFormat="false" ht="15" hidden="false" customHeight="false" outlineLevel="1" collapsed="false">
      <c r="A348" s="3" t="s">
        <v>707</v>
      </c>
      <c r="B348" s="11" t="s">
        <v>231</v>
      </c>
      <c r="C348" s="24" t="n">
        <v>0</v>
      </c>
      <c r="I348" s="6" t="s">
        <v>706</v>
      </c>
    </row>
    <row r="349" customFormat="false" ht="15" hidden="false" customHeight="false" outlineLevel="1" collapsed="false">
      <c r="A349" s="3" t="s">
        <v>708</v>
      </c>
      <c r="B349" s="11" t="s">
        <v>231</v>
      </c>
      <c r="C349" s="24" t="n">
        <v>0</v>
      </c>
      <c r="I349" s="6" t="s">
        <v>706</v>
      </c>
    </row>
    <row r="350" customFormat="false" ht="15" hidden="false" customHeight="false" outlineLevel="1" collapsed="false">
      <c r="A350" s="3" t="s">
        <v>709</v>
      </c>
      <c r="B350" s="11" t="s">
        <v>231</v>
      </c>
      <c r="C350" s="32" t="n">
        <f aca="false">CHOOSE(輸入與假設!$C$5,輸入與假設!$C$347,輸入與假設!$C$348,輸入與假設!$C$349)</f>
        <v>0</v>
      </c>
      <c r="I350" s="6" t="s">
        <v>710</v>
      </c>
    </row>
    <row r="351" customFormat="false" ht="15" hidden="false" customHeight="false" outlineLevel="1" collapsed="false">
      <c r="A351" s="3" t="s">
        <v>711</v>
      </c>
      <c r="B351" s="11" t="s">
        <v>42</v>
      </c>
      <c r="C351" s="23" t="n">
        <v>0</v>
      </c>
      <c r="I351" s="11" t="s">
        <v>712</v>
      </c>
    </row>
    <row r="352" customFormat="false" ht="15" hidden="false" customHeight="false" outlineLevel="1" collapsed="false">
      <c r="A352" s="3" t="s">
        <v>713</v>
      </c>
      <c r="B352" s="11" t="s">
        <v>42</v>
      </c>
      <c r="C352" s="23" t="n">
        <v>0</v>
      </c>
      <c r="I352" s="11" t="s">
        <v>714</v>
      </c>
    </row>
    <row r="353" customFormat="false" ht="15" hidden="false" customHeight="false" outlineLevel="1" collapsed="false">
      <c r="A353" s="3" t="s">
        <v>715</v>
      </c>
      <c r="B353" s="11" t="s">
        <v>42</v>
      </c>
      <c r="C353" s="23" t="n">
        <v>0.12</v>
      </c>
      <c r="I353" s="6" t="s">
        <v>716</v>
      </c>
    </row>
    <row r="354" customFormat="false" ht="15" hidden="false" customHeight="false" outlineLevel="1" collapsed="false">
      <c r="A354" s="3" t="s">
        <v>717</v>
      </c>
      <c r="B354" s="11" t="s">
        <v>42</v>
      </c>
      <c r="C354" s="23" t="n">
        <v>0.168</v>
      </c>
      <c r="I354" s="6" t="s">
        <v>718</v>
      </c>
    </row>
    <row r="355" customFormat="false" ht="15" hidden="false" customHeight="false" outlineLevel="1" collapsed="false">
      <c r="A355" s="4" t="s">
        <v>719</v>
      </c>
      <c r="B355" s="11" t="s">
        <v>720</v>
      </c>
      <c r="C355" s="21"/>
      <c r="I355" s="6" t="s">
        <v>721</v>
      </c>
    </row>
    <row r="356" customFormat="false" ht="15" hidden="false" customHeight="false" outlineLevel="1" collapsed="false">
      <c r="A356" s="4" t="s">
        <v>722</v>
      </c>
      <c r="B356" s="6"/>
      <c r="C356" s="21" t="n">
        <v>0</v>
      </c>
      <c r="I356" s="6" t="s">
        <v>723</v>
      </c>
    </row>
    <row r="357" customFormat="false" ht="15" hidden="false" customHeight="false" outlineLevel="1" collapsed="false">
      <c r="A357" s="4" t="s">
        <v>724</v>
      </c>
      <c r="B357" s="11" t="s">
        <v>720</v>
      </c>
      <c r="C357" s="21" t="n">
        <v>450</v>
      </c>
      <c r="I357" s="11" t="s">
        <v>725</v>
      </c>
    </row>
    <row r="358" customFormat="false" ht="15" hidden="false" customHeight="false" outlineLevel="1" collapsed="false">
      <c r="A358" s="4" t="s">
        <v>726</v>
      </c>
      <c r="B358" s="11" t="s">
        <v>42</v>
      </c>
      <c r="C358" s="23" t="n">
        <v>0.4</v>
      </c>
      <c r="I358" s="6" t="s">
        <v>727</v>
      </c>
    </row>
    <row r="359" customFormat="false" ht="15" hidden="false" customHeight="false" outlineLevel="1" collapsed="false">
      <c r="A359" s="14" t="s">
        <v>59</v>
      </c>
      <c r="B359" s="14" t="s">
        <v>60</v>
      </c>
      <c r="C359" s="28" t="s">
        <v>61</v>
      </c>
      <c r="D359" s="28" t="s">
        <v>62</v>
      </c>
      <c r="E359" s="28" t="s">
        <v>63</v>
      </c>
      <c r="F359" s="28" t="s">
        <v>153</v>
      </c>
      <c r="G359" s="28" t="s">
        <v>154</v>
      </c>
      <c r="I359" s="14" t="s">
        <v>206</v>
      </c>
    </row>
    <row r="360" customFormat="false" ht="15" hidden="false" customHeight="false" outlineLevel="1" collapsed="false">
      <c r="A360" s="3" t="s">
        <v>728</v>
      </c>
      <c r="B360" s="11" t="s">
        <v>65</v>
      </c>
      <c r="C360" s="24" t="n">
        <v>0.535</v>
      </c>
      <c r="D360" s="24" t="n">
        <v>1.203</v>
      </c>
      <c r="E360" s="24" t="n">
        <v>1.203</v>
      </c>
      <c r="F360" s="24" t="n">
        <v>0.602</v>
      </c>
      <c r="G360" s="24" t="n">
        <v>0</v>
      </c>
      <c r="I360" s="6" t="s">
        <v>729</v>
      </c>
    </row>
    <row r="361" customFormat="false" ht="15" hidden="false" customHeight="false" outlineLevel="1" collapsed="false">
      <c r="A361" s="3" t="s">
        <v>730</v>
      </c>
      <c r="B361" s="11" t="s">
        <v>65</v>
      </c>
      <c r="C361" s="24" t="n">
        <v>2</v>
      </c>
      <c r="D361" s="24" t="n">
        <v>1</v>
      </c>
      <c r="E361" s="24" t="n">
        <v>2.676</v>
      </c>
      <c r="F361" s="24" t="n">
        <v>1.764</v>
      </c>
      <c r="G361" s="24" t="n">
        <v>7.186</v>
      </c>
      <c r="I361" s="6" t="s">
        <v>731</v>
      </c>
    </row>
    <row r="362" customFormat="false" ht="15" hidden="false" customHeight="false" outlineLevel="1" collapsed="false">
      <c r="A362" s="3" t="s">
        <v>732</v>
      </c>
      <c r="B362" s="11" t="s">
        <v>42</v>
      </c>
      <c r="C362" s="23" t="n">
        <v>0.05</v>
      </c>
      <c r="D362" s="23" t="n">
        <v>0.05</v>
      </c>
      <c r="E362" s="23" t="n">
        <v>0.05</v>
      </c>
      <c r="F362" s="23" t="n">
        <v>0.05</v>
      </c>
      <c r="G362" s="23" t="n">
        <v>0.05</v>
      </c>
      <c r="I362" s="6" t="s">
        <v>733</v>
      </c>
    </row>
    <row r="363" customFormat="false" ht="15" hidden="false" customHeight="false" outlineLevel="1" collapsed="false">
      <c r="A363" s="3" t="s">
        <v>734</v>
      </c>
      <c r="B363" s="11" t="s">
        <v>65</v>
      </c>
      <c r="C363" s="39" t="n">
        <f aca="false">資產負債_既有債務!C42</f>
        <v>2.01268256759658</v>
      </c>
      <c r="D363" s="39" t="n">
        <f aca="false">資產負債_既有債務!D42</f>
        <v>3.96503593798289</v>
      </c>
      <c r="E363" s="39" t="n">
        <f aca="false">資產負債_既有債務!E42</f>
        <v>3.8911125616679</v>
      </c>
      <c r="F363" s="39" t="n">
        <f aca="false">資產負債_既有債務!F42</f>
        <v>3.80182534979671</v>
      </c>
      <c r="G363" s="39" t="n">
        <f aca="false">資產負債_既有債務!G42</f>
        <v>3.62184324478607</v>
      </c>
      <c r="I363" s="6" t="s">
        <v>735</v>
      </c>
    </row>
    <row r="365" customFormat="false" ht="15" hidden="false" customHeight="false" outlineLevel="0" collapsed="false">
      <c r="A365" s="7" t="s">
        <v>736</v>
      </c>
      <c r="B365" s="8"/>
      <c r="C365" s="8"/>
      <c r="D365" s="8"/>
      <c r="E365" s="8"/>
      <c r="F365" s="8"/>
      <c r="G365" s="8"/>
      <c r="H365" s="8"/>
    </row>
    <row r="366" customFormat="false" ht="15" hidden="false" customHeight="false" outlineLevel="1" collapsed="false">
      <c r="A366" s="3" t="s">
        <v>737</v>
      </c>
      <c r="B366" s="11" t="s">
        <v>39</v>
      </c>
      <c r="C366" s="44" t="n">
        <v>350.5</v>
      </c>
      <c r="I366" s="11" t="s">
        <v>738</v>
      </c>
    </row>
    <row r="367" customFormat="false" ht="15" hidden="false" customHeight="false" outlineLevel="1" collapsed="false">
      <c r="A367" s="3" t="s">
        <v>739</v>
      </c>
      <c r="B367" s="11" t="s">
        <v>689</v>
      </c>
      <c r="C367" s="45" t="n">
        <v>12.309</v>
      </c>
      <c r="I367" s="6" t="s">
        <v>740</v>
      </c>
    </row>
    <row r="368" customFormat="false" ht="15" hidden="false" customHeight="false" outlineLevel="1" collapsed="false">
      <c r="A368" s="3" t="s">
        <v>741</v>
      </c>
      <c r="B368" s="11" t="s">
        <v>65</v>
      </c>
      <c r="C368" s="24" t="n">
        <v>-54.326</v>
      </c>
      <c r="I368" s="6" t="s">
        <v>742</v>
      </c>
    </row>
    <row r="369" customFormat="false" ht="15" hidden="false" customHeight="false" outlineLevel="1" collapsed="false">
      <c r="A369" s="3" t="s">
        <v>743</v>
      </c>
      <c r="B369" s="11" t="s">
        <v>42</v>
      </c>
      <c r="C369" s="23" t="n">
        <v>0.2</v>
      </c>
      <c r="I369" s="6" t="s">
        <v>744</v>
      </c>
    </row>
    <row r="370" customFormat="false" ht="15" hidden="false" customHeight="false" outlineLevel="1" collapsed="false">
      <c r="A370" s="4" t="s">
        <v>745</v>
      </c>
      <c r="B370" s="11" t="s">
        <v>65</v>
      </c>
      <c r="C370" s="24" t="n">
        <v>965</v>
      </c>
      <c r="I370" s="6" t="s">
        <v>746</v>
      </c>
    </row>
    <row r="371" customFormat="false" ht="15" hidden="false" customHeight="false" outlineLevel="1" collapsed="false">
      <c r="A371" s="4" t="s">
        <v>747</v>
      </c>
      <c r="B371" s="11" t="s">
        <v>42</v>
      </c>
      <c r="C371" s="23" t="n">
        <v>0.125</v>
      </c>
      <c r="I371" s="6"/>
    </row>
    <row r="372" customFormat="false" ht="15" hidden="false" customHeight="false" outlineLevel="1" collapsed="false">
      <c r="A372" s="4" t="s">
        <v>748</v>
      </c>
      <c r="B372" s="6"/>
      <c r="C372" s="21" t="n">
        <v>0</v>
      </c>
      <c r="I372" s="11" t="s">
        <v>749</v>
      </c>
    </row>
    <row r="373" customFormat="false" ht="15" hidden="false" customHeight="false" outlineLevel="1" collapsed="false">
      <c r="A373" s="4" t="s">
        <v>750</v>
      </c>
      <c r="B373" s="11" t="s">
        <v>65</v>
      </c>
      <c r="C373" s="24" t="n">
        <v>94.1</v>
      </c>
      <c r="I373" s="11" t="s">
        <v>751</v>
      </c>
    </row>
    <row r="374" customFormat="false" ht="15" hidden="false" customHeight="false" outlineLevel="1" collapsed="false">
      <c r="A374" s="4" t="s">
        <v>752</v>
      </c>
      <c r="B374" s="11" t="s">
        <v>42</v>
      </c>
      <c r="C374" s="23" t="n">
        <v>1</v>
      </c>
      <c r="I374" s="6"/>
    </row>
    <row r="375" customFormat="false" ht="15" hidden="false" customHeight="false" outlineLevel="1" collapsed="false">
      <c r="A375" s="4" t="s">
        <v>753</v>
      </c>
      <c r="B375" s="6"/>
      <c r="C375" s="21" t="n">
        <v>1</v>
      </c>
      <c r="I375" s="11" t="s">
        <v>749</v>
      </c>
    </row>
    <row r="376" customFormat="false" ht="15" hidden="false" customHeight="false" outlineLevel="1" collapsed="false">
      <c r="A376" s="3" t="s">
        <v>754</v>
      </c>
      <c r="B376" s="11" t="s">
        <v>65</v>
      </c>
      <c r="C376" s="24" t="n">
        <v>7.089</v>
      </c>
      <c r="I376" s="6" t="s">
        <v>755</v>
      </c>
    </row>
    <row r="377" customFormat="false" ht="15" hidden="false" customHeight="false" outlineLevel="1" collapsed="false">
      <c r="A377" s="3" t="s">
        <v>756</v>
      </c>
      <c r="B377" s="11" t="s">
        <v>42</v>
      </c>
      <c r="C377" s="23" t="n">
        <v>1</v>
      </c>
      <c r="I377" s="6"/>
    </row>
    <row r="378" customFormat="false" ht="15" hidden="false" customHeight="false" outlineLevel="1" collapsed="false">
      <c r="A378" s="3" t="s">
        <v>757</v>
      </c>
      <c r="B378" s="6"/>
      <c r="C378" s="21" t="n">
        <v>1</v>
      </c>
      <c r="I378" s="11" t="s">
        <v>749</v>
      </c>
    </row>
    <row r="379" customFormat="false" ht="15" hidden="false" customHeight="false" outlineLevel="1" collapsed="false">
      <c r="A379" s="3" t="s">
        <v>758</v>
      </c>
      <c r="B379" s="11" t="s">
        <v>65</v>
      </c>
      <c r="C379" s="32" t="n">
        <f aca="false">輸入與假設!$C$370*輸入與假設!$C$371*(1-IF(輸入與假設!$C$372=1,0,輸入與假設!$C$369))+輸入與假設!$C$373*輸入與假設!$C$374*(1-IF(輸入與假設!$C$375=1,0,輸入與假設!$C$369))+輸入與假設!$C$376*輸入與假設!$C$377*(1-IF(輸入與假設!$C$378=1,0,輸入與假設!$C$369))</f>
        <v>197.689</v>
      </c>
      <c r="I379" s="6" t="s">
        <v>759</v>
      </c>
    </row>
    <row r="380" customFormat="false" ht="15" hidden="false" customHeight="false" outlineLevel="1" collapsed="false">
      <c r="A380" s="3" t="s">
        <v>760</v>
      </c>
      <c r="B380" s="11" t="s">
        <v>65</v>
      </c>
      <c r="C380" s="24" t="n">
        <v>17.356</v>
      </c>
      <c r="I380" s="11" t="s">
        <v>761</v>
      </c>
    </row>
    <row r="381" customFormat="false" ht="15" hidden="false" customHeight="false" outlineLevel="1" collapsed="false">
      <c r="A381" s="3" t="s">
        <v>762</v>
      </c>
      <c r="B381" s="11" t="s">
        <v>65</v>
      </c>
      <c r="C381" s="24" t="n">
        <v>7.1</v>
      </c>
      <c r="I381" s="11" t="s">
        <v>763</v>
      </c>
    </row>
    <row r="382" customFormat="false" ht="15" hidden="false" customHeight="false" outlineLevel="1" collapsed="false">
      <c r="A382" s="3" t="s">
        <v>764</v>
      </c>
      <c r="B382" s="11" t="s">
        <v>65</v>
      </c>
      <c r="C382" s="32" t="n">
        <f aca="false">輸入與假設!$C$380+輸入與假設!$C$381-輸入與假設!$C$379</f>
        <v>-173.233</v>
      </c>
      <c r="I382" s="6" t="s">
        <v>765</v>
      </c>
    </row>
    <row r="383" customFormat="false" ht="15" hidden="false" customHeight="false" outlineLevel="1" collapsed="false">
      <c r="A383" s="3" t="s">
        <v>766</v>
      </c>
      <c r="B383" s="11" t="s">
        <v>42</v>
      </c>
      <c r="C383" s="23" t="n">
        <v>0.168</v>
      </c>
      <c r="I383" s="11" t="s">
        <v>767</v>
      </c>
    </row>
    <row r="384" customFormat="false" ht="15" hidden="false" customHeight="false" outlineLevel="1" collapsed="false">
      <c r="A384" s="3" t="s">
        <v>768</v>
      </c>
      <c r="B384" s="11" t="s">
        <v>42</v>
      </c>
      <c r="C384" s="23" t="n">
        <v>0.0528</v>
      </c>
      <c r="I384" s="11" t="s">
        <v>769</v>
      </c>
    </row>
    <row r="385" customFormat="false" ht="15" hidden="false" customHeight="false" outlineLevel="1" collapsed="false">
      <c r="A385" s="4" t="s">
        <v>770</v>
      </c>
      <c r="B385" s="11" t="s">
        <v>111</v>
      </c>
      <c r="C385" s="37" t="n">
        <v>1.28845</v>
      </c>
      <c r="I385" s="11" t="s">
        <v>771</v>
      </c>
    </row>
    <row r="386" customFormat="false" ht="15" hidden="false" customHeight="false" outlineLevel="1" collapsed="false">
      <c r="A386" s="4" t="s">
        <v>772</v>
      </c>
      <c r="B386" s="11" t="s">
        <v>42</v>
      </c>
      <c r="C386" s="23" t="n">
        <v>0.05</v>
      </c>
      <c r="I386" s="11" t="s">
        <v>773</v>
      </c>
    </row>
    <row r="387" customFormat="false" ht="15" hidden="false" customHeight="false" outlineLevel="1" collapsed="false">
      <c r="A387" s="3" t="s">
        <v>774</v>
      </c>
      <c r="B387" s="11" t="s">
        <v>42</v>
      </c>
      <c r="C387" s="38" t="n">
        <f aca="false">輸入與假設!$C$384+輸入與假設!$C$385*輸入與假設!$C$386</f>
        <v>0.1172225</v>
      </c>
      <c r="I387" s="11" t="s">
        <v>775</v>
      </c>
    </row>
    <row r="388" customFormat="false" ht="15" hidden="false" customHeight="false" outlineLevel="1" collapsed="false">
      <c r="A388" s="3" t="s">
        <v>776</v>
      </c>
      <c r="B388" s="11" t="s">
        <v>42</v>
      </c>
      <c r="C388" s="23" t="n">
        <v>0.06527</v>
      </c>
      <c r="I388" s="11" t="s">
        <v>777</v>
      </c>
    </row>
    <row r="389" customFormat="false" ht="15" hidden="false" customHeight="false" outlineLevel="1" collapsed="false">
      <c r="A389" s="3" t="s">
        <v>778</v>
      </c>
      <c r="B389" s="11" t="s">
        <v>65</v>
      </c>
      <c r="C389" s="32" t="n">
        <f aca="false">輸入與假設!$C$366*12.23</f>
        <v>4286.615</v>
      </c>
      <c r="I389" s="6" t="s">
        <v>779</v>
      </c>
    </row>
    <row r="390" customFormat="false" ht="15" hidden="false" customHeight="false" outlineLevel="1" collapsed="false">
      <c r="A390" s="3" t="s">
        <v>780</v>
      </c>
      <c r="B390" s="11" t="s">
        <v>65</v>
      </c>
      <c r="C390" s="24" t="n">
        <v>101.085</v>
      </c>
      <c r="I390" s="6" t="s">
        <v>781</v>
      </c>
    </row>
    <row r="391" customFormat="false" ht="15" hidden="false" customHeight="false" outlineLevel="1" collapsed="false">
      <c r="A391" s="4" t="s">
        <v>782</v>
      </c>
      <c r="B391" s="11" t="s">
        <v>42</v>
      </c>
      <c r="C391" s="38" t="n">
        <f aca="false">輸入與假設!$C$389/(輸入與假設!$C$390+輸入與假設!$C$389)*輸入與假設!$C$387+輸入與假設!$C$390/(輸入與假設!$C$390+輸入與假設!$C$389)*輸入與假設!$C$388*(1-輸入與假設!$C$383)</f>
        <v>0.115772981601272</v>
      </c>
      <c r="I391" s="11" t="s">
        <v>783</v>
      </c>
    </row>
    <row r="392" customFormat="false" ht="15" hidden="false" customHeight="false" outlineLevel="1" collapsed="false">
      <c r="A392" s="4" t="s">
        <v>784</v>
      </c>
      <c r="B392" s="11" t="s">
        <v>42</v>
      </c>
      <c r="C392" s="23"/>
      <c r="I392" s="11" t="s">
        <v>785</v>
      </c>
    </row>
    <row r="393" customFormat="false" ht="15" hidden="false" customHeight="false" outlineLevel="1" collapsed="false">
      <c r="A393" s="4" t="s">
        <v>786</v>
      </c>
      <c r="B393" s="11" t="s">
        <v>42</v>
      </c>
      <c r="C393" s="38" t="n">
        <f aca="false">IF(ISBLANK(輸入與假設!$C$392),輸入與假設!$C$391,輸入與假設!$C$392)</f>
        <v>0.115772981601272</v>
      </c>
      <c r="I393" s="6" t="s">
        <v>787</v>
      </c>
    </row>
    <row r="394" customFormat="false" ht="15" hidden="false" customHeight="false" outlineLevel="1" collapsed="false">
      <c r="A394" s="3" t="s">
        <v>788</v>
      </c>
      <c r="B394" s="11" t="s">
        <v>42</v>
      </c>
      <c r="C394" s="23" t="n">
        <v>0.03</v>
      </c>
      <c r="I394" s="11" t="s">
        <v>225</v>
      </c>
    </row>
    <row r="395" customFormat="false" ht="15" hidden="false" customHeight="false" outlineLevel="1" collapsed="false">
      <c r="A395" s="3" t="s">
        <v>789</v>
      </c>
      <c r="B395" s="11" t="s">
        <v>42</v>
      </c>
      <c r="C395" s="23" t="n">
        <v>0.8</v>
      </c>
      <c r="I395" s="11" t="s">
        <v>790</v>
      </c>
    </row>
    <row r="396" customFormat="false" ht="15" hidden="false" customHeight="false" outlineLevel="1" collapsed="false">
      <c r="A396" s="3" t="s">
        <v>791</v>
      </c>
      <c r="B396" s="11" t="s">
        <v>65</v>
      </c>
      <c r="C396" s="24" t="n">
        <v>0</v>
      </c>
      <c r="I396" s="11" t="s">
        <v>792</v>
      </c>
    </row>
    <row r="397" customFormat="false" ht="15" hidden="false" customHeight="false" outlineLevel="1" collapsed="false">
      <c r="A397" s="4" t="s">
        <v>793</v>
      </c>
      <c r="B397" s="11" t="s">
        <v>42</v>
      </c>
      <c r="C397" s="23" t="n">
        <v>0.8</v>
      </c>
      <c r="I397" s="6" t="s">
        <v>794</v>
      </c>
    </row>
    <row r="398" customFormat="false" ht="15" hidden="false" customHeight="false" outlineLevel="1" collapsed="false">
      <c r="A398" s="3" t="s">
        <v>795</v>
      </c>
      <c r="B398" s="11" t="s">
        <v>42</v>
      </c>
      <c r="C398" s="23" t="n">
        <v>0</v>
      </c>
      <c r="I398" s="6" t="s">
        <v>796</v>
      </c>
    </row>
    <row r="399" customFormat="false" ht="15" hidden="false" customHeight="false" outlineLevel="1" collapsed="false">
      <c r="A399" s="4" t="s">
        <v>797</v>
      </c>
      <c r="B399" s="11" t="s">
        <v>111</v>
      </c>
      <c r="C399" s="46" t="n">
        <v>6</v>
      </c>
      <c r="I399" s="11" t="s">
        <v>798</v>
      </c>
    </row>
    <row r="400" customFormat="false" ht="15" hidden="false" customHeight="false" outlineLevel="1" collapsed="false">
      <c r="A400" s="3" t="s">
        <v>799</v>
      </c>
      <c r="B400" s="11" t="s">
        <v>111</v>
      </c>
      <c r="C400" s="46" t="n">
        <v>10.79</v>
      </c>
      <c r="I400" s="11" t="s">
        <v>800</v>
      </c>
    </row>
    <row r="401" customFormat="false" ht="15" hidden="false" customHeight="false" outlineLevel="1" collapsed="false">
      <c r="A401" s="3" t="s">
        <v>801</v>
      </c>
      <c r="B401" s="11" t="s">
        <v>111</v>
      </c>
      <c r="C401" s="46" t="n">
        <v>6.91</v>
      </c>
      <c r="I401" s="11" t="s">
        <v>802</v>
      </c>
    </row>
    <row r="402" customFormat="false" ht="15" hidden="false" customHeight="false" outlineLevel="1" collapsed="false">
      <c r="A402" s="3" t="s">
        <v>803</v>
      </c>
      <c r="B402" s="11" t="s">
        <v>111</v>
      </c>
      <c r="C402" s="46" t="n">
        <v>6.53</v>
      </c>
      <c r="I402" s="11" t="s">
        <v>804</v>
      </c>
    </row>
    <row r="403" customFormat="false" ht="15" hidden="false" customHeight="false" outlineLevel="1" collapsed="false">
      <c r="A403" s="3" t="s">
        <v>805</v>
      </c>
      <c r="B403" s="11" t="s">
        <v>111</v>
      </c>
      <c r="C403" s="46" t="n">
        <v>11.38</v>
      </c>
      <c r="I403" s="11" t="s">
        <v>806</v>
      </c>
    </row>
    <row r="404" customFormat="false" ht="15" hidden="false" customHeight="false" outlineLevel="1" collapsed="false">
      <c r="A404" s="3" t="s">
        <v>807</v>
      </c>
      <c r="B404" s="11" t="s">
        <v>111</v>
      </c>
      <c r="C404" s="46" t="n">
        <v>13.63</v>
      </c>
      <c r="I404" s="11" t="s">
        <v>808</v>
      </c>
    </row>
    <row r="405" customFormat="false" ht="15" hidden="false" customHeight="false" outlineLevel="1" collapsed="false">
      <c r="A405" s="3" t="s">
        <v>809</v>
      </c>
      <c r="B405" s="11" t="s">
        <v>111</v>
      </c>
      <c r="C405" s="46" t="n">
        <v>7.43</v>
      </c>
      <c r="I405" s="11" t="s">
        <v>810</v>
      </c>
    </row>
    <row r="406" customFormat="false" ht="15" hidden="false" customHeight="false" outlineLevel="1" collapsed="false">
      <c r="A406" s="3" t="s">
        <v>811</v>
      </c>
      <c r="B406" s="11" t="s">
        <v>111</v>
      </c>
      <c r="C406" s="46" t="n">
        <v>10.79</v>
      </c>
      <c r="I406" s="11" t="s">
        <v>800</v>
      </c>
    </row>
    <row r="407" customFormat="false" ht="15" hidden="false" customHeight="false" outlineLevel="1" collapsed="false">
      <c r="A407" s="3" t="s">
        <v>812</v>
      </c>
      <c r="B407" s="11" t="s">
        <v>111</v>
      </c>
      <c r="C407" s="46" t="n">
        <v>6.91</v>
      </c>
      <c r="I407" s="11" t="s">
        <v>802</v>
      </c>
    </row>
    <row r="408" customFormat="false" ht="15" hidden="false" customHeight="false" outlineLevel="1" collapsed="false">
      <c r="A408" s="3" t="s">
        <v>813</v>
      </c>
      <c r="B408" s="11" t="s">
        <v>111</v>
      </c>
      <c r="C408" s="46" t="n">
        <v>6.53</v>
      </c>
      <c r="I408" s="11" t="s">
        <v>804</v>
      </c>
    </row>
    <row r="409" customFormat="false" ht="15" hidden="false" customHeight="false" outlineLevel="1" collapsed="false">
      <c r="A409" s="3" t="s">
        <v>814</v>
      </c>
      <c r="B409" s="11" t="s">
        <v>111</v>
      </c>
      <c r="C409" s="46" t="n">
        <v>11.38</v>
      </c>
      <c r="I409" s="11" t="s">
        <v>806</v>
      </c>
    </row>
    <row r="410" customFormat="false" ht="15" hidden="false" customHeight="false" outlineLevel="1" collapsed="false">
      <c r="A410" s="3" t="s">
        <v>815</v>
      </c>
      <c r="B410" s="11" t="s">
        <v>111</v>
      </c>
      <c r="C410" s="46" t="n">
        <v>13.63</v>
      </c>
      <c r="I410" s="11" t="s">
        <v>808</v>
      </c>
    </row>
    <row r="411" customFormat="false" ht="15" hidden="false" customHeight="false" outlineLevel="1" collapsed="false">
      <c r="A411" s="3" t="s">
        <v>816</v>
      </c>
      <c r="B411" s="11" t="s">
        <v>111</v>
      </c>
      <c r="C411" s="46" t="n">
        <v>7.43</v>
      </c>
      <c r="I411" s="11" t="s">
        <v>810</v>
      </c>
    </row>
    <row r="412" customFormat="false" ht="15" hidden="false" customHeight="false" outlineLevel="1" collapsed="false">
      <c r="A412" s="3" t="s">
        <v>817</v>
      </c>
      <c r="B412" s="11" t="s">
        <v>111</v>
      </c>
      <c r="C412" s="47" t="n">
        <f aca="false">MEDIAN(輸入與假設!$C$406,輸入與假設!$C$407,輸入與假設!$C$408,輸入與假設!$C$409,輸入與假設!$C$410,輸入與假設!$C$411)</f>
        <v>9.11</v>
      </c>
      <c r="I412" s="6" t="s">
        <v>818</v>
      </c>
    </row>
    <row r="413" customFormat="false" ht="15" hidden="false" customHeight="false" outlineLevel="1" collapsed="false">
      <c r="A413" s="3" t="s">
        <v>819</v>
      </c>
      <c r="B413" s="11" t="s">
        <v>111</v>
      </c>
      <c r="C413" s="46" t="n">
        <v>15.41</v>
      </c>
      <c r="I413" s="11" t="s">
        <v>820</v>
      </c>
    </row>
    <row r="414" customFormat="false" ht="15" hidden="false" customHeight="false" outlineLevel="1" collapsed="false">
      <c r="A414" s="3" t="s">
        <v>821</v>
      </c>
      <c r="B414" s="11" t="s">
        <v>111</v>
      </c>
      <c r="C414" s="46" t="n">
        <v>31.97</v>
      </c>
      <c r="I414" s="11" t="s">
        <v>822</v>
      </c>
    </row>
    <row r="415" customFormat="false" ht="15" hidden="false" customHeight="false" outlineLevel="1" collapsed="false">
      <c r="A415" s="3" t="s">
        <v>823</v>
      </c>
      <c r="B415" s="11" t="s">
        <v>111</v>
      </c>
      <c r="C415" s="46" t="n">
        <v>10.58</v>
      </c>
      <c r="I415" s="11" t="s">
        <v>824</v>
      </c>
    </row>
    <row r="416" customFormat="false" ht="15" hidden="false" customHeight="false" outlineLevel="1" collapsed="false">
      <c r="A416" s="3" t="s">
        <v>825</v>
      </c>
      <c r="B416" s="11" t="s">
        <v>111</v>
      </c>
      <c r="C416" s="47" t="n">
        <f aca="false">MEDIAN(輸入與假設!$C$413,輸入與假設!$C$414,輸入與假設!$C$415)</f>
        <v>15.41</v>
      </c>
      <c r="I416" s="6" t="s">
        <v>818</v>
      </c>
    </row>
    <row r="417" customFormat="false" ht="15" hidden="false" customHeight="false" outlineLevel="1" collapsed="false">
      <c r="A417" s="3" t="s">
        <v>826</v>
      </c>
      <c r="B417" s="11" t="s">
        <v>111</v>
      </c>
      <c r="C417" s="46" t="n">
        <v>9.49</v>
      </c>
      <c r="I417" s="11" t="s">
        <v>827</v>
      </c>
    </row>
    <row r="418" customFormat="false" ht="15" hidden="false" customHeight="false" outlineLevel="1" collapsed="false">
      <c r="A418" s="3" t="s">
        <v>828</v>
      </c>
      <c r="B418" s="11" t="s">
        <v>111</v>
      </c>
      <c r="C418" s="46" t="n">
        <v>12.51</v>
      </c>
      <c r="I418" s="11" t="s">
        <v>829</v>
      </c>
    </row>
    <row r="419" customFormat="false" ht="15" hidden="false" customHeight="false" outlineLevel="1" collapsed="false">
      <c r="A419" s="3" t="s">
        <v>830</v>
      </c>
      <c r="B419" s="11" t="s">
        <v>111</v>
      </c>
      <c r="C419" s="46" t="n">
        <v>15.13</v>
      </c>
      <c r="I419" s="11" t="s">
        <v>831</v>
      </c>
    </row>
    <row r="420" customFormat="false" ht="15" hidden="false" customHeight="false" outlineLevel="1" collapsed="false">
      <c r="A420" s="3" t="s">
        <v>832</v>
      </c>
      <c r="B420" s="11" t="s">
        <v>111</v>
      </c>
      <c r="C420" s="46" t="n">
        <v>10.81</v>
      </c>
      <c r="I420" s="11" t="s">
        <v>833</v>
      </c>
    </row>
    <row r="421" customFormat="false" ht="15" hidden="false" customHeight="false" outlineLevel="1" collapsed="false">
      <c r="A421" s="3" t="s">
        <v>834</v>
      </c>
      <c r="B421" s="11" t="s">
        <v>111</v>
      </c>
      <c r="C421" s="46" t="n">
        <v>20.63</v>
      </c>
      <c r="I421" s="11" t="s">
        <v>835</v>
      </c>
    </row>
    <row r="422" customFormat="false" ht="15" hidden="false" customHeight="false" outlineLevel="1" collapsed="false">
      <c r="A422" s="3" t="s">
        <v>836</v>
      </c>
      <c r="B422" s="11" t="s">
        <v>111</v>
      </c>
      <c r="C422" s="46" t="n">
        <v>9.7</v>
      </c>
      <c r="I422" s="11" t="s">
        <v>837</v>
      </c>
    </row>
    <row r="423" customFormat="false" ht="15" hidden="false" customHeight="false" outlineLevel="1" collapsed="false">
      <c r="A423" s="3" t="s">
        <v>838</v>
      </c>
      <c r="B423" s="11" t="s">
        <v>111</v>
      </c>
      <c r="C423" s="46" t="n">
        <v>21.2</v>
      </c>
      <c r="I423" s="11" t="s">
        <v>839</v>
      </c>
    </row>
    <row r="424" customFormat="false" ht="15" hidden="false" customHeight="false" outlineLevel="1" collapsed="false">
      <c r="A424" s="3" t="s">
        <v>840</v>
      </c>
      <c r="B424" s="11" t="s">
        <v>111</v>
      </c>
      <c r="C424" s="46" t="n">
        <v>24.49</v>
      </c>
      <c r="I424" s="11" t="s">
        <v>841</v>
      </c>
    </row>
    <row r="425" customFormat="false" ht="15" hidden="false" customHeight="false" outlineLevel="1" collapsed="false">
      <c r="A425" s="3" t="s">
        <v>842</v>
      </c>
      <c r="B425" s="11" t="s">
        <v>111</v>
      </c>
      <c r="C425" s="47" t="n">
        <f aca="false">MEDIAN(輸入與假設!$C$417,輸入與假設!$C$418,輸入與假設!$C$419,輸入與假設!$C$420,輸入與假設!$C$421,輸入與假設!$C$422,輸入與假設!$C$423,輸入與假設!$C$424)</f>
        <v>13.82</v>
      </c>
      <c r="I425" s="6" t="s">
        <v>818</v>
      </c>
    </row>
    <row r="426" customFormat="false" ht="15" hidden="false" customHeight="false" outlineLevel="1" collapsed="false">
      <c r="A426" s="3" t="s">
        <v>843</v>
      </c>
      <c r="B426" s="11" t="s">
        <v>111</v>
      </c>
      <c r="C426" s="47" t="n">
        <f aca="false">輸入與假設!$C$399</f>
        <v>6</v>
      </c>
      <c r="I426" s="6" t="s">
        <v>844</v>
      </c>
    </row>
    <row r="427" customFormat="false" ht="15" hidden="false" customHeight="false" outlineLevel="1" collapsed="false">
      <c r="A427" s="3" t="s">
        <v>845</v>
      </c>
      <c r="B427" s="11" t="s">
        <v>111</v>
      </c>
      <c r="C427" s="47" t="n">
        <f aca="false">輸入與假設!$C$399</f>
        <v>6</v>
      </c>
      <c r="I427" s="6" t="s">
        <v>846</v>
      </c>
    </row>
    <row r="428" customFormat="false" ht="15" hidden="false" customHeight="false" outlineLevel="1" collapsed="false">
      <c r="A428" s="3" t="s">
        <v>847</v>
      </c>
      <c r="B428" s="11" t="s">
        <v>111</v>
      </c>
      <c r="C428" s="47" t="n">
        <f aca="false">(INDEX(輸入與假設!$D$142:$G$142,1,輸入與假設!$C$431)*輸入與假設!$C$412+INDEX(輸入與假設!$D$156:$G$156,1,輸入與假設!$C$431)*輸入與假設!$C$412+INDEX(輸入與假設!$D$170:$G$170,1,輸入與假設!$C$431)*輸入與假設!$C$412+INDEX(輸入與假設!$D$184:$G$184,1,輸入與假設!$C$431)*輸入與假設!$C$416+INDEX(輸入與假設!$D$208:$G$208,1,輸入與假設!$C$431)*輸入與假設!$C$425+INDEX(輸入與假設!$D$218:$G$218,1,輸入與假設!$C$431)*輸入與假設!$C$426+INDEX(輸入與假設!$D$228:$G$228,1,輸入與假設!$C$431)*輸入與假設!$C$427+INDEX(輸入與假設!$D$238:$G$238,1,輸入與假設!$C$431)*輸入與假設!$C$412)/MAX(0.000000001,INDEX(輸入與假設!$D$142:$G$142,1,輸入與假設!$C$431)+INDEX(輸入與假設!$D$156:$G$156,1,輸入與假設!$C$431)+INDEX(輸入與假設!$D$170:$G$170,1,輸入與假設!$C$431)+INDEX(輸入與假設!$D$184:$G$184,1,輸入與假設!$C$431)+INDEX(輸入與假設!$D$208:$G$208,1,輸入與假設!$C$431)+INDEX(輸入與假設!$D$218:$G$218,1,輸入與假設!$C$431)+INDEX(輸入與假設!$D$228:$G$228,1,輸入與假設!$C$431)+INDEX(輸入與假設!$D$238:$G$238,1,輸入與假設!$C$431))</f>
        <v>10.2654632041697</v>
      </c>
      <c r="I428" s="6" t="s">
        <v>848</v>
      </c>
    </row>
    <row r="429" customFormat="false" ht="15" hidden="false" customHeight="false" outlineLevel="1" collapsed="false">
      <c r="A429" s="3" t="s">
        <v>849</v>
      </c>
      <c r="B429" s="11" t="s">
        <v>111</v>
      </c>
      <c r="C429" s="46"/>
      <c r="I429" s="11" t="s">
        <v>850</v>
      </c>
    </row>
    <row r="430" customFormat="false" ht="15" hidden="false" customHeight="false" outlineLevel="1" collapsed="false">
      <c r="A430" s="3" t="s">
        <v>851</v>
      </c>
      <c r="B430" s="11" t="s">
        <v>111</v>
      </c>
      <c r="C430" s="47" t="n">
        <f aca="false">IF(ISBLANK(輸入與假設!$C$429),輸入與假設!$C$428,輸入與假設!$C$429)</f>
        <v>10.2654632041697</v>
      </c>
      <c r="I430" s="6" t="s">
        <v>852</v>
      </c>
    </row>
    <row r="431" customFormat="false" ht="15" hidden="false" customHeight="false" outlineLevel="1" collapsed="false">
      <c r="A431" s="4" t="s">
        <v>853</v>
      </c>
      <c r="B431" s="6"/>
      <c r="C431" s="18" t="n">
        <v>3</v>
      </c>
      <c r="I431" s="6" t="s">
        <v>854</v>
      </c>
    </row>
    <row r="432" customFormat="false" ht="15" hidden="false" customHeight="false" outlineLevel="1" collapsed="false">
      <c r="A432" s="3" t="s">
        <v>855</v>
      </c>
      <c r="B432" s="11" t="s">
        <v>42</v>
      </c>
      <c r="C432" s="23" t="n">
        <v>0.45</v>
      </c>
      <c r="I432" s="6"/>
    </row>
    <row r="433" customFormat="false" ht="15" hidden="false" customHeight="false" outlineLevel="1" collapsed="false">
      <c r="A433" s="3" t="s">
        <v>856</v>
      </c>
      <c r="B433" s="11" t="s">
        <v>42</v>
      </c>
      <c r="C433" s="23" t="n">
        <v>0.55</v>
      </c>
      <c r="I433" s="6"/>
    </row>
    <row r="434" customFormat="false" ht="15" hidden="false" customHeight="false" outlineLevel="1" collapsed="false">
      <c r="A434" s="3" t="s">
        <v>857</v>
      </c>
      <c r="B434" s="11" t="s">
        <v>111</v>
      </c>
      <c r="C434" s="46" t="n">
        <v>5</v>
      </c>
      <c r="I434" s="11" t="s">
        <v>858</v>
      </c>
    </row>
    <row r="435" customFormat="false" ht="15" hidden="false" customHeight="false" outlineLevel="1" collapsed="false">
      <c r="A435" s="3" t="s">
        <v>859</v>
      </c>
      <c r="B435" s="11" t="s">
        <v>111</v>
      </c>
      <c r="C435" s="46" t="n">
        <v>6</v>
      </c>
      <c r="I435" s="6"/>
    </row>
    <row r="436" customFormat="false" ht="15" hidden="false" customHeight="false" outlineLevel="1" collapsed="false">
      <c r="A436" s="3" t="s">
        <v>860</v>
      </c>
      <c r="B436" s="11" t="s">
        <v>42</v>
      </c>
      <c r="C436" s="23" t="n">
        <v>0.01</v>
      </c>
      <c r="I436" s="6" t="s">
        <v>861</v>
      </c>
    </row>
    <row r="437" customFormat="false" ht="15" hidden="false" customHeight="false" outlineLevel="1" collapsed="false">
      <c r="A437" s="3" t="s">
        <v>862</v>
      </c>
      <c r="B437" s="11" t="s">
        <v>65</v>
      </c>
      <c r="C437" s="24" t="n">
        <v>28.147</v>
      </c>
      <c r="I437" s="11" t="s">
        <v>863</v>
      </c>
    </row>
    <row r="438" customFormat="false" ht="15" hidden="false" customHeight="false" outlineLevel="1" collapsed="false">
      <c r="A438" s="34" t="s">
        <v>864</v>
      </c>
      <c r="B438" s="20"/>
      <c r="C438" s="20"/>
      <c r="D438" s="20"/>
      <c r="E438" s="20"/>
      <c r="F438" s="20"/>
      <c r="G438" s="20"/>
      <c r="H438" s="20"/>
    </row>
    <row r="439" customFormat="false" ht="15" hidden="false" customHeight="false" outlineLevel="2" collapsed="false">
      <c r="A439" s="4" t="s">
        <v>865</v>
      </c>
      <c r="B439" s="6"/>
      <c r="C439" s="18" t="n">
        <v>1</v>
      </c>
      <c r="I439" s="11" t="s">
        <v>866</v>
      </c>
    </row>
    <row r="440" customFormat="false" ht="15" hidden="false" customHeight="false" outlineLevel="2" collapsed="false">
      <c r="A440" s="3" t="s">
        <v>867</v>
      </c>
      <c r="B440" s="11" t="s">
        <v>42</v>
      </c>
      <c r="C440" s="23" t="n">
        <v>0.5</v>
      </c>
      <c r="I440" s="6" t="s">
        <v>868</v>
      </c>
    </row>
    <row r="441" customFormat="false" ht="15" hidden="false" customHeight="false" outlineLevel="2" collapsed="false">
      <c r="A441" s="3" t="s">
        <v>869</v>
      </c>
      <c r="B441" s="6" t="s">
        <v>184</v>
      </c>
      <c r="C441" s="25" t="n">
        <v>4.5</v>
      </c>
      <c r="I441" s="6" t="s">
        <v>870</v>
      </c>
    </row>
    <row r="442" customFormat="false" ht="15" hidden="false" customHeight="false" outlineLevel="1" collapsed="false">
      <c r="A442" s="19" t="s">
        <v>871</v>
      </c>
      <c r="B442" s="20"/>
      <c r="C442" s="20"/>
      <c r="D442" s="20"/>
      <c r="E442" s="20"/>
      <c r="F442" s="20"/>
      <c r="G442" s="20"/>
      <c r="H442" s="20"/>
    </row>
    <row r="443" customFormat="false" ht="15" hidden="false" customHeight="false" outlineLevel="2" collapsed="false">
      <c r="A443" s="3" t="s">
        <v>872</v>
      </c>
      <c r="B443" s="6" t="s">
        <v>873</v>
      </c>
      <c r="C443" s="22" t="n">
        <v>12</v>
      </c>
      <c r="I443" s="11" t="s">
        <v>874</v>
      </c>
    </row>
    <row r="444" customFormat="false" ht="15" hidden="false" customHeight="false" outlineLevel="2" collapsed="false">
      <c r="A444" s="3" t="s">
        <v>875</v>
      </c>
      <c r="B444" s="6"/>
      <c r="C444" s="48" t="s">
        <v>876</v>
      </c>
      <c r="I444" s="11" t="s">
        <v>877</v>
      </c>
    </row>
    <row r="445" customFormat="false" ht="15" hidden="false" customHeight="false" outlineLevel="2" collapsed="false">
      <c r="A445" s="3" t="s">
        <v>878</v>
      </c>
      <c r="B445" s="6"/>
      <c r="C445" s="48" t="s">
        <v>879</v>
      </c>
      <c r="I445" s="11" t="s">
        <v>880</v>
      </c>
    </row>
    <row r="446" customFormat="false" ht="15" hidden="false" customHeight="false" outlineLevel="2" collapsed="false">
      <c r="A446" s="3" t="s">
        <v>881</v>
      </c>
      <c r="B446" s="6"/>
      <c r="C446" s="48" t="s">
        <v>882</v>
      </c>
      <c r="I446" s="6" t="s">
        <v>883</v>
      </c>
    </row>
    <row r="447" customFormat="false" ht="15" hidden="false" customHeight="false" outlineLevel="2" collapsed="false">
      <c r="A447" s="3" t="s">
        <v>884</v>
      </c>
      <c r="B447" s="6" t="s">
        <v>184</v>
      </c>
      <c r="C447" s="32" t="n">
        <v>1</v>
      </c>
      <c r="I447" s="6"/>
    </row>
    <row r="448" customFormat="false" ht="15" hidden="false" customHeight="false" outlineLevel="2" collapsed="false">
      <c r="A448" s="3" t="s">
        <v>885</v>
      </c>
      <c r="B448" s="6"/>
      <c r="C448" s="48" t="s">
        <v>886</v>
      </c>
      <c r="I448" s="6" t="s">
        <v>887</v>
      </c>
    </row>
    <row r="449" customFormat="false" ht="15" hidden="false" customHeight="false" outlineLevel="2" collapsed="false">
      <c r="A449" s="3" t="s">
        <v>888</v>
      </c>
      <c r="B449" s="6"/>
      <c r="C449" s="48" t="s">
        <v>889</v>
      </c>
      <c r="I449" s="11" t="s">
        <v>890</v>
      </c>
    </row>
    <row r="450" customFormat="false" ht="15" hidden="false" customHeight="false" outlineLevel="2" collapsed="false">
      <c r="A450" s="3" t="s">
        <v>891</v>
      </c>
      <c r="B450" s="6"/>
      <c r="C450" s="48" t="s">
        <v>892</v>
      </c>
      <c r="I450" s="11" t="s">
        <v>893</v>
      </c>
    </row>
    <row r="451" customFormat="false" ht="15" hidden="false" customHeight="false" outlineLevel="2" collapsed="false">
      <c r="A451" s="3" t="s">
        <v>894</v>
      </c>
      <c r="B451" s="6" t="s">
        <v>184</v>
      </c>
      <c r="C451" s="32" t="n">
        <v>0.5</v>
      </c>
      <c r="I451" s="11" t="s">
        <v>895</v>
      </c>
    </row>
    <row r="452" customFormat="false" ht="15" hidden="false" customHeight="false" outlineLevel="2" collapsed="false">
      <c r="A452" s="14" t="s">
        <v>896</v>
      </c>
      <c r="B452" s="14" t="s">
        <v>60</v>
      </c>
      <c r="C452" s="28" t="s">
        <v>61</v>
      </c>
      <c r="D452" s="28" t="s">
        <v>62</v>
      </c>
      <c r="E452" s="28" t="s">
        <v>63</v>
      </c>
      <c r="F452" s="28" t="s">
        <v>153</v>
      </c>
      <c r="G452" s="28" t="s">
        <v>154</v>
      </c>
      <c r="I452" s="14" t="s">
        <v>206</v>
      </c>
    </row>
    <row r="453" customFormat="false" ht="15" hidden="false" customHeight="false" outlineLevel="2" collapsed="false">
      <c r="A453" s="3" t="s">
        <v>897</v>
      </c>
      <c r="B453" s="6"/>
      <c r="C453" s="48" t="s">
        <v>898</v>
      </c>
      <c r="D453" s="48" t="s">
        <v>899</v>
      </c>
      <c r="E453" s="48" t="s">
        <v>900</v>
      </c>
      <c r="F453" s="48" t="s">
        <v>901</v>
      </c>
      <c r="G453" s="48" t="s">
        <v>902</v>
      </c>
      <c r="I453" s="6" t="s">
        <v>903</v>
      </c>
    </row>
    <row r="454" customFormat="false" ht="15" hidden="false" customHeight="false" outlineLevel="2" collapsed="false">
      <c r="A454" s="3" t="s">
        <v>904</v>
      </c>
      <c r="B454" s="6" t="s">
        <v>184</v>
      </c>
      <c r="C454" s="32" t="n">
        <v>0.5</v>
      </c>
      <c r="D454" s="32" t="n">
        <v>1.5</v>
      </c>
      <c r="E454" s="32" t="n">
        <v>2.5</v>
      </c>
      <c r="F454" s="32" t="n">
        <v>3.5</v>
      </c>
      <c r="G454" s="32" t="n">
        <v>4.5</v>
      </c>
      <c r="I454" s="6" t="s">
        <v>903</v>
      </c>
    </row>
    <row r="455" customFormat="false" ht="15" hidden="false" customHeight="false" outlineLevel="2" collapsed="false">
      <c r="A455" s="3" t="s">
        <v>905</v>
      </c>
      <c r="B455" s="6" t="s">
        <v>184</v>
      </c>
      <c r="C455" s="32" t="n">
        <v>0</v>
      </c>
      <c r="D455" s="32" t="n">
        <v>0.5</v>
      </c>
      <c r="E455" s="32" t="n">
        <v>1.5</v>
      </c>
      <c r="F455" s="32" t="n">
        <v>2.5</v>
      </c>
      <c r="G455" s="32" t="n">
        <v>3.5</v>
      </c>
      <c r="I455" s="6" t="s">
        <v>903</v>
      </c>
    </row>
    <row r="456" customFormat="false" ht="15" hidden="false" customHeight="false" outlineLevel="1" collapsed="false">
      <c r="A456" s="19" t="s">
        <v>906</v>
      </c>
      <c r="B456" s="20"/>
      <c r="C456" s="20"/>
      <c r="D456" s="20"/>
      <c r="E456" s="20"/>
      <c r="F456" s="20"/>
      <c r="G456" s="20"/>
      <c r="H456" s="20"/>
    </row>
    <row r="457" customFormat="false" ht="15" hidden="false" customHeight="false" outlineLevel="2" collapsed="false">
      <c r="A457" s="3" t="s">
        <v>907</v>
      </c>
      <c r="B457" s="11" t="s">
        <v>42</v>
      </c>
      <c r="C457" s="23" t="n">
        <v>0.25</v>
      </c>
      <c r="I457" s="6" t="s">
        <v>908</v>
      </c>
    </row>
    <row r="458" customFormat="false" ht="15" hidden="false" customHeight="false" outlineLevel="2" collapsed="false">
      <c r="A458" s="3" t="s">
        <v>909</v>
      </c>
      <c r="B458" s="11" t="s">
        <v>42</v>
      </c>
      <c r="C458" s="23" t="n">
        <v>0.9</v>
      </c>
      <c r="I458" s="6" t="s">
        <v>910</v>
      </c>
    </row>
    <row r="459" customFormat="false" ht="15" hidden="false" customHeight="false" outlineLevel="2" collapsed="false">
      <c r="A459" s="3" t="s">
        <v>911</v>
      </c>
      <c r="B459" s="11" t="s">
        <v>42</v>
      </c>
      <c r="C459" s="23" t="n">
        <v>-0.15</v>
      </c>
      <c r="I459" s="6" t="s">
        <v>912</v>
      </c>
    </row>
    <row r="460" customFormat="false" ht="15" hidden="false" customHeight="false" outlineLevel="2" collapsed="false">
      <c r="A460" s="3" t="s">
        <v>913</v>
      </c>
      <c r="B460" s="11" t="s">
        <v>111</v>
      </c>
      <c r="C460" s="46" t="n">
        <v>1.5</v>
      </c>
      <c r="I460" s="6" t="s">
        <v>914</v>
      </c>
    </row>
    <row r="461" customFormat="false" ht="15" hidden="false" customHeight="false" outlineLevel="2" collapsed="false">
      <c r="A461" s="3" t="s">
        <v>915</v>
      </c>
      <c r="B461" s="11" t="s">
        <v>42</v>
      </c>
      <c r="C461" s="23" t="n">
        <v>-0.08</v>
      </c>
      <c r="I461" s="6" t="s">
        <v>916</v>
      </c>
    </row>
    <row r="462" customFormat="false" ht="15" hidden="false" customHeight="false" outlineLevel="2" collapsed="false">
      <c r="A462" s="3" t="s">
        <v>917</v>
      </c>
      <c r="B462" s="11" t="s">
        <v>42</v>
      </c>
      <c r="C462" s="23" t="n">
        <v>0.05</v>
      </c>
      <c r="I462" s="6" t="s">
        <v>918</v>
      </c>
    </row>
    <row r="463" customFormat="false" ht="15" hidden="false" customHeight="false" outlineLevel="2" collapsed="false">
      <c r="A463" s="3" t="s">
        <v>919</v>
      </c>
      <c r="B463" s="11" t="s">
        <v>42</v>
      </c>
      <c r="C463" s="23" t="n">
        <v>0.85</v>
      </c>
      <c r="I463" s="6" t="s">
        <v>920</v>
      </c>
    </row>
    <row r="465" customFormat="false" ht="15" hidden="false" customHeight="false" outlineLevel="0" collapsed="true">
      <c r="A465" s="7" t="s">
        <v>921</v>
      </c>
      <c r="B465" s="8"/>
      <c r="C465" s="8"/>
      <c r="D465" s="8"/>
      <c r="E465" s="8"/>
      <c r="F465" s="8"/>
      <c r="G465" s="8"/>
      <c r="H465" s="8"/>
    </row>
    <row r="466" customFormat="false" ht="15" hidden="true" customHeight="false" outlineLevel="1" collapsed="false">
      <c r="A466" s="4" t="s">
        <v>922</v>
      </c>
      <c r="B466" s="11" t="s">
        <v>65</v>
      </c>
      <c r="C466" s="24" t="n">
        <v>120.53</v>
      </c>
      <c r="I466" s="11" t="s">
        <v>923</v>
      </c>
    </row>
    <row r="467" customFormat="false" ht="15" hidden="true" customHeight="false" outlineLevel="1" collapsed="false">
      <c r="A467" s="3" t="s">
        <v>924</v>
      </c>
      <c r="B467" s="11" t="s">
        <v>65</v>
      </c>
      <c r="C467" s="24" t="n">
        <v>84.859</v>
      </c>
      <c r="I467" s="11" t="s">
        <v>925</v>
      </c>
    </row>
    <row r="468" customFormat="false" ht="15" hidden="true" customHeight="false" outlineLevel="1" collapsed="false">
      <c r="A468" s="3" t="s">
        <v>926</v>
      </c>
      <c r="B468" s="11" t="s">
        <v>65</v>
      </c>
      <c r="C468" s="24" t="n">
        <v>80.598</v>
      </c>
      <c r="I468" s="6" t="s">
        <v>927</v>
      </c>
    </row>
    <row r="469" customFormat="false" ht="15" hidden="true" customHeight="false" outlineLevel="1" collapsed="false">
      <c r="A469" s="4" t="s">
        <v>928</v>
      </c>
      <c r="B469" s="11" t="s">
        <v>65</v>
      </c>
      <c r="C469" s="24" t="n">
        <v>80.598</v>
      </c>
      <c r="I469" s="6" t="s">
        <v>929</v>
      </c>
    </row>
    <row r="470" customFormat="false" ht="15" hidden="true" customHeight="false" outlineLevel="1" collapsed="false">
      <c r="A470" s="4" t="s">
        <v>930</v>
      </c>
      <c r="B470" s="11" t="s">
        <v>65</v>
      </c>
      <c r="C470" s="24" t="n">
        <v>55.44</v>
      </c>
      <c r="I470" s="6" t="s">
        <v>931</v>
      </c>
    </row>
    <row r="471" customFormat="false" ht="15" hidden="true" customHeight="false" outlineLevel="1" collapsed="false">
      <c r="A471" s="3" t="s">
        <v>932</v>
      </c>
      <c r="B471" s="11" t="s">
        <v>65</v>
      </c>
      <c r="C471" s="24" t="n">
        <v>56.226</v>
      </c>
      <c r="I471" s="6" t="s">
        <v>933</v>
      </c>
    </row>
    <row r="472" customFormat="false" ht="15" hidden="true" customHeight="false" outlineLevel="1" collapsed="false">
      <c r="A472" s="3" t="s">
        <v>934</v>
      </c>
      <c r="B472" s="11" t="s">
        <v>65</v>
      </c>
      <c r="C472" s="24" t="n">
        <v>5.253</v>
      </c>
      <c r="I472" s="6" t="s">
        <v>935</v>
      </c>
    </row>
    <row r="473" customFormat="false" ht="15" hidden="true" customHeight="false" outlineLevel="1" collapsed="false">
      <c r="A473" s="4" t="s">
        <v>936</v>
      </c>
      <c r="B473" s="11" t="s">
        <v>65</v>
      </c>
      <c r="C473" s="24" t="n">
        <v>1.011</v>
      </c>
      <c r="I473" s="6" t="s">
        <v>937</v>
      </c>
    </row>
    <row r="474" customFormat="false" ht="15" hidden="true" customHeight="false" outlineLevel="1" collapsed="false">
      <c r="A474" s="3" t="s">
        <v>938</v>
      </c>
      <c r="B474" s="11" t="s">
        <v>65</v>
      </c>
      <c r="C474" s="24" t="n">
        <v>49.562</v>
      </c>
      <c r="I474" s="6" t="s">
        <v>939</v>
      </c>
    </row>
    <row r="475" customFormat="false" ht="15" hidden="true" customHeight="false" outlineLevel="1" collapsed="false">
      <c r="A475" s="3" t="s">
        <v>940</v>
      </c>
      <c r="B475" s="11" t="s">
        <v>65</v>
      </c>
      <c r="C475" s="24" t="n">
        <v>1.811</v>
      </c>
      <c r="I475" s="11" t="s">
        <v>941</v>
      </c>
    </row>
    <row r="476" customFormat="false" ht="15" hidden="true" customHeight="false" outlineLevel="1" collapsed="false">
      <c r="A476" s="3" t="s">
        <v>942</v>
      </c>
      <c r="B476" s="11" t="s">
        <v>65</v>
      </c>
      <c r="C476" s="24" t="n">
        <v>2.692</v>
      </c>
      <c r="I476" s="6" t="s">
        <v>943</v>
      </c>
    </row>
    <row r="477" customFormat="false" ht="15" hidden="true" customHeight="false" outlineLevel="1" collapsed="false">
      <c r="A477" s="3" t="s">
        <v>944</v>
      </c>
      <c r="B477" s="11" t="s">
        <v>65</v>
      </c>
      <c r="C477" s="24" t="n">
        <v>229.692</v>
      </c>
      <c r="I477" s="6" t="s">
        <v>945</v>
      </c>
    </row>
    <row r="478" customFormat="false" ht="15" hidden="true" customHeight="false" outlineLevel="1" collapsed="false">
      <c r="A478" s="4" t="s">
        <v>946</v>
      </c>
      <c r="B478" s="11" t="s">
        <v>65</v>
      </c>
      <c r="C478" s="24" t="n">
        <v>80.466</v>
      </c>
      <c r="I478" s="11" t="s">
        <v>947</v>
      </c>
    </row>
    <row r="479" customFormat="false" ht="15" hidden="true" customHeight="false" outlineLevel="1" collapsed="false">
      <c r="A479" s="3" t="s">
        <v>948</v>
      </c>
      <c r="B479" s="11" t="s">
        <v>65</v>
      </c>
      <c r="C479" s="24" t="n">
        <v>174.771</v>
      </c>
      <c r="I479" s="6" t="s">
        <v>949</v>
      </c>
    </row>
    <row r="480" customFormat="false" ht="15" hidden="true" customHeight="false" outlineLevel="1" collapsed="false">
      <c r="A480" s="3" t="s">
        <v>950</v>
      </c>
      <c r="B480" s="11" t="s">
        <v>65</v>
      </c>
      <c r="C480" s="24" t="n">
        <v>0</v>
      </c>
      <c r="I480" s="6" t="s">
        <v>951</v>
      </c>
    </row>
    <row r="481" customFormat="false" ht="15" hidden="true" customHeight="false" outlineLevel="1" collapsed="false">
      <c r="A481" s="4" t="s">
        <v>952</v>
      </c>
      <c r="B481" s="11" t="s">
        <v>65</v>
      </c>
      <c r="C481" s="24" t="n">
        <v>13.586</v>
      </c>
      <c r="I481" s="6" t="s">
        <v>953</v>
      </c>
    </row>
    <row r="482" customFormat="false" ht="15" hidden="true" customHeight="false" outlineLevel="1" collapsed="false">
      <c r="A482" s="4" t="s">
        <v>954</v>
      </c>
      <c r="B482" s="11" t="s">
        <v>65</v>
      </c>
      <c r="C482" s="24" t="n">
        <v>14.708</v>
      </c>
      <c r="I482" s="6" t="s">
        <v>955</v>
      </c>
    </row>
    <row r="483" customFormat="false" ht="15" hidden="true" customHeight="false" outlineLevel="1" collapsed="false">
      <c r="A483" s="4" t="s">
        <v>956</v>
      </c>
      <c r="B483" s="11" t="s">
        <v>39</v>
      </c>
      <c r="C483" s="24" t="n">
        <v>14.22</v>
      </c>
      <c r="I483" s="11" t="s">
        <v>957</v>
      </c>
    </row>
    <row r="484" customFormat="false" ht="15" hidden="true" customHeight="false" outlineLevel="1" collapsed="false">
      <c r="A484" s="4" t="s">
        <v>958</v>
      </c>
      <c r="B484" s="11" t="s">
        <v>39</v>
      </c>
      <c r="C484" s="24" t="n">
        <v>15.44</v>
      </c>
      <c r="I484" s="11" t="s">
        <v>959</v>
      </c>
    </row>
    <row r="485" customFormat="false" ht="15" hidden="true" customHeight="false" outlineLevel="1" collapsed="false">
      <c r="A485" s="3" t="s">
        <v>960</v>
      </c>
      <c r="B485" s="11" t="s">
        <v>65</v>
      </c>
      <c r="C485" s="24" t="n">
        <v>5.231</v>
      </c>
      <c r="I485" s="6" t="s">
        <v>961</v>
      </c>
    </row>
    <row r="486" customFormat="false" ht="15" hidden="true" customHeight="false" outlineLevel="1" collapsed="false">
      <c r="A486" s="3" t="s">
        <v>962</v>
      </c>
      <c r="B486" s="11" t="s">
        <v>65</v>
      </c>
      <c r="C486" s="24" t="n">
        <v>94.052</v>
      </c>
      <c r="I486" s="11" t="s">
        <v>963</v>
      </c>
    </row>
    <row r="487" customFormat="false" ht="15" hidden="true" customHeight="false" outlineLevel="1" collapsed="false">
      <c r="A487" s="3" t="s">
        <v>964</v>
      </c>
      <c r="B487" s="11" t="s">
        <v>65</v>
      </c>
      <c r="C487" s="24" t="n">
        <v>0</v>
      </c>
      <c r="I487" s="11" t="s">
        <v>965</v>
      </c>
    </row>
    <row r="489" customFormat="false" ht="15" hidden="false" customHeight="false" outlineLevel="0" collapsed="false">
      <c r="A489" s="7" t="s">
        <v>966</v>
      </c>
      <c r="B489" s="8"/>
      <c r="C489" s="8"/>
      <c r="D489" s="8"/>
      <c r="E489" s="8"/>
      <c r="F489" s="8"/>
      <c r="G489" s="8"/>
      <c r="H489" s="8"/>
      <c r="I489" s="6" t="s">
        <v>967</v>
      </c>
    </row>
    <row r="490" customFormat="false" ht="15" hidden="false" customHeight="false" outlineLevel="1" collapsed="false">
      <c r="A490" s="3" t="s">
        <v>968</v>
      </c>
      <c r="D490" s="12" t="n">
        <f aca="false">評價_DCF與目標價!C51</f>
        <v>145.847691260205</v>
      </c>
      <c r="E490" s="9" t="n">
        <f aca="false">評價_DCF與目標價!C99</f>
        <v>-1</v>
      </c>
    </row>
    <row r="491" customFormat="false" ht="15" hidden="false" customHeight="false" outlineLevel="1" collapsed="false">
      <c r="A491" s="3" t="s">
        <v>969</v>
      </c>
      <c r="C491" s="9" t="n">
        <v>1</v>
      </c>
      <c r="D491" s="49" t="n">
        <f t="dataTable" ref="D491:E493" dt2D="0" dtr="0" r1="C5"/>
        <v>175.7683098576</v>
      </c>
      <c r="E491" s="50" t="n">
        <v>-1</v>
      </c>
    </row>
    <row r="492" customFormat="false" ht="15" hidden="false" customHeight="false" outlineLevel="1" collapsed="false">
      <c r="A492" s="3" t="s">
        <v>970</v>
      </c>
      <c r="C492" s="9" t="n">
        <v>2</v>
      </c>
      <c r="D492" s="49" t="n">
        <v>145.847691260205</v>
      </c>
      <c r="E492" s="50" t="n">
        <v>-1</v>
      </c>
    </row>
    <row r="493" customFormat="false" ht="15" hidden="false" customHeight="false" outlineLevel="1" collapsed="false">
      <c r="A493" s="3" t="s">
        <v>971</v>
      </c>
      <c r="C493" s="9" t="n">
        <v>3</v>
      </c>
      <c r="D493" s="49" t="n">
        <v>121.98878600526</v>
      </c>
      <c r="E493" s="50" t="n">
        <v>-1</v>
      </c>
    </row>
    <row r="495" customFormat="false" ht="15" hidden="false" customHeight="false" outlineLevel="0" collapsed="false">
      <c r="A495" s="7" t="s">
        <v>972</v>
      </c>
      <c r="B495" s="8"/>
      <c r="C495" s="8"/>
      <c r="D495" s="8"/>
      <c r="E495" s="8"/>
      <c r="F495" s="8"/>
      <c r="G495" s="8"/>
      <c r="H495" s="8"/>
      <c r="I495" s="6" t="s">
        <v>973</v>
      </c>
    </row>
    <row r="496" customFormat="false" ht="15" hidden="false" customHeight="false" outlineLevel="1" collapsed="false">
      <c r="A496" s="14" t="s">
        <v>974</v>
      </c>
      <c r="B496" s="14" t="s">
        <v>60</v>
      </c>
      <c r="C496" s="14" t="s">
        <v>975</v>
      </c>
      <c r="D496" s="14"/>
      <c r="E496" s="14"/>
      <c r="F496" s="14" t="s">
        <v>976</v>
      </c>
      <c r="G496" s="14" t="s">
        <v>977</v>
      </c>
      <c r="H496" s="14"/>
      <c r="I496" s="14" t="s">
        <v>978</v>
      </c>
      <c r="J496" s="14" t="s">
        <v>979</v>
      </c>
    </row>
    <row r="497" customFormat="false" ht="15" hidden="false" customHeight="false" outlineLevel="1" collapsed="false">
      <c r="A497" s="3" t="s">
        <v>980</v>
      </c>
      <c r="B497" s="11" t="s">
        <v>39</v>
      </c>
      <c r="C497" s="44" t="n">
        <v>350.5</v>
      </c>
      <c r="F497" s="11" t="s">
        <v>892</v>
      </c>
      <c r="G497" s="11" t="s">
        <v>981</v>
      </c>
      <c r="I497" s="11" t="s">
        <v>982</v>
      </c>
      <c r="J497" s="6" t="s">
        <v>983</v>
      </c>
    </row>
    <row r="498" customFormat="false" ht="15" hidden="false" customHeight="false" outlineLevel="1" collapsed="false">
      <c r="A498" s="3" t="s">
        <v>984</v>
      </c>
      <c r="B498" s="11" t="s">
        <v>39</v>
      </c>
      <c r="C498" s="44" t="n">
        <v>429.47</v>
      </c>
      <c r="F498" s="11" t="s">
        <v>985</v>
      </c>
      <c r="G498" s="11" t="s">
        <v>986</v>
      </c>
      <c r="I498" s="11" t="s">
        <v>987</v>
      </c>
      <c r="J498" s="6"/>
    </row>
    <row r="499" customFormat="false" ht="15" hidden="false" customHeight="false" outlineLevel="1" collapsed="false">
      <c r="A499" s="3" t="s">
        <v>988</v>
      </c>
      <c r="B499" s="11" t="s">
        <v>39</v>
      </c>
      <c r="C499" s="44" t="n">
        <v>430</v>
      </c>
      <c r="F499" s="11" t="s">
        <v>985</v>
      </c>
      <c r="G499" s="11" t="s">
        <v>986</v>
      </c>
      <c r="I499" s="11" t="s">
        <v>987</v>
      </c>
      <c r="J499" s="6"/>
    </row>
    <row r="500" customFormat="false" ht="15" hidden="false" customHeight="false" outlineLevel="1" collapsed="false">
      <c r="A500" s="3" t="s">
        <v>989</v>
      </c>
      <c r="B500" s="11" t="s">
        <v>39</v>
      </c>
      <c r="C500" s="44" t="n">
        <v>340</v>
      </c>
      <c r="F500" s="11" t="s">
        <v>985</v>
      </c>
      <c r="G500" s="11" t="s">
        <v>986</v>
      </c>
      <c r="I500" s="11" t="s">
        <v>987</v>
      </c>
      <c r="J500" s="6"/>
    </row>
    <row r="501" customFormat="false" ht="15" hidden="false" customHeight="false" outlineLevel="1" collapsed="false">
      <c r="A501" s="3" t="s">
        <v>990</v>
      </c>
      <c r="B501" s="11" t="s">
        <v>39</v>
      </c>
      <c r="C501" s="44" t="n">
        <v>515</v>
      </c>
      <c r="F501" s="11" t="s">
        <v>985</v>
      </c>
      <c r="G501" s="11" t="s">
        <v>986</v>
      </c>
      <c r="I501" s="11" t="s">
        <v>987</v>
      </c>
      <c r="J501" s="6"/>
    </row>
    <row r="502" customFormat="false" ht="15" hidden="false" customHeight="false" outlineLevel="1" collapsed="false">
      <c r="A502" s="3" t="s">
        <v>991</v>
      </c>
      <c r="B502" s="6" t="s">
        <v>140</v>
      </c>
      <c r="C502" s="21" t="n">
        <v>61</v>
      </c>
      <c r="F502" s="11" t="s">
        <v>985</v>
      </c>
      <c r="G502" s="11" t="s">
        <v>986</v>
      </c>
      <c r="I502" s="11" t="s">
        <v>987</v>
      </c>
      <c r="J502" s="6"/>
    </row>
    <row r="503" customFormat="false" ht="15" hidden="false" customHeight="false" outlineLevel="1" collapsed="false">
      <c r="A503" s="3" t="s">
        <v>992</v>
      </c>
      <c r="B503" s="6"/>
      <c r="C503" s="4" t="s">
        <v>993</v>
      </c>
      <c r="F503" s="11" t="s">
        <v>985</v>
      </c>
      <c r="G503" s="11" t="s">
        <v>986</v>
      </c>
      <c r="I503" s="11" t="s">
        <v>987</v>
      </c>
      <c r="J503" s="6"/>
    </row>
    <row r="504" customFormat="false" ht="15" hidden="false" customHeight="false" outlineLevel="1" collapsed="false">
      <c r="A504" s="3" t="s">
        <v>994</v>
      </c>
      <c r="B504" s="11" t="s">
        <v>39</v>
      </c>
      <c r="C504" s="44" t="n">
        <v>425.72</v>
      </c>
      <c r="F504" s="11" t="s">
        <v>985</v>
      </c>
      <c r="G504" s="11" t="s">
        <v>986</v>
      </c>
      <c r="I504" s="11" t="s">
        <v>995</v>
      </c>
      <c r="J504" s="6"/>
    </row>
    <row r="505" customFormat="false" ht="15" hidden="false" customHeight="false" outlineLevel="1" collapsed="false">
      <c r="A505" s="3" t="s">
        <v>996</v>
      </c>
      <c r="B505" s="6" t="s">
        <v>140</v>
      </c>
      <c r="C505" s="21" t="n">
        <v>55</v>
      </c>
      <c r="F505" s="11" t="s">
        <v>985</v>
      </c>
      <c r="G505" s="11" t="s">
        <v>986</v>
      </c>
      <c r="I505" s="11" t="s">
        <v>995</v>
      </c>
      <c r="J505" s="6"/>
    </row>
    <row r="506" customFormat="false" ht="15" hidden="false" customHeight="false" outlineLevel="1" collapsed="false">
      <c r="A506" s="3" t="s">
        <v>997</v>
      </c>
      <c r="B506" s="6"/>
      <c r="C506" s="4" t="s">
        <v>998</v>
      </c>
      <c r="F506" s="11" t="s">
        <v>985</v>
      </c>
      <c r="G506" s="11" t="s">
        <v>986</v>
      </c>
      <c r="I506" s="11" t="s">
        <v>995</v>
      </c>
      <c r="J506" s="6"/>
    </row>
    <row r="507" customFormat="false" ht="15" hidden="false" customHeight="false" outlineLevel="1" collapsed="false">
      <c r="A507" s="3" t="s">
        <v>999</v>
      </c>
      <c r="B507" s="11" t="s">
        <v>39</v>
      </c>
      <c r="C507" s="44" t="n">
        <v>429.47</v>
      </c>
      <c r="F507" s="11" t="s">
        <v>985</v>
      </c>
      <c r="G507" s="11" t="s">
        <v>986</v>
      </c>
      <c r="I507" s="11" t="s">
        <v>1000</v>
      </c>
      <c r="J507" s="6"/>
    </row>
    <row r="508" customFormat="false" ht="17.15" hidden="false" customHeight="false" outlineLevel="1" collapsed="false">
      <c r="A508" s="14" t="s">
        <v>1001</v>
      </c>
      <c r="B508" s="14" t="s">
        <v>60</v>
      </c>
      <c r="C508" s="14" t="s">
        <v>975</v>
      </c>
      <c r="D508" s="14"/>
      <c r="E508" s="14"/>
      <c r="F508" s="14" t="s">
        <v>976</v>
      </c>
      <c r="G508" s="14" t="s">
        <v>977</v>
      </c>
      <c r="H508" s="14"/>
      <c r="I508" s="14" t="s">
        <v>978</v>
      </c>
      <c r="J508" s="14" t="s">
        <v>979</v>
      </c>
    </row>
    <row r="509" customFormat="false" ht="15" hidden="false" customHeight="false" outlineLevel="1" collapsed="false">
      <c r="A509" s="3" t="s">
        <v>1002</v>
      </c>
      <c r="B509" s="6" t="s">
        <v>140</v>
      </c>
      <c r="C509" s="21" t="n">
        <v>43</v>
      </c>
      <c r="F509" s="11" t="s">
        <v>985</v>
      </c>
      <c r="G509" s="11" t="s">
        <v>986</v>
      </c>
      <c r="I509" s="11" t="s">
        <v>987</v>
      </c>
      <c r="J509" s="6"/>
    </row>
    <row r="510" customFormat="false" ht="15" hidden="false" customHeight="false" outlineLevel="1" collapsed="false">
      <c r="A510" s="3" t="s">
        <v>1003</v>
      </c>
      <c r="B510" s="6" t="s">
        <v>140</v>
      </c>
      <c r="C510" s="21" t="n">
        <v>13</v>
      </c>
      <c r="F510" s="11" t="s">
        <v>985</v>
      </c>
      <c r="G510" s="11" t="s">
        <v>986</v>
      </c>
      <c r="I510" s="11" t="s">
        <v>987</v>
      </c>
      <c r="J510" s="6"/>
    </row>
    <row r="511" customFormat="false" ht="15" hidden="false" customHeight="false" outlineLevel="1" collapsed="false">
      <c r="A511" s="3" t="s">
        <v>1004</v>
      </c>
      <c r="B511" s="6" t="s">
        <v>140</v>
      </c>
      <c r="C511" s="21" t="n">
        <v>5</v>
      </c>
      <c r="F511" s="11" t="s">
        <v>985</v>
      </c>
      <c r="G511" s="11" t="s">
        <v>986</v>
      </c>
      <c r="I511" s="11" t="s">
        <v>987</v>
      </c>
      <c r="J511" s="6"/>
    </row>
    <row r="512" customFormat="false" ht="15" hidden="false" customHeight="false" outlineLevel="1" collapsed="false">
      <c r="A512" s="3" t="s">
        <v>1005</v>
      </c>
      <c r="B512" s="6" t="s">
        <v>140</v>
      </c>
      <c r="C512" s="21" t="n">
        <v>0</v>
      </c>
      <c r="F512" s="11" t="s">
        <v>985</v>
      </c>
      <c r="G512" s="11" t="s">
        <v>986</v>
      </c>
      <c r="I512" s="11" t="s">
        <v>987</v>
      </c>
      <c r="J512" s="6"/>
    </row>
    <row r="513" customFormat="false" ht="15" hidden="false" customHeight="false" outlineLevel="1" collapsed="false">
      <c r="A513" s="3" t="s">
        <v>1006</v>
      </c>
      <c r="B513" s="6" t="s">
        <v>140</v>
      </c>
      <c r="C513" s="21" t="n">
        <v>0</v>
      </c>
      <c r="F513" s="11" t="s">
        <v>985</v>
      </c>
      <c r="G513" s="11" t="s">
        <v>986</v>
      </c>
      <c r="I513" s="11" t="s">
        <v>987</v>
      </c>
      <c r="J513" s="6"/>
    </row>
    <row r="514" customFormat="false" ht="15" hidden="false" customHeight="false" outlineLevel="1" collapsed="false">
      <c r="A514" s="3" t="s">
        <v>1007</v>
      </c>
      <c r="B514" s="6" t="s">
        <v>140</v>
      </c>
      <c r="C514" s="21" t="n">
        <v>61</v>
      </c>
      <c r="F514" s="11" t="s">
        <v>985</v>
      </c>
      <c r="G514" s="11" t="s">
        <v>986</v>
      </c>
      <c r="I514" s="11" t="s">
        <v>987</v>
      </c>
      <c r="J514" s="6"/>
    </row>
    <row r="515" customFormat="false" ht="17.15" hidden="false" customHeight="false" outlineLevel="1" collapsed="false">
      <c r="A515" s="14" t="s">
        <v>1008</v>
      </c>
      <c r="B515" s="14" t="s">
        <v>60</v>
      </c>
      <c r="C515" s="14" t="s">
        <v>975</v>
      </c>
      <c r="D515" s="14"/>
      <c r="E515" s="14"/>
      <c r="F515" s="14" t="s">
        <v>976</v>
      </c>
      <c r="G515" s="14" t="s">
        <v>977</v>
      </c>
      <c r="H515" s="14"/>
      <c r="I515" s="14" t="s">
        <v>978</v>
      </c>
      <c r="J515" s="14" t="s">
        <v>979</v>
      </c>
    </row>
    <row r="516" customFormat="false" ht="15" hidden="false" customHeight="false" outlineLevel="1" collapsed="false">
      <c r="A516" s="3" t="s">
        <v>1009</v>
      </c>
      <c r="B516" s="11" t="s">
        <v>65</v>
      </c>
      <c r="C516" s="51" t="n">
        <v>498.69</v>
      </c>
      <c r="D516" s="51" t="n">
        <v>615.038</v>
      </c>
      <c r="E516" s="51" t="n">
        <v>734.199</v>
      </c>
      <c r="F516" s="11" t="s">
        <v>985</v>
      </c>
      <c r="G516" s="11" t="s">
        <v>986</v>
      </c>
      <c r="I516" s="11" t="s">
        <v>1010</v>
      </c>
      <c r="J516" s="6"/>
    </row>
    <row r="517" customFormat="false" ht="15" hidden="false" customHeight="false" outlineLevel="1" collapsed="false">
      <c r="A517" s="3" t="s">
        <v>1011</v>
      </c>
      <c r="B517" s="11" t="s">
        <v>65</v>
      </c>
      <c r="C517" s="51" t="n">
        <v>233.431</v>
      </c>
      <c r="D517" s="51" t="n">
        <v>298.668</v>
      </c>
      <c r="E517" s="51" t="n">
        <v>382.826</v>
      </c>
      <c r="F517" s="11" t="s">
        <v>985</v>
      </c>
      <c r="G517" s="11" t="s">
        <v>986</v>
      </c>
      <c r="I517" s="11" t="s">
        <v>1010</v>
      </c>
      <c r="J517" s="6"/>
    </row>
    <row r="518" customFormat="false" ht="15" hidden="false" customHeight="false" outlineLevel="1" collapsed="false">
      <c r="A518" s="3" t="s">
        <v>1012</v>
      </c>
      <c r="B518" s="11" t="s">
        <v>42</v>
      </c>
      <c r="C518" s="23" t="n">
        <v>0.468088391585955</v>
      </c>
      <c r="D518" s="23" t="n">
        <v>0.48560901928011</v>
      </c>
      <c r="E518" s="23" t="n">
        <v>0.521419942004824</v>
      </c>
      <c r="F518" s="11" t="s">
        <v>985</v>
      </c>
      <c r="G518" s="11" t="s">
        <v>986</v>
      </c>
      <c r="I518" s="11" t="s">
        <v>1010</v>
      </c>
      <c r="J518" s="6"/>
    </row>
    <row r="519" customFormat="false" ht="15" hidden="false" customHeight="false" outlineLevel="1" collapsed="false">
      <c r="A519" s="3" t="s">
        <v>1013</v>
      </c>
      <c r="B519" s="11" t="s">
        <v>65</v>
      </c>
      <c r="C519" s="51" t="n">
        <v>171.681</v>
      </c>
      <c r="D519" s="51" t="n">
        <v>216.996</v>
      </c>
      <c r="E519" s="51" t="n">
        <v>263.325</v>
      </c>
      <c r="F519" s="11" t="s">
        <v>985</v>
      </c>
      <c r="G519" s="11" t="s">
        <v>986</v>
      </c>
      <c r="I519" s="11" t="s">
        <v>1010</v>
      </c>
      <c r="J519" s="6"/>
    </row>
    <row r="520" customFormat="false" ht="15" hidden="false" customHeight="false" outlineLevel="1" collapsed="false">
      <c r="A520" s="3" t="s">
        <v>1014</v>
      </c>
      <c r="B520" s="11" t="s">
        <v>65</v>
      </c>
      <c r="C520" s="51" t="n">
        <v>254.864</v>
      </c>
      <c r="D520" s="51" t="n">
        <v>187.475</v>
      </c>
      <c r="E520" s="51" t="n">
        <v>223.329</v>
      </c>
      <c r="F520" s="11" t="s">
        <v>985</v>
      </c>
      <c r="G520" s="11" t="s">
        <v>986</v>
      </c>
      <c r="I520" s="11" t="s">
        <v>1010</v>
      </c>
      <c r="J520" s="6"/>
    </row>
    <row r="521" customFormat="false" ht="15" hidden="false" customHeight="false" outlineLevel="1" collapsed="false">
      <c r="A521" s="3" t="s">
        <v>1015</v>
      </c>
      <c r="B521" s="11" t="s">
        <v>39</v>
      </c>
      <c r="C521" s="44" t="n">
        <v>20.63</v>
      </c>
      <c r="D521" s="44" t="n">
        <v>14.95</v>
      </c>
      <c r="E521" s="44" t="n">
        <v>17.89</v>
      </c>
      <c r="F521" s="11" t="s">
        <v>985</v>
      </c>
      <c r="G521" s="11" t="s">
        <v>986</v>
      </c>
      <c r="I521" s="11" t="s">
        <v>1010</v>
      </c>
      <c r="J521" s="6"/>
    </row>
    <row r="522" customFormat="false" ht="15" hidden="false" customHeight="false" outlineLevel="1" collapsed="false">
      <c r="A522" s="3" t="s">
        <v>1016</v>
      </c>
      <c r="B522" s="11" t="s">
        <v>65</v>
      </c>
      <c r="C522" s="51" t="n">
        <v>201.748</v>
      </c>
      <c r="D522" s="51" t="n">
        <v>300.979</v>
      </c>
      <c r="E522" s="51" t="n">
        <v>339.451</v>
      </c>
      <c r="F522" s="11" t="s">
        <v>985</v>
      </c>
      <c r="G522" s="11" t="s">
        <v>986</v>
      </c>
      <c r="I522" s="11" t="s">
        <v>1010</v>
      </c>
      <c r="J522" s="6"/>
    </row>
    <row r="523" customFormat="false" ht="15" hidden="false" customHeight="false" outlineLevel="1" collapsed="false">
      <c r="A523" s="3" t="s">
        <v>1017</v>
      </c>
      <c r="B523" s="11" t="s">
        <v>65</v>
      </c>
      <c r="C523" s="51" t="n">
        <v>8.448</v>
      </c>
      <c r="D523" s="51" t="n">
        <v>-36.658</v>
      </c>
      <c r="E523" s="51" t="n">
        <v>6.759</v>
      </c>
      <c r="F523" s="11" t="s">
        <v>985</v>
      </c>
      <c r="G523" s="11" t="s">
        <v>986</v>
      </c>
      <c r="I523" s="11" t="s">
        <v>1010</v>
      </c>
      <c r="J523" s="6"/>
    </row>
    <row r="524" customFormat="false" ht="15" hidden="false" customHeight="false" outlineLevel="1" collapsed="false">
      <c r="A524" s="3" t="s">
        <v>1018</v>
      </c>
      <c r="B524" s="11" t="s">
        <v>65</v>
      </c>
      <c r="C524" s="51" t="n">
        <v>-131.323</v>
      </c>
      <c r="D524" s="51" t="n">
        <v>-79.012</v>
      </c>
      <c r="E524" s="51" t="n">
        <v>-56.291</v>
      </c>
      <c r="F524" s="11" t="s">
        <v>985</v>
      </c>
      <c r="G524" s="11" t="s">
        <v>986</v>
      </c>
      <c r="I524" s="11" t="s">
        <v>1010</v>
      </c>
      <c r="J524" s="6"/>
    </row>
    <row r="525" customFormat="false" ht="15" hidden="false" customHeight="false" outlineLevel="1" collapsed="false">
      <c r="A525" s="3" t="s">
        <v>1019</v>
      </c>
      <c r="B525" s="11" t="s">
        <v>39</v>
      </c>
      <c r="C525" s="44" t="n">
        <v>0.8727</v>
      </c>
      <c r="D525" s="44" t="n">
        <v>0.9153</v>
      </c>
      <c r="E525" s="44" t="n">
        <v>0.9546</v>
      </c>
      <c r="F525" s="11" t="s">
        <v>985</v>
      </c>
      <c r="G525" s="11" t="s">
        <v>986</v>
      </c>
      <c r="I525" s="11" t="s">
        <v>1010</v>
      </c>
      <c r="J525" s="6"/>
    </row>
    <row r="526" customFormat="false" ht="15" hidden="false" customHeight="false" outlineLevel="1" collapsed="false">
      <c r="A526" s="3" t="s">
        <v>1020</v>
      </c>
      <c r="B526" s="6"/>
      <c r="C526" s="3" t="s">
        <v>1021</v>
      </c>
      <c r="F526" s="11" t="s">
        <v>985</v>
      </c>
      <c r="G526" s="11" t="s">
        <v>986</v>
      </c>
      <c r="I526" s="11" t="s">
        <v>1010</v>
      </c>
      <c r="J526" s="6"/>
    </row>
    <row r="527" customFormat="false" ht="17.15" hidden="false" customHeight="false" outlineLevel="1" collapsed="false">
      <c r="A527" s="15" t="s">
        <v>1022</v>
      </c>
      <c r="B527" s="14" t="s">
        <v>60</v>
      </c>
      <c r="C527" s="14" t="s">
        <v>975</v>
      </c>
      <c r="D527" s="14"/>
      <c r="E527" s="14"/>
      <c r="F527" s="14" t="s">
        <v>976</v>
      </c>
      <c r="G527" s="14" t="s">
        <v>977</v>
      </c>
      <c r="H527" s="14"/>
      <c r="I527" s="14" t="s">
        <v>978</v>
      </c>
      <c r="J527" s="14" t="s">
        <v>979</v>
      </c>
    </row>
    <row r="528" customFormat="false" ht="15" hidden="false" customHeight="false" outlineLevel="1" collapsed="false">
      <c r="A528" s="3" t="s">
        <v>1023</v>
      </c>
      <c r="B528" s="11" t="s">
        <v>65</v>
      </c>
      <c r="C528" s="51" t="n">
        <v>498.74</v>
      </c>
      <c r="D528" s="51" t="n">
        <v>614.95</v>
      </c>
      <c r="F528" s="11" t="s">
        <v>985</v>
      </c>
      <c r="G528" s="11" t="s">
        <v>986</v>
      </c>
      <c r="I528" s="11" t="s">
        <v>1024</v>
      </c>
      <c r="J528" s="6"/>
    </row>
    <row r="529" customFormat="false" ht="15" hidden="false" customHeight="false" outlineLevel="1" collapsed="false">
      <c r="A529" s="3" t="s">
        <v>1025</v>
      </c>
      <c r="B529" s="11" t="s">
        <v>65</v>
      </c>
      <c r="C529" s="51" t="n">
        <v>489.8</v>
      </c>
      <c r="D529" s="51" t="n">
        <v>519.8</v>
      </c>
      <c r="F529" s="11" t="s">
        <v>985</v>
      </c>
      <c r="G529" s="11" t="s">
        <v>986</v>
      </c>
      <c r="I529" s="11" t="s">
        <v>1024</v>
      </c>
      <c r="J529" s="6"/>
    </row>
    <row r="530" customFormat="false" ht="15" hidden="false" customHeight="false" outlineLevel="1" collapsed="false">
      <c r="A530" s="3" t="s">
        <v>1026</v>
      </c>
      <c r="B530" s="11" t="s">
        <v>39</v>
      </c>
      <c r="C530" s="44" t="n">
        <v>12.15</v>
      </c>
      <c r="D530" s="44" t="n">
        <v>15.17</v>
      </c>
      <c r="F530" s="11" t="s">
        <v>985</v>
      </c>
      <c r="G530" s="11" t="s">
        <v>986</v>
      </c>
      <c r="I530" s="11" t="s">
        <v>1024</v>
      </c>
      <c r="J530" s="6"/>
    </row>
    <row r="531" customFormat="false" ht="15" hidden="false" customHeight="false" outlineLevel="1" collapsed="false">
      <c r="A531" s="3" t="s">
        <v>1027</v>
      </c>
      <c r="B531" s="11" t="s">
        <v>39</v>
      </c>
      <c r="C531" s="44" t="n">
        <v>11.5</v>
      </c>
      <c r="D531" s="44" t="n">
        <v>13.47</v>
      </c>
      <c r="F531" s="11" t="s">
        <v>985</v>
      </c>
      <c r="G531" s="11" t="s">
        <v>986</v>
      </c>
      <c r="I531" s="11" t="s">
        <v>1024</v>
      </c>
      <c r="J531" s="11" t="s">
        <v>1028</v>
      </c>
    </row>
    <row r="532" customFormat="false" ht="15" hidden="false" customHeight="false" outlineLevel="1" collapsed="false">
      <c r="A532" s="14" t="s">
        <v>1029</v>
      </c>
      <c r="B532" s="14" t="s">
        <v>60</v>
      </c>
      <c r="C532" s="14" t="s">
        <v>975</v>
      </c>
      <c r="D532" s="14"/>
      <c r="E532" s="14"/>
      <c r="F532" s="14" t="s">
        <v>976</v>
      </c>
      <c r="G532" s="14" t="s">
        <v>977</v>
      </c>
      <c r="H532" s="14"/>
      <c r="I532" s="14" t="s">
        <v>978</v>
      </c>
      <c r="J532" s="14" t="s">
        <v>979</v>
      </c>
    </row>
    <row r="533" customFormat="false" ht="15" hidden="false" customHeight="false" outlineLevel="1" collapsed="false">
      <c r="A533" s="3" t="s">
        <v>1030</v>
      </c>
      <c r="B533" s="11" t="s">
        <v>65</v>
      </c>
      <c r="C533" s="51" t="n">
        <v>195</v>
      </c>
      <c r="D533" s="51" t="n">
        <v>205</v>
      </c>
      <c r="F533" s="6" t="s">
        <v>1031</v>
      </c>
      <c r="G533" s="11" t="s">
        <v>986</v>
      </c>
      <c r="I533" s="11" t="s">
        <v>1032</v>
      </c>
      <c r="J533" s="6" t="s">
        <v>1033</v>
      </c>
    </row>
    <row r="534" customFormat="false" ht="15" hidden="false" customHeight="false" outlineLevel="1" collapsed="false">
      <c r="A534" s="14" t="s">
        <v>1034</v>
      </c>
      <c r="B534" s="14" t="s">
        <v>60</v>
      </c>
      <c r="C534" s="14" t="s">
        <v>975</v>
      </c>
      <c r="D534" s="14"/>
      <c r="E534" s="14"/>
      <c r="F534" s="14" t="s">
        <v>976</v>
      </c>
      <c r="G534" s="14" t="s">
        <v>977</v>
      </c>
      <c r="H534" s="14"/>
      <c r="I534" s="14" t="s">
        <v>978</v>
      </c>
      <c r="J534" s="14" t="s">
        <v>979</v>
      </c>
    </row>
    <row r="535" customFormat="false" ht="15" hidden="false" customHeight="false" outlineLevel="1" collapsed="false">
      <c r="A535" s="3" t="s">
        <v>1035</v>
      </c>
      <c r="B535" s="11" t="s">
        <v>39</v>
      </c>
      <c r="C535" s="44" t="n">
        <v>400</v>
      </c>
      <c r="F535" s="11" t="s">
        <v>985</v>
      </c>
      <c r="G535" s="11" t="s">
        <v>986</v>
      </c>
      <c r="I535" s="11" t="s">
        <v>1036</v>
      </c>
      <c r="J535" s="11" t="s">
        <v>1037</v>
      </c>
    </row>
    <row r="536" customFormat="false" ht="15" hidden="false" customHeight="false" outlineLevel="1" collapsed="false">
      <c r="A536" s="3" t="s">
        <v>1038</v>
      </c>
      <c r="B536" s="11" t="s">
        <v>39</v>
      </c>
      <c r="C536" s="44" t="n">
        <v>400</v>
      </c>
      <c r="F536" s="11" t="s">
        <v>985</v>
      </c>
      <c r="G536" s="11" t="s">
        <v>986</v>
      </c>
      <c r="I536" s="11" t="s">
        <v>1036</v>
      </c>
      <c r="J536" s="11" t="s">
        <v>1039</v>
      </c>
    </row>
    <row r="537" customFormat="false" ht="15" hidden="false" customHeight="false" outlineLevel="1" collapsed="false">
      <c r="A537" s="3" t="s">
        <v>1040</v>
      </c>
      <c r="B537" s="11" t="s">
        <v>39</v>
      </c>
      <c r="C537" s="44" t="n">
        <v>450</v>
      </c>
      <c r="F537" s="11" t="s">
        <v>985</v>
      </c>
      <c r="G537" s="11" t="s">
        <v>986</v>
      </c>
      <c r="I537" s="11" t="s">
        <v>1036</v>
      </c>
      <c r="J537" s="11" t="s">
        <v>1039</v>
      </c>
    </row>
    <row r="538" customFormat="false" ht="15" hidden="false" customHeight="false" outlineLevel="1" collapsed="false">
      <c r="A538" s="3" t="s">
        <v>1041</v>
      </c>
      <c r="B538" s="11" t="s">
        <v>39</v>
      </c>
      <c r="C538" s="44" t="n">
        <v>417</v>
      </c>
      <c r="F538" s="11" t="s">
        <v>985</v>
      </c>
      <c r="G538" s="11" t="s">
        <v>986</v>
      </c>
      <c r="I538" s="11" t="s">
        <v>1036</v>
      </c>
      <c r="J538" s="11" t="s">
        <v>1042</v>
      </c>
    </row>
    <row r="539" customFormat="false" ht="15" hidden="false" customHeight="false" outlineLevel="1" collapsed="false">
      <c r="A539" s="3" t="s">
        <v>1043</v>
      </c>
      <c r="B539" s="11" t="s">
        <v>39</v>
      </c>
      <c r="C539" s="44" t="n">
        <v>420</v>
      </c>
      <c r="F539" s="11" t="s">
        <v>985</v>
      </c>
      <c r="G539" s="11" t="s">
        <v>986</v>
      </c>
      <c r="I539" s="11" t="s">
        <v>1036</v>
      </c>
      <c r="J539" s="11" t="s">
        <v>1042</v>
      </c>
    </row>
    <row r="540" customFormat="false" ht="15" hidden="false" customHeight="false" outlineLevel="1" collapsed="false">
      <c r="A540" s="14" t="s">
        <v>1044</v>
      </c>
      <c r="B540" s="14" t="s">
        <v>60</v>
      </c>
      <c r="C540" s="14" t="s">
        <v>975</v>
      </c>
      <c r="D540" s="14"/>
      <c r="E540" s="14"/>
      <c r="F540" s="14" t="s">
        <v>976</v>
      </c>
      <c r="G540" s="14" t="s">
        <v>977</v>
      </c>
      <c r="H540" s="14"/>
      <c r="I540" s="14" t="s">
        <v>978</v>
      </c>
      <c r="J540" s="14" t="s">
        <v>979</v>
      </c>
    </row>
    <row r="541" customFormat="false" ht="15" hidden="false" customHeight="false" outlineLevel="1" collapsed="false">
      <c r="A541" s="3" t="s">
        <v>1045</v>
      </c>
      <c r="B541" s="6"/>
      <c r="C541" s="4" t="s">
        <v>1046</v>
      </c>
      <c r="F541" s="11" t="s">
        <v>985</v>
      </c>
      <c r="G541" s="6"/>
      <c r="I541" s="6" t="s">
        <v>1047</v>
      </c>
      <c r="J541" s="6"/>
    </row>
    <row r="542" customFormat="false" ht="15" hidden="false" customHeight="false" outlineLevel="1" collapsed="false">
      <c r="A542" s="3" t="s">
        <v>1048</v>
      </c>
      <c r="B542" s="6"/>
      <c r="C542" s="3" t="s">
        <v>1049</v>
      </c>
      <c r="F542" s="11" t="s">
        <v>985</v>
      </c>
      <c r="G542" s="6"/>
      <c r="I542" s="6" t="s">
        <v>1047</v>
      </c>
      <c r="J542" s="6"/>
    </row>
    <row r="543" customFormat="false" ht="15" hidden="false" customHeight="false" outlineLevel="1" collapsed="false">
      <c r="A543" s="3" t="s">
        <v>1050</v>
      </c>
      <c r="B543" s="6"/>
      <c r="C543" s="4" t="s">
        <v>1051</v>
      </c>
      <c r="F543" s="11" t="s">
        <v>985</v>
      </c>
      <c r="G543" s="6"/>
      <c r="I543" s="6" t="s">
        <v>1047</v>
      </c>
      <c r="J543" s="6"/>
    </row>
    <row r="544" customFormat="false" ht="15" hidden="false" customHeight="false" outlineLevel="1" collapsed="false">
      <c r="A544" s="3" t="s">
        <v>1052</v>
      </c>
      <c r="B544" s="6"/>
      <c r="C544" s="3" t="s">
        <v>1053</v>
      </c>
      <c r="F544" s="11" t="s">
        <v>985</v>
      </c>
      <c r="G544" s="6"/>
      <c r="I544" s="6" t="s">
        <v>1047</v>
      </c>
      <c r="J544" s="6"/>
    </row>
    <row r="545" customFormat="false" ht="15" hidden="false" customHeight="false" outlineLevel="1" collapsed="false">
      <c r="A545" s="3" t="s">
        <v>1054</v>
      </c>
      <c r="B545" s="11" t="s">
        <v>42</v>
      </c>
      <c r="C545" s="23" t="n">
        <v>0.05</v>
      </c>
      <c r="I545" s="6" t="s">
        <v>1055</v>
      </c>
    </row>
    <row r="546" customFormat="false" ht="15" hidden="false" customHeight="false" outlineLevel="1" collapsed="false">
      <c r="A546" s="3" t="s">
        <v>1056</v>
      </c>
      <c r="B546" s="11" t="s">
        <v>77</v>
      </c>
      <c r="C546" s="23" t="n">
        <v>0.02</v>
      </c>
      <c r="I546" s="6" t="s">
        <v>1057</v>
      </c>
    </row>
    <row r="548" customFormat="false" ht="15" hidden="false" customHeight="false" outlineLevel="0" collapsed="false">
      <c r="A548" s="7" t="s">
        <v>1058</v>
      </c>
      <c r="B548" s="8"/>
      <c r="C548" s="8"/>
      <c r="D548" s="8"/>
      <c r="E548" s="8"/>
      <c r="F548" s="8"/>
      <c r="G548" s="8"/>
      <c r="H548" s="8"/>
    </row>
    <row r="549" customFormat="false" ht="15" hidden="false" customHeight="false" outlineLevel="1" collapsed="false">
      <c r="A549" s="14" t="s">
        <v>1059</v>
      </c>
      <c r="B549" s="14" t="s">
        <v>60</v>
      </c>
      <c r="C549" s="15" t="s">
        <v>1060</v>
      </c>
      <c r="D549" s="15" t="s">
        <v>1061</v>
      </c>
      <c r="E549" s="15" t="s">
        <v>1062</v>
      </c>
      <c r="F549" s="15" t="s">
        <v>1063</v>
      </c>
      <c r="G549" s="15" t="s">
        <v>1064</v>
      </c>
      <c r="H549" s="15" t="s">
        <v>1065</v>
      </c>
      <c r="J549" s="14" t="s">
        <v>1066</v>
      </c>
    </row>
    <row r="550" customFormat="false" ht="15" hidden="false" customHeight="false" outlineLevel="1" collapsed="false">
      <c r="A550" s="3" t="s">
        <v>1067</v>
      </c>
      <c r="C550" s="22" t="n">
        <v>1</v>
      </c>
      <c r="D550" s="22" t="n">
        <v>1</v>
      </c>
      <c r="E550" s="22" t="n">
        <v>2</v>
      </c>
      <c r="F550" s="22" t="n">
        <v>2</v>
      </c>
      <c r="G550" s="22" t="n">
        <v>2</v>
      </c>
      <c r="H550" s="22" t="n">
        <v>2</v>
      </c>
      <c r="J550" s="6" t="s">
        <v>1068</v>
      </c>
    </row>
    <row r="551" customFormat="false" ht="15" hidden="false" customHeight="false" outlineLevel="1" collapsed="false">
      <c r="A551" s="3" t="s">
        <v>1069</v>
      </c>
      <c r="C551" s="18" t="n">
        <v>1</v>
      </c>
      <c r="J551" s="6" t="s">
        <v>1070</v>
      </c>
    </row>
    <row r="552" customFormat="false" ht="15" hidden="false" customHeight="false" outlineLevel="1" collapsed="false">
      <c r="A552" s="3" t="s">
        <v>1071</v>
      </c>
      <c r="B552" s="11" t="s">
        <v>65</v>
      </c>
      <c r="C552" s="51" t="n">
        <v>119.796</v>
      </c>
      <c r="J552" s="6" t="s">
        <v>1072</v>
      </c>
    </row>
    <row r="553" customFormat="false" ht="15" hidden="false" customHeight="false" outlineLevel="1" collapsed="false">
      <c r="A553" s="3" t="s">
        <v>1073</v>
      </c>
      <c r="B553" s="11" t="s">
        <v>157</v>
      </c>
      <c r="C553" s="21" t="n">
        <v>1901</v>
      </c>
      <c r="J553" s="6" t="s">
        <v>1074</v>
      </c>
    </row>
    <row r="554" customFormat="false" ht="15" hidden="false" customHeight="false" outlineLevel="1" collapsed="false">
      <c r="A554" s="3" t="s">
        <v>1075</v>
      </c>
      <c r="B554" s="11" t="s">
        <v>65</v>
      </c>
      <c r="C554" s="51"/>
      <c r="D554" s="51"/>
      <c r="E554" s="51"/>
      <c r="F554" s="51"/>
      <c r="G554" s="51"/>
      <c r="H554" s="51"/>
      <c r="J554" s="6" t="s">
        <v>1076</v>
      </c>
    </row>
    <row r="555" customFormat="false" ht="15" hidden="false" customHeight="false" outlineLevel="1" collapsed="false">
      <c r="A555" s="3" t="s">
        <v>1077</v>
      </c>
      <c r="B555" s="11" t="s">
        <v>65</v>
      </c>
      <c r="C555" s="51"/>
      <c r="D555" s="51"/>
      <c r="E555" s="51"/>
      <c r="F555" s="51"/>
      <c r="G555" s="51"/>
      <c r="H555" s="51"/>
    </row>
    <row r="556" customFormat="false" ht="15" hidden="false" customHeight="false" outlineLevel="1" collapsed="false">
      <c r="A556" s="3" t="s">
        <v>1078</v>
      </c>
      <c r="B556" s="11" t="s">
        <v>65</v>
      </c>
      <c r="C556" s="51"/>
      <c r="D556" s="51"/>
      <c r="E556" s="51"/>
      <c r="F556" s="51"/>
      <c r="G556" s="51"/>
      <c r="H556" s="51"/>
    </row>
    <row r="557" customFormat="false" ht="15" hidden="false" customHeight="false" outlineLevel="1" collapsed="false">
      <c r="A557" s="3" t="s">
        <v>1079</v>
      </c>
      <c r="B557" s="11" t="s">
        <v>65</v>
      </c>
      <c r="C557" s="51"/>
      <c r="D557" s="51"/>
      <c r="E557" s="51"/>
      <c r="F557" s="51"/>
      <c r="G557" s="51"/>
      <c r="H557" s="51"/>
    </row>
    <row r="558" customFormat="false" ht="15" hidden="false" customHeight="false" outlineLevel="1" collapsed="false">
      <c r="A558" s="3" t="s">
        <v>1080</v>
      </c>
      <c r="B558" s="11" t="s">
        <v>157</v>
      </c>
      <c r="C558" s="21"/>
      <c r="D558" s="21"/>
      <c r="E558" s="21"/>
      <c r="F558" s="21"/>
      <c r="G558" s="21"/>
      <c r="H558" s="21"/>
    </row>
    <row r="559" customFormat="false" ht="15" hidden="false" customHeight="false" outlineLevel="1" collapsed="false">
      <c r="A559" s="3" t="s">
        <v>1081</v>
      </c>
      <c r="C559" s="27"/>
      <c r="D559" s="27"/>
      <c r="E559" s="27"/>
      <c r="F559" s="27"/>
      <c r="G559" s="27"/>
      <c r="H559" s="27"/>
    </row>
    <row r="560" customFormat="false" ht="15" hidden="false" customHeight="false" outlineLevel="1" collapsed="false">
      <c r="A560" s="3" t="s">
        <v>1082</v>
      </c>
      <c r="C560" s="27"/>
      <c r="D560" s="27"/>
      <c r="E560" s="27"/>
      <c r="F560" s="27"/>
      <c r="G560" s="27"/>
      <c r="H560" s="27"/>
    </row>
    <row r="561" customFormat="false" ht="15" hidden="false" customHeight="false" outlineLevel="1" collapsed="false">
      <c r="A561" s="3" t="s">
        <v>1083</v>
      </c>
      <c r="C561" s="27"/>
      <c r="D561" s="27"/>
      <c r="E561" s="27"/>
      <c r="F561" s="27"/>
      <c r="G561" s="27"/>
      <c r="H561" s="27"/>
    </row>
    <row r="562" customFormat="false" ht="15" hidden="false" customHeight="false" outlineLevel="1" collapsed="false">
      <c r="A562" s="3" t="s">
        <v>1084</v>
      </c>
      <c r="B562" s="11" t="s">
        <v>65</v>
      </c>
      <c r="C562" s="51" t="n">
        <v>195</v>
      </c>
      <c r="D562" s="51" t="n">
        <v>205</v>
      </c>
      <c r="E562" s="51" t="n">
        <v>80.598</v>
      </c>
      <c r="J562" s="11" t="s">
        <v>1085</v>
      </c>
    </row>
  </sheetData>
  <dataValidations count="1">
    <dataValidation allowBlank="false" error="請輸入 1–4" errorStyle="stop" errorTitle="錨定年度" operator="between" showDropDown="false" showErrorMessage="true" showInputMessage="false" sqref="C431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1086</v>
      </c>
    </row>
    <row r="2" customFormat="false" ht="15" hidden="false" customHeight="false" outlineLevel="0" collapsed="false">
      <c r="A2" s="11" t="s">
        <v>1087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1088</v>
      </c>
    </row>
    <row r="5" customFormat="false" ht="15" hidden="false" customHeight="false" outlineLevel="0" collapsed="false">
      <c r="A5" s="52" t="s">
        <v>1089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1090</v>
      </c>
      <c r="B6" s="11" t="s">
        <v>65</v>
      </c>
      <c r="C6" s="32" t="n">
        <f aca="false">輸入與假設!$C$469+輸入與假設!C$323</f>
        <v>200.004790442699</v>
      </c>
      <c r="D6" s="32" t="n">
        <f aca="false">輸入與假設!D$323</f>
        <v>236.835022204047</v>
      </c>
      <c r="E6" s="32" t="n">
        <f aca="false">輸入與假設!E$323</f>
        <v>256.545779414001</v>
      </c>
      <c r="F6" s="32" t="n">
        <f aca="false">輸入與假設!F$323</f>
        <v>287.926533727876</v>
      </c>
      <c r="G6" s="32" t="n">
        <f aca="false">輸入與假設!G$323</f>
        <v>412.791748650783</v>
      </c>
      <c r="I6" s="11" t="s">
        <v>1091</v>
      </c>
    </row>
    <row r="7" customFormat="false" ht="15" hidden="false" customHeight="false" outlineLevel="1" collapsed="false">
      <c r="A7" s="3" t="s">
        <v>1092</v>
      </c>
      <c r="B7" s="11" t="s">
        <v>42</v>
      </c>
      <c r="C7" s="53" t="n">
        <f aca="false">輸入與假設!C$279</f>
        <v>0</v>
      </c>
      <c r="D7" s="53" t="n">
        <f aca="false">輸入與假設!D$279</f>
        <v>0</v>
      </c>
      <c r="E7" s="53" t="n">
        <f aca="false">輸入與假設!E$279</f>
        <v>0</v>
      </c>
      <c r="F7" s="53" t="n">
        <f aca="false">輸入與假設!F$279</f>
        <v>0</v>
      </c>
      <c r="G7" s="53" t="n">
        <f aca="false">輸入與假設!G$279</f>
        <v>0</v>
      </c>
    </row>
    <row r="8" customFormat="false" ht="15" hidden="false" customHeight="false" outlineLevel="1" collapsed="false">
      <c r="A8" s="3" t="s">
        <v>1093</v>
      </c>
      <c r="B8" s="11" t="s">
        <v>65</v>
      </c>
      <c r="C8" s="32" t="n">
        <f aca="false">輸入與假設!C$299*C7</f>
        <v>0</v>
      </c>
      <c r="D8" s="32" t="n">
        <f aca="false">輸入與假設!D$299*D7</f>
        <v>0</v>
      </c>
      <c r="E8" s="32" t="n">
        <f aca="false">輸入與假設!E$299*E7</f>
        <v>0</v>
      </c>
      <c r="F8" s="32" t="n">
        <f aca="false">輸入與假設!F$299*F7</f>
        <v>0</v>
      </c>
      <c r="G8" s="32" t="n">
        <f aca="false">輸入與假設!G$299*G7</f>
        <v>0</v>
      </c>
      <c r="I8" s="6" t="s">
        <v>1094</v>
      </c>
    </row>
    <row r="9" customFormat="false" ht="15" hidden="false" customHeight="false" outlineLevel="1" collapsed="false">
      <c r="A9" s="3" t="s">
        <v>1095</v>
      </c>
      <c r="B9" s="11" t="s">
        <v>65</v>
      </c>
      <c r="C9" s="32" t="n">
        <f aca="false">輸入與假設!$C$276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1096</v>
      </c>
    </row>
    <row r="10" customFormat="false" ht="15" hidden="false" customHeight="false" outlineLevel="1" collapsed="false">
      <c r="A10" s="3" t="s">
        <v>1097</v>
      </c>
      <c r="B10" s="11" t="s">
        <v>65</v>
      </c>
      <c r="C10" s="32" t="n">
        <f aca="false">輸入與假設!$C$277*(C9+0.5*C8)*運營_產能與收入!C7</f>
        <v>0</v>
      </c>
      <c r="D10" s="32" t="n">
        <f aca="false">輸入與假設!$C$277*(D9+0.5*D8)*運營_產能與收入!D7</f>
        <v>0</v>
      </c>
      <c r="E10" s="32" t="n">
        <f aca="false">輸入與假設!$C$277*(E9+0.5*E8)*運營_產能與收入!E7</f>
        <v>0</v>
      </c>
      <c r="F10" s="32" t="n">
        <f aca="false">輸入與假設!$C$277*(F9+0.5*F8)*運營_產能與收入!F7</f>
        <v>0</v>
      </c>
      <c r="G10" s="32" t="n">
        <f aca="false">輸入與假設!$C$277*(G9+0.5*G8)*運營_產能與收入!G7</f>
        <v>0</v>
      </c>
      <c r="I10" s="6" t="s">
        <v>1098</v>
      </c>
    </row>
    <row r="11" customFormat="false" ht="15" hidden="false" customHeight="false" outlineLevel="1" collapsed="false">
      <c r="A11" s="3" t="s">
        <v>1099</v>
      </c>
      <c r="B11" s="11" t="s">
        <v>65</v>
      </c>
      <c r="C11" s="32" t="n">
        <f aca="false">MIN(C9+C10,(C9+C10)/輸入與假設!$C$275*運營_產能與收入!C7)</f>
        <v>0</v>
      </c>
      <c r="D11" s="32" t="n">
        <f aca="false">MIN(D9+D10,(D9+D10)/輸入與假設!$C$275*運營_產能與收入!D7)</f>
        <v>0</v>
      </c>
      <c r="E11" s="32" t="n">
        <f aca="false">MIN(E9+E10,(E9+E10)/輸入與假設!$C$275*運營_產能與收入!E7)</f>
        <v>0</v>
      </c>
      <c r="F11" s="32" t="n">
        <f aca="false">MIN(F9+F10,(F9+F10)/輸入與假設!$C$275*運營_產能與收入!F7)</f>
        <v>0</v>
      </c>
      <c r="G11" s="32" t="n">
        <f aca="false">MIN(G9+G10,(G9+G10)/輸入與假設!$C$275*運營_產能與收入!G7)</f>
        <v>0</v>
      </c>
      <c r="I11" s="6" t="s">
        <v>1100</v>
      </c>
    </row>
    <row r="12" customFormat="false" ht="15" hidden="false" customHeight="false" outlineLevel="1" collapsed="false">
      <c r="A12" s="3" t="s">
        <v>1101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1102</v>
      </c>
    </row>
    <row r="13" customFormat="false" ht="15" hidden="false" customHeight="false" outlineLevel="1" collapsed="false">
      <c r="A13" s="4" t="s">
        <v>1103</v>
      </c>
      <c r="B13" s="11" t="s">
        <v>65</v>
      </c>
      <c r="C13" s="32" t="n">
        <f aca="false">輸入與假設!$C$468+輸入與假設!C$323</f>
        <v>200.004790442699</v>
      </c>
      <c r="D13" s="32" t="n">
        <f aca="false">輸入與假設!D$323</f>
        <v>236.835022204047</v>
      </c>
      <c r="E13" s="32" t="n">
        <f aca="false">輸入與假設!E$323</f>
        <v>256.545779414001</v>
      </c>
      <c r="F13" s="32" t="n">
        <f aca="false">輸入與假設!F$323</f>
        <v>287.926533727876</v>
      </c>
      <c r="G13" s="32" t="n">
        <f aca="false">輸入與假設!G$323</f>
        <v>412.791748650783</v>
      </c>
      <c r="I13" s="11" t="s">
        <v>1104</v>
      </c>
    </row>
    <row r="14" customFormat="false" ht="15" hidden="false" customHeight="false" outlineLevel="1" collapsed="false">
      <c r="A14" s="3" t="s">
        <v>1105</v>
      </c>
      <c r="B14" s="11" t="s">
        <v>65</v>
      </c>
      <c r="C14" s="39" t="n">
        <f aca="false">輸入與假設!C$280</f>
        <v>2.042</v>
      </c>
      <c r="D14" s="39" t="n">
        <f aca="false">輸入與假設!D$280</f>
        <v>3.885</v>
      </c>
      <c r="E14" s="39" t="n">
        <f aca="false">輸入與假設!E$280</f>
        <v>3.356</v>
      </c>
      <c r="F14" s="39" t="n">
        <f aca="false">輸入與假設!F$280</f>
        <v>2.932</v>
      </c>
      <c r="G14" s="39" t="n">
        <f aca="false">輸入與假設!G$280</f>
        <v>2.331</v>
      </c>
      <c r="I14" s="6" t="s">
        <v>1106</v>
      </c>
    </row>
    <row r="15" customFormat="false" ht="15" hidden="false" customHeight="false" outlineLevel="1" collapsed="false">
      <c r="A15" s="3" t="s">
        <v>1107</v>
      </c>
      <c r="B15" s="11" t="s">
        <v>65</v>
      </c>
      <c r="C15" s="39" t="n">
        <f aca="false">運營_產能與收入!C59</f>
        <v>0.193636363636364</v>
      </c>
      <c r="D15" s="39" t="n">
        <f aca="false">運營_產能與收入!D59</f>
        <v>1.16181818181818</v>
      </c>
      <c r="E15" s="39" t="n">
        <f aca="false">運營_產能與收入!E59</f>
        <v>2.19454545454545</v>
      </c>
      <c r="F15" s="39" t="n">
        <f aca="false">運營_產能與收入!F59</f>
        <v>3.22727272727273</v>
      </c>
      <c r="G15" s="39" t="n">
        <f aca="false">運營_產能與收入!G59</f>
        <v>4.26</v>
      </c>
      <c r="I15" s="6" t="s">
        <v>1108</v>
      </c>
    </row>
    <row r="16" customFormat="false" ht="15" hidden="false" customHeight="false" outlineLevel="1" collapsed="false">
      <c r="A16" s="3" t="s">
        <v>1109</v>
      </c>
      <c r="B16" s="11" t="s">
        <v>65</v>
      </c>
      <c r="C16" s="32" t="n">
        <f aca="false">輸入與假設!C$283+C15*輸入與假設!$C$284</f>
        <v>0.230313756363636</v>
      </c>
      <c r="D16" s="32" t="n">
        <f aca="false">輸入與假設!D$283+D15*輸入與假設!$C$284</f>
        <v>0.532882538181818</v>
      </c>
      <c r="E16" s="32" t="n">
        <f aca="false">輸入與假設!E$283+E15*輸入與假設!$C$284</f>
        <v>0.652555905454545</v>
      </c>
      <c r="F16" s="32" t="n">
        <f aca="false">輸入與假設!F$283+F15*輸入與假設!$C$284</f>
        <v>0.761229272727273</v>
      </c>
      <c r="G16" s="32" t="n">
        <f aca="false">輸入與假設!G$283+G15*輸入與假設!$C$284</f>
        <v>0.81990264</v>
      </c>
      <c r="I16" s="6" t="s">
        <v>1110</v>
      </c>
    </row>
    <row r="17" customFormat="false" ht="15" hidden="false" customHeight="false" outlineLevel="1" collapsed="false">
      <c r="A17" s="3" t="s">
        <v>1111</v>
      </c>
      <c r="B17" s="11" t="s">
        <v>65</v>
      </c>
      <c r="C17" s="39" t="n">
        <f aca="false">輸入與假設!C$363</f>
        <v>2.01268256759658</v>
      </c>
      <c r="D17" s="39" t="n">
        <f aca="false">輸入與假設!D$363</f>
        <v>3.96503593798289</v>
      </c>
      <c r="E17" s="39" t="n">
        <f aca="false">輸入與假設!E$363</f>
        <v>3.8911125616679</v>
      </c>
      <c r="F17" s="39" t="n">
        <f aca="false">輸入與假設!F$363</f>
        <v>3.80182534979671</v>
      </c>
      <c r="G17" s="39" t="n">
        <f aca="false">輸入與假設!G$363</f>
        <v>3.62184324478607</v>
      </c>
      <c r="I17" s="6" t="str">
        <f aca="false">"6/30 債務餘額的利息。2026 全年利息＝1H 實際 1.811＋2H "&amp;TEXT(C17,"0.0")&amp;"＝"&amp;TEXT(1.811+C17,"0.00")&amp;"（見下方備忘）"</f>
        <v>6/30 債務餘額的利息。2026 全年利息＝1H 實際 1.811＋2H 2.0＝3.82（見下方備忘）</v>
      </c>
    </row>
    <row r="18" customFormat="false" ht="15" hidden="false" customHeight="false" outlineLevel="1" collapsed="false">
      <c r="A18" s="3" t="s">
        <v>1112</v>
      </c>
      <c r="B18" s="11" t="s">
        <v>65</v>
      </c>
      <c r="C18" s="32" t="n">
        <f aca="false">輸入與假設!$C$466</f>
        <v>120.53</v>
      </c>
      <c r="D18" s="32" t="n">
        <f aca="false">C56</f>
        <v>128.122906558114</v>
      </c>
      <c r="E18" s="32" t="n">
        <f aca="false">D56</f>
        <v>85.9355074370625</v>
      </c>
      <c r="F18" s="32" t="n">
        <f aca="false">E56</f>
        <v>63.4409650626317</v>
      </c>
      <c r="G18" s="32" t="n">
        <f aca="false">F56</f>
        <v>53.7001816528477</v>
      </c>
      <c r="I18" s="11" t="s">
        <v>1113</v>
      </c>
    </row>
    <row r="19" customFormat="false" ht="15" hidden="false" customHeight="false" outlineLevel="1" collapsed="false">
      <c r="A19" s="3" t="s">
        <v>1114</v>
      </c>
      <c r="B19" s="11" t="s">
        <v>42</v>
      </c>
      <c r="C19" s="38" t="n">
        <f aca="false">IF(輸入與假設!$C$356=1,輸入與假設!C$362+MAX(0,輸入與假設!$C$355-450)/100*0.004,輸入與假設!C$362)</f>
        <v>0.05</v>
      </c>
      <c r="D19" s="38" t="n">
        <f aca="false">IF(輸入與假設!$C$356=1,輸入與假設!D$362+MAX(0,輸入與假設!$C$355-450)/100*0.004,輸入與假設!D$362)</f>
        <v>0.05</v>
      </c>
      <c r="E19" s="38" t="n">
        <f aca="false">IF(輸入與假設!$C$356=1,輸入與假設!E$362+MAX(0,輸入與假設!$C$355-450)/100*0.004,輸入與假設!E$362)</f>
        <v>0.05</v>
      </c>
      <c r="F19" s="38" t="n">
        <f aca="false">IF(輸入與假設!$C$356=1,輸入與假設!F$362+MAX(0,輸入與假設!$C$355-450)/100*0.004,輸入與假設!F$362)</f>
        <v>0.05</v>
      </c>
      <c r="G19" s="38" t="n">
        <f aca="false">IF(輸入與假設!$C$356=1,輸入與假設!G$362+MAX(0,輸入與假設!$C$355-450)/100*0.004,輸入與假設!G$362)</f>
        <v>0.05</v>
      </c>
      <c r="I19" s="11" t="s">
        <v>1115</v>
      </c>
    </row>
    <row r="20" customFormat="false" ht="15" hidden="false" customHeight="false" outlineLevel="1" collapsed="false">
      <c r="A20" s="3" t="s">
        <v>1116</v>
      </c>
      <c r="B20" s="11" t="s">
        <v>65</v>
      </c>
      <c r="C20" s="32" t="n">
        <f aca="false">C94</f>
        <v>0</v>
      </c>
      <c r="D20" s="32" t="n">
        <f aca="false">D94</f>
        <v>0</v>
      </c>
      <c r="E20" s="32" t="n">
        <f aca="false">E94</f>
        <v>0</v>
      </c>
      <c r="F20" s="32" t="n">
        <f aca="false">F94</f>
        <v>0</v>
      </c>
      <c r="G20" s="32" t="n">
        <f aca="false">G94</f>
        <v>4.29030375500697</v>
      </c>
      <c r="I20" s="6" t="s">
        <v>1117</v>
      </c>
    </row>
    <row r="21" customFormat="false" ht="15" hidden="false" customHeight="false" outlineLevel="1" collapsed="false">
      <c r="A21" s="3" t="s">
        <v>1118</v>
      </c>
      <c r="B21" s="11" t="s">
        <v>65</v>
      </c>
      <c r="C21" s="32" t="n">
        <f aca="false">C17+C20</f>
        <v>2.01268256759658</v>
      </c>
      <c r="D21" s="32" t="n">
        <f aca="false">D17+D20</f>
        <v>3.96503593798289</v>
      </c>
      <c r="E21" s="32" t="n">
        <f aca="false">E17+E20</f>
        <v>3.8911125616679</v>
      </c>
      <c r="F21" s="32" t="n">
        <f aca="false">F17+F20</f>
        <v>3.80182534979671</v>
      </c>
      <c r="G21" s="32" t="n">
        <f aca="false">G17+G20</f>
        <v>7.91214699979304</v>
      </c>
    </row>
    <row r="22" customFormat="false" ht="15" hidden="false" customHeight="false" outlineLevel="1" collapsed="false">
      <c r="A22" s="4" t="s">
        <v>1119</v>
      </c>
      <c r="B22" s="11" t="s">
        <v>65</v>
      </c>
      <c r="C22" s="32" t="n">
        <f aca="false">輸入與假設!$C$470+輸入與假設!C$287</f>
        <v>57.662222</v>
      </c>
      <c r="D22" s="32" t="n">
        <f aca="false">輸入與假設!D$287</f>
        <v>4.444444</v>
      </c>
      <c r="E22" s="32" t="n">
        <f aca="false">輸入與假設!E$287</f>
        <v>4.444444</v>
      </c>
      <c r="F22" s="32" t="n">
        <f aca="false">輸入與假設!F$287</f>
        <v>4.444444</v>
      </c>
      <c r="G22" s="32" t="n">
        <f aca="false">輸入與假設!G$287</f>
        <v>4.444444</v>
      </c>
      <c r="I22" s="11" t="s">
        <v>1120</v>
      </c>
    </row>
    <row r="23" customFormat="false" ht="15" hidden="false" customHeight="false" outlineLevel="1" collapsed="false">
      <c r="A23" s="3" t="s">
        <v>1121</v>
      </c>
      <c r="B23" s="11" t="s">
        <v>65</v>
      </c>
      <c r="C23" s="32" t="n">
        <f aca="false">輸入與假設!$C$485+4*輸入與假設!$C$337*(1+輸入與假設!$C$338)^0*運營_產能與收入!C7*(輸入與假設!$C$339+0+SUMPRODUCT(資產負債_既有債務!$D$27:$D$27*資產負債_既有債務!$H$23:$H$23*(資產負債_既有債務!$G$23:$G$23&lt;0)))+輸入與假設!C$360</f>
        <v>11.1472</v>
      </c>
      <c r="D23" s="32" t="n">
        <f aca="false">4*輸入與假設!$C$337*(1+輸入與假設!$C$338)^1*運營_產能與收入!D7*(輸入與假設!$C$339+C97+SUMPRODUCT(資產負債_既有債務!$D$27:$D$27*資產負債_既有債務!$H$23:$H$23*(資產負債_既有債務!$G$23:$G$23&lt;1)))+輸入與假設!D$360</f>
        <v>12.4811080570613</v>
      </c>
      <c r="E23" s="32" t="n">
        <f aca="false">4*輸入與假設!$C$337*(1+輸入與假設!$C$338)^2*運營_產能與收入!E7*(輸入與假設!$C$339+D97+SUMPRODUCT(資產負債_既有債務!$D$27:$D$27*資產負債_既有債務!$H$23:$H$23*(資產負債_既有債務!$G$23:$G$23&lt;2)))+輸入與假設!E$360</f>
        <v>12.9979483797432</v>
      </c>
      <c r="F23" s="32" t="n">
        <f aca="false">4*輸入與假設!$C$337*(1+輸入與假設!$C$338)^3*運營_產能與收入!F7*(輸入與假設!$C$339+E97+SUMPRODUCT(資產負債_既有債務!$D$27:$D$27*資產負債_既有債務!$H$23:$H$23*(資產負債_既有債務!$G$23:$G$23&lt;3)))+輸入與假設!F$360</f>
        <v>12.9372774645506</v>
      </c>
      <c r="G23" s="32" t="n">
        <f aca="false">4*輸入與假設!$C$337*(1+輸入與假設!$C$338)^4*運營_產能與收入!G7*(輸入與假設!$C$339+F97+SUMPRODUCT(資產負債_既有債務!$D$27:$D$27*資產負債_既有債務!$H$23:$H$23*(資產負債_既有債務!$G$23:$G$23&lt;4)))+輸入與假設!G$360</f>
        <v>12.9585554107918</v>
      </c>
      <c r="I23" s="6" t="s">
        <v>1122</v>
      </c>
    </row>
    <row r="24" customFormat="false" ht="15" hidden="false" customHeight="false" outlineLevel="1" collapsed="false">
      <c r="A24" s="3" t="s">
        <v>1123</v>
      </c>
      <c r="B24" s="11" t="s">
        <v>65</v>
      </c>
      <c r="C24" s="32" t="n">
        <f aca="false">輸入與假設!$C$487+C76</f>
        <v>8.5015</v>
      </c>
      <c r="D24" s="32" t="n">
        <f aca="false">D76</f>
        <v>17.003</v>
      </c>
      <c r="E24" s="32" t="n">
        <f aca="false">E76</f>
        <v>17.003</v>
      </c>
      <c r="F24" s="32" t="n">
        <f aca="false">F76</f>
        <v>17.003</v>
      </c>
      <c r="G24" s="32" t="n">
        <f aca="false">G76</f>
        <v>0</v>
      </c>
      <c r="I24" s="11" t="s">
        <v>1124</v>
      </c>
    </row>
    <row r="25" customFormat="false" ht="15" hidden="false" customHeight="false" outlineLevel="1" collapsed="false">
      <c r="A25" s="3" t="s">
        <v>1125</v>
      </c>
      <c r="B25" s="11" t="s">
        <v>65</v>
      </c>
      <c r="C25" s="32" t="n">
        <f aca="false">IF(輸入與假設!$C$253=1,運營_產能與收入!C9*8760*輸入與假設!C$255*輸入與假設!C$254/1000000000*運營_產能與收入!C7,0)</f>
        <v>0</v>
      </c>
      <c r="D25" s="32" t="n">
        <f aca="false">IF(輸入與假設!$C$253=1,運營_產能與收入!D9*8760*輸入與假設!D$255*輸入與假設!D$254/1000000000*運營_產能與收入!D7,0)</f>
        <v>0</v>
      </c>
      <c r="E25" s="32" t="n">
        <f aca="false">IF(輸入與假設!$C$253=1,運營_產能與收入!E9*8760*輸入與假設!E$255*輸入與假設!E$254/1000000000*運營_產能與收入!E7,0)</f>
        <v>0</v>
      </c>
      <c r="F25" s="32" t="n">
        <f aca="false">IF(輸入與假設!$C$253=1,運營_產能與收入!F9*8760*輸入與假設!F$255*輸入與假設!F$254/1000000000*運營_產能與收入!F7,0)</f>
        <v>0</v>
      </c>
      <c r="G25" s="32" t="n">
        <f aca="false">IF(輸入與假設!$C$253=1,運營_產能與收入!G9*8760*輸入與假設!G$255*輸入與假設!G$254/1000000000*運營_產能與收入!G7,0)</f>
        <v>0</v>
      </c>
      <c r="I25" s="6" t="s">
        <v>1126</v>
      </c>
    </row>
    <row r="26" customFormat="false" ht="15" hidden="false" customHeight="false" outlineLevel="1" collapsed="false">
      <c r="A26" s="3" t="s">
        <v>1127</v>
      </c>
      <c r="B26" s="11" t="s">
        <v>65</v>
      </c>
      <c r="C26" s="32" t="n">
        <f aca="false">IF(輸入與假設!$C$253=1,運營_產能與收入!C9*輸入與假設!C$256/1000*運營_產能與收入!C7,0)</f>
        <v>0</v>
      </c>
      <c r="D26" s="32" t="n">
        <f aca="false">IF(輸入與假設!$C$253=1,運營_產能與收入!D9*輸入與假設!D$256/1000*運營_產能與收入!D7,0)</f>
        <v>0</v>
      </c>
      <c r="E26" s="32" t="n">
        <f aca="false">IF(輸入與假設!$C$253=1,運營_產能與收入!E9*輸入與假設!E$256/1000*運營_產能與收入!E7,0)</f>
        <v>0</v>
      </c>
      <c r="F26" s="32" t="n">
        <f aca="false">IF(輸入與假設!$C$253=1,運營_產能與收入!F9*輸入與假設!F$256/1000*運營_產能與收入!F7,0)</f>
        <v>0</v>
      </c>
      <c r="G26" s="32" t="n">
        <f aca="false">IF(輸入與假設!$C$253=1,運營_產能與收入!G9*輸入與假設!G$256/1000*運營_產能與收入!G7,0)</f>
        <v>0</v>
      </c>
    </row>
    <row r="27" customFormat="false" ht="15" hidden="false" customHeight="false" outlineLevel="1" collapsed="false">
      <c r="A27" s="3" t="s">
        <v>1128</v>
      </c>
      <c r="B27" s="11" t="s">
        <v>65</v>
      </c>
      <c r="C27" s="32" t="n">
        <f aca="false">輸入與假設!$C$472+IF(輸入與假設!$C$332=1,輸入與假設!C$361,0)+資產負債_既有債務!C38</f>
        <v>7.253</v>
      </c>
      <c r="D27" s="32" t="n">
        <f aca="false">IF(輸入與假設!$C$332=1,輸入與假設!D$361,0)+資產負債_既有債務!D38</f>
        <v>1</v>
      </c>
      <c r="E27" s="32" t="n">
        <f aca="false">IF(輸入與假設!$C$332=1,輸入與假設!E$361,0)+資產負債_既有債務!E38</f>
        <v>2.676</v>
      </c>
      <c r="F27" s="32" t="n">
        <f aca="false">IF(輸入與假設!$C$332=1,輸入與假設!F$361,0)+資產負債_既有債務!F38</f>
        <v>1.764</v>
      </c>
      <c r="G27" s="32" t="n">
        <f aca="false">IF(輸入與假設!$C$332=1,輸入與假設!G$361,0)+資產負債_既有債務!G38</f>
        <v>7.186</v>
      </c>
      <c r="I27" s="11" t="s">
        <v>1129</v>
      </c>
    </row>
    <row r="28" customFormat="false" ht="15" hidden="false" customHeight="false" outlineLevel="1" collapsed="false">
      <c r="A28" s="4" t="s">
        <v>1130</v>
      </c>
      <c r="B28" s="11" t="s">
        <v>65</v>
      </c>
      <c r="C28" s="32" t="n">
        <f aca="false">輸入與假設!$C$473</f>
        <v>1.011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1131</v>
      </c>
    </row>
    <row r="29" customFormat="false" ht="15" hidden="false" customHeight="false" outlineLevel="1" collapsed="false">
      <c r="A29" s="3" t="s">
        <v>1132</v>
      </c>
      <c r="B29" s="11" t="s">
        <v>65</v>
      </c>
      <c r="C29" s="32" t="n">
        <f aca="false">輸入與假設!$C$354*MAX(0,運營_產能與收入!C38*輸入與假設!C$250+輸入與假設!C$48+輸入與假設!C$241-輸入與假設!C$242-運營_產能與收入!C62-輸入與假設!C$324-輸入與假設!C$363)</f>
        <v>12.4918418473243</v>
      </c>
      <c r="D29" s="32" t="n">
        <f aca="false">輸入與假設!$C$354*MAX(0,運營_產能與收入!D38*輸入與假設!D$250+輸入與假設!D$48+輸入與假設!D$241-輸入與假設!D$242-運營_產能與收入!D62-輸入與假設!D$324-輸入與假設!D$363)</f>
        <v>24.3858141872343</v>
      </c>
      <c r="E29" s="32" t="n">
        <f aca="false">輸入與假設!$C$354*MAX(0,運營_產能與收入!E38*輸入與假設!E$250+輸入與假設!E$48+輸入與假設!E$241-輸入與假設!E$242-運營_產能與收入!E62-輸入與假設!E$324-輸入與假設!E$363)</f>
        <v>25.0263796498759</v>
      </c>
      <c r="F29" s="32" t="n">
        <f aca="false">輸入與假設!$C$354*MAX(0,運營_產能與收入!F38*輸入與假設!F$250+輸入與假設!F$48+輸入與假設!F$241-輸入與假設!F$242-運營_產能與收入!F62-輸入與假設!F$324-輸入與假設!F$363)</f>
        <v>25.7293015232274</v>
      </c>
      <c r="G29" s="32" t="n">
        <f aca="false">輸入與假設!$C$354*MAX(0,運營_產能與收入!G38*輸入與假設!G$250+輸入與假設!G$48+輸入與假設!G$241-輸入與假設!G$242-運營_產能與收入!G62-輸入與假設!G$324-輸入與假設!G$363)</f>
        <v>25.4205318386082</v>
      </c>
      <c r="I29" s="6" t="s">
        <v>1133</v>
      </c>
    </row>
    <row r="30" customFormat="false" ht="15" hidden="false" customHeight="false" outlineLevel="1" collapsed="false">
      <c r="A30" s="2" t="s">
        <v>1134</v>
      </c>
      <c r="B30" s="11" t="s">
        <v>65</v>
      </c>
      <c r="C30" s="42" t="n">
        <f aca="false">C13+C16+C21+C22+C25+C26+C27+C28+C29+C23+C24</f>
        <v>300.314550613984</v>
      </c>
      <c r="D30" s="42" t="n">
        <f aca="false">D13+D16+D21+D22+D25+D26+D27+D28+D29+D23+D24</f>
        <v>300.647306924508</v>
      </c>
      <c r="E30" s="42" t="n">
        <f aca="false">E13+E16+E21+E22+E25+E26+E27+E28+E29+E23+E24</f>
        <v>323.237219910742</v>
      </c>
      <c r="F30" s="42" t="n">
        <f aca="false">F13+F16+F21+F22+F25+F26+F27+F28+F29+F23+F24</f>
        <v>354.367611338178</v>
      </c>
      <c r="G30" s="42" t="n">
        <f aca="false">G13+G16+G21+G22+G25+G26+G27+G28+G29+G23+G24</f>
        <v>471.533329539976</v>
      </c>
      <c r="I30" s="11" t="s">
        <v>1135</v>
      </c>
    </row>
    <row r="31" customFormat="false" ht="15" hidden="false" customHeight="false" outlineLevel="0" collapsed="false">
      <c r="A31" s="52" t="s">
        <v>1136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1137</v>
      </c>
      <c r="B32" s="11" t="s">
        <v>65</v>
      </c>
      <c r="C32" s="39" t="n">
        <f aca="false">輸入與假設!$C$467</f>
        <v>84.859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1138</v>
      </c>
    </row>
    <row r="33" customFormat="false" ht="15" hidden="false" customHeight="false" outlineLevel="1" collapsed="false">
      <c r="A33" s="4" t="s">
        <v>1139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1140</v>
      </c>
      <c r="B34" s="11" t="s">
        <v>65</v>
      </c>
      <c r="C34" s="39" t="n">
        <f aca="false">運營_產能與收入!C41</f>
        <v>10.6137569993461</v>
      </c>
      <c r="D34" s="39" t="n">
        <f aca="false">運營_產能與收入!D41</f>
        <v>31.9649349649252</v>
      </c>
      <c r="E34" s="39" t="n">
        <f aca="false">運營_產能與收入!E41</f>
        <v>46.6478617869112</v>
      </c>
      <c r="F34" s="39" t="n">
        <f aca="false">運營_產能與收入!F41</f>
        <v>61.4451587046762</v>
      </c>
      <c r="G34" s="39" t="n">
        <f aca="false">運營_產能與收入!G41</f>
        <v>76.2998832428691</v>
      </c>
    </row>
    <row r="35" customFormat="false" ht="15" hidden="false" customHeight="false" outlineLevel="1" collapsed="false">
      <c r="A35" s="3" t="s">
        <v>1141</v>
      </c>
      <c r="B35" s="11" t="s">
        <v>65</v>
      </c>
      <c r="C35" s="39" t="n">
        <f aca="false">輸入與假設!C$251</f>
        <v>0</v>
      </c>
      <c r="D35" s="39" t="n">
        <f aca="false">輸入與假設!D$251</f>
        <v>0</v>
      </c>
      <c r="E35" s="39" t="n">
        <f aca="false">輸入與假設!E$251</f>
        <v>0</v>
      </c>
      <c r="F35" s="39" t="n">
        <f aca="false">輸入與假設!F$251</f>
        <v>0</v>
      </c>
      <c r="G35" s="39" t="n">
        <f aca="false">輸入與假設!G$251</f>
        <v>0</v>
      </c>
    </row>
    <row r="36" customFormat="false" ht="15" hidden="false" customHeight="false" outlineLevel="1" collapsed="false">
      <c r="A36" s="4" t="s">
        <v>1142</v>
      </c>
      <c r="B36" s="11" t="s">
        <v>65</v>
      </c>
      <c r="C36" s="39" t="n">
        <f aca="false">輸入與假設!C$48</f>
        <v>-2.76</v>
      </c>
      <c r="D36" s="39" t="n">
        <f aca="false">輸入與假設!D$48</f>
        <v>-11.04</v>
      </c>
      <c r="E36" s="39" t="n">
        <f aca="false">輸入與假設!E$48</f>
        <v>-11.04</v>
      </c>
      <c r="F36" s="39" t="n">
        <f aca="false">輸入與假設!F$48</f>
        <v>-5.52</v>
      </c>
      <c r="G36" s="39" t="n">
        <f aca="false">輸入與假設!G$48</f>
        <v>0</v>
      </c>
      <c r="I36" s="6" t="s">
        <v>1143</v>
      </c>
    </row>
    <row r="37" customFormat="false" ht="15" hidden="false" customHeight="false" outlineLevel="1" collapsed="false">
      <c r="A37" s="4" t="s">
        <v>1144</v>
      </c>
      <c r="B37" s="11" t="s">
        <v>65</v>
      </c>
      <c r="C37" s="39" t="n">
        <f aca="false">輸入與假設!C$241-輸入與假設!C$242</f>
        <v>92.5735202825379</v>
      </c>
      <c r="D37" s="39" t="n">
        <f aca="false">輸入與假設!D$241-輸入與假設!D$242</f>
        <v>199.715906865359</v>
      </c>
      <c r="E37" s="39" t="n">
        <f aca="false">輸入與假設!E$241-輸入與假設!E$242</f>
        <v>221.245347397264</v>
      </c>
      <c r="F37" s="39" t="n">
        <f aca="false">輸入與假設!F$241-輸入與假設!F$242</f>
        <v>239.224608057883</v>
      </c>
      <c r="G37" s="39" t="n">
        <f aca="false">輸入與假設!G$241-輸入與假設!G$242</f>
        <v>251.65726366129</v>
      </c>
      <c r="I37" s="6" t="s">
        <v>1145</v>
      </c>
    </row>
    <row r="38" customFormat="false" ht="15" hidden="false" customHeight="false" outlineLevel="1" collapsed="false">
      <c r="A38" s="4" t="s">
        <v>1146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1147</v>
      </c>
    </row>
    <row r="39" customFormat="false" ht="15" hidden="false" customHeight="false" outlineLevel="1" collapsed="false">
      <c r="A39" s="4" t="s">
        <v>1148</v>
      </c>
      <c r="B39" s="11" t="s">
        <v>65</v>
      </c>
      <c r="C39" s="32" t="n">
        <f aca="false">輸入與假設!$C$49*(運營_產能與收入!C38+輸入與假設!C$240)</f>
        <v>16.5761798902142</v>
      </c>
      <c r="D39" s="32" t="n">
        <f aca="false">輸入與假設!$C$49*(運營_產能與收入!D38+輸入與假設!D$240)</f>
        <v>37.8190659731714</v>
      </c>
      <c r="E39" s="32" t="n">
        <f aca="false">輸入與假設!$C$49*(運營_產能與收入!E38+輸入與假設!E$240)</f>
        <v>43.8894683521359</v>
      </c>
      <c r="F39" s="32" t="n">
        <f aca="false">輸入與假設!$C$49*(運營_產能與收入!F38+輸入與假設!F$240)</f>
        <v>49.4770611658355</v>
      </c>
      <c r="G39" s="32" t="n">
        <f aca="false">輸入與假設!$C$49*(運營_產能與收入!G38+輸入與假設!G$240)</f>
        <v>54.0699258828303</v>
      </c>
      <c r="I39" s="6" t="s">
        <v>1149</v>
      </c>
    </row>
    <row r="40" customFormat="false" ht="15" hidden="false" customHeight="false" outlineLevel="1" collapsed="false">
      <c r="A40" s="4" t="s">
        <v>1150</v>
      </c>
      <c r="B40" s="11" t="s">
        <v>65</v>
      </c>
      <c r="C40" s="32" t="n">
        <f aca="false">IF(ISBLANK(輸入與假設!$C$50),0,輸入與假設!$C$50)</f>
        <v>8.49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1151</v>
      </c>
    </row>
    <row r="41" customFormat="false" ht="15" hidden="false" customHeight="false" outlineLevel="1" collapsed="false">
      <c r="A41" s="3" t="s">
        <v>1152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1153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1154</v>
      </c>
    </row>
    <row r="43" customFormat="false" ht="15" hidden="false" customHeight="false" outlineLevel="1" collapsed="false">
      <c r="A43" s="2" t="s">
        <v>1155</v>
      </c>
      <c r="B43" s="11" t="s">
        <v>65</v>
      </c>
      <c r="C43" s="42" t="n">
        <f aca="false">C32+C33+C34+C35+C36+C37+C38+C39+C40+C41+C42</f>
        <v>210.352457172098</v>
      </c>
      <c r="D43" s="42" t="n">
        <f aca="false">D32+D33+D34+D35+D36+D37+D38+D39+D40+D41+D42</f>
        <v>258.459907803456</v>
      </c>
      <c r="E43" s="42" t="n">
        <f aca="false">E32+E33+E34+E35+E36+E37+E38+E39+E40+E41+E42</f>
        <v>300.742677536312</v>
      </c>
      <c r="F43" s="42" t="n">
        <f aca="false">F32+F33+F34+F35+F36+F37+F38+F39+F40+F41+F42</f>
        <v>344.626827928394</v>
      </c>
      <c r="G43" s="42" t="n">
        <f aca="false">G32+G33+G34+G35+G36+G37+G38+G39+G40+G41+G42</f>
        <v>382.027072786989</v>
      </c>
    </row>
    <row r="44" customFormat="false" ht="15" hidden="false" customHeight="false" outlineLevel="1" collapsed="false">
      <c r="A44" s="2" t="s">
        <v>1156</v>
      </c>
      <c r="B44" s="11" t="s">
        <v>65</v>
      </c>
      <c r="C44" s="42" t="n">
        <f aca="false">C43-C29-C21-C13</f>
        <v>-4.15685768552189</v>
      </c>
      <c r="D44" s="42" t="n">
        <f aca="false">D43-D29-D21-D13</f>
        <v>-6.72596452580865</v>
      </c>
      <c r="E44" s="42" t="n">
        <f aca="false">E43-E29-E21-E13</f>
        <v>15.2794059107669</v>
      </c>
      <c r="F44" s="42" t="n">
        <f aca="false">F43-F29-F21-F13</f>
        <v>27.1691673274939</v>
      </c>
      <c r="G44" s="42" t="n">
        <f aca="false">G43-G29-G21-G13</f>
        <v>-64.0973547021953</v>
      </c>
      <c r="I44" s="6" t="s">
        <v>1157</v>
      </c>
    </row>
    <row r="45" customFormat="false" ht="15" hidden="false" customHeight="false" outlineLevel="1" collapsed="false">
      <c r="A45" s="3" t="s">
        <v>1158</v>
      </c>
      <c r="B45" s="11" t="s">
        <v>65</v>
      </c>
      <c r="C45" s="32" t="n">
        <f aca="false">輸入與假設!$C$474+IF(輸入與假設!$C$329=1,輸入與假設!$C$328,0)</f>
        <v>49.562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1159</v>
      </c>
    </row>
    <row r="46" customFormat="false" ht="15" hidden="false" customHeight="false" outlineLevel="1" collapsed="false">
      <c r="A46" s="4" t="s">
        <v>1160</v>
      </c>
      <c r="B46" s="11" t="s">
        <v>65</v>
      </c>
      <c r="C46" s="39" t="n">
        <f aca="false">輸入與假設!$C$471</f>
        <v>56.226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1161</v>
      </c>
    </row>
    <row r="47" customFormat="false" ht="15" hidden="false" customHeight="false" outlineLevel="1" collapsed="false">
      <c r="A47" s="3" t="s">
        <v>1162</v>
      </c>
      <c r="B47" s="11" t="s">
        <v>65</v>
      </c>
      <c r="C47" s="32" t="n">
        <f aca="false">C86</f>
        <v>0</v>
      </c>
      <c r="D47" s="32" t="n">
        <f aca="false">D86</f>
        <v>0</v>
      </c>
      <c r="E47" s="32" t="n">
        <f aca="false">E86</f>
        <v>0</v>
      </c>
      <c r="F47" s="32" t="n">
        <f aca="false">F86</f>
        <v>0</v>
      </c>
      <c r="G47" s="32" t="n">
        <f aca="false">G86</f>
        <v>85.8060751001393</v>
      </c>
      <c r="I47" s="6" t="s">
        <v>1163</v>
      </c>
    </row>
    <row r="48" customFormat="false" ht="15" hidden="false" customHeight="false" outlineLevel="1" collapsed="false">
      <c r="A48" s="4" t="s">
        <v>1164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1165</v>
      </c>
    </row>
    <row r="49" customFormat="false" ht="15" hidden="false" customHeight="false" outlineLevel="1" collapsed="false">
      <c r="A49" s="3" t="s">
        <v>1166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1167</v>
      </c>
    </row>
    <row r="50" customFormat="false" ht="15" hidden="false" customHeight="false" outlineLevel="1" collapsed="false">
      <c r="A50" s="3" t="s">
        <v>1168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1169</v>
      </c>
    </row>
    <row r="51" customFormat="false" ht="15" hidden="false" customHeight="false" outlineLevel="1" collapsed="false">
      <c r="A51" s="2" t="s">
        <v>1170</v>
      </c>
      <c r="B51" s="11" t="s">
        <v>65</v>
      </c>
      <c r="C51" s="42" t="n">
        <f aca="false">C43+C45+C46+C47+C48+C49+C50</f>
        <v>316.140457172098</v>
      </c>
      <c r="D51" s="42" t="n">
        <f aca="false">D43+D45+D46+D47+D48+D49+D50</f>
        <v>258.459907803456</v>
      </c>
      <c r="E51" s="42" t="n">
        <f aca="false">E43+E45+E46+E47+E48+E49+E50</f>
        <v>300.742677536312</v>
      </c>
      <c r="F51" s="42" t="n">
        <f aca="false">F43+F45+F46+F47+F48+F49+F50</f>
        <v>344.626827928394</v>
      </c>
      <c r="G51" s="42" t="n">
        <f aca="false">G43+G45+G46+G47+G48+G49+G50</f>
        <v>467.833147887128</v>
      </c>
    </row>
    <row r="52" customFormat="false" ht="15" hidden="false" customHeight="false" outlineLevel="0" collapsed="false">
      <c r="A52" s="52" t="s">
        <v>1171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1172</v>
      </c>
      <c r="B53" s="11" t="s">
        <v>65</v>
      </c>
      <c r="C53" s="32" t="n">
        <f aca="false">輸入與假設!$C$327-(輸入與假設!$C$466+輸入與假設!$C$467+輸入與假設!$C$471+輸入與假設!$C$474-輸入與假設!$C$468-輸入與假設!$C$470-輸入與假設!$C$472-輸入與假設!$C$473-輸入與假設!$C$485-輸入與假設!$C$487)</f>
        <v>-8.23300000000003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1173</v>
      </c>
    </row>
    <row r="54" customFormat="false" ht="15" hidden="false" customHeight="false" outlineLevel="1" collapsed="false">
      <c r="A54" s="2" t="s">
        <v>1174</v>
      </c>
      <c r="B54" s="11" t="s">
        <v>65</v>
      </c>
      <c r="C54" s="42" t="n">
        <f aca="false">C43-(C30-C27-C28)</f>
        <v>-81.6980934418856</v>
      </c>
      <c r="D54" s="42" t="n">
        <f aca="false">D43-(D30-D27-D28)</f>
        <v>-41.1873991210518</v>
      </c>
      <c r="E54" s="42" t="n">
        <f aca="false">E43-(E30-E27-E28)</f>
        <v>-19.8185423744308</v>
      </c>
      <c r="F54" s="42" t="n">
        <f aca="false">F43-(F30-F27-F28)</f>
        <v>-7.97678340978399</v>
      </c>
      <c r="G54" s="42" t="n">
        <f aca="false">G43-(G30-G27-G28)</f>
        <v>-82.3202567529871</v>
      </c>
      <c r="I54" s="6" t="s">
        <v>1175</v>
      </c>
    </row>
    <row r="55" customFormat="false" ht="15" hidden="false" customHeight="false" outlineLevel="1" collapsed="false">
      <c r="A55" s="3" t="s">
        <v>1176</v>
      </c>
      <c r="B55" s="11" t="s">
        <v>65</v>
      </c>
      <c r="C55" s="32" t="n">
        <f aca="false">C51-C30+C53</f>
        <v>7.59290655811438</v>
      </c>
      <c r="D55" s="32" t="n">
        <f aca="false">D51-D30+D53</f>
        <v>-42.1873991210518</v>
      </c>
      <c r="E55" s="32" t="n">
        <f aca="false">E51-E30+E53</f>
        <v>-22.4945423744308</v>
      </c>
      <c r="F55" s="32" t="n">
        <f aca="false">F51-F30+F53</f>
        <v>-9.740783409784</v>
      </c>
      <c r="G55" s="32" t="n">
        <f aca="false">G51-G30+G53</f>
        <v>-3.70018165284773</v>
      </c>
    </row>
    <row r="56" customFormat="false" ht="15" hidden="false" customHeight="false" outlineLevel="1" collapsed="false">
      <c r="A56" s="2" t="s">
        <v>1177</v>
      </c>
      <c r="B56" s="11" t="s">
        <v>65</v>
      </c>
      <c r="C56" s="42" t="n">
        <f aca="false">C18+C55</f>
        <v>128.122906558114</v>
      </c>
      <c r="D56" s="42" t="n">
        <f aca="false">D18+D55</f>
        <v>85.9355074370625</v>
      </c>
      <c r="E56" s="42" t="n">
        <f aca="false">E18+E55</f>
        <v>63.4409650626317</v>
      </c>
      <c r="F56" s="42" t="n">
        <f aca="false">F18+F55</f>
        <v>53.7001816528477</v>
      </c>
      <c r="G56" s="42" t="n">
        <f aca="false">G18+G55</f>
        <v>50</v>
      </c>
      <c r="I56" s="6" t="s">
        <v>1178</v>
      </c>
    </row>
    <row r="58" customFormat="false" ht="15" hidden="false" customHeight="false" outlineLevel="0" collapsed="false">
      <c r="A58" s="52" t="s">
        <v>1179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1180</v>
      </c>
      <c r="B59" s="11" t="s">
        <v>42</v>
      </c>
      <c r="C59" s="23" t="n">
        <v>0.038</v>
      </c>
      <c r="I59" s="11" t="s">
        <v>1181</v>
      </c>
    </row>
    <row r="60" customFormat="false" ht="15" hidden="false" customHeight="false" outlineLevel="1" collapsed="false">
      <c r="A60" s="3" t="s">
        <v>1182</v>
      </c>
      <c r="B60" s="6" t="s">
        <v>184</v>
      </c>
      <c r="C60" s="25" t="n">
        <v>8</v>
      </c>
      <c r="I60" s="6" t="s">
        <v>1183</v>
      </c>
    </row>
    <row r="61" customFormat="false" ht="15" hidden="false" customHeight="false" outlineLevel="1" collapsed="false">
      <c r="A61" s="3" t="s">
        <v>1184</v>
      </c>
      <c r="B61" s="11" t="s">
        <v>65</v>
      </c>
      <c r="C61" s="32" t="n">
        <f aca="false">輸入與假設!D$280*(1+各期收支!$C$59)^(-(運營_產能與收入!$D$51-運營_產能與收入!$D$7/2-運營_產能與收入!$C$51))+輸入與假設!E$280*(1+各期收支!$C$59)^(-(運營_產能與收入!$E$51-運營_產能與收入!$E$7/2-運營_產能與收入!$C$51))+輸入與假設!F$280*(1+各期收支!$C$59)^(-(運營_產能與收入!$F$51-運營_產能與收入!$F$7/2-運營_產能與收入!$C$51))+輸入與假設!G$280*(1+各期收支!$C$59)^(-(運營_產能與收入!$G$51-運營_產能與收入!$G$7/2-運營_產能與收入!$C$51))+9.707/各期收支!$C$60*(1+各期收支!$C$59)^0.5*(1-(1+各期收支!$C$59)^(-各期收支!$C$60))/各期收支!$C$59*(1+各期收支!$C$59)^(-(運營_產能與收入!$G$51-運營_產能與收入!$C$51))</f>
        <v>18.9325657023888</v>
      </c>
      <c r="D61" s="32" t="n">
        <f aca="false">輸入與假設!E$280*(1+各期收支!$C$59)^(-(運營_產能與收入!$E$51-運營_產能與收入!$E$7/2-運營_產能與收入!$D$51))+輸入與假設!F$280*(1+各期收支!$C$59)^(-(運營_產能與收入!$F$51-運營_產能與收入!$F$7/2-運營_產能與收入!$D$51))+輸入與假設!G$280*(1+各期收支!$C$59)^(-(運營_產能與收入!$G$51-運營_產能與收入!$G$7/2-運營_產能與收入!$D$51))+9.707/各期收支!$C$60*(1+各期收支!$C$59)^0.5*(1-(1+各期收支!$C$59)^(-各期收支!$C$60))/各期收支!$C$59*(1+各期收支!$C$59)^(-(運營_產能與收入!$G$51-運營_產能與收入!$D$51))</f>
        <v>15.6938764262235</v>
      </c>
      <c r="E61" s="32" t="n">
        <f aca="false">輸入與假設!F$280*(1+各期收支!$C$59)^(-(運營_產能與收入!$F$51-運營_產能與收入!$F$7/2-運營_產能與收入!$E$51))+輸入與假設!G$280*(1+各期收支!$C$59)^(-(運營_產能與收入!$G$51-運營_產能與收入!$G$7/2-運營_產能與收入!$E$51))+9.707/各期收支!$C$60*(1+各期收支!$C$59)^0.5*(1-(1+各期收支!$C$59)^(-各期收支!$C$60))/各期收支!$C$59*(1+各期收支!$C$59)^(-(運營_產能與收入!$G$51-運營_產能與收入!$E$51))</f>
        <v>12.8710742452964</v>
      </c>
      <c r="F61" s="32" t="n">
        <f aca="false">輸入與假設!G$280*(1+各期收支!$C$59)^(-(運營_產能與收入!$G$51-運營_產能與收入!$G$7/2-運營_產能與收入!$F$51))+9.707/各期收支!$C$60*(1+各期收支!$C$59)^0.5*(1-(1+各期收支!$C$59)^(-各期收支!$C$60))/各期收支!$C$59*(1+各期收支!$C$59)^(-(運營_產能與收入!$G$51-運營_產能與收入!$F$51))</f>
        <v>10.3729864699603</v>
      </c>
      <c r="G61" s="32" t="n">
        <f aca="false">9.707/各期收支!$C$60*(1+各期收支!$C$59)^0.5*(1-(1+各期收支!$C$59)^(-各期收支!$C$60))/各期收支!$C$59*(1+各期收支!$C$59)^(-(運營_產能與收入!$G$51-運營_產能與收入!$G$51))</f>
        <v>8.39228389210513</v>
      </c>
      <c r="I61" s="6" t="s">
        <v>1185</v>
      </c>
    </row>
    <row r="62" customFormat="false" ht="15" hidden="false" customHeight="false" outlineLevel="1" collapsed="false">
      <c r="A62" s="3" t="s">
        <v>1186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$281-(輸入與假設!$C$20)),輸入與假設!$C$21)-(1+各期收支!$C$59)^(-(4*輸入與假設!$C$22-MAX(0,輸入與假設!C$281-(輸入與假設!$C$20)))/4)*(1-(1+各期收支!$C$59)^(-MIN(MAX(0,輸入與假設!C$281-(輸入與假設!$C$20)),輸入與假設!$C$21)/4))/(1-(1+各期收支!$C$59)^(-0.25))),(1-運營_產能與收入!$C$56)*輸入與假設!$C$19/輸入與假設!$C$21/輸入與假設!$C$22/4/((1+各期收支!$C$59)^0.25-1)*(MIN(MAX(0,輸入與假設!C$281-(輸入與假設!$C$20)),輸入與假設!$C$21)-(1+各期收支!$C$59)^(-(4*輸入與假設!$C$22-MAX(0,輸入與假設!C$281-(輸入與假設!$C$20)))/4)*(1-(1+各期收支!$C$59)^(-MIN(MAX(0,輸入與假設!C$281-(輸入與假設!$C$20)),輸入與假設!$C$21)/4))/(1-(1+各期收支!$C$59)^(-0.25)))+運營_產能與收入!$C$56*輸入與假設!$C$19/輸入與假設!$C$21/輸入與假設!$C$22/4/((1+各期收支!$C$59)^0.25-1)*(MIN(MAX(0,輸入與假設!C$281-(輸入與假設!$C$20+運營_產能與收入!$C$50/3)),輸入與假設!$C$21)-(1+各期收支!$C$59)^(-(4*輸入與假設!$C$22-MAX(0,輸入與假設!C$281-(輸入與假設!$C$20+運營_產能與收入!$C$50/3)))/4)*(1-(1+各期收支!$C$59)^(-MIN(MAX(0,輸入與假設!C$281-(輸入與假設!$C$20+運營_產能與收入!$C$50/3)),輸入與假設!$C$21)/4))/(1-(1+各期收支!$C$59)^(-0.25))))</f>
        <v>5.79356770907146</v>
      </c>
      <c r="D62" s="32" t="n">
        <f aca="false">IF(OR(運營_產能與收入!$C$50&lt;=0,運營_產能與收入!$C$56&lt;=0),1*輸入與假設!$C$19/輸入與假設!$C$21/輸入與假設!$C$22/4/((1+各期收支!$C$59)^0.25-1)*(MIN(MAX(0,輸入與假設!D$281-(輸入與假設!$C$20)),輸入與假設!$C$21)-(1+各期收支!$C$59)^(-(4*輸入與假設!$C$22-MAX(0,輸入與假設!D$281-(輸入與假設!$C$20)))/4)*(1-(1+各期收支!$C$59)^(-MIN(MAX(0,輸入與假設!D$281-(輸入與假設!$C$20)),輸入與假設!$C$21)/4))/(1-(1+各期收支!$C$59)^(-0.25))),(1-運營_產能與收入!$C$56)*輸入與假設!$C$19/輸入與假設!$C$21/輸入與假設!$C$22/4/((1+各期收支!$C$59)^0.25-1)*(MIN(MAX(0,輸入與假設!D$281-(輸入與假設!$C$20)),輸入與假設!$C$21)-(1+各期收支!$C$59)^(-(4*輸入與假設!$C$22-MAX(0,輸入與假設!D$281-(輸入與假設!$C$20)))/4)*(1-(1+各期收支!$C$59)^(-MIN(MAX(0,輸入與假設!D$281-(輸入與假設!$C$20)),輸入與假設!$C$21)/4))/(1-(1+各期收支!$C$59)^(-0.25)))+運營_產能與收入!$C$56*輸入與假設!$C$19/輸入與假設!$C$21/輸入與假設!$C$22/4/((1+各期收支!$C$59)^0.25-1)*(MIN(MAX(0,輸入與假設!D$281-(輸入與假設!$C$20+運營_產能與收入!$C$50/3)),輸入與假設!$C$21)-(1+各期收支!$C$59)^(-(4*輸入與假設!$C$22-MAX(0,輸入與假設!D$281-(輸入與假設!$C$20+運營_產能與收入!$C$50/3)))/4)*(1-(1+各期收支!$C$59)^(-MIN(MAX(0,輸入與假設!D$281-(輸入與假設!$C$20+運營_產能與收入!$C$50/3)),輸入與假設!$C$21)/4))/(1-(1+各期收支!$C$59)^(-0.25))))</f>
        <v>16.9268544264945</v>
      </c>
      <c r="E62" s="32" t="n">
        <f aca="false">IF(OR(運營_產能與收入!$C$50&lt;=0,運營_產能與收入!$C$56&lt;=0),1*輸入與假設!$C$19/輸入與假設!$C$21/輸入與假設!$C$22/4/((1+各期收支!$C$59)^0.25-1)*(MIN(MAX(0,輸入與假設!E$281-(輸入與假設!$C$20)),輸入與假設!$C$21)-(1+各期收支!$C$59)^(-(4*輸入與假設!$C$22-MAX(0,輸入與假設!E$281-(輸入與假設!$C$20)))/4)*(1-(1+各期收支!$C$59)^(-MIN(MAX(0,輸入與假設!E$281-(輸入與假設!$C$20)),輸入與假設!$C$21)/4))/(1-(1+各期收支!$C$59)^(-0.25))),(1-運營_產能與收入!$C$56)*輸入與假設!$C$19/輸入與假設!$C$21/輸入與假設!$C$22/4/((1+各期收支!$C$59)^0.25-1)*(MIN(MAX(0,輸入與假設!E$281-(輸入與假設!$C$20)),輸入與假設!$C$21)-(1+各期收支!$C$59)^(-(4*輸入與假設!$C$22-MAX(0,輸入與假設!E$281-(輸入與假設!$C$20)))/4)*(1-(1+各期收支!$C$59)^(-MIN(MAX(0,輸入與假設!E$281-(輸入與假設!$C$20)),輸入與假設!$C$21)/4))/(1-(1+各期收支!$C$59)^(-0.25)))+運營_產能與收入!$C$56*輸入與假設!$C$19/輸入與假設!$C$21/輸入與假設!$C$22/4/((1+各期收支!$C$59)^0.25-1)*(MIN(MAX(0,輸入與假設!E$281-(輸入與假設!$C$20+運營_產能與收入!$C$50/3)),輸入與假設!$C$21)-(1+各期收支!$C$59)^(-(4*輸入與假設!$C$22-MAX(0,輸入與假設!E$281-(輸入與假設!$C$20+運營_產能與收入!$C$50/3)))/4)*(1-(1+各期收支!$C$59)^(-MIN(MAX(0,輸入與假設!E$281-(輸入與假設!$C$20+運營_產能與收入!$C$50/3)),輸入與假設!$C$21)/4))/(1-(1+各期收支!$C$59)^(-0.25))))</f>
        <v>27.435876745485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$281-(輸入與假設!$C$20)),輸入與假設!$C$21)-(1+各期收支!$C$59)^(-(4*輸入與假設!$C$22-MAX(0,輸入與假設!F$281-(輸入與假設!$C$20)))/4)*(1-(1+各期收支!$C$59)^(-MIN(MAX(0,輸入與假設!F$281-(輸入與假設!$C$20)),輸入與假設!$C$21)/4))/(1-(1+各期收支!$C$59)^(-0.25))),(1-運營_產能與收入!$C$56)*輸入與假設!$C$19/輸入與假設!$C$21/輸入與假設!$C$22/4/((1+各期收支!$C$59)^0.25-1)*(MIN(MAX(0,輸入與假設!F$281-(輸入與假設!$C$20)),輸入與假設!$C$21)-(1+各期收支!$C$59)^(-(4*輸入與假設!$C$22-MAX(0,輸入與假設!F$281-(輸入與假設!$C$20)))/4)*(1-(1+各期收支!$C$59)^(-MIN(MAX(0,輸入與假設!F$281-(輸入與假設!$C$20)),輸入與假設!$C$21)/4))/(1-(1+各期收支!$C$59)^(-0.25)))+運營_產能與收入!$C$56*輸入與假設!$C$19/輸入與假設!$C$21/輸入與假設!$C$22/4/((1+各期收支!$C$59)^0.25-1)*(MIN(MAX(0,輸入與假設!F$281-(輸入與假設!$C$20+運營_產能與收入!$C$50/3)),輸入與假設!$C$21)-(1+各期收支!$C$59)^(-(4*輸入與假設!$C$22-MAX(0,輸入與假設!F$281-(輸入與假設!$C$20+運營_產能與收入!$C$50/3)))/4)*(1-(1+各期收支!$C$59)^(-MIN(MAX(0,輸入與假設!F$281-(輸入與假設!$C$20+運營_產能與收入!$C$50/3)),輸入與假設!$C$21)/4))/(1-(1+各期收支!$C$59)^(-0.25))))</f>
        <v>37.2969126189025</v>
      </c>
      <c r="G62" s="32" t="n">
        <f aca="false">IF(OR(運營_產能與收入!$C$50&lt;=0,運營_產能與收入!$C$56&lt;=0),1*輸入與假設!$C$19/輸入與假設!$C$21/輸入與假設!$C$22/4/((1+各期收支!$C$59)^0.25-1)*(MIN(MAX(0,輸入與假設!G$281-(輸入與假設!$C$20)),輸入與假設!$C$21)-(1+各期收支!$C$59)^(-(4*輸入與假設!$C$22-MAX(0,輸入與假設!G$281-(輸入與假設!$C$20)))/4)*(1-(1+各期收支!$C$59)^(-MIN(MAX(0,輸入與假設!G$281-(輸入與假設!$C$20)),輸入與假設!$C$21)/4))/(1-(1+各期收支!$C$59)^(-0.25))),(1-運營_產能與收入!$C$56)*輸入與假設!$C$19/輸入與假設!$C$21/輸入與假設!$C$22/4/((1+各期收支!$C$59)^0.25-1)*(MIN(MAX(0,輸入與假設!G$281-(輸入與假設!$C$20)),輸入與假設!$C$21)-(1+各期收支!$C$59)^(-(4*輸入與假設!$C$22-MAX(0,輸入與假設!G$281-(輸入與假設!$C$20)))/4)*(1-(1+各期收支!$C$59)^(-MIN(MAX(0,輸入與假設!G$281-(輸入與假設!$C$20)),輸入與假設!$C$21)/4))/(1-(1+各期收支!$C$59)^(-0.25)))+運營_產能與收入!$C$56*輸入與假設!$C$19/輸入與假設!$C$21/輸入與假設!$C$22/4/((1+各期收支!$C$59)^0.25-1)*(MIN(MAX(0,輸入與假設!G$281-(輸入與假設!$C$20+運營_產能與收入!$C$50/3)),輸入與假設!$C$21)-(1+各期收支!$C$59)^(-(4*輸入與假設!$C$22-MAX(0,輸入與假設!G$281-(輸入與假設!$C$20+運營_產能與收入!$C$50/3)))/4)*(1-(1+各期收支!$C$59)^(-MIN(MAX(0,輸入與假設!G$281-(輸入與假設!$C$20+運營_產能與收入!$C$50/3)),輸入與假設!$C$21)/4))/(1-(1+各期收支!$C$59)^(-0.25))))</f>
        <v>46.4853385618154</v>
      </c>
      <c r="I62" s="6" t="s">
        <v>1187</v>
      </c>
    </row>
    <row r="63" customFormat="false" ht="15" hidden="false" customHeight="false" outlineLevel="1" collapsed="false">
      <c r="A63" s="2" t="s">
        <v>1188</v>
      </c>
      <c r="B63" s="11" t="s">
        <v>65</v>
      </c>
      <c r="C63" s="42" t="n">
        <f aca="false">C61+C62</f>
        <v>24.7261334114602</v>
      </c>
      <c r="D63" s="42" t="n">
        <f aca="false">D61+D62</f>
        <v>32.620730852718</v>
      </c>
      <c r="E63" s="42" t="n">
        <f aca="false">E61+E62</f>
        <v>40.3069509907814</v>
      </c>
      <c r="F63" s="42" t="n">
        <f aca="false">F61+F62</f>
        <v>47.6698990888628</v>
      </c>
      <c r="G63" s="42" t="n">
        <f aca="false">G61+G62</f>
        <v>54.8776224539205</v>
      </c>
    </row>
    <row r="65" customFormat="false" ht="15" hidden="false" customHeight="false" outlineLevel="0" collapsed="false">
      <c r="A65" s="52" t="s">
        <v>1189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1190</v>
      </c>
      <c r="B66" s="11" t="s">
        <v>65</v>
      </c>
      <c r="C66" s="32" t="n">
        <f aca="false">C13+C16+C17+C22+C25+C26+C27+C28+C29+C23</f>
        <v>291.813050613984</v>
      </c>
      <c r="D66" s="32" t="n">
        <f aca="false">D13+D16+D17+D22+D25+D26+D27+D28+D29+D23</f>
        <v>283.644306924508</v>
      </c>
      <c r="E66" s="32" t="n">
        <f aca="false">E13+E16+E17+E22+E25+E26+E27+E28+E29+E23</f>
        <v>306.234219910742</v>
      </c>
      <c r="F66" s="32" t="n">
        <f aca="false">F13+F16+F17+F22+F25+F26+F27+F28+F29+F23</f>
        <v>337.364611338178</v>
      </c>
      <c r="G66" s="32" t="n">
        <f aca="false">G13+G16+G17+G22+G25+G26+G27+G28+G29+G23</f>
        <v>467.243025784969</v>
      </c>
      <c r="I66" s="6" t="s">
        <v>1191</v>
      </c>
    </row>
    <row r="67" customFormat="false" ht="15" hidden="false" customHeight="false" outlineLevel="1" collapsed="false">
      <c r="A67" s="3" t="s">
        <v>1192</v>
      </c>
      <c r="B67" s="11" t="s">
        <v>65</v>
      </c>
      <c r="C67" s="32" t="n">
        <f aca="false">0</f>
        <v>0</v>
      </c>
      <c r="D67" s="32" t="n">
        <f aca="false">C98</f>
        <v>0</v>
      </c>
      <c r="E67" s="32" t="n">
        <f aca="false">D98</f>
        <v>0</v>
      </c>
      <c r="F67" s="32" t="n">
        <f aca="false">E98</f>
        <v>0</v>
      </c>
      <c r="G67" s="32" t="n">
        <f aca="false">F98</f>
        <v>0</v>
      </c>
    </row>
    <row r="68" customFormat="false" ht="15" hidden="false" customHeight="false" outlineLevel="1" collapsed="false">
      <c r="A68" s="3" t="s">
        <v>1193</v>
      </c>
      <c r="B68" s="11" t="s">
        <v>42</v>
      </c>
      <c r="C68" s="54" t="n">
        <f aca="false">C19*運營_產能與收入!C7</f>
        <v>0.025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1194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1195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1196</v>
      </c>
      <c r="B71" s="11" t="s">
        <v>42</v>
      </c>
      <c r="C71" s="54" t="n">
        <f aca="false">輸入與假設!$C$351*運營_產能與收入!C7</f>
        <v>0</v>
      </c>
      <c r="D71" s="54" t="n">
        <f aca="false">輸入與假設!$C$351*運營_產能與收入!D7</f>
        <v>0</v>
      </c>
      <c r="E71" s="54" t="n">
        <f aca="false">輸入與假設!$C$351*運營_產能與收入!E7</f>
        <v>0</v>
      </c>
      <c r="F71" s="54" t="n">
        <f aca="false">輸入與假設!$C$351*運營_產能與收入!F7</f>
        <v>0</v>
      </c>
      <c r="G71" s="54" t="n">
        <f aca="false">輸入與假設!$C$351*運營_產能與收入!G7</f>
        <v>0</v>
      </c>
    </row>
    <row r="72" customFormat="false" ht="15" hidden="false" customHeight="false" outlineLevel="1" collapsed="false">
      <c r="A72" s="3" t="s">
        <v>1197</v>
      </c>
      <c r="B72" s="11" t="s">
        <v>42</v>
      </c>
      <c r="C72" s="54" t="n">
        <f aca="false">(輸入與假設!$C$353+IF(輸入與假設!$C$356=1,MAX(0,輸入與假設!$C$355-輸入與假設!$C$357)/10000*輸入與假設!$C$358,0))*運營_產能與收入!C7</f>
        <v>0.06</v>
      </c>
      <c r="D72" s="54" t="n">
        <f aca="false">(輸入與假設!$C$353+IF(輸入與假設!$C$356=1,MAX(0,輸入與假設!$C$355-輸入與假設!$C$357)/10000*輸入與假設!$C$358,0))*運營_產能與收入!D7</f>
        <v>0.12</v>
      </c>
      <c r="E72" s="54" t="n">
        <f aca="false">(輸入與假設!$C$353+IF(輸入與假設!$C$356=1,MAX(0,輸入與假設!$C$355-輸入與假設!$C$357)/10000*輸入與假設!$C$358,0))*運營_產能與收入!E7</f>
        <v>0.12</v>
      </c>
      <c r="F72" s="54" t="n">
        <f aca="false">(輸入與假設!$C$353+IF(輸入與假設!$C$356=1,MAX(0,輸入與假設!$C$355-輸入與假設!$C$357)/10000*輸入與假設!$C$358,0))*運營_產能與收入!F7</f>
        <v>0.12</v>
      </c>
      <c r="G72" s="54" t="n">
        <f aca="false">(輸入與假設!$C$353+IF(輸入與假設!$C$356=1,MAX(0,輸入與假設!$C$355-輸入與假設!$C$357)/10000*輸入與假設!$C$358,0))*運營_產能與收入!G7</f>
        <v>0.12</v>
      </c>
    </row>
    <row r="73" customFormat="false" ht="15" hidden="false" customHeight="false" outlineLevel="1" collapsed="false">
      <c r="A73" s="3" t="s">
        <v>1198</v>
      </c>
      <c r="B73" s="11" t="s">
        <v>65</v>
      </c>
      <c r="C73" s="32" t="n">
        <f aca="false">C18+C43+C45+C46+C53-C66-C68*C67-C72*C69-C71*C70</f>
        <v>136.624406558114</v>
      </c>
      <c r="D73" s="32" t="n">
        <f aca="false">D18+D43+D45+D46+D53-D66-D68*D67-D72*D69-D71*D70</f>
        <v>102.938507437063</v>
      </c>
      <c r="E73" s="32" t="n">
        <f aca="false">E18+E43+E45+E46+E53-E66-E68*E67-E72*E69-E71*E70</f>
        <v>80.4439650626317</v>
      </c>
      <c r="F73" s="32" t="n">
        <f aca="false">F18+F43+F45+F46+F53-F66-F68*F67-F72*F69-F71*F70</f>
        <v>70.7031816528477</v>
      </c>
      <c r="G73" s="32" t="n">
        <f aca="false">G18+G43+G45+G46+G53-G66-G68*G67-G72*G69-G71*G70</f>
        <v>-31.5157713451324</v>
      </c>
    </row>
    <row r="74" customFormat="false" ht="15" hidden="false" customHeight="false" outlineLevel="1" collapsed="false">
      <c r="A74" s="2" t="s">
        <v>1199</v>
      </c>
      <c r="B74" s="11" t="s">
        <v>65</v>
      </c>
      <c r="C74" s="42" t="n">
        <f aca="false">MAX(0,輸入與假設!$C$340-(C73-C76))</f>
        <v>0</v>
      </c>
      <c r="D74" s="42" t="n">
        <f aca="false">MAX(0,輸入與假設!$C$340-(D73-D76))</f>
        <v>0</v>
      </c>
      <c r="E74" s="42" t="n">
        <f aca="false">MAX(0,輸入與假設!$C$340-(E73-E76))</f>
        <v>0</v>
      </c>
      <c r="F74" s="42" t="n">
        <f aca="false">MAX(0,輸入與假設!$C$340-(F73-F76))</f>
        <v>0</v>
      </c>
      <c r="G74" s="42" t="n">
        <f aca="false">MAX(0,輸入與假設!$C$340-(G73-G76))</f>
        <v>81.5157713451324</v>
      </c>
      <c r="I74" s="6" t="s">
        <v>1200</v>
      </c>
    </row>
    <row r="75" customFormat="false" ht="15" hidden="false" customHeight="false" outlineLevel="1" collapsed="false">
      <c r="A75" s="3" t="s">
        <v>1201</v>
      </c>
      <c r="B75" s="11" t="s">
        <v>65</v>
      </c>
      <c r="C75" s="32" t="n">
        <f aca="false">輸入與假設!$C$341*運營_產能與收入!C7</f>
        <v>8.5015</v>
      </c>
      <c r="D75" s="32" t="n">
        <f aca="false">輸入與假設!$C$341*運營_產能與收入!D7</f>
        <v>17.003</v>
      </c>
      <c r="E75" s="32" t="n">
        <f aca="false">輸入與假設!$C$341*運營_產能與收入!E7</f>
        <v>17.003</v>
      </c>
      <c r="F75" s="32" t="n">
        <f aca="false">輸入與假設!$C$341*運營_產能與收入!F7</f>
        <v>17.003</v>
      </c>
      <c r="G75" s="32" t="n">
        <f aca="false">輸入與假設!$C$341*運營_產能與收入!G7</f>
        <v>17.003</v>
      </c>
      <c r="I75" s="11" t="s">
        <v>1202</v>
      </c>
    </row>
    <row r="76" customFormat="false" ht="15" hidden="false" customHeight="false" outlineLevel="1" collapsed="false">
      <c r="A76" s="2" t="s">
        <v>1203</v>
      </c>
      <c r="B76" s="11" t="s">
        <v>65</v>
      </c>
      <c r="C76" s="42" t="n">
        <f aca="false">MIN(C75,MAX(C75*輸入與假設!$C$342,C73-輸入與假設!$C$340))</f>
        <v>8.5015</v>
      </c>
      <c r="D76" s="42" t="n">
        <f aca="false">MIN(D75,MAX(D75*輸入與假設!$C$342,D73-輸入與假設!$C$340))</f>
        <v>17.003</v>
      </c>
      <c r="E76" s="42" t="n">
        <f aca="false">MIN(E75,MAX(E75*輸入與假設!$C$342,E73-輸入與假設!$C$340))</f>
        <v>17.003</v>
      </c>
      <c r="F76" s="42" t="n">
        <f aca="false">MIN(F75,MAX(F75*輸入與假設!$C$342,F73-輸入與假設!$C$340))</f>
        <v>17.003</v>
      </c>
      <c r="G76" s="42" t="n">
        <f aca="false">MIN(G75,MAX(G75*輸入與假設!$C$342,G73-輸入與假設!$C$340))</f>
        <v>0</v>
      </c>
      <c r="I76" s="6" t="s">
        <v>1204</v>
      </c>
    </row>
    <row r="77" customFormat="false" ht="15" hidden="false" customHeight="false" outlineLevel="1" collapsed="false">
      <c r="A77" s="3" t="s">
        <v>1205</v>
      </c>
      <c r="B77" s="11" t="s">
        <v>65</v>
      </c>
      <c r="C77" s="32" t="n">
        <f aca="false">C75-C76</f>
        <v>0</v>
      </c>
      <c r="D77" s="32" t="n">
        <f aca="false">D75-D76</f>
        <v>0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17.003</v>
      </c>
      <c r="I77" s="6" t="s">
        <v>1206</v>
      </c>
    </row>
    <row r="78" customFormat="false" ht="15" hidden="false" customHeight="false" outlineLevel="1" collapsed="false">
      <c r="A78" s="3" t="s">
        <v>1207</v>
      </c>
      <c r="B78" s="11" t="s">
        <v>689</v>
      </c>
      <c r="C78" s="31" t="n">
        <f aca="false">C76/MAX(0.01,輸入與假設!$C$343)</f>
        <v>0.0242553495007133</v>
      </c>
      <c r="D78" s="31" t="n">
        <f aca="false">D76/MAX(0.01,輸入與假設!$C$343)</f>
        <v>0.0485106990014265</v>
      </c>
      <c r="E78" s="31" t="n">
        <f aca="false">E76/MAX(0.01,輸入與假設!$C$343)</f>
        <v>0.0485106990014265</v>
      </c>
      <c r="F78" s="31" t="n">
        <f aca="false">F76/MAX(0.01,輸入與假設!$C$343)</f>
        <v>0.0485106990014265</v>
      </c>
      <c r="G78" s="31" t="n">
        <f aca="false">G76/MAX(0.01,輸入與假設!$C$343)</f>
        <v>0</v>
      </c>
      <c r="I78" s="6" t="s">
        <v>1208</v>
      </c>
    </row>
    <row r="79" customFormat="false" ht="15" hidden="false" customHeight="false" outlineLevel="1" collapsed="false">
      <c r="A79" s="3" t="s">
        <v>1209</v>
      </c>
      <c r="B79" s="11" t="s">
        <v>65</v>
      </c>
      <c r="C79" s="32" t="n">
        <f aca="false">輸入與假設!$C$24+輸入與假設!$C$25</f>
        <v>0</v>
      </c>
      <c r="D79" s="32" t="n">
        <f aca="false">C81</f>
        <v>63.6137595266212</v>
      </c>
      <c r="E79" s="32" t="n">
        <f aca="false">D81</f>
        <v>63.4800515718224</v>
      </c>
      <c r="F79" s="32" t="n">
        <f aca="false">E81</f>
        <v>59.9170721889968</v>
      </c>
      <c r="G79" s="32" t="n">
        <f aca="false">F81</f>
        <v>39.3313003260774</v>
      </c>
      <c r="I79" s="11" t="s">
        <v>1210</v>
      </c>
    </row>
    <row r="80" customFormat="false" ht="15" hidden="false" customHeight="false" outlineLevel="1" collapsed="false">
      <c r="A80" s="3" t="s">
        <v>1211</v>
      </c>
      <c r="B80" s="11" t="s">
        <v>65</v>
      </c>
      <c r="C80" s="32" t="n">
        <f aca="false">MAX(0,運營_產能與收入!C24/運營_產能與收入!C7-0)*輸入與假設!$C$336</f>
        <v>76.3365114319454</v>
      </c>
      <c r="D80" s="32" t="n">
        <f aca="false">MAX(0,運營_產能與收入!D24/運營_產能與收入!D7-運營_產能與收入!C24/運營_產能與收入!C7)*輸入與假設!$C$336</f>
        <v>37.9676937837746</v>
      </c>
      <c r="E80" s="32" t="n">
        <f aca="false">MAX(0,運營_產能與收入!E24/運營_產能與收入!E7-運營_產能與收入!D24/運營_產能與收入!D7)*輸入與假設!$C$336</f>
        <v>51.8076335336216</v>
      </c>
      <c r="F80" s="32" t="n">
        <f aca="false">MAX(0,運營_產能與收入!F24/運營_產能與收入!F7-運營_產能與收入!E24/運營_產能與收入!E7)*輸入與假設!$C$336</f>
        <v>52.1772615802917</v>
      </c>
      <c r="G80" s="32" t="n">
        <f aca="false">MAX(0,運營_產能與收入!G24/運營_產能與收入!G7-運營_產能與收入!F24/運營_產能與收入!F7)*輸入與假設!$C$336</f>
        <v>52.3628595639173</v>
      </c>
    </row>
    <row r="81" customFormat="false" ht="15" hidden="false" customHeight="false" outlineLevel="1" collapsed="false">
      <c r="A81" s="3" t="s">
        <v>1212</v>
      </c>
      <c r="B81" s="11" t="s">
        <v>65</v>
      </c>
      <c r="C81" s="32" t="n">
        <f aca="false">C79-運營_產能與收入!C18-運營_產能與收入!C24+C80</f>
        <v>63.6137595266212</v>
      </c>
      <c r="D81" s="32" t="n">
        <f aca="false">D79-運營_產能與收入!D18-運營_產能與收入!D24+D80</f>
        <v>63.4800515718224</v>
      </c>
      <c r="E81" s="32" t="n">
        <f aca="false">E79-運營_產能與收入!E18-運營_產能與收入!E24+E80</f>
        <v>59.9170721889968</v>
      </c>
      <c r="F81" s="32" t="n">
        <f aca="false">F79-運營_產能與收入!F18-運營_產能與收入!F24+F80</f>
        <v>39.3313003260774</v>
      </c>
      <c r="G81" s="32" t="n">
        <f aca="false">G79-運營_產能與收入!G18-運營_產能與收入!G24+G80</f>
        <v>1.4768399254779</v>
      </c>
      <c r="I81" s="6" t="s">
        <v>1213</v>
      </c>
    </row>
    <row r="82" customFormat="false" ht="15" hidden="false" customHeight="false" outlineLevel="1" collapsed="false">
      <c r="A82" s="3" t="s">
        <v>1214</v>
      </c>
      <c r="B82" s="11" t="s">
        <v>65</v>
      </c>
      <c r="C82" s="32" t="n">
        <f aca="false">IF(輸入與假設!$C$332=1,資產負債_既有債務!C34,資產負債_既有債務!$E$16)+資產負債_既有債務!$E$19+資產負債_既有債務!C39</f>
        <v>99.085</v>
      </c>
      <c r="D82" s="32" t="n">
        <f aca="false">IF(輸入與假設!$C$332=1,資產負債_既有債務!D34,資產負債_既有債務!$E$16)+資產負債_既有債務!$E$19+資產負債_既有債務!D39</f>
        <v>98.085</v>
      </c>
      <c r="E82" s="32" t="n">
        <f aca="false">IF(輸入與假設!$C$332=1,資產負債_既有債務!E34,資產負債_既有債務!$E$16)+資產負債_既有債務!$E$19+資產負債_既有債務!E39</f>
        <v>95.409</v>
      </c>
      <c r="F82" s="32" t="n">
        <f aca="false">IF(輸入與假設!$C$332=1,資產負債_既有債務!F34,資產負債_既有債務!$E$16)+資產負債_既有債務!$E$19+資產負債_既有債務!F39</f>
        <v>93.645</v>
      </c>
      <c r="G82" s="32" t="n">
        <f aca="false">IF(輸入與假設!$C$332=1,資產負債_既有債務!G34,資產負債_既有債務!$E$16)+資產負債_既有債務!$E$19+資產負債_既有債務!G39</f>
        <v>86.459</v>
      </c>
      <c r="I82" s="6" t="s">
        <v>1215</v>
      </c>
    </row>
    <row r="83" customFormat="false" ht="15" hidden="false" customHeight="false" outlineLevel="1" collapsed="false">
      <c r="A83" s="3" t="s">
        <v>1216</v>
      </c>
      <c r="B83" s="11" t="s">
        <v>65</v>
      </c>
      <c r="C83" s="32" t="n">
        <f aca="false">IF(輸入與假設!$C$334="leaseAdj",輸入與假設!$C$335*(損益!C22+C16)/運營_產能與收入!C7-C63,IF(輸入與假設!$C$334="ebitda",輸入與假設!$C$335*損益!C22/運營_產能與收入!C7,輸入與假設!$C$333*C81))</f>
        <v>579.219412818026</v>
      </c>
      <c r="D83" s="32" t="n">
        <f aca="false">IF(輸入與假設!$C$334="leaseAdj",輸入與假設!$C$335*(損益!D22+D16)/運營_產能與收入!D7-D63,IF(輸入與假設!$C$334="ebitda",輸入與假設!$C$335*損益!D22/運營_產能與收入!D7,輸入與假設!$C$333*D81))</f>
        <v>630.900442252681</v>
      </c>
      <c r="E83" s="32" t="n">
        <f aca="false">IF(輸入與假設!$C$334="leaseAdj",輸入與假設!$C$335*(損益!E22+E16)/運營_產能與收入!E7-E63,IF(輸入與假設!$C$334="ebitda",輸入與假設!$C$335*損益!E22/運營_產能與收入!E7,輸入與假設!$C$333*E81))</f>
        <v>732.210344278109</v>
      </c>
      <c r="F83" s="32" t="n">
        <f aca="false">IF(輸入與假設!$C$334="leaseAdj",輸入與假設!$C$335*(損益!F22+F16)/運營_產能與收入!F7-F63,IF(輸入與假設!$C$334="ebitda",輸入與假設!$C$335*損益!F22/運營_產能與收入!F7,輸入與假設!$C$333*F81))</f>
        <v>840.063089016995</v>
      </c>
      <c r="G83" s="32" t="n">
        <f aca="false">IF(輸入與假設!$C$334="leaseAdj",輸入與假設!$C$335*(損益!G22+G16)/運營_產能與收入!G7-G63,IF(輸入與假設!$C$334="ebitda",輸入與假設!$C$335*損益!G22/運營_產能與收入!G7,輸入與假設!$C$333*G81))</f>
        <v>931.453526178556</v>
      </c>
      <c r="I83" s="11" t="s">
        <v>1217</v>
      </c>
    </row>
    <row r="84" customFormat="false" ht="15" hidden="false" customHeight="false" outlineLevel="1" collapsed="false">
      <c r="A84" s="3" t="s">
        <v>1218</v>
      </c>
      <c r="B84" s="11" t="s">
        <v>65</v>
      </c>
      <c r="C84" s="32" t="n">
        <f aca="false">IF(輸入與假設!$C$331=1,輸入與假設!$C$330,0)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1219</v>
      </c>
      <c r="B85" s="11" t="s">
        <v>65</v>
      </c>
      <c r="C85" s="32" t="n">
        <f aca="false">MAX(0,C83-(C82+C67+C70),C84)</f>
        <v>480.134412818026</v>
      </c>
      <c r="D85" s="32" t="n">
        <f aca="false">MAX(0,D83-(D82+D67+D70),D84)</f>
        <v>532.815442252681</v>
      </c>
      <c r="E85" s="32" t="n">
        <f aca="false">MAX(0,E83-(E82+E67+E70),E84)</f>
        <v>636.801344278109</v>
      </c>
      <c r="F85" s="32" t="n">
        <f aca="false">MAX(0,F83-(F82+F67+F70),F84)</f>
        <v>746.418089016995</v>
      </c>
      <c r="G85" s="32" t="n">
        <f aca="false">MAX(0,G83-(G82+G67+G70),G84)</f>
        <v>844.994526178556</v>
      </c>
      <c r="I85" s="6" t="s">
        <v>1220</v>
      </c>
    </row>
    <row r="86" customFormat="false" ht="15" hidden="false" customHeight="false" outlineLevel="1" collapsed="false">
      <c r="A86" s="2" t="s">
        <v>1221</v>
      </c>
      <c r="B86" s="11" t="s">
        <v>65</v>
      </c>
      <c r="C86" s="42" t="n">
        <f aca="false">MIN(C85,C74/(1-C68))</f>
        <v>0</v>
      </c>
      <c r="D86" s="42" t="n">
        <f aca="false">MIN(D85,D74/(1-D68))</f>
        <v>0</v>
      </c>
      <c r="E86" s="42" t="n">
        <f aca="false">MIN(E85,E74/(1-E68))</f>
        <v>0</v>
      </c>
      <c r="F86" s="42" t="n">
        <f aca="false">MIN(F85,F74/(1-F68))</f>
        <v>0</v>
      </c>
      <c r="G86" s="42" t="n">
        <f aca="false">MIN(G85,G74/(1-G68))</f>
        <v>85.8060751001393</v>
      </c>
      <c r="I86" s="6" t="s">
        <v>1222</v>
      </c>
    </row>
    <row r="87" customFormat="false" ht="15" hidden="false" customHeight="false" outlineLevel="1" collapsed="false">
      <c r="A87" s="3" t="s">
        <v>1223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1224</v>
      </c>
      <c r="B88" s="11" t="s">
        <v>65</v>
      </c>
      <c r="C88" s="32" t="n">
        <f aca="false">MAX(0,輸入與假設!$C$350)*運營_產能與收入!C7</f>
        <v>0</v>
      </c>
      <c r="D88" s="32" t="n">
        <f aca="false">MAX(0,輸入與假設!$C$350)*運營_產能與收入!D7</f>
        <v>0</v>
      </c>
      <c r="E88" s="32" t="n">
        <f aca="false">MAX(0,輸入與假設!$C$350)*運營_產能與收入!E7</f>
        <v>0</v>
      </c>
      <c r="F88" s="32" t="n">
        <f aca="false">MAX(0,輸入與假設!$C$350)*運營_產能與收入!F7</f>
        <v>0</v>
      </c>
      <c r="G88" s="32" t="n">
        <f aca="false">MAX(0,輸入與假設!$C$350)*運營_產能與收入!G7</f>
        <v>0</v>
      </c>
      <c r="I88" s="6" t="s">
        <v>1225</v>
      </c>
    </row>
    <row r="89" customFormat="false" ht="15" hidden="false" customHeight="false" outlineLevel="1" collapsed="false">
      <c r="A89" s="2" t="s">
        <v>1226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1227</v>
      </c>
    </row>
    <row r="90" customFormat="false" ht="15" hidden="false" customHeight="false" outlineLevel="1" collapsed="false">
      <c r="A90" s="3" t="s">
        <v>1228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1229</v>
      </c>
      <c r="B91" s="11" t="s">
        <v>65</v>
      </c>
      <c r="C91" s="32" t="n">
        <f aca="false">IF(輸入與假設!$C$345&gt;=9,1E+099,輸入與假設!$C$345*輸入與假設!$C$343*輸入與假設!$C$346*運營_產能與收入!C7)</f>
        <v>107.165375</v>
      </c>
      <c r="D91" s="32" t="n">
        <f aca="false">IF(輸入與假設!$C$345&gt;=9,1E+099,輸入與假設!$C$345*輸入與假設!$C$343*輸入與假設!$C$346*運營_產能與收入!D7)</f>
        <v>214.33075</v>
      </c>
      <c r="E91" s="32" t="n">
        <f aca="false">IF(輸入與假設!$C$345&gt;=9,1E+099,輸入與假設!$C$345*輸入與假設!$C$343*輸入與假設!$C$346*運營_產能與收入!E7)</f>
        <v>214.33075</v>
      </c>
      <c r="F91" s="32" t="n">
        <f aca="false">IF(輸入與假設!$C$345&gt;=9,1E+099,輸入與假設!$C$345*輸入與假設!$C$343*輸入與假設!$C$346*運營_產能與收入!F7)</f>
        <v>214.33075</v>
      </c>
      <c r="G91" s="32" t="n">
        <f aca="false">IF(輸入與假設!$C$345&gt;=9,1E+099,輸入與假設!$C$345*輸入與假設!$C$343*輸入與假設!$C$346*運營_產能與收入!G7)</f>
        <v>214.33075</v>
      </c>
      <c r="I91" s="6" t="s">
        <v>1230</v>
      </c>
    </row>
    <row r="92" customFormat="false" ht="15" hidden="false" customHeight="false" outlineLevel="1" collapsed="false">
      <c r="A92" s="2" t="s">
        <v>1231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1232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1233</v>
      </c>
      <c r="B94" s="11" t="s">
        <v>65</v>
      </c>
      <c r="C94" s="32" t="n">
        <f aca="false">C68*(C67+C86)+C72*(C69+C93)+C71*(C70+C89)</f>
        <v>0</v>
      </c>
      <c r="D94" s="32" t="n">
        <f aca="false">D68*(D67+D86)+D72*(D69+D93)+D71*(D70+D89)</f>
        <v>0</v>
      </c>
      <c r="E94" s="32" t="n">
        <f aca="false">E68*(E67+E86)+E72*(E69+E93)+E71*(E70+E89)</f>
        <v>0</v>
      </c>
      <c r="F94" s="32" t="n">
        <f aca="false">F68*(F67+F86)+F72*(F69+F93)+F71*(F70+F89)</f>
        <v>0</v>
      </c>
      <c r="G94" s="32" t="n">
        <f aca="false">G68*(G67+G86)+G72*(G69+G93)+G71*(G70+G89)</f>
        <v>4.29030375500697</v>
      </c>
      <c r="I94" s="6" t="s">
        <v>1234</v>
      </c>
    </row>
    <row r="95" customFormat="false" ht="15" hidden="false" customHeight="false" outlineLevel="1" collapsed="false">
      <c r="A95" s="3" t="s">
        <v>1235</v>
      </c>
      <c r="B95" s="11" t="s">
        <v>39</v>
      </c>
      <c r="C95" s="55" t="n">
        <f aca="false">輸入與假設!$C$343*(1-輸入與假設!$C$344)</f>
        <v>315.45</v>
      </c>
      <c r="D95" s="55" t="n">
        <f aca="false">輸入與假設!$C$343*(1-輸入與假設!$C$344)</f>
        <v>315.45</v>
      </c>
      <c r="E95" s="55" t="n">
        <f aca="false">輸入與假設!$C$343*(1-輸入與假設!$C$344)</f>
        <v>315.45</v>
      </c>
      <c r="F95" s="55" t="n">
        <f aca="false">輸入與假設!$C$343*(1-輸入與假設!$C$344)</f>
        <v>315.45</v>
      </c>
      <c r="G95" s="55" t="n">
        <f aca="false">輸入與假設!$C$343*(1-輸入與假設!$C$344)</f>
        <v>315.45</v>
      </c>
    </row>
    <row r="96" customFormat="false" ht="15" hidden="false" customHeight="false" outlineLevel="1" collapsed="false">
      <c r="A96" s="3" t="s">
        <v>1236</v>
      </c>
      <c r="B96" s="11" t="s">
        <v>689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1237</v>
      </c>
      <c r="B97" s="11" t="s">
        <v>689</v>
      </c>
      <c r="C97" s="56" t="n">
        <f aca="false">C96-C78</f>
        <v>-0.0242553495007133</v>
      </c>
      <c r="D97" s="56" t="n">
        <f aca="false">C97+D96-D78</f>
        <v>-0.0727660485021398</v>
      </c>
      <c r="E97" s="56" t="n">
        <f aca="false">D97+E96-E78</f>
        <v>-0.121276747503566</v>
      </c>
      <c r="F97" s="56" t="n">
        <f aca="false">E97+F96-F78</f>
        <v>-0.169787446504993</v>
      </c>
      <c r="G97" s="56" t="n">
        <f aca="false">F97+G96-G78</f>
        <v>-0.169787446504993</v>
      </c>
    </row>
    <row r="98" customFormat="false" ht="15" hidden="false" customHeight="false" outlineLevel="1" collapsed="false">
      <c r="A98" s="3" t="s">
        <v>1238</v>
      </c>
      <c r="B98" s="11" t="s">
        <v>65</v>
      </c>
      <c r="C98" s="32" t="n">
        <f aca="false">C67+C86</f>
        <v>0</v>
      </c>
      <c r="D98" s="32" t="n">
        <f aca="false">D67+D86</f>
        <v>0</v>
      </c>
      <c r="E98" s="32" t="n">
        <f aca="false">E67+E86</f>
        <v>0</v>
      </c>
      <c r="F98" s="32" t="n">
        <f aca="false">F67+F86</f>
        <v>0</v>
      </c>
      <c r="G98" s="32" t="n">
        <f aca="false">G67+G86</f>
        <v>85.8060751001393</v>
      </c>
    </row>
    <row r="99" customFormat="false" ht="15" hidden="false" customHeight="false" outlineLevel="1" collapsed="false">
      <c r="A99" s="3" t="s">
        <v>1239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1240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1241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1242</v>
      </c>
      <c r="B102" s="11" t="s">
        <v>65</v>
      </c>
      <c r="C102" s="42" t="n">
        <f aca="false">C82+C98+C101+C100</f>
        <v>99.085</v>
      </c>
      <c r="D102" s="42" t="n">
        <f aca="false">D82+D98+D101+D100</f>
        <v>98.085</v>
      </c>
      <c r="E102" s="42" t="n">
        <f aca="false">E82+E98+E101+E100</f>
        <v>95.409</v>
      </c>
      <c r="F102" s="42" t="n">
        <f aca="false">F82+F98+F101+F100</f>
        <v>93.645</v>
      </c>
      <c r="G102" s="42" t="n">
        <f aca="false">G82+G98+G101+G100</f>
        <v>172.265075100139</v>
      </c>
    </row>
    <row r="103" customFormat="false" ht="15" hidden="false" customHeight="false" outlineLevel="1" collapsed="false">
      <c r="A103" s="2" t="s">
        <v>1243</v>
      </c>
      <c r="B103" s="11" t="s">
        <v>65</v>
      </c>
      <c r="C103" s="42" t="n">
        <f aca="false">C18+C43+C45+C46+C53-C66</f>
        <v>136.624406558114</v>
      </c>
      <c r="D103" s="42" t="n">
        <f aca="false">C103+D43+D45-D66</f>
        <v>111.440007437063</v>
      </c>
      <c r="E103" s="42" t="n">
        <f aca="false">D103+E43+E45-E66</f>
        <v>105.948465062632</v>
      </c>
      <c r="F103" s="42" t="n">
        <f aca="false">E103+F43+F45-F66</f>
        <v>113.210681652848</v>
      </c>
      <c r="G103" s="42" t="n">
        <f aca="false">F103+G43+G45-G66</f>
        <v>27.9947286548676</v>
      </c>
      <c r="I103" s="6" t="s">
        <v>1244</v>
      </c>
    </row>
    <row r="105" customFormat="false" ht="15" hidden="false" customHeight="false" outlineLevel="0" collapsed="true">
      <c r="A105" s="52" t="s">
        <v>1245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1246</v>
      </c>
      <c r="C106" s="57" t="n">
        <f aca="false">輸入與假設!$C$466</f>
        <v>120.53</v>
      </c>
    </row>
    <row r="107" customFormat="false" ht="15" hidden="true" customHeight="false" outlineLevel="1" collapsed="false">
      <c r="A107" s="3" t="s">
        <v>1247</v>
      </c>
      <c r="C107" s="57" t="n">
        <f aca="false">SUM(C54:G54)</f>
        <v>-233.001075100139</v>
      </c>
    </row>
    <row r="108" customFormat="false" ht="15" hidden="true" customHeight="false" outlineLevel="1" collapsed="false">
      <c r="A108" s="3" t="s">
        <v>1248</v>
      </c>
      <c r="C108" s="57" t="n">
        <f aca="false">SUM(C45:G45)</f>
        <v>49.562</v>
      </c>
    </row>
    <row r="109" customFormat="false" ht="15" hidden="true" customHeight="false" outlineLevel="1" collapsed="false">
      <c r="A109" s="3" t="s">
        <v>1249</v>
      </c>
      <c r="C109" s="57" t="n">
        <f aca="false">SUM(C46:G46)</f>
        <v>56.226</v>
      </c>
    </row>
    <row r="110" customFormat="false" ht="15" hidden="true" customHeight="false" outlineLevel="1" collapsed="false">
      <c r="A110" s="4" t="s">
        <v>1250</v>
      </c>
      <c r="C110" s="57" t="n">
        <f aca="false">-SUM(C28:G28)</f>
        <v>-1.011</v>
      </c>
    </row>
    <row r="111" customFormat="false" ht="15" hidden="true" customHeight="false" outlineLevel="1" collapsed="false">
      <c r="A111" s="3" t="s">
        <v>1251</v>
      </c>
      <c r="C111" s="57" t="n">
        <f aca="false">SUM(C53:G53)</f>
        <v>-8.23300000000003</v>
      </c>
    </row>
    <row r="112" customFormat="false" ht="15" hidden="true" customHeight="false" outlineLevel="1" collapsed="false">
      <c r="A112" s="3" t="s">
        <v>1252</v>
      </c>
      <c r="C112" s="57" t="n">
        <f aca="false">SUM(C47:G47)+SUM(C48:G48)+SUM(C49:G49)+SUM(C50:G50)</f>
        <v>85.8060751001393</v>
      </c>
    </row>
    <row r="113" customFormat="false" ht="15" hidden="true" customHeight="false" outlineLevel="1" collapsed="false">
      <c r="A113" s="3" t="s">
        <v>1253</v>
      </c>
      <c r="C113" s="57" t="n">
        <f aca="false">-SUM(C27:G27)</f>
        <v>-19.879</v>
      </c>
    </row>
    <row r="114" customFormat="false" ht="15" hidden="true" customHeight="false" outlineLevel="1" collapsed="false">
      <c r="A114" s="2" t="s">
        <v>1254</v>
      </c>
      <c r="C114" s="58" t="n">
        <f aca="false">SUM(C106:C113)</f>
        <v>50</v>
      </c>
    </row>
    <row r="115" customFormat="false" ht="15" hidden="true" customHeight="false" outlineLevel="1" collapsed="false">
      <c r="A115" s="3" t="s">
        <v>1255</v>
      </c>
      <c r="C115" s="57" t="n">
        <f aca="false">G56</f>
        <v>50</v>
      </c>
    </row>
    <row r="116" customFormat="false" ht="15" hidden="true" customHeight="false" outlineLevel="1" collapsed="false">
      <c r="A116" s="2" t="s">
        <v>1256</v>
      </c>
      <c r="C116" s="57" t="n">
        <f aca="false">C114-C115</f>
        <v>0</v>
      </c>
      <c r="I116" s="6" t="s">
        <v>1257</v>
      </c>
    </row>
    <row r="118" customFormat="false" ht="15" hidden="false" customHeight="false" outlineLevel="0" collapsed="true">
      <c r="A118" s="7" t="s">
        <v>1258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1259</v>
      </c>
      <c r="C119" s="10" t="n">
        <f aca="false">運營_產能與收入!C31</f>
        <v>492.268310257</v>
      </c>
      <c r="I119" s="6" t="s">
        <v>1260</v>
      </c>
    </row>
    <row r="120" customFormat="false" ht="15" hidden="true" customHeight="false" outlineLevel="1" collapsed="false">
      <c r="A120" s="4" t="s">
        <v>1261</v>
      </c>
      <c r="C120" s="10" t="n">
        <f aca="false">C6</f>
        <v>200.004790442699</v>
      </c>
      <c r="I120" s="6" t="s">
        <v>1262</v>
      </c>
    </row>
    <row r="121" customFormat="false" ht="15" hidden="true" customHeight="false" outlineLevel="1" collapsed="false">
      <c r="A121" s="4" t="s">
        <v>1263</v>
      </c>
      <c r="C121" s="10" t="n">
        <f aca="false">輸入與假設!$C$475+輸入與假設!C$363+C20</f>
        <v>3.82368256759658</v>
      </c>
      <c r="I121" s="6" t="s">
        <v>1264</v>
      </c>
    </row>
    <row r="122" customFormat="false" ht="15" hidden="true" customHeight="false" outlineLevel="1" collapsed="false">
      <c r="A122" s="4" t="s">
        <v>1265</v>
      </c>
      <c r="C122" s="10" t="n">
        <f aca="false">輸入與假設!$C$476+C16</f>
        <v>2.92231375636364</v>
      </c>
      <c r="I122" s="11" t="s">
        <v>1266</v>
      </c>
    </row>
    <row r="123" customFormat="false" ht="15" hidden="true" customHeight="false" outlineLevel="1" collapsed="false">
      <c r="A123" s="4" t="s">
        <v>1267</v>
      </c>
      <c r="C123" s="10" t="n">
        <f aca="false">C27</f>
        <v>7.253</v>
      </c>
      <c r="I123" s="11" t="s">
        <v>1268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1269</v>
      </c>
    </row>
    <row r="2" customFormat="false" ht="15" hidden="false" customHeight="false" outlineLevel="0" collapsed="false">
      <c r="A2" s="6" t="s">
        <v>1270</v>
      </c>
    </row>
    <row r="4" customFormat="false" ht="15" hidden="false" customHeight="false" outlineLevel="0" collapsed="false">
      <c r="A4" s="7" t="s">
        <v>1271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1272</v>
      </c>
      <c r="B5" s="14" t="s">
        <v>60</v>
      </c>
      <c r="C5" s="14" t="s">
        <v>1273</v>
      </c>
      <c r="D5" s="14" t="s">
        <v>1274</v>
      </c>
      <c r="E5" s="14" t="s">
        <v>1275</v>
      </c>
      <c r="F5" s="14" t="s">
        <v>1276</v>
      </c>
      <c r="G5" s="14" t="s">
        <v>1277</v>
      </c>
      <c r="H5" s="14" t="s">
        <v>1278</v>
      </c>
      <c r="I5" s="14" t="s">
        <v>1279</v>
      </c>
      <c r="J5" s="14" t="s">
        <v>1280</v>
      </c>
      <c r="K5" s="14" t="s">
        <v>1281</v>
      </c>
      <c r="L5" s="14" t="s">
        <v>1282</v>
      </c>
      <c r="M5" s="14" t="s">
        <v>1283</v>
      </c>
      <c r="N5" s="14" t="s">
        <v>1284</v>
      </c>
      <c r="O5" s="14" t="s">
        <v>1280</v>
      </c>
      <c r="P5" s="14" t="s">
        <v>1281</v>
      </c>
      <c r="Q5" s="14" t="s">
        <v>1285</v>
      </c>
    </row>
    <row r="6" customFormat="false" ht="15" hidden="false" customHeight="false" outlineLevel="1" collapsed="false">
      <c r="A6" s="3" t="s">
        <v>1286</v>
      </c>
      <c r="B6" s="11" t="s">
        <v>65</v>
      </c>
      <c r="C6" s="59" t="n">
        <f aca="false">INDEX($C$22:$H$22,輸入與假設!$C$551)</f>
        <v>127.457436752333</v>
      </c>
      <c r="D6" s="59" t="str">
        <f aca="false">INDEX($C$33:$H$33,輸入與假設!$C$551)</f>
        <v>不適用</v>
      </c>
      <c r="E6" s="60" t="str">
        <f aca="false">INDEX($C$43:$H$43,輸入與假設!$C$551)</f>
        <v>不適用</v>
      </c>
      <c r="F6" s="61" t="s">
        <v>1287</v>
      </c>
      <c r="G6" s="61" t="s">
        <v>1287</v>
      </c>
      <c r="H6" s="60" t="str">
        <f aca="false">INDEX($C$44:$H$44,輸入與假設!$C$551)</f>
        <v>不適用</v>
      </c>
      <c r="I6" s="59" t="str">
        <f aca="false">IF(ISNUMBER(INDEX($C$37:$H$37,輸入與假設!$C$551)),INDEX($C$37:$H$37,輸入與假設!$C$551),"待公布")</f>
        <v>待公布</v>
      </c>
      <c r="J6" s="60" t="str">
        <f aca="false">INDEX($C$45:$H$45,輸入與假設!$C$551)</f>
        <v/>
      </c>
      <c r="K6" s="60" t="str">
        <f aca="false">INDEX($C$46:$H$46,輸入與假設!$C$551)</f>
        <v/>
      </c>
      <c r="L6" s="60" t="str">
        <f aca="false">INDEX($C$47:$H$47,輸入與假設!$C$551)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1288</v>
      </c>
      <c r="B7" s="11" t="s">
        <v>65</v>
      </c>
      <c r="C7" s="59" t="n">
        <f aca="false">INDEX($C$28:$H$28,輸入與假設!$C$551)</f>
        <v>49.0473641675464</v>
      </c>
      <c r="D7" s="59" t="str">
        <f aca="false">INDEX($C$34:$H$34,輸入與假設!$C$551)</f>
        <v>不適用</v>
      </c>
      <c r="E7" s="59" t="str">
        <f aca="false">INDEX($C$48:$H$48,輸入與假設!$C$551)</f>
        <v>不適用</v>
      </c>
      <c r="F7" s="61" t="s">
        <v>1287</v>
      </c>
      <c r="G7" s="61" t="s">
        <v>1287</v>
      </c>
      <c r="H7" s="59" t="str">
        <f aca="false">INDEX($C$49:$H$49,輸入與假設!$C$551)</f>
        <v>不適用</v>
      </c>
      <c r="I7" s="59" t="str">
        <f aca="false">IF(ISNUMBER(INDEX($C$38:$H$38,輸入與假設!$C$551)),INDEX($C$38:$H$38,輸入與假設!$C$551),"待公布")</f>
        <v>待公布</v>
      </c>
      <c r="J7" s="59" t="str">
        <f aca="false">INDEX($C$50:$H$50,輸入與假設!$C$551)</f>
        <v/>
      </c>
      <c r="K7" s="59" t="str">
        <f aca="false">INDEX($C$51:$H$51,輸入與假設!$C$551)</f>
        <v/>
      </c>
      <c r="L7" s="59" t="str">
        <f aca="false">INDEX($C$52:$H$52,輸入與假設!$C$551)</f>
        <v/>
      </c>
      <c r="M7" s="60" t="str">
        <f aca="false">INDEX($C$53:$H$53,輸入與假設!$C$551)</f>
        <v>不適用</v>
      </c>
      <c r="N7" s="60" t="str">
        <f aca="false">INDEX($C$54:$H$54,輸入與假設!$C$551)</f>
        <v>不適用</v>
      </c>
      <c r="O7" s="60" t="str">
        <f aca="false">INDEX($C$55:$H$55,輸入與假設!$C$551)</f>
        <v/>
      </c>
      <c r="P7" s="60" t="str">
        <f aca="false">INDEX($C$56:$H$56,輸入與假設!$C$551)</f>
        <v/>
      </c>
      <c r="Q7" s="60" t="str">
        <f aca="false">INDEX($C$57:$H$57,輸入與假設!$C$551)</f>
        <v/>
      </c>
    </row>
    <row r="8" customFormat="false" ht="15" hidden="false" customHeight="false" outlineLevel="1" collapsed="false">
      <c r="A8" s="3" t="s">
        <v>1289</v>
      </c>
      <c r="B8" s="11" t="s">
        <v>42</v>
      </c>
      <c r="C8" s="60" t="n">
        <f aca="false">INDEX($C$27:$H$27,輸入與假設!$C$551)</f>
        <v>0.384813671271704</v>
      </c>
      <c r="D8" s="60" t="str">
        <f aca="false">INDEX($C$35:$H$35,輸入與假設!$C$551)</f>
        <v>不適用</v>
      </c>
      <c r="E8" s="60" t="str">
        <f aca="false">INDEX($C$58:$H$58,輸入與假設!$C$551)</f>
        <v>不適用</v>
      </c>
      <c r="F8" s="62" t="s">
        <v>1287</v>
      </c>
      <c r="G8" s="62" t="s">
        <v>1287</v>
      </c>
      <c r="H8" s="60" t="str">
        <f aca="false">INDEX($C$59:$H$59,輸入與假設!$C$551)</f>
        <v>不適用</v>
      </c>
      <c r="I8" s="60" t="str">
        <f aca="false">IF(ISNUMBER(INDEX($C$39:$H$39,輸入與假設!$C$551)),INDEX($C$39:$H$39,輸入與假設!$C$551),"待公布")</f>
        <v>待公布</v>
      </c>
      <c r="J8" s="60" t="str">
        <f aca="false">INDEX($C$60:$H$60,輸入與假設!$C$551)</f>
        <v/>
      </c>
      <c r="K8" s="60" t="str">
        <f aca="false">INDEX($C$61:$H$61,輸入與假設!$C$551)</f>
        <v/>
      </c>
      <c r="L8" s="60" t="str">
        <f aca="false">INDEX($C$62:$H$62,輸入與假設!$C$551)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1290</v>
      </c>
      <c r="B9" s="11" t="s">
        <v>65</v>
      </c>
      <c r="C9" s="59" t="n">
        <f aca="false">INDEX($C$31:$H$31,輸入與假設!$C$551)</f>
        <v>37.0181675464867</v>
      </c>
      <c r="D9" s="61" t="s">
        <v>1287</v>
      </c>
      <c r="E9" s="59" t="str">
        <f aca="false">INDEX($C$63:$H$63,輸入與假設!$C$551)</f>
        <v>不適用</v>
      </c>
      <c r="F9" s="61" t="s">
        <v>1287</v>
      </c>
      <c r="G9" s="61" t="s">
        <v>1287</v>
      </c>
      <c r="H9" s="59" t="str">
        <f aca="false">INDEX($C$64:$H$64,輸入與假設!$C$551)</f>
        <v>不適用</v>
      </c>
      <c r="I9" s="59" t="str">
        <f aca="false">IF(ISNUMBER(INDEX($C$40:$H$40,輸入與假設!$C$551)),INDEX($C$40:$H$40,輸入與假設!$C$551),"待公布")</f>
        <v>待公布</v>
      </c>
      <c r="J9" s="59" t="str">
        <f aca="false">INDEX($C$65:$H$65,輸入與假設!$C$551)</f>
        <v/>
      </c>
      <c r="K9" s="59" t="str">
        <f aca="false">INDEX($C$66:$H$66,輸入與假設!$C$551)</f>
        <v/>
      </c>
      <c r="L9" s="59" t="str">
        <f aca="false">INDEX($C$67:$H$67,輸入與假設!$C$551)</f>
        <v/>
      </c>
      <c r="M9" s="60" t="str">
        <f aca="false">INDEX($C$68:$H$68,輸入與假設!$C$551)</f>
        <v>不適用</v>
      </c>
      <c r="N9" s="60" t="str">
        <f aca="false">INDEX($C$69:$H$69,輸入與假設!$C$551)</f>
        <v>不適用</v>
      </c>
      <c r="O9" s="60" t="str">
        <f aca="false">INDEX($C$70:$H$70,輸入與假設!$C$551)</f>
        <v/>
      </c>
      <c r="P9" s="60" t="str">
        <f aca="false">INDEX($C$71:$H$71,輸入與假設!$C$551)</f>
        <v/>
      </c>
      <c r="Q9" s="60" t="str">
        <f aca="false">INDEX($C$72:$H$72,輸入與假設!$C$551)</f>
        <v/>
      </c>
    </row>
    <row r="10" customFormat="false" ht="15" hidden="false" customHeight="false" outlineLevel="1" collapsed="false">
      <c r="A10" s="3" t="s">
        <v>1291</v>
      </c>
      <c r="B10" s="11" t="s">
        <v>65</v>
      </c>
      <c r="C10" s="59" t="n">
        <f aca="false">INDEX($C$32:$H$32,輸入與假設!$C$551)</f>
        <v>59.7033952213496</v>
      </c>
      <c r="D10" s="61" t="s">
        <v>1287</v>
      </c>
      <c r="E10" s="60" t="str">
        <f aca="false">INDEX($C$73:$H$73,輸入與假設!$C$551)</f>
        <v>不適用</v>
      </c>
      <c r="F10" s="61" t="s">
        <v>1287</v>
      </c>
      <c r="G10" s="61" t="s">
        <v>1287</v>
      </c>
      <c r="H10" s="60" t="str">
        <f aca="false">INDEX($C$74:$H$74,輸入與假設!$C$551)</f>
        <v>不適用</v>
      </c>
      <c r="I10" s="59" t="str">
        <f aca="false">IF(ISNUMBER(INDEX($C$41:$H$41,輸入與假設!$C$551)),INDEX($C$41:$H$41,輸入與假設!$C$551),"待公布")</f>
        <v>待公布</v>
      </c>
      <c r="J10" s="60" t="str">
        <f aca="false">INDEX($C$75:$H$75,輸入與假設!$C$551)</f>
        <v/>
      </c>
      <c r="K10" s="60" t="str">
        <f aca="false">INDEX($C$76:$H$76,輸入與假設!$C$551)</f>
        <v/>
      </c>
      <c r="L10" s="60" t="str">
        <f aca="false">INDEX($C$77:$H$77,輸入與假設!$C$551)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1292</v>
      </c>
      <c r="B11" s="11" t="s">
        <v>157</v>
      </c>
      <c r="C11" s="63" t="n">
        <f aca="false">INDEX($C$19:$H$19,輸入與假設!$C$551)</f>
        <v>2212.525</v>
      </c>
      <c r="D11" s="64" t="s">
        <v>1287</v>
      </c>
      <c r="E11" s="63" t="str">
        <f aca="false">INDEX($C$78:$H$78,輸入與假設!$C$551)</f>
        <v>不適用</v>
      </c>
      <c r="F11" s="64" t="s">
        <v>1287</v>
      </c>
      <c r="G11" s="64" t="s">
        <v>1287</v>
      </c>
      <c r="H11" s="63" t="str">
        <f aca="false">INDEX($C$79:$H$79,輸入與假設!$C$551)</f>
        <v>不適用</v>
      </c>
      <c r="I11" s="63" t="str">
        <f aca="false">IF(ISNUMBER(INDEX($C$42:$H$42,輸入與假設!$C$551)),INDEX($C$42:$H$42,輸入與假設!$C$551),"待公布")</f>
        <v>待公布</v>
      </c>
      <c r="J11" s="63" t="str">
        <f aca="false">INDEX($C$80:$H$80,輸入與假設!$C$551)</f>
        <v/>
      </c>
      <c r="K11" s="63" t="str">
        <f aca="false">INDEX($C$81:$H$81,輸入與假設!$C$551)</f>
        <v/>
      </c>
      <c r="L11" s="63" t="str">
        <f aca="false">INDEX($C$82:$H$82,輸入與假設!$C$551)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1293</v>
      </c>
      <c r="C12" s="2" t="str">
        <f aca="false">INDEX($C$16:$H$16,輸入與假設!$C$551)</f>
        <v>Q3 2026</v>
      </c>
    </row>
    <row r="13" customFormat="false" ht="17.15" hidden="false" customHeight="false" outlineLevel="1" collapsed="false">
      <c r="A13" s="2" t="s">
        <v>1294</v>
      </c>
      <c r="C13" s="0" t="str">
        <f aca="false">IF(INDEX($C$119:$H$119,輸入與假設!$C$551)="","無（差距皆在 "&amp;IF(ROUND(ABS(輸入與假設!$C$545)*100,4)=INT(ROUND(ABS(輸入與假設!$C$545)*100,4)),TEXT(ROUND(ABS(輸入與假設!$C$545)*100,4),"0"),TEXT(ROUND(ABS(輸入與假設!$C$545)*100,4),"0.0"))&amp;"%"&amp;" 以內）",INDEX($C$119:$H$119,輸入與假設!$C$551))</f>
        <v>無（差距皆在 5% 以內）</v>
      </c>
    </row>
    <row r="15" customFormat="false" ht="15" hidden="false" customHeight="false" outlineLevel="0" collapsed="true">
      <c r="A15" s="7" t="s">
        <v>1295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1060</v>
      </c>
      <c r="D16" s="15" t="s">
        <v>1061</v>
      </c>
      <c r="E16" s="15" t="s">
        <v>1062</v>
      </c>
      <c r="F16" s="15" t="s">
        <v>1063</v>
      </c>
      <c r="G16" s="15" t="s">
        <v>1064</v>
      </c>
      <c r="H16" s="15" t="s">
        <v>1065</v>
      </c>
    </row>
    <row r="17" customFormat="false" ht="15" hidden="true" customHeight="false" outlineLevel="1" collapsed="false">
      <c r="A17" s="3" t="s">
        <v>1296</v>
      </c>
      <c r="C17" s="26" t="n">
        <f aca="false">輸入與假設!C$550</f>
        <v>1</v>
      </c>
      <c r="D17" s="26" t="n">
        <f aca="false">輸入與假設!D$550</f>
        <v>1</v>
      </c>
      <c r="E17" s="26" t="n">
        <f aca="false">輸入與假設!E$550</f>
        <v>2</v>
      </c>
      <c r="F17" s="26" t="n">
        <f aca="false">輸入與假設!F$550</f>
        <v>2</v>
      </c>
      <c r="G17" s="26" t="n">
        <f aca="false">輸入與假設!G$550</f>
        <v>2</v>
      </c>
      <c r="H17" s="26" t="n">
        <f aca="false">輸入與假設!H$550</f>
        <v>2</v>
      </c>
      <c r="J17" s="11" t="s">
        <v>1297</v>
      </c>
    </row>
    <row r="18" customFormat="false" ht="15" hidden="true" customHeight="false" outlineLevel="1" collapsed="false">
      <c r="A18" s="3" t="s">
        <v>1298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1299</v>
      </c>
    </row>
    <row r="19" customFormat="false" ht="15" hidden="true" customHeight="false" outlineLevel="1" collapsed="false">
      <c r="A19" s="3" t="s">
        <v>1300</v>
      </c>
      <c r="B19" s="11" t="s">
        <v>157</v>
      </c>
      <c r="C19" s="22" t="n">
        <f aca="false">輸入與假設!$C$553+(輸入與假設!C$36-輸入與假設!$C$553)*1/2</f>
        <v>2212.525</v>
      </c>
      <c r="D19" s="22" t="n">
        <f aca="false">輸入與假設!$C$553+(輸入與假設!C$36-輸入與假設!$C$553)*2/2</f>
        <v>2524.05</v>
      </c>
      <c r="E19" s="22" t="n">
        <f aca="false">輸入與假設!C$36+(輸入與假設!D$36-輸入與假設!C$36)*1/4</f>
        <v>2835.575</v>
      </c>
      <c r="F19" s="22" t="n">
        <f aca="false">輸入與假設!C$36+(輸入與假設!D$36-輸入與假設!C$36)*2/4</f>
        <v>3147.1</v>
      </c>
      <c r="G19" s="22" t="n">
        <f aca="false">輸入與假設!C$36+(輸入與假設!D$36-輸入與假設!C$36)*3/4</f>
        <v>3458.625</v>
      </c>
      <c r="H19" s="22" t="n">
        <f aca="false">輸入與假設!C$36+(輸入與假設!D$36-輸入與假設!C$36)*4/4</f>
        <v>3770.15</v>
      </c>
      <c r="J19" s="6" t="s">
        <v>1301</v>
      </c>
    </row>
    <row r="20" customFormat="false" ht="15" hidden="true" customHeight="false" outlineLevel="1" collapsed="false">
      <c r="A20" s="3" t="s">
        <v>1302</v>
      </c>
      <c r="B20" s="11" t="s">
        <v>157</v>
      </c>
      <c r="C20" s="22" t="n">
        <f aca="false">輸入與假設!$C$29+(運營_產能與收入!C$11-輸入與假設!$C$29)*1/4</f>
        <v>2056.75</v>
      </c>
      <c r="D20" s="22" t="n">
        <f aca="false">輸入與假設!$C$29+(運營_產能與收入!C$11-輸入與假設!$C$29)*3/4</f>
        <v>2368.25</v>
      </c>
      <c r="E20" s="22" t="n">
        <f aca="false">運營_產能與收入!C$11+(運營_產能與收入!D$11-運營_產能與收入!C$11)*1/8</f>
        <v>2679.75</v>
      </c>
      <c r="F20" s="22" t="n">
        <f aca="false">運營_產能與收入!C$11+(運營_產能與收入!D$11-運營_產能與收入!C$11)*3/8</f>
        <v>2991.25</v>
      </c>
      <c r="G20" s="22" t="n">
        <f aca="false">運營_產能與收入!C$11+(運營_產能與收入!D$11-運營_產能與收入!C$11)*5/8</f>
        <v>3302.75</v>
      </c>
      <c r="H20" s="22" t="n">
        <f aca="false">運營_產能與收入!C$11+(運營_產能與收入!D$11-運營_產能與收入!C$11)*7/8</f>
        <v>3614.25</v>
      </c>
      <c r="J20" s="6" t="s">
        <v>1303</v>
      </c>
    </row>
    <row r="21" customFormat="false" ht="15" hidden="true" customHeight="false" outlineLevel="1" collapsed="false">
      <c r="A21" s="3" t="s">
        <v>1304</v>
      </c>
      <c r="B21" s="11" t="s">
        <v>157</v>
      </c>
      <c r="C21" s="22" t="n">
        <f aca="false">C19-輸入與假設!$C$553</f>
        <v>311.525</v>
      </c>
      <c r="D21" s="22" t="n">
        <f aca="false">D19-C19</f>
        <v>311.525</v>
      </c>
      <c r="E21" s="22" t="n">
        <f aca="false">E19-輸入與假設!C$36</f>
        <v>311.525</v>
      </c>
      <c r="F21" s="22" t="n">
        <f aca="false">F19-E19</f>
        <v>311.525</v>
      </c>
      <c r="G21" s="22" t="n">
        <f aca="false">G19-F19</f>
        <v>311.525</v>
      </c>
      <c r="H21" s="22" t="n">
        <f aca="false">H19-G19</f>
        <v>311.525</v>
      </c>
      <c r="J21" s="11" t="s">
        <v>1305</v>
      </c>
    </row>
    <row r="22" customFormat="false" ht="15" hidden="true" customHeight="false" outlineLevel="1" collapsed="false">
      <c r="A22" s="3" t="s">
        <v>1306</v>
      </c>
      <c r="B22" s="11" t="s">
        <v>65</v>
      </c>
      <c r="C22" s="32" t="n">
        <f aca="false">輸入與假設!$C$552+1*(損益!C9-2*輸入與假設!$C$552)/3</f>
        <v>127.457436752333</v>
      </c>
      <c r="D22" s="32" t="n">
        <f aca="false">輸入與假設!$C$552+2*(損益!C9-2*輸入與假設!$C$552)/3</f>
        <v>135.118873504667</v>
      </c>
      <c r="E22" s="32" t="n">
        <f aca="false">損益!D9*E20/(E20+F20+G20+H20)</f>
        <v>127.53207744159</v>
      </c>
      <c r="F22" s="32" t="n">
        <f aca="false">損益!D9*F20/(E20+F20+G20+H20)</f>
        <v>142.356685006869</v>
      </c>
      <c r="G22" s="32" t="n">
        <f aca="false">損益!D9*G20/(E20+F20+G20+H20)</f>
        <v>157.181292572147</v>
      </c>
      <c r="H22" s="32" t="n">
        <f aca="false">損益!D9*H20/(E20+F20+G20+H20)</f>
        <v>172.005900137426</v>
      </c>
      <c r="J22" s="6" t="s">
        <v>1307</v>
      </c>
    </row>
    <row r="23" customFormat="false" ht="15" hidden="true" customHeight="false" outlineLevel="1" collapsed="false">
      <c r="A23" s="4" t="s">
        <v>1308</v>
      </c>
      <c r="C23" s="59" t="n">
        <f aca="false">C22+D22</f>
        <v>262.576310257</v>
      </c>
      <c r="D23" s="59" t="n">
        <f aca="false">E22+F22+G22+H22</f>
        <v>599.075955158032</v>
      </c>
      <c r="J23" s="6" t="s">
        <v>1309</v>
      </c>
    </row>
    <row r="24" customFormat="false" ht="15" hidden="true" customHeight="false" outlineLevel="1" collapsed="false">
      <c r="A24" s="4" t="s">
        <v>1310</v>
      </c>
      <c r="C24" s="59" t="n">
        <f aca="false">C22*C18+D22*D18</f>
        <v>397.695183761667</v>
      </c>
      <c r="D24" s="59" t="n">
        <f aca="false">E22*E18+F22*F18+G22*G18+H22*H18</f>
        <v>2769.96483603754</v>
      </c>
      <c r="J24" s="6" t="s">
        <v>1309</v>
      </c>
    </row>
    <row r="25" customFormat="false" ht="15" hidden="true" customHeight="false" outlineLevel="1" collapsed="false">
      <c r="A25" s="4" t="s">
        <v>1311</v>
      </c>
      <c r="C25" s="59" t="n">
        <f aca="false">損益!C22</f>
        <v>100.427277281884</v>
      </c>
      <c r="D25" s="59" t="n">
        <f aca="false">損益!D22</f>
        <v>220.640841830285</v>
      </c>
      <c r="J25" s="6" t="s">
        <v>1309</v>
      </c>
    </row>
    <row r="26" customFormat="false" ht="15" hidden="true" customHeight="false" outlineLevel="1" collapsed="false">
      <c r="A26" s="4" t="s">
        <v>1312</v>
      </c>
      <c r="C26" s="65" t="n">
        <f aca="false">(C25*D24-C24*D25)/(C23*D24-C24*D23)</f>
        <v>0.389370226852141</v>
      </c>
      <c r="D26" s="65" t="n">
        <f aca="false">(C23*D25-D23*C25)/(C23*D24-C24*D23)</f>
        <v>-0.00455655558043703</v>
      </c>
      <c r="J26" s="6" t="s">
        <v>1313</v>
      </c>
    </row>
    <row r="27" customFormat="false" ht="15" hidden="true" customHeight="false" outlineLevel="1" collapsed="false">
      <c r="A27" s="4" t="s">
        <v>1314</v>
      </c>
      <c r="B27" s="11" t="s">
        <v>42</v>
      </c>
      <c r="C27" s="38" t="n">
        <f aca="false">$C$26+$D$26*C18</f>
        <v>0.384813671271704</v>
      </c>
      <c r="D27" s="38" t="n">
        <f aca="false">$C$26+$D$26*D18</f>
        <v>0.380257115691267</v>
      </c>
      <c r="E27" s="38" t="n">
        <f aca="false">$C$26+$D$26*E18</f>
        <v>0.37570056011083</v>
      </c>
      <c r="F27" s="38" t="n">
        <f aca="false">$C$26+$D$26*F18</f>
        <v>0.371144004530392</v>
      </c>
      <c r="G27" s="38" t="n">
        <f aca="false">$C$26+$D$26*G18</f>
        <v>0.366587448949955</v>
      </c>
      <c r="H27" s="38" t="n">
        <f aca="false">$C$26+$D$26*H18</f>
        <v>0.362030893369518</v>
      </c>
      <c r="J27" s="6" t="s">
        <v>1315</v>
      </c>
    </row>
    <row r="28" customFormat="false" ht="15" hidden="true" customHeight="false" outlineLevel="1" collapsed="false">
      <c r="A28" s="3" t="s">
        <v>1316</v>
      </c>
      <c r="B28" s="11" t="s">
        <v>65</v>
      </c>
      <c r="C28" s="32" t="n">
        <f aca="false">C22*C27</f>
        <v>49.0473641675464</v>
      </c>
      <c r="D28" s="32" t="n">
        <f aca="false">D22*D27</f>
        <v>51.3799131143377</v>
      </c>
      <c r="E28" s="32" t="n">
        <f aca="false">E22*E27</f>
        <v>47.9138729269031</v>
      </c>
      <c r="F28" s="32" t="n">
        <f aca="false">F22*F27</f>
        <v>52.8348301451209</v>
      </c>
      <c r="G28" s="32" t="n">
        <f aca="false">G22*G27</f>
        <v>57.6206890666801</v>
      </c>
      <c r="H28" s="32" t="n">
        <f aca="false">H22*H27</f>
        <v>62.2714496915805</v>
      </c>
    </row>
    <row r="29" customFormat="false" ht="15" hidden="true" customHeight="false" outlineLevel="1" collapsed="false">
      <c r="A29" s="3" t="s">
        <v>1317</v>
      </c>
      <c r="B29" s="11" t="s">
        <v>65</v>
      </c>
      <c r="C29" s="32" t="n">
        <f aca="false">輸入與假設!C$324/2</f>
        <v>12.0291966210596</v>
      </c>
      <c r="D29" s="32" t="n">
        <f aca="false">輸入與假設!C$324/2</f>
        <v>12.0291966210596</v>
      </c>
      <c r="E29" s="32" t="n">
        <f aca="false">輸入與假設!D$324/4</f>
        <v>17.8805375039768</v>
      </c>
      <c r="F29" s="32" t="n">
        <f aca="false">輸入與假設!D$324/4</f>
        <v>17.8805375039768</v>
      </c>
      <c r="G29" s="32" t="n">
        <f aca="false">輸入與假設!D$324/4</f>
        <v>17.8805375039768</v>
      </c>
      <c r="H29" s="32" t="n">
        <f aca="false">輸入與假設!D$324/4</f>
        <v>17.8805375039768</v>
      </c>
      <c r="J29" s="6" t="s">
        <v>1318</v>
      </c>
    </row>
    <row r="30" customFormat="false" ht="15" hidden="true" customHeight="false" outlineLevel="1" collapsed="false">
      <c r="A30" s="3" t="s">
        <v>1319</v>
      </c>
      <c r="B30" s="11" t="s">
        <v>65</v>
      </c>
      <c r="C30" s="32" t="n">
        <f aca="false">輸入與假設!C$242*C22/MAX(0.000000001,C23)</f>
        <v>0</v>
      </c>
      <c r="D30" s="32" t="n">
        <f aca="false">輸入與假設!C$242*D22/MAX(0.000000001,C23)</f>
        <v>0</v>
      </c>
      <c r="E30" s="32" t="n">
        <f aca="false">輸入與假設!D$242*E22/MAX(0.000000001,D23)</f>
        <v>0</v>
      </c>
      <c r="F30" s="32" t="n">
        <f aca="false">輸入與假設!D$242*F22/MAX(0.000000001,D23)</f>
        <v>0</v>
      </c>
      <c r="G30" s="32" t="n">
        <f aca="false">輸入與假設!D$242*G22/MAX(0.000000001,D23)</f>
        <v>0</v>
      </c>
      <c r="H30" s="32" t="n">
        <f aca="false">輸入與假設!D$242*H22/MAX(0.000000001,D23)</f>
        <v>0</v>
      </c>
      <c r="J30" s="6" t="s">
        <v>1320</v>
      </c>
    </row>
    <row r="31" customFormat="false" ht="15" hidden="true" customHeight="false" outlineLevel="1" collapsed="false">
      <c r="A31" s="3" t="s">
        <v>1321</v>
      </c>
      <c r="B31" s="11" t="s">
        <v>65</v>
      </c>
      <c r="C31" s="32" t="n">
        <f aca="false">C28-C29-C30</f>
        <v>37.0181675464867</v>
      </c>
      <c r="D31" s="32" t="n">
        <f aca="false">D28-D29-D30</f>
        <v>39.350716493278</v>
      </c>
      <c r="E31" s="32" t="n">
        <f aca="false">E28-E29-E30</f>
        <v>30.0333354229263</v>
      </c>
      <c r="F31" s="32" t="n">
        <f aca="false">F28-F29-F30</f>
        <v>34.9542926411441</v>
      </c>
      <c r="G31" s="32" t="n">
        <f aca="false">G28-G29-G30</f>
        <v>39.7401515627033</v>
      </c>
      <c r="H31" s="32" t="n">
        <f aca="false">H28-H29-H30</f>
        <v>44.3909121876037</v>
      </c>
      <c r="J31" s="6" t="s">
        <v>1322</v>
      </c>
    </row>
    <row r="32" customFormat="false" ht="15" hidden="true" customHeight="false" outlineLevel="1" collapsed="false">
      <c r="A32" s="4" t="s">
        <v>1323</v>
      </c>
      <c r="B32" s="11" t="s">
        <v>65</v>
      </c>
      <c r="C32" s="32" t="n">
        <f aca="false">IF((C21+D21)&gt;0,輸入與假設!C$323*C21/(C21+D21),輸入與假設!C$323/2)</f>
        <v>59.7033952213496</v>
      </c>
      <c r="D32" s="32" t="n">
        <f aca="false">IF((C21+D21)&gt;0,輸入與假設!C$323*D21/(C21+D21),輸入與假設!C$323/2)</f>
        <v>59.7033952213496</v>
      </c>
      <c r="E32" s="32" t="n">
        <f aca="false">IF((E21+F21+G21+H21)&gt;0,輸入與假設!D$323*E21/(E21+F21+G21+H21),輸入與假設!D$323/4)</f>
        <v>59.2087555510119</v>
      </c>
      <c r="F32" s="32" t="n">
        <f aca="false">IF((E21+F21+G21+H21)&gt;0,輸入與假設!D$323*F21/(E21+F21+G21+H21),輸入與假設!D$323/4)</f>
        <v>59.2087555510119</v>
      </c>
      <c r="G32" s="32" t="n">
        <f aca="false">IF((E21+F21+G21+H21)&gt;0,輸入與假設!D$323*G21/(E21+F21+G21+H21),輸入與假設!D$323/4)</f>
        <v>59.2087555510118</v>
      </c>
      <c r="H32" s="32" t="n">
        <f aca="false">IF((E21+F21+G21+H21)&gt;0,輸入與假設!D$323*H21/(E21+F21+G21+H21),輸入與假設!D$323/4)</f>
        <v>59.2087555510119</v>
      </c>
      <c r="J32" s="6" t="s">
        <v>1324</v>
      </c>
    </row>
    <row r="33" customFormat="false" ht="15" hidden="true" customHeight="false" outlineLevel="1" collapsed="false">
      <c r="A33" s="3" t="s">
        <v>1325</v>
      </c>
      <c r="B33" s="11" t="s">
        <v>65</v>
      </c>
      <c r="C33" s="66" t="s">
        <v>1287</v>
      </c>
      <c r="D33" s="66" t="s">
        <v>1287</v>
      </c>
      <c r="E33" s="66" t="s">
        <v>1287</v>
      </c>
      <c r="F33" s="66" t="s">
        <v>1287</v>
      </c>
      <c r="G33" s="66" t="s">
        <v>1287</v>
      </c>
      <c r="H33" s="66" t="s">
        <v>1287</v>
      </c>
      <c r="J33" s="11" t="s">
        <v>1326</v>
      </c>
    </row>
    <row r="34" customFormat="false" ht="15" hidden="true" customHeight="false" outlineLevel="1" collapsed="false">
      <c r="A34" s="3" t="s">
        <v>1327</v>
      </c>
      <c r="B34" s="11" t="s">
        <v>65</v>
      </c>
      <c r="C34" s="66" t="s">
        <v>1287</v>
      </c>
      <c r="D34" s="66" t="s">
        <v>1287</v>
      </c>
      <c r="E34" s="66" t="s">
        <v>1287</v>
      </c>
      <c r="F34" s="66" t="s">
        <v>1287</v>
      </c>
      <c r="G34" s="66" t="s">
        <v>1287</v>
      </c>
      <c r="H34" s="66" t="s">
        <v>1287</v>
      </c>
      <c r="J34" s="11" t="s">
        <v>1326</v>
      </c>
    </row>
    <row r="35" customFormat="false" ht="15" hidden="true" customHeight="false" outlineLevel="1" collapsed="false">
      <c r="A35" s="3" t="s">
        <v>1328</v>
      </c>
      <c r="B35" s="11" t="s">
        <v>42</v>
      </c>
      <c r="C35" s="67" t="s">
        <v>1287</v>
      </c>
      <c r="D35" s="67" t="s">
        <v>1287</v>
      </c>
      <c r="E35" s="67" t="s">
        <v>1287</v>
      </c>
      <c r="F35" s="67" t="s">
        <v>1287</v>
      </c>
      <c r="G35" s="67" t="s">
        <v>1287</v>
      </c>
      <c r="H35" s="67" t="s">
        <v>1287</v>
      </c>
      <c r="J35" s="6" t="s">
        <v>1329</v>
      </c>
    </row>
    <row r="36" customFormat="false" ht="15" hidden="true" customHeight="false" outlineLevel="1" collapsed="false">
      <c r="A36" s="3" t="s">
        <v>1330</v>
      </c>
      <c r="B36" s="11" t="s">
        <v>65</v>
      </c>
      <c r="C36" s="66" t="s">
        <v>1287</v>
      </c>
      <c r="D36" s="66" t="s">
        <v>1287</v>
      </c>
      <c r="E36" s="66" t="s">
        <v>1287</v>
      </c>
      <c r="F36" s="66" t="s">
        <v>1287</v>
      </c>
      <c r="G36" s="66" t="s">
        <v>1287</v>
      </c>
      <c r="H36" s="66" t="s">
        <v>1287</v>
      </c>
      <c r="J36" s="6" t="s">
        <v>1331</v>
      </c>
    </row>
    <row r="37" customFormat="false" ht="15" hidden="true" customHeight="false" outlineLevel="1" collapsed="false">
      <c r="A37" s="3" t="s">
        <v>1332</v>
      </c>
      <c r="B37" s="11" t="s">
        <v>65</v>
      </c>
      <c r="C37" s="39" t="str">
        <f aca="false">IF(ISNUMBER(輸入與假設!C$554),輸入與假設!C$554,"")</f>
        <v/>
      </c>
      <c r="D37" s="39" t="str">
        <f aca="false">IF(ISNUMBER(輸入與假設!D$554),輸入與假設!D$554,"")</f>
        <v/>
      </c>
      <c r="E37" s="39" t="str">
        <f aca="false">IF(ISNUMBER(輸入與假設!E$554),輸入與假設!E$554,"")</f>
        <v/>
      </c>
      <c r="F37" s="39" t="str">
        <f aca="false">IF(ISNUMBER(輸入與假設!F$554),輸入與假設!F$554,"")</f>
        <v/>
      </c>
      <c r="G37" s="39" t="str">
        <f aca="false">IF(ISNUMBER(輸入與假設!G$554),輸入與假設!G$554,"")</f>
        <v/>
      </c>
      <c r="H37" s="39" t="str">
        <f aca="false">IF(ISNUMBER(輸入與假設!H$554),輸入與假設!H$554,"")</f>
        <v/>
      </c>
    </row>
    <row r="38" customFormat="false" ht="15" hidden="true" customHeight="false" outlineLevel="1" collapsed="false">
      <c r="A38" s="3" t="s">
        <v>1333</v>
      </c>
      <c r="B38" s="11" t="s">
        <v>65</v>
      </c>
      <c r="C38" s="39" t="str">
        <f aca="false">IF(ISNUMBER(輸入與假設!C$555),輸入與假設!C$555,"")</f>
        <v/>
      </c>
      <c r="D38" s="39" t="str">
        <f aca="false">IF(ISNUMBER(輸入與假設!D$555),輸入與假設!D$555,"")</f>
        <v/>
      </c>
      <c r="E38" s="39" t="str">
        <f aca="false">IF(ISNUMBER(輸入與假設!E$555),輸入與假設!E$555,"")</f>
        <v/>
      </c>
      <c r="F38" s="39" t="str">
        <f aca="false">IF(ISNUMBER(輸入與假設!F$555),輸入與假設!F$555,"")</f>
        <v/>
      </c>
      <c r="G38" s="39" t="str">
        <f aca="false">IF(ISNUMBER(輸入與假設!G$555),輸入與假設!G$555,"")</f>
        <v/>
      </c>
      <c r="H38" s="39" t="str">
        <f aca="false">IF(ISNUMBER(輸入與假設!H$555),輸入與假設!H$555,"")</f>
        <v/>
      </c>
    </row>
    <row r="39" customFormat="false" ht="15" hidden="true" customHeight="false" outlineLevel="1" collapsed="false">
      <c r="A39" s="3" t="s">
        <v>1334</v>
      </c>
      <c r="B39" s="11" t="s">
        <v>42</v>
      </c>
      <c r="C39" s="67" t="str">
        <f aca="false">IF(AND(ISNUMBER(輸入與假設!C$555),ISNUMBER(輸入與假設!C$554)),輸入與假設!C$555/輸入與假設!C$554,"")</f>
        <v/>
      </c>
      <c r="D39" s="67" t="str">
        <f aca="false">IF(AND(ISNUMBER(輸入與假設!D$555),ISNUMBER(輸入與假設!D$554)),輸入與假設!D$555/輸入與假設!D$554,"")</f>
        <v/>
      </c>
      <c r="E39" s="67" t="str">
        <f aca="false">IF(AND(ISNUMBER(輸入與假設!E$555),ISNUMBER(輸入與假設!E$554)),輸入與假設!E$555/輸入與假設!E$554,"")</f>
        <v/>
      </c>
      <c r="F39" s="67" t="str">
        <f aca="false">IF(AND(ISNUMBER(輸入與假設!F$555),ISNUMBER(輸入與假設!F$554)),輸入與假設!F$555/輸入與假設!F$554,"")</f>
        <v/>
      </c>
      <c r="G39" s="67" t="str">
        <f aca="false">IF(AND(ISNUMBER(輸入與假設!G$555),ISNUMBER(輸入與假設!G$554)),輸入與假設!G$555/輸入與假設!G$554,"")</f>
        <v/>
      </c>
      <c r="H39" s="67" t="str">
        <f aca="false">IF(AND(ISNUMBER(輸入與假設!H$555),ISNUMBER(輸入與假設!H$554)),輸入與假設!H$555/輸入與假設!H$554,"")</f>
        <v/>
      </c>
      <c r="J39" s="6" t="s">
        <v>1335</v>
      </c>
    </row>
    <row r="40" customFormat="false" ht="15" hidden="true" customHeight="false" outlineLevel="1" collapsed="false">
      <c r="A40" s="3" t="s">
        <v>1336</v>
      </c>
      <c r="B40" s="11" t="s">
        <v>65</v>
      </c>
      <c r="C40" s="39" t="str">
        <f aca="false">IF(ISNUMBER(輸入與假設!C$556),輸入與假設!C$556,"")</f>
        <v/>
      </c>
      <c r="D40" s="39" t="str">
        <f aca="false">IF(ISNUMBER(輸入與假設!D$556),輸入與假設!D$556,"")</f>
        <v/>
      </c>
      <c r="E40" s="39" t="str">
        <f aca="false">IF(ISNUMBER(輸入與假設!E$556),輸入與假設!E$556,"")</f>
        <v/>
      </c>
      <c r="F40" s="39" t="str">
        <f aca="false">IF(ISNUMBER(輸入與假設!F$556),輸入與假設!F$556,"")</f>
        <v/>
      </c>
      <c r="G40" s="39" t="str">
        <f aca="false">IF(ISNUMBER(輸入與假設!G$556),輸入與假設!G$556,"")</f>
        <v/>
      </c>
      <c r="H40" s="39" t="str">
        <f aca="false">IF(ISNUMBER(輸入與假設!H$556),輸入與假設!H$556,"")</f>
        <v/>
      </c>
    </row>
    <row r="41" customFormat="false" ht="15" hidden="true" customHeight="false" outlineLevel="1" collapsed="false">
      <c r="A41" s="3" t="s">
        <v>1337</v>
      </c>
      <c r="B41" s="11" t="s">
        <v>65</v>
      </c>
      <c r="C41" s="39" t="str">
        <f aca="false">IF(ISNUMBER(輸入與假設!C$557),輸入與假設!C$557,"")</f>
        <v/>
      </c>
      <c r="D41" s="39" t="str">
        <f aca="false">IF(ISNUMBER(輸入與假設!D$557),輸入與假設!D$557,"")</f>
        <v/>
      </c>
      <c r="E41" s="39" t="str">
        <f aca="false">IF(ISNUMBER(輸入與假設!E$557),輸入與假設!E$557,"")</f>
        <v/>
      </c>
      <c r="F41" s="39" t="str">
        <f aca="false">IF(ISNUMBER(輸入與假設!F$557),輸入與假設!F$557,"")</f>
        <v/>
      </c>
      <c r="G41" s="39" t="str">
        <f aca="false">IF(ISNUMBER(輸入與假設!G$557),輸入與假設!G$557,"")</f>
        <v/>
      </c>
      <c r="H41" s="39" t="str">
        <f aca="false">IF(ISNUMBER(輸入與假設!H$557),輸入與假設!H$557,"")</f>
        <v/>
      </c>
    </row>
    <row r="42" customFormat="false" ht="15" hidden="true" customHeight="false" outlineLevel="1" collapsed="false">
      <c r="A42" s="3" t="s">
        <v>1338</v>
      </c>
      <c r="B42" s="11" t="s">
        <v>157</v>
      </c>
      <c r="C42" s="39" t="str">
        <f aca="false">IF(ISNUMBER(輸入與假設!C$558),輸入與假設!C$558,"")</f>
        <v/>
      </c>
      <c r="D42" s="39" t="str">
        <f aca="false">IF(ISNUMBER(輸入與假設!D$558),輸入與假設!D$558,"")</f>
        <v/>
      </c>
      <c r="E42" s="39" t="str">
        <f aca="false">IF(ISNUMBER(輸入與假設!E$558),輸入與假設!E$558,"")</f>
        <v/>
      </c>
      <c r="F42" s="39" t="str">
        <f aca="false">IF(ISNUMBER(輸入與假設!F$558),輸入與假設!F$558,"")</f>
        <v/>
      </c>
      <c r="G42" s="39" t="str">
        <f aca="false">IF(ISNUMBER(輸入與假設!G$558),輸入與假設!G$558,"")</f>
        <v/>
      </c>
      <c r="H42" s="39" t="str">
        <f aca="false">IF(ISNUMBER(輸入與假設!H$558),輸入與假設!H$558,"")</f>
        <v/>
      </c>
    </row>
    <row r="43" customFormat="false" ht="15" hidden="true" customHeight="false" outlineLevel="1" collapsed="false">
      <c r="A43" s="3" t="s">
        <v>1339</v>
      </c>
      <c r="B43" s="11" t="s">
        <v>42</v>
      </c>
      <c r="C43" s="67" t="str">
        <f aca="false">IF(AND(ISNUMBER(C22),ISNUMBER(C33),C33&lt;&gt;0),C22/(C33)-1,"不適用")</f>
        <v>不適用</v>
      </c>
      <c r="D43" s="67" t="str">
        <f aca="false">IF(AND(ISNUMBER(D22),ISNUMBER(D33),D33&lt;&gt;0),D22/(D33)-1,"不適用")</f>
        <v>不適用</v>
      </c>
      <c r="E43" s="67" t="str">
        <f aca="false">IF(AND(ISNUMBER(E22),ISNUMBER(E33),E33&lt;&gt;0),E22/(E33)-1,"不適用")</f>
        <v>不適用</v>
      </c>
      <c r="F43" s="67" t="str">
        <f aca="false">IF(AND(ISNUMBER(F22),ISNUMBER(F33),F33&lt;&gt;0),F22/(F33)-1,"不適用")</f>
        <v>不適用</v>
      </c>
      <c r="G43" s="67" t="str">
        <f aca="false">IF(AND(ISNUMBER(G22),ISNUMBER(G33),G33&lt;&gt;0),G22/(G33)-1,"不適用")</f>
        <v>不適用</v>
      </c>
      <c r="H43" s="67" t="str">
        <f aca="false">IF(AND(ISNUMBER(H22),ISNUMBER(H33),H33&lt;&gt;0),H22/(H33)-1,"不適用")</f>
        <v>不適用</v>
      </c>
    </row>
    <row r="44" customFormat="false" ht="15" hidden="true" customHeight="false" outlineLevel="1" collapsed="false">
      <c r="A44" s="3" t="s">
        <v>1340</v>
      </c>
      <c r="B44" s="11" t="s">
        <v>42</v>
      </c>
      <c r="C44" s="67" t="s">
        <v>1287</v>
      </c>
      <c r="D44" s="67" t="s">
        <v>1287</v>
      </c>
      <c r="E44" s="67" t="s">
        <v>1287</v>
      </c>
      <c r="F44" s="67" t="s">
        <v>1287</v>
      </c>
      <c r="G44" s="67" t="s">
        <v>1287</v>
      </c>
      <c r="H44" s="67" t="s">
        <v>1287</v>
      </c>
    </row>
    <row r="45" customFormat="false" ht="15" hidden="true" customHeight="false" outlineLevel="1" collapsed="false">
      <c r="A45" s="3" t="s">
        <v>1341</v>
      </c>
      <c r="B45" s="11" t="s">
        <v>42</v>
      </c>
      <c r="C45" s="67" t="str">
        <f aca="false">IF(ISNUMBER(C37),IF(AND(ISNUMBER(C22),C22&lt;&gt;0),C37/(C22)-1,"不適用"),"")</f>
        <v/>
      </c>
      <c r="D45" s="67" t="str">
        <f aca="false">IF(ISNUMBER(D37),IF(AND(ISNUMBER(D22),D22&lt;&gt;0),D37/(D22)-1,"不適用"),"")</f>
        <v/>
      </c>
      <c r="E45" s="67" t="str">
        <f aca="false">IF(ISNUMBER(E37),IF(AND(ISNUMBER(E22),E22&lt;&gt;0),E37/(E22)-1,"不適用"),"")</f>
        <v/>
      </c>
      <c r="F45" s="67" t="str">
        <f aca="false">IF(ISNUMBER(F37),IF(AND(ISNUMBER(F22),F22&lt;&gt;0),F37/(F22)-1,"不適用"),"")</f>
        <v/>
      </c>
      <c r="G45" s="67" t="str">
        <f aca="false">IF(ISNUMBER(G37),IF(AND(ISNUMBER(G22),G22&lt;&gt;0),G37/(G22)-1,"不適用"),"")</f>
        <v/>
      </c>
      <c r="H45" s="67" t="str">
        <f aca="false">IF(ISNUMBER(H37),IF(AND(ISNUMBER(H22),H22&lt;&gt;0),H37/(H22)-1,"不適用"),"")</f>
        <v/>
      </c>
    </row>
    <row r="46" customFormat="false" ht="15" hidden="true" customHeight="false" outlineLevel="1" collapsed="false">
      <c r="A46" s="3" t="s">
        <v>1342</v>
      </c>
      <c r="B46" s="11" t="s">
        <v>42</v>
      </c>
      <c r="C46" s="67" t="str">
        <f aca="false">IF(ISNUMBER(C37),IF(AND(ISNUMBER(C33),C33&lt;&gt;0),C37/(C33)-1,"不適用"),"")</f>
        <v/>
      </c>
      <c r="D46" s="67" t="str">
        <f aca="false">IF(ISNUMBER(D37),IF(AND(ISNUMBER(D33),D33&lt;&gt;0),D37/(D33)-1,"不適用"),"")</f>
        <v/>
      </c>
      <c r="E46" s="67" t="str">
        <f aca="false">IF(ISNUMBER(E37),IF(AND(ISNUMBER(E33),E33&lt;&gt;0),E37/(E33)-1,"不適用"),"")</f>
        <v/>
      </c>
      <c r="F46" s="67" t="str">
        <f aca="false">IF(ISNUMBER(F37),IF(AND(ISNUMBER(F33),F33&lt;&gt;0),F37/(F33)-1,"不適用"),"")</f>
        <v/>
      </c>
      <c r="G46" s="67" t="str">
        <f aca="false">IF(ISNUMBER(G37),IF(AND(ISNUMBER(G33),G33&lt;&gt;0),G37/(G33)-1,"不適用"),"")</f>
        <v/>
      </c>
      <c r="H46" s="67" t="str">
        <f aca="false">IF(ISNUMBER(H37),IF(AND(ISNUMBER(H33),H33&lt;&gt;0),H37/(H33)-1,"不適用"),"")</f>
        <v/>
      </c>
    </row>
    <row r="47" customFormat="false" ht="15" hidden="true" customHeight="false" outlineLevel="1" collapsed="false">
      <c r="A47" s="3" t="s">
        <v>1343</v>
      </c>
      <c r="B47" s="11" t="s">
        <v>42</v>
      </c>
      <c r="C47" s="67" t="str">
        <f aca="false">IF(ISNUMBER(C37),"不適用","")</f>
        <v/>
      </c>
      <c r="D47" s="67" t="str">
        <f aca="false">IF(ISNUMBER(D37),"不適用","")</f>
        <v/>
      </c>
      <c r="E47" s="67" t="str">
        <f aca="false">IF(ISNUMBER(E37),"不適用","")</f>
        <v/>
      </c>
      <c r="F47" s="67" t="str">
        <f aca="false">IF(ISNUMBER(F37),"不適用","")</f>
        <v/>
      </c>
      <c r="G47" s="67" t="str">
        <f aca="false">IF(ISNUMBER(G37),"不適用","")</f>
        <v/>
      </c>
      <c r="H47" s="67" t="str">
        <f aca="false">IF(ISNUMBER(H37),"不適用","")</f>
        <v/>
      </c>
    </row>
    <row r="48" customFormat="false" ht="15" hidden="true" customHeight="false" outlineLevel="1" collapsed="false">
      <c r="A48" s="3" t="s">
        <v>1344</v>
      </c>
      <c r="B48" s="11" t="s">
        <v>65</v>
      </c>
      <c r="C48" s="66" t="str">
        <f aca="false">IF(AND(ISNUMBER(C28),ISNUMBER(C34)),C28-(C34),"不適用")</f>
        <v>不適用</v>
      </c>
      <c r="D48" s="66" t="str">
        <f aca="false">IF(AND(ISNUMBER(D28),ISNUMBER(D34)),D28-(D34),"不適用")</f>
        <v>不適用</v>
      </c>
      <c r="E48" s="66" t="str">
        <f aca="false">IF(AND(ISNUMBER(E28),ISNUMBER(E34)),E28-(E34),"不適用")</f>
        <v>不適用</v>
      </c>
      <c r="F48" s="66" t="str">
        <f aca="false">IF(AND(ISNUMBER(F28),ISNUMBER(F34)),F28-(F34),"不適用")</f>
        <v>不適用</v>
      </c>
      <c r="G48" s="66" t="str">
        <f aca="false">IF(AND(ISNUMBER(G28),ISNUMBER(G34)),G28-(G34),"不適用")</f>
        <v>不適用</v>
      </c>
      <c r="H48" s="66" t="str">
        <f aca="false">IF(AND(ISNUMBER(H28),ISNUMBER(H34)),H28-(H34),"不適用")</f>
        <v>不適用</v>
      </c>
    </row>
    <row r="49" customFormat="false" ht="15" hidden="true" customHeight="false" outlineLevel="1" collapsed="false">
      <c r="A49" s="3" t="s">
        <v>1345</v>
      </c>
      <c r="B49" s="11" t="s">
        <v>65</v>
      </c>
      <c r="C49" s="66" t="s">
        <v>1287</v>
      </c>
      <c r="D49" s="66" t="s">
        <v>1287</v>
      </c>
      <c r="E49" s="66" t="s">
        <v>1287</v>
      </c>
      <c r="F49" s="66" t="s">
        <v>1287</v>
      </c>
      <c r="G49" s="66" t="s">
        <v>1287</v>
      </c>
      <c r="H49" s="66" t="s">
        <v>1287</v>
      </c>
    </row>
    <row r="50" customFormat="false" ht="15" hidden="true" customHeight="false" outlineLevel="1" collapsed="false">
      <c r="A50" s="3" t="s">
        <v>1346</v>
      </c>
      <c r="B50" s="11" t="s">
        <v>65</v>
      </c>
      <c r="C50" s="66" t="str">
        <f aca="false">IF(ISNUMBER(C38),IF(AND(ISNUMBER(C28)),C38-(C28),"不適用"),"")</f>
        <v/>
      </c>
      <c r="D50" s="66" t="str">
        <f aca="false">IF(ISNUMBER(D38),IF(AND(ISNUMBER(D28)),D38-(D28),"不適用"),"")</f>
        <v/>
      </c>
      <c r="E50" s="66" t="str">
        <f aca="false">IF(ISNUMBER(E38),IF(AND(ISNUMBER(E28)),E38-(E28),"不適用"),"")</f>
        <v/>
      </c>
      <c r="F50" s="66" t="str">
        <f aca="false">IF(ISNUMBER(F38),IF(AND(ISNUMBER(F28)),F38-(F28),"不適用"),"")</f>
        <v/>
      </c>
      <c r="G50" s="66" t="str">
        <f aca="false">IF(ISNUMBER(G38),IF(AND(ISNUMBER(G28)),G38-(G28),"不適用"),"")</f>
        <v/>
      </c>
      <c r="H50" s="66" t="str">
        <f aca="false">IF(ISNUMBER(H38),IF(AND(ISNUMBER(H28)),H38-(H28),"不適用"),"")</f>
        <v/>
      </c>
    </row>
    <row r="51" customFormat="false" ht="15" hidden="true" customHeight="false" outlineLevel="1" collapsed="false">
      <c r="A51" s="3" t="s">
        <v>1347</v>
      </c>
      <c r="B51" s="11" t="s">
        <v>65</v>
      </c>
      <c r="C51" s="66" t="str">
        <f aca="false">IF(ISNUMBER(C38),IF(AND(ISNUMBER(C34)),C38-(C34),"不適用"),"")</f>
        <v/>
      </c>
      <c r="D51" s="66" t="str">
        <f aca="false">IF(ISNUMBER(D38),IF(AND(ISNUMBER(D34)),D38-(D34),"不適用"),"")</f>
        <v/>
      </c>
      <c r="E51" s="66" t="str">
        <f aca="false">IF(ISNUMBER(E38),IF(AND(ISNUMBER(E34)),E38-(E34),"不適用"),"")</f>
        <v/>
      </c>
      <c r="F51" s="66" t="str">
        <f aca="false">IF(ISNUMBER(F38),IF(AND(ISNUMBER(F34)),F38-(F34),"不適用"),"")</f>
        <v/>
      </c>
      <c r="G51" s="66" t="str">
        <f aca="false">IF(ISNUMBER(G38),IF(AND(ISNUMBER(G34)),G38-(G34),"不適用"),"")</f>
        <v/>
      </c>
      <c r="H51" s="66" t="str">
        <f aca="false">IF(ISNUMBER(H38),IF(AND(ISNUMBER(H34)),H38-(H34),"不適用"),"")</f>
        <v/>
      </c>
    </row>
    <row r="52" customFormat="false" ht="15" hidden="true" customHeight="false" outlineLevel="1" collapsed="false">
      <c r="A52" s="3" t="s">
        <v>1348</v>
      </c>
      <c r="B52" s="11" t="s">
        <v>65</v>
      </c>
      <c r="C52" s="66" t="str">
        <f aca="false">IF(ISNUMBER(C38),"不適用","")</f>
        <v/>
      </c>
      <c r="D52" s="66" t="str">
        <f aca="false">IF(ISNUMBER(D38),"不適用","")</f>
        <v/>
      </c>
      <c r="E52" s="66" t="str">
        <f aca="false">IF(ISNUMBER(E38),"不適用","")</f>
        <v/>
      </c>
      <c r="F52" s="66" t="str">
        <f aca="false">IF(ISNUMBER(F38),"不適用","")</f>
        <v/>
      </c>
      <c r="G52" s="66" t="str">
        <f aca="false">IF(ISNUMBER(G38),"不適用","")</f>
        <v/>
      </c>
      <c r="H52" s="66" t="str">
        <f aca="false">IF(ISNUMBER(H38),"不適用","")</f>
        <v/>
      </c>
    </row>
    <row r="53" customFormat="false" ht="15" hidden="true" customHeight="false" outlineLevel="1" collapsed="false">
      <c r="A53" s="3" t="s">
        <v>1349</v>
      </c>
      <c r="B53" s="11" t="s">
        <v>77</v>
      </c>
      <c r="C53" s="67" t="str">
        <f aca="false">IF(AND(ISNUMBER(C28),ISNUMBER(C22),C22&lt;&gt;0,ISNUMBER(C34),ISNUMBER(C33),C33&lt;&gt;0),C28/C22-C34/C33,"不適用")</f>
        <v>不適用</v>
      </c>
      <c r="D53" s="67" t="str">
        <f aca="false">IF(AND(ISNUMBER(D28),ISNUMBER(D22),D22&lt;&gt;0,ISNUMBER(D34),ISNUMBER(D33),D33&lt;&gt;0),D28/D22-D34/D33,"不適用")</f>
        <v>不適用</v>
      </c>
      <c r="E53" s="67" t="str">
        <f aca="false">IF(AND(ISNUMBER(E28),ISNUMBER(E22),E22&lt;&gt;0,ISNUMBER(E34),ISNUMBER(E33),E33&lt;&gt;0),E28/E22-E34/E33,"不適用")</f>
        <v>不適用</v>
      </c>
      <c r="F53" s="67" t="str">
        <f aca="false">IF(AND(ISNUMBER(F28),ISNUMBER(F22),F22&lt;&gt;0,ISNUMBER(F34),ISNUMBER(F33),F33&lt;&gt;0),F28/F22-F34/F33,"不適用")</f>
        <v>不適用</v>
      </c>
      <c r="G53" s="67" t="str">
        <f aca="false">IF(AND(ISNUMBER(G28),ISNUMBER(G22),G22&lt;&gt;0,ISNUMBER(G34),ISNUMBER(G33),G33&lt;&gt;0),G28/G22-G34/G33,"不適用")</f>
        <v>不適用</v>
      </c>
      <c r="H53" s="67" t="str">
        <f aca="false">IF(AND(ISNUMBER(H28),ISNUMBER(H22),H22&lt;&gt;0,ISNUMBER(H34),ISNUMBER(H33),H33&lt;&gt;0),H28/H22-H34/H33,"不適用")</f>
        <v>不適用</v>
      </c>
    </row>
    <row r="54" customFormat="false" ht="15" hidden="true" customHeight="false" outlineLevel="1" collapsed="false">
      <c r="A54" s="3" t="s">
        <v>1350</v>
      </c>
      <c r="B54" s="11" t="s">
        <v>77</v>
      </c>
      <c r="C54" s="67" t="s">
        <v>1287</v>
      </c>
      <c r="D54" s="67" t="s">
        <v>1287</v>
      </c>
      <c r="E54" s="67" t="s">
        <v>1287</v>
      </c>
      <c r="F54" s="67" t="s">
        <v>1287</v>
      </c>
      <c r="G54" s="67" t="s">
        <v>1287</v>
      </c>
      <c r="H54" s="67" t="s">
        <v>1287</v>
      </c>
    </row>
    <row r="55" customFormat="false" ht="15" hidden="true" customHeight="false" outlineLevel="1" collapsed="false">
      <c r="A55" s="3" t="s">
        <v>1351</v>
      </c>
      <c r="B55" s="11" t="s">
        <v>77</v>
      </c>
      <c r="C55" s="67" t="str">
        <f aca="false">IF(ISNUMBER(C38),IF(AND(ISNUMBER(C38),ISNUMBER(C37),C37&lt;&gt;0,ISNUMBER(C28),ISNUMBER(C22),C22&lt;&gt;0),C38/C37-C28/C22,"不適用"),"")</f>
        <v/>
      </c>
      <c r="D55" s="67" t="str">
        <f aca="false">IF(ISNUMBER(D38),IF(AND(ISNUMBER(D38),ISNUMBER(D37),D37&lt;&gt;0,ISNUMBER(D28),ISNUMBER(D22),D22&lt;&gt;0),D38/D37-D28/D22,"不適用"),"")</f>
        <v/>
      </c>
      <c r="E55" s="67" t="str">
        <f aca="false">IF(ISNUMBER(E38),IF(AND(ISNUMBER(E38),ISNUMBER(E37),E37&lt;&gt;0,ISNUMBER(E28),ISNUMBER(E22),E22&lt;&gt;0),E38/E37-E28/E22,"不適用"),"")</f>
        <v/>
      </c>
      <c r="F55" s="67" t="str">
        <f aca="false">IF(ISNUMBER(F38),IF(AND(ISNUMBER(F38),ISNUMBER(F37),F37&lt;&gt;0,ISNUMBER(F28),ISNUMBER(F22),F22&lt;&gt;0),F38/F37-F28/F22,"不適用"),"")</f>
        <v/>
      </c>
      <c r="G55" s="67" t="str">
        <f aca="false">IF(ISNUMBER(G38),IF(AND(ISNUMBER(G38),ISNUMBER(G37),G37&lt;&gt;0,ISNUMBER(G28),ISNUMBER(G22),G22&lt;&gt;0),G38/G37-G28/G22,"不適用"),"")</f>
        <v/>
      </c>
      <c r="H55" s="67" t="str">
        <f aca="false">IF(ISNUMBER(H38),IF(AND(ISNUMBER(H38),ISNUMBER(H37),H37&lt;&gt;0,ISNUMBER(H28),ISNUMBER(H22),H22&lt;&gt;0),H38/H37-H28/H22,"不適用"),"")</f>
        <v/>
      </c>
    </row>
    <row r="56" customFormat="false" ht="15" hidden="true" customHeight="false" outlineLevel="1" collapsed="false">
      <c r="A56" s="3" t="s">
        <v>1352</v>
      </c>
      <c r="B56" s="11" t="s">
        <v>77</v>
      </c>
      <c r="C56" s="67" t="str">
        <f aca="false">IF(ISNUMBER(C38),IF(AND(ISNUMBER(C38),ISNUMBER(C37),C37&lt;&gt;0,ISNUMBER(C34),ISNUMBER(C33),C33&lt;&gt;0),C38/C37-C34/C33,"不適用"),"")</f>
        <v/>
      </c>
      <c r="D56" s="67" t="str">
        <f aca="false">IF(ISNUMBER(D38),IF(AND(ISNUMBER(D38),ISNUMBER(D37),D37&lt;&gt;0,ISNUMBER(D34),ISNUMBER(D33),D33&lt;&gt;0),D38/D37-D34/D33,"不適用"),"")</f>
        <v/>
      </c>
      <c r="E56" s="67" t="str">
        <f aca="false">IF(ISNUMBER(E38),IF(AND(ISNUMBER(E38),ISNUMBER(E37),E37&lt;&gt;0,ISNUMBER(E34),ISNUMBER(E33),E33&lt;&gt;0),E38/E37-E34/E33,"不適用"),"")</f>
        <v/>
      </c>
      <c r="F56" s="67" t="str">
        <f aca="false">IF(ISNUMBER(F38),IF(AND(ISNUMBER(F38),ISNUMBER(F37),F37&lt;&gt;0,ISNUMBER(F34),ISNUMBER(F33),F33&lt;&gt;0),F38/F37-F34/F33,"不適用"),"")</f>
        <v/>
      </c>
      <c r="G56" s="67" t="str">
        <f aca="false">IF(ISNUMBER(G38),IF(AND(ISNUMBER(G38),ISNUMBER(G37),G37&lt;&gt;0,ISNUMBER(G34),ISNUMBER(G33),G33&lt;&gt;0),G38/G37-G34/G33,"不適用"),"")</f>
        <v/>
      </c>
      <c r="H56" s="67" t="str">
        <f aca="false">IF(ISNUMBER(H38),IF(AND(ISNUMBER(H38),ISNUMBER(H37),H37&lt;&gt;0,ISNUMBER(H34),ISNUMBER(H33),H33&lt;&gt;0),H38/H37-H34/H33,"不適用"),"")</f>
        <v/>
      </c>
    </row>
    <row r="57" customFormat="false" ht="15" hidden="true" customHeight="false" outlineLevel="1" collapsed="false">
      <c r="A57" s="3" t="s">
        <v>1353</v>
      </c>
      <c r="B57" s="11" t="s">
        <v>77</v>
      </c>
      <c r="C57" s="67" t="str">
        <f aca="false">IF(ISNUMBER(C38),"不適用","")</f>
        <v/>
      </c>
      <c r="D57" s="67" t="str">
        <f aca="false">IF(ISNUMBER(D38),"不適用","")</f>
        <v/>
      </c>
      <c r="E57" s="67" t="str">
        <f aca="false">IF(ISNUMBER(E38),"不適用","")</f>
        <v/>
      </c>
      <c r="F57" s="67" t="str">
        <f aca="false">IF(ISNUMBER(F38),"不適用","")</f>
        <v/>
      </c>
      <c r="G57" s="67" t="str">
        <f aca="false">IF(ISNUMBER(G38),"不適用","")</f>
        <v/>
      </c>
      <c r="H57" s="67" t="str">
        <f aca="false">IF(ISNUMBER(H38),"不適用","")</f>
        <v/>
      </c>
    </row>
    <row r="58" customFormat="false" ht="15" hidden="true" customHeight="false" outlineLevel="1" collapsed="false">
      <c r="A58" s="3" t="s">
        <v>1354</v>
      </c>
      <c r="B58" s="11" t="s">
        <v>77</v>
      </c>
      <c r="C58" s="67" t="str">
        <f aca="false">IF(AND(ISNUMBER(C27),ISNUMBER(C35)),C27-(C35),"不適用")</f>
        <v>不適用</v>
      </c>
      <c r="D58" s="67" t="str">
        <f aca="false">IF(AND(ISNUMBER(D27),ISNUMBER(D35)),D27-(D35),"不適用")</f>
        <v>不適用</v>
      </c>
      <c r="E58" s="67" t="str">
        <f aca="false">IF(AND(ISNUMBER(E27),ISNUMBER(E35)),E27-(E35),"不適用")</f>
        <v>不適用</v>
      </c>
      <c r="F58" s="67" t="str">
        <f aca="false">IF(AND(ISNUMBER(F27),ISNUMBER(F35)),F27-(F35),"不適用")</f>
        <v>不適用</v>
      </c>
      <c r="G58" s="67" t="str">
        <f aca="false">IF(AND(ISNUMBER(G27),ISNUMBER(G35)),G27-(G35),"不適用")</f>
        <v>不適用</v>
      </c>
      <c r="H58" s="67" t="str">
        <f aca="false">IF(AND(ISNUMBER(H27),ISNUMBER(H35)),H27-(H35),"不適用")</f>
        <v>不適用</v>
      </c>
    </row>
    <row r="59" customFormat="false" ht="15" hidden="true" customHeight="false" outlineLevel="1" collapsed="false">
      <c r="A59" s="3" t="s">
        <v>1355</v>
      </c>
      <c r="B59" s="11" t="s">
        <v>77</v>
      </c>
      <c r="C59" s="67" t="s">
        <v>1287</v>
      </c>
      <c r="D59" s="67" t="s">
        <v>1287</v>
      </c>
      <c r="E59" s="67" t="s">
        <v>1287</v>
      </c>
      <c r="F59" s="67" t="s">
        <v>1287</v>
      </c>
      <c r="G59" s="67" t="s">
        <v>1287</v>
      </c>
      <c r="H59" s="67" t="s">
        <v>1287</v>
      </c>
    </row>
    <row r="60" customFormat="false" ht="15" hidden="true" customHeight="false" outlineLevel="1" collapsed="false">
      <c r="A60" s="3" t="s">
        <v>1356</v>
      </c>
      <c r="B60" s="11" t="s">
        <v>77</v>
      </c>
      <c r="C60" s="67" t="str">
        <f aca="false">IF(ISNUMBER(C39),IF(AND(ISNUMBER(C27)),C39-(C27),"不適用"),"")</f>
        <v/>
      </c>
      <c r="D60" s="67" t="str">
        <f aca="false">IF(ISNUMBER(D39),IF(AND(ISNUMBER(D27)),D39-(D27),"不適用"),"")</f>
        <v/>
      </c>
      <c r="E60" s="67" t="str">
        <f aca="false">IF(ISNUMBER(E39),IF(AND(ISNUMBER(E27)),E39-(E27),"不適用"),"")</f>
        <v/>
      </c>
      <c r="F60" s="67" t="str">
        <f aca="false">IF(ISNUMBER(F39),IF(AND(ISNUMBER(F27)),F39-(F27),"不適用"),"")</f>
        <v/>
      </c>
      <c r="G60" s="67" t="str">
        <f aca="false">IF(ISNUMBER(G39),IF(AND(ISNUMBER(G27)),G39-(G27),"不適用"),"")</f>
        <v/>
      </c>
      <c r="H60" s="67" t="str">
        <f aca="false">IF(ISNUMBER(H39),IF(AND(ISNUMBER(H27)),H39-(H27),"不適用"),"")</f>
        <v/>
      </c>
    </row>
    <row r="61" customFormat="false" ht="15" hidden="true" customHeight="false" outlineLevel="1" collapsed="false">
      <c r="A61" s="3" t="s">
        <v>1357</v>
      </c>
      <c r="B61" s="11" t="s">
        <v>77</v>
      </c>
      <c r="C61" s="67" t="str">
        <f aca="false">IF(ISNUMBER(C39),IF(AND(ISNUMBER(C35)),C39-(C35),"不適用"),"")</f>
        <v/>
      </c>
      <c r="D61" s="67" t="str">
        <f aca="false">IF(ISNUMBER(D39),IF(AND(ISNUMBER(D35)),D39-(D35),"不適用"),"")</f>
        <v/>
      </c>
      <c r="E61" s="67" t="str">
        <f aca="false">IF(ISNUMBER(E39),IF(AND(ISNUMBER(E35)),E39-(E35),"不適用"),"")</f>
        <v/>
      </c>
      <c r="F61" s="67" t="str">
        <f aca="false">IF(ISNUMBER(F39),IF(AND(ISNUMBER(F35)),F39-(F35),"不適用"),"")</f>
        <v/>
      </c>
      <c r="G61" s="67" t="str">
        <f aca="false">IF(ISNUMBER(G39),IF(AND(ISNUMBER(G35)),G39-(G35),"不適用"),"")</f>
        <v/>
      </c>
      <c r="H61" s="67" t="str">
        <f aca="false">IF(ISNUMBER(H39),IF(AND(ISNUMBER(H35)),H39-(H35),"不適用"),"")</f>
        <v/>
      </c>
    </row>
    <row r="62" customFormat="false" ht="15" hidden="true" customHeight="false" outlineLevel="1" collapsed="false">
      <c r="A62" s="3" t="s">
        <v>1358</v>
      </c>
      <c r="B62" s="11" t="s">
        <v>77</v>
      </c>
      <c r="C62" s="67" t="str">
        <f aca="false">IF(ISNUMBER(C39),"不適用","")</f>
        <v/>
      </c>
      <c r="D62" s="67" t="str">
        <f aca="false">IF(ISNUMBER(D39),"不適用","")</f>
        <v/>
      </c>
      <c r="E62" s="67" t="str">
        <f aca="false">IF(ISNUMBER(E39),"不適用","")</f>
        <v/>
      </c>
      <c r="F62" s="67" t="str">
        <f aca="false">IF(ISNUMBER(F39),"不適用","")</f>
        <v/>
      </c>
      <c r="G62" s="67" t="str">
        <f aca="false">IF(ISNUMBER(G39),"不適用","")</f>
        <v/>
      </c>
      <c r="H62" s="67" t="str">
        <f aca="false">IF(ISNUMBER(H39),"不適用","")</f>
        <v/>
      </c>
    </row>
    <row r="63" customFormat="false" ht="15" hidden="true" customHeight="false" outlineLevel="1" collapsed="false">
      <c r="A63" s="3" t="s">
        <v>1359</v>
      </c>
      <c r="B63" s="11" t="s">
        <v>65</v>
      </c>
      <c r="C63" s="66" t="s">
        <v>1287</v>
      </c>
      <c r="D63" s="66" t="s">
        <v>1287</v>
      </c>
      <c r="E63" s="66" t="s">
        <v>1287</v>
      </c>
      <c r="F63" s="66" t="s">
        <v>1287</v>
      </c>
      <c r="G63" s="66" t="s">
        <v>1287</v>
      </c>
      <c r="H63" s="66" t="s">
        <v>1287</v>
      </c>
    </row>
    <row r="64" customFormat="false" ht="15" hidden="true" customHeight="false" outlineLevel="1" collapsed="false">
      <c r="A64" s="3" t="s">
        <v>1360</v>
      </c>
      <c r="B64" s="11" t="s">
        <v>65</v>
      </c>
      <c r="C64" s="66" t="s">
        <v>1287</v>
      </c>
      <c r="D64" s="66" t="s">
        <v>1287</v>
      </c>
      <c r="E64" s="66" t="s">
        <v>1287</v>
      </c>
      <c r="F64" s="66" t="s">
        <v>1287</v>
      </c>
      <c r="G64" s="66" t="s">
        <v>1287</v>
      </c>
      <c r="H64" s="66" t="s">
        <v>1287</v>
      </c>
    </row>
    <row r="65" customFormat="false" ht="15" hidden="true" customHeight="false" outlineLevel="1" collapsed="false">
      <c r="A65" s="3" t="s">
        <v>1361</v>
      </c>
      <c r="B65" s="11" t="s">
        <v>65</v>
      </c>
      <c r="C65" s="66" t="str">
        <f aca="false">IF(ISNUMBER(C40),IF(AND(ISNUMBER(C31)),C40-(C31),"不適用"),"")</f>
        <v/>
      </c>
      <c r="D65" s="66" t="str">
        <f aca="false">IF(ISNUMBER(D40),IF(AND(ISNUMBER(D31)),D40-(D31),"不適用"),"")</f>
        <v/>
      </c>
      <c r="E65" s="66" t="str">
        <f aca="false">IF(ISNUMBER(E40),IF(AND(ISNUMBER(E31)),E40-(E31),"不適用"),"")</f>
        <v/>
      </c>
      <c r="F65" s="66" t="str">
        <f aca="false">IF(ISNUMBER(F40),IF(AND(ISNUMBER(F31)),F40-(F31),"不適用"),"")</f>
        <v/>
      </c>
      <c r="G65" s="66" t="str">
        <f aca="false">IF(ISNUMBER(G40),IF(AND(ISNUMBER(G31)),G40-(G31),"不適用"),"")</f>
        <v/>
      </c>
      <c r="H65" s="66" t="str">
        <f aca="false">IF(ISNUMBER(H40),IF(AND(ISNUMBER(H31)),H40-(H31),"不適用"),"")</f>
        <v/>
      </c>
    </row>
    <row r="66" customFormat="false" ht="15" hidden="true" customHeight="false" outlineLevel="1" collapsed="false">
      <c r="A66" s="3" t="s">
        <v>1362</v>
      </c>
      <c r="B66" s="11" t="s">
        <v>65</v>
      </c>
      <c r="C66" s="66" t="str">
        <f aca="false">IF(ISNUMBER(C40),"不適用","")</f>
        <v/>
      </c>
      <c r="D66" s="66" t="str">
        <f aca="false">IF(ISNUMBER(D40),"不適用","")</f>
        <v/>
      </c>
      <c r="E66" s="66" t="str">
        <f aca="false">IF(ISNUMBER(E40),"不適用","")</f>
        <v/>
      </c>
      <c r="F66" s="66" t="str">
        <f aca="false">IF(ISNUMBER(F40),"不適用","")</f>
        <v/>
      </c>
      <c r="G66" s="66" t="str">
        <f aca="false">IF(ISNUMBER(G40),"不適用","")</f>
        <v/>
      </c>
      <c r="H66" s="66" t="str">
        <f aca="false">IF(ISNUMBER(H40),"不適用","")</f>
        <v/>
      </c>
    </row>
    <row r="67" customFormat="false" ht="15" hidden="true" customHeight="false" outlineLevel="1" collapsed="false">
      <c r="A67" s="3" t="s">
        <v>1363</v>
      </c>
      <c r="B67" s="11" t="s">
        <v>65</v>
      </c>
      <c r="C67" s="66" t="str">
        <f aca="false">IF(ISNUMBER(C40),"不適用","")</f>
        <v/>
      </c>
      <c r="D67" s="66" t="str">
        <f aca="false">IF(ISNUMBER(D40),"不適用","")</f>
        <v/>
      </c>
      <c r="E67" s="66" t="str">
        <f aca="false">IF(ISNUMBER(E40),"不適用","")</f>
        <v/>
      </c>
      <c r="F67" s="66" t="str">
        <f aca="false">IF(ISNUMBER(F40),"不適用","")</f>
        <v/>
      </c>
      <c r="G67" s="66" t="str">
        <f aca="false">IF(ISNUMBER(G40),"不適用","")</f>
        <v/>
      </c>
      <c r="H67" s="66" t="str">
        <f aca="false">IF(ISNUMBER(H40),"不適用","")</f>
        <v/>
      </c>
    </row>
    <row r="68" customFormat="false" ht="15" hidden="true" customHeight="false" outlineLevel="1" collapsed="false">
      <c r="A68" s="3" t="s">
        <v>1364</v>
      </c>
      <c r="B68" s="11" t="s">
        <v>77</v>
      </c>
      <c r="C68" s="67" t="s">
        <v>1287</v>
      </c>
      <c r="D68" s="67" t="s">
        <v>1287</v>
      </c>
      <c r="E68" s="67" t="s">
        <v>1287</v>
      </c>
      <c r="F68" s="67" t="s">
        <v>1287</v>
      </c>
      <c r="G68" s="67" t="s">
        <v>1287</v>
      </c>
      <c r="H68" s="67" t="s">
        <v>1287</v>
      </c>
    </row>
    <row r="69" customFormat="false" ht="15" hidden="true" customHeight="false" outlineLevel="1" collapsed="false">
      <c r="A69" s="3" t="s">
        <v>1365</v>
      </c>
      <c r="B69" s="11" t="s">
        <v>77</v>
      </c>
      <c r="C69" s="67" t="s">
        <v>1287</v>
      </c>
      <c r="D69" s="67" t="s">
        <v>1287</v>
      </c>
      <c r="E69" s="67" t="s">
        <v>1287</v>
      </c>
      <c r="F69" s="67" t="s">
        <v>1287</v>
      </c>
      <c r="G69" s="67" t="s">
        <v>1287</v>
      </c>
      <c r="H69" s="67" t="s">
        <v>1287</v>
      </c>
    </row>
    <row r="70" customFormat="false" ht="15" hidden="true" customHeight="false" outlineLevel="1" collapsed="false">
      <c r="A70" s="3" t="s">
        <v>1366</v>
      </c>
      <c r="B70" s="11" t="s">
        <v>77</v>
      </c>
      <c r="C70" s="67" t="str">
        <f aca="false">IF(ISNUMBER(C40),IF(AND(ISNUMBER(C40),ISNUMBER(C37),C37&lt;&gt;0,ISNUMBER(C31),ISNUMBER(C22),C22&lt;&gt;0),C40/C37-C31/C22,"不適用"),"")</f>
        <v/>
      </c>
      <c r="D70" s="67" t="str">
        <f aca="false">IF(ISNUMBER(D40),IF(AND(ISNUMBER(D40),ISNUMBER(D37),D37&lt;&gt;0,ISNUMBER(D31),ISNUMBER(D22),D22&lt;&gt;0),D40/D37-D31/D22,"不適用"),"")</f>
        <v/>
      </c>
      <c r="E70" s="67" t="str">
        <f aca="false">IF(ISNUMBER(E40),IF(AND(ISNUMBER(E40),ISNUMBER(E37),E37&lt;&gt;0,ISNUMBER(E31),ISNUMBER(E22),E22&lt;&gt;0),E40/E37-E31/E22,"不適用"),"")</f>
        <v/>
      </c>
      <c r="F70" s="67" t="str">
        <f aca="false">IF(ISNUMBER(F40),IF(AND(ISNUMBER(F40),ISNUMBER(F37),F37&lt;&gt;0,ISNUMBER(F31),ISNUMBER(F22),F22&lt;&gt;0),F40/F37-F31/F22,"不適用"),"")</f>
        <v/>
      </c>
      <c r="G70" s="67" t="str">
        <f aca="false">IF(ISNUMBER(G40),IF(AND(ISNUMBER(G40),ISNUMBER(G37),G37&lt;&gt;0,ISNUMBER(G31),ISNUMBER(G22),G22&lt;&gt;0),G40/G37-G31/G22,"不適用"),"")</f>
        <v/>
      </c>
      <c r="H70" s="67" t="str">
        <f aca="false">IF(ISNUMBER(H40),IF(AND(ISNUMBER(H40),ISNUMBER(H37),H37&lt;&gt;0,ISNUMBER(H31),ISNUMBER(H22),H22&lt;&gt;0),H40/H37-H31/H22,"不適用"),"")</f>
        <v/>
      </c>
    </row>
    <row r="71" customFormat="false" ht="15" hidden="true" customHeight="false" outlineLevel="1" collapsed="false">
      <c r="A71" s="3" t="s">
        <v>1367</v>
      </c>
      <c r="B71" s="11" t="s">
        <v>77</v>
      </c>
      <c r="C71" s="67" t="str">
        <f aca="false">IF(ISNUMBER(C40),"不適用","")</f>
        <v/>
      </c>
      <c r="D71" s="67" t="str">
        <f aca="false">IF(ISNUMBER(D40),"不適用","")</f>
        <v/>
      </c>
      <c r="E71" s="67" t="str">
        <f aca="false">IF(ISNUMBER(E40),"不適用","")</f>
        <v/>
      </c>
      <c r="F71" s="67" t="str">
        <f aca="false">IF(ISNUMBER(F40),"不適用","")</f>
        <v/>
      </c>
      <c r="G71" s="67" t="str">
        <f aca="false">IF(ISNUMBER(G40),"不適用","")</f>
        <v/>
      </c>
      <c r="H71" s="67" t="str">
        <f aca="false">IF(ISNUMBER(H40),"不適用","")</f>
        <v/>
      </c>
    </row>
    <row r="72" customFormat="false" ht="15" hidden="true" customHeight="false" outlineLevel="1" collapsed="false">
      <c r="A72" s="3" t="s">
        <v>1368</v>
      </c>
      <c r="B72" s="11" t="s">
        <v>77</v>
      </c>
      <c r="C72" s="67" t="str">
        <f aca="false">IF(ISNUMBER(C40),"不適用","")</f>
        <v/>
      </c>
      <c r="D72" s="67" t="str">
        <f aca="false">IF(ISNUMBER(D40),"不適用","")</f>
        <v/>
      </c>
      <c r="E72" s="67" t="str">
        <f aca="false">IF(ISNUMBER(E40),"不適用","")</f>
        <v/>
      </c>
      <c r="F72" s="67" t="str">
        <f aca="false">IF(ISNUMBER(F40),"不適用","")</f>
        <v/>
      </c>
      <c r="G72" s="67" t="str">
        <f aca="false">IF(ISNUMBER(G40),"不適用","")</f>
        <v/>
      </c>
      <c r="H72" s="67" t="str">
        <f aca="false">IF(ISNUMBER(H40),"不適用","")</f>
        <v/>
      </c>
    </row>
    <row r="73" customFormat="false" ht="15" hidden="true" customHeight="false" outlineLevel="1" collapsed="false">
      <c r="A73" s="3" t="s">
        <v>1369</v>
      </c>
      <c r="B73" s="11" t="s">
        <v>42</v>
      </c>
      <c r="C73" s="67" t="s">
        <v>1287</v>
      </c>
      <c r="D73" s="67" t="s">
        <v>1287</v>
      </c>
      <c r="E73" s="67" t="s">
        <v>1287</v>
      </c>
      <c r="F73" s="67" t="s">
        <v>1287</v>
      </c>
      <c r="G73" s="67" t="s">
        <v>1287</v>
      </c>
      <c r="H73" s="67" t="s">
        <v>1287</v>
      </c>
    </row>
    <row r="74" customFormat="false" ht="15" hidden="true" customHeight="false" outlineLevel="1" collapsed="false">
      <c r="A74" s="3" t="s">
        <v>1370</v>
      </c>
      <c r="B74" s="11" t="s">
        <v>42</v>
      </c>
      <c r="C74" s="67" t="s">
        <v>1287</v>
      </c>
      <c r="D74" s="67" t="s">
        <v>1287</v>
      </c>
      <c r="E74" s="67" t="s">
        <v>1287</v>
      </c>
      <c r="F74" s="67" t="s">
        <v>1287</v>
      </c>
      <c r="G74" s="67" t="s">
        <v>1287</v>
      </c>
      <c r="H74" s="67" t="s">
        <v>1287</v>
      </c>
    </row>
    <row r="75" customFormat="false" ht="15" hidden="true" customHeight="false" outlineLevel="1" collapsed="false">
      <c r="A75" s="3" t="s">
        <v>1371</v>
      </c>
      <c r="B75" s="11" t="s">
        <v>42</v>
      </c>
      <c r="C75" s="67" t="str">
        <f aca="false">IF(ISNUMBER(C41),IF(AND(ISNUMBER(C32),C32&lt;&gt;0),C41/(C32)-1,"不適用"),"")</f>
        <v/>
      </c>
      <c r="D75" s="67" t="str">
        <f aca="false">IF(ISNUMBER(D41),IF(AND(ISNUMBER(D32),D32&lt;&gt;0),D41/(D32)-1,"不適用"),"")</f>
        <v/>
      </c>
      <c r="E75" s="67" t="str">
        <f aca="false">IF(ISNUMBER(E41),IF(AND(ISNUMBER(E32),E32&lt;&gt;0),E41/(E32)-1,"不適用"),"")</f>
        <v/>
      </c>
      <c r="F75" s="67" t="str">
        <f aca="false">IF(ISNUMBER(F41),IF(AND(ISNUMBER(F32),F32&lt;&gt;0),F41/(F32)-1,"不適用"),"")</f>
        <v/>
      </c>
      <c r="G75" s="67" t="str">
        <f aca="false">IF(ISNUMBER(G41),IF(AND(ISNUMBER(G32),G32&lt;&gt;0),G41/(G32)-1,"不適用"),"")</f>
        <v/>
      </c>
      <c r="H75" s="67" t="str">
        <f aca="false">IF(ISNUMBER(H41),IF(AND(ISNUMBER(H32),H32&lt;&gt;0),H41/(H32)-1,"不適用"),"")</f>
        <v/>
      </c>
    </row>
    <row r="76" customFormat="false" ht="15" hidden="true" customHeight="false" outlineLevel="1" collapsed="false">
      <c r="A76" s="3" t="s">
        <v>1372</v>
      </c>
      <c r="B76" s="11" t="s">
        <v>42</v>
      </c>
      <c r="C76" s="67" t="str">
        <f aca="false">IF(ISNUMBER(C41),"不適用","")</f>
        <v/>
      </c>
      <c r="D76" s="67" t="str">
        <f aca="false">IF(ISNUMBER(D41),"不適用","")</f>
        <v/>
      </c>
      <c r="E76" s="67" t="str">
        <f aca="false">IF(ISNUMBER(E41),"不適用","")</f>
        <v/>
      </c>
      <c r="F76" s="67" t="str">
        <f aca="false">IF(ISNUMBER(F41),"不適用","")</f>
        <v/>
      </c>
      <c r="G76" s="67" t="str">
        <f aca="false">IF(ISNUMBER(G41),"不適用","")</f>
        <v/>
      </c>
      <c r="H76" s="67" t="str">
        <f aca="false">IF(ISNUMBER(H41),"不適用","")</f>
        <v/>
      </c>
    </row>
    <row r="77" customFormat="false" ht="15" hidden="true" customHeight="false" outlineLevel="1" collapsed="false">
      <c r="A77" s="3" t="s">
        <v>1373</v>
      </c>
      <c r="B77" s="11" t="s">
        <v>42</v>
      </c>
      <c r="C77" s="67" t="str">
        <f aca="false">IF(ISNUMBER(C41),"不適用","")</f>
        <v/>
      </c>
      <c r="D77" s="67" t="str">
        <f aca="false">IF(ISNUMBER(D41),"不適用","")</f>
        <v/>
      </c>
      <c r="E77" s="67" t="str">
        <f aca="false">IF(ISNUMBER(E41),"不適用","")</f>
        <v/>
      </c>
      <c r="F77" s="67" t="str">
        <f aca="false">IF(ISNUMBER(F41),"不適用","")</f>
        <v/>
      </c>
      <c r="G77" s="67" t="str">
        <f aca="false">IF(ISNUMBER(G41),"不適用","")</f>
        <v/>
      </c>
      <c r="H77" s="67" t="str">
        <f aca="false">IF(ISNUMBER(H41),"不適用","")</f>
        <v/>
      </c>
    </row>
    <row r="78" customFormat="false" ht="15" hidden="true" customHeight="false" outlineLevel="1" collapsed="false">
      <c r="A78" s="3" t="s">
        <v>1374</v>
      </c>
      <c r="B78" s="11" t="s">
        <v>157</v>
      </c>
      <c r="C78" s="68" t="s">
        <v>1287</v>
      </c>
      <c r="D78" s="68" t="s">
        <v>1287</v>
      </c>
      <c r="E78" s="68" t="s">
        <v>1287</v>
      </c>
      <c r="F78" s="68" t="s">
        <v>1287</v>
      </c>
      <c r="G78" s="68" t="s">
        <v>1287</v>
      </c>
      <c r="H78" s="68" t="s">
        <v>1287</v>
      </c>
    </row>
    <row r="79" customFormat="false" ht="15" hidden="true" customHeight="false" outlineLevel="1" collapsed="false">
      <c r="A79" s="3" t="s">
        <v>1375</v>
      </c>
      <c r="B79" s="11" t="s">
        <v>157</v>
      </c>
      <c r="C79" s="68" t="s">
        <v>1287</v>
      </c>
      <c r="D79" s="68" t="s">
        <v>1287</v>
      </c>
      <c r="E79" s="68" t="s">
        <v>1287</v>
      </c>
      <c r="F79" s="68" t="s">
        <v>1287</v>
      </c>
      <c r="G79" s="68" t="s">
        <v>1287</v>
      </c>
      <c r="H79" s="68" t="s">
        <v>1287</v>
      </c>
    </row>
    <row r="80" customFormat="false" ht="15" hidden="true" customHeight="false" outlineLevel="1" collapsed="false">
      <c r="A80" s="3" t="s">
        <v>1376</v>
      </c>
      <c r="B80" s="11" t="s">
        <v>157</v>
      </c>
      <c r="C80" s="68" t="str">
        <f aca="false">IF(ISNUMBER(C42),IF(AND(ISNUMBER(C19)),C42-(C19),"不適用"),"")</f>
        <v/>
      </c>
      <c r="D80" s="68" t="str">
        <f aca="false">IF(ISNUMBER(D42),IF(AND(ISNUMBER(D19)),D42-(D19),"不適用"),"")</f>
        <v/>
      </c>
      <c r="E80" s="68" t="str">
        <f aca="false">IF(ISNUMBER(E42),IF(AND(ISNUMBER(E19)),E42-(E19),"不適用"),"")</f>
        <v/>
      </c>
      <c r="F80" s="68" t="str">
        <f aca="false">IF(ISNUMBER(F42),IF(AND(ISNUMBER(F19)),F42-(F19),"不適用"),"")</f>
        <v/>
      </c>
      <c r="G80" s="68" t="str">
        <f aca="false">IF(ISNUMBER(G42),IF(AND(ISNUMBER(G19)),G42-(G19),"不適用"),"")</f>
        <v/>
      </c>
      <c r="H80" s="68" t="str">
        <f aca="false">IF(ISNUMBER(H42),IF(AND(ISNUMBER(H19)),H42-(H19),"不適用"),"")</f>
        <v/>
      </c>
    </row>
    <row r="81" customFormat="false" ht="15" hidden="true" customHeight="false" outlineLevel="1" collapsed="false">
      <c r="A81" s="3" t="s">
        <v>1377</v>
      </c>
      <c r="B81" s="11" t="s">
        <v>157</v>
      </c>
      <c r="C81" s="68" t="str">
        <f aca="false">IF(ISNUMBER(C42),"不適用","")</f>
        <v/>
      </c>
      <c r="D81" s="68" t="str">
        <f aca="false">IF(ISNUMBER(D42),"不適用","")</f>
        <v/>
      </c>
      <c r="E81" s="68" t="str">
        <f aca="false">IF(ISNUMBER(E42),"不適用","")</f>
        <v/>
      </c>
      <c r="F81" s="68" t="str">
        <f aca="false">IF(ISNUMBER(F42),"不適用","")</f>
        <v/>
      </c>
      <c r="G81" s="68" t="str">
        <f aca="false">IF(ISNUMBER(G42),"不適用","")</f>
        <v/>
      </c>
      <c r="H81" s="68" t="str">
        <f aca="false">IF(ISNUMBER(H42),"不適用","")</f>
        <v/>
      </c>
    </row>
    <row r="82" customFormat="false" ht="15" hidden="true" customHeight="false" outlineLevel="1" collapsed="false">
      <c r="A82" s="3" t="s">
        <v>1378</v>
      </c>
      <c r="B82" s="11" t="s">
        <v>157</v>
      </c>
      <c r="C82" s="68" t="str">
        <f aca="false">IF(ISNUMBER(C42),"不適用","")</f>
        <v/>
      </c>
      <c r="D82" s="68" t="str">
        <f aca="false">IF(ISNUMBER(D42),"不適用","")</f>
        <v/>
      </c>
      <c r="E82" s="68" t="str">
        <f aca="false">IF(ISNUMBER(E42),"不適用","")</f>
        <v/>
      </c>
      <c r="F82" s="68" t="str">
        <f aca="false">IF(ISNUMBER(F42),"不適用","")</f>
        <v/>
      </c>
      <c r="G82" s="68" t="str">
        <f aca="false">IF(ISNUMBER(G42),"不適用","")</f>
        <v/>
      </c>
      <c r="H82" s="68" t="str">
        <f aca="false">IF(ISNUMBER(H42),"不適用","")</f>
        <v/>
      </c>
    </row>
    <row r="83" customFormat="false" ht="15" hidden="true" customHeight="false" outlineLevel="1" collapsed="false">
      <c r="A83" s="3" t="s">
        <v>1379</v>
      </c>
      <c r="B83" s="11" t="s">
        <v>65</v>
      </c>
      <c r="C83" s="66" t="str">
        <f aca="false">IF(COUNT(C33,D33)=2,C33+D33,"不適用")</f>
        <v>不適用</v>
      </c>
      <c r="D83" s="66" t="str">
        <f aca="false">IF(COUNT(C33,D33)=2,C33+D33,"不適用")</f>
        <v>不適用</v>
      </c>
      <c r="E83" s="66" t="str">
        <f aca="false">IF(COUNT(E33,F33,G33,H33)=4,E33+F33+G33+H33,"不適用")</f>
        <v>不適用</v>
      </c>
      <c r="F83" s="66" t="str">
        <f aca="false">IF(COUNT(E33,F33,G33,H33)=4,E33+F33+G33+H33,"不適用")</f>
        <v>不適用</v>
      </c>
      <c r="G83" s="66" t="str">
        <f aca="false">IF(COUNT(E33,F33,G33,H33)=4,E33+F33+G33+H33,"不適用")</f>
        <v>不適用</v>
      </c>
      <c r="H83" s="66" t="str">
        <f aca="false">IF(COUNT(E33,F33,G33,H33)=4,E33+F33+G33+H33,"不適用")</f>
        <v>不適用</v>
      </c>
      <c r="J83" s="6" t="s">
        <v>1380</v>
      </c>
    </row>
    <row r="84" customFormat="false" ht="15" hidden="true" customHeight="false" outlineLevel="1" collapsed="false">
      <c r="A84" s="3" t="s">
        <v>1381</v>
      </c>
      <c r="B84" s="11" t="s">
        <v>65</v>
      </c>
      <c r="C84" s="66" t="str">
        <f aca="false">IF(AND(ISNUMBER(C83),C83&lt;&gt;0,ISNUMBER(C33),ISNUMBER(C22)),(損益!C9-C83)*(C33)/C83,"不適用")</f>
        <v>不適用</v>
      </c>
      <c r="D84" s="66" t="str">
        <f aca="false">IF(AND(ISNUMBER(D83),D83&lt;&gt;0,ISNUMBER(D33),ISNUMBER(D22)),(損益!C9-D83)*(D33)/D83,"不適用")</f>
        <v>不適用</v>
      </c>
      <c r="E84" s="66" t="str">
        <f aca="false">IF(AND(ISNUMBER(E83),E83&lt;&gt;0,ISNUMBER(E33),ISNUMBER(E22)),(損益!D9-E83)*(E33)/E83,"不適用")</f>
        <v>不適用</v>
      </c>
      <c r="F84" s="66" t="str">
        <f aca="false">IF(AND(ISNUMBER(F83),F83&lt;&gt;0,ISNUMBER(F33),ISNUMBER(F22)),(損益!D9-F83)*(F33)/F83,"不適用")</f>
        <v>不適用</v>
      </c>
      <c r="G84" s="66" t="str">
        <f aca="false">IF(AND(ISNUMBER(G83),G83&lt;&gt;0,ISNUMBER(G33),ISNUMBER(G22)),(損益!D9-G83)*(G33)/G83,"不適用")</f>
        <v>不適用</v>
      </c>
      <c r="H84" s="66" t="str">
        <f aca="false">IF(AND(ISNUMBER(H83),H83&lt;&gt;0,ISNUMBER(H33),ISNUMBER(H22)),(損益!D9-H83)*(H33)/H83,"不適用")</f>
        <v>不適用</v>
      </c>
      <c r="J84" s="11" t="s">
        <v>1382</v>
      </c>
    </row>
    <row r="85" customFormat="false" ht="15" hidden="true" customHeight="false" outlineLevel="1" collapsed="false">
      <c r="A85" s="3" t="s">
        <v>1383</v>
      </c>
      <c r="B85" s="11" t="s">
        <v>65</v>
      </c>
      <c r="C85" s="66" t="str">
        <f aca="false">IF(AND(ISNUMBER(C83),C83&lt;&gt;0,ISNUMBER(C33),ISNUMBER(C22)),(C22/損益!C9-(C33)/C83)*損益!C9,"不適用")</f>
        <v>不適用</v>
      </c>
      <c r="D85" s="66" t="str">
        <f aca="false">IF(AND(ISNUMBER(D83),D83&lt;&gt;0,ISNUMBER(D33),ISNUMBER(D22)),(D22/損益!C9-(D33)/D83)*損益!C9,"不適用")</f>
        <v>不適用</v>
      </c>
      <c r="E85" s="66" t="str">
        <f aca="false">IF(AND(ISNUMBER(E83),E83&lt;&gt;0,ISNUMBER(E33),ISNUMBER(E22)),(E22/損益!D9-(E33)/E83)*損益!D9,"不適用")</f>
        <v>不適用</v>
      </c>
      <c r="F85" s="66" t="str">
        <f aca="false">IF(AND(ISNUMBER(F83),F83&lt;&gt;0,ISNUMBER(F33),ISNUMBER(F22)),(F22/損益!D9-(F33)/F83)*損益!D9,"不適用")</f>
        <v>不適用</v>
      </c>
      <c r="G85" s="66" t="str">
        <f aca="false">IF(AND(ISNUMBER(G83),G83&lt;&gt;0,ISNUMBER(G33),ISNUMBER(G22)),(G22/損益!D9-(G33)/G83)*損益!D9,"不適用")</f>
        <v>不適用</v>
      </c>
      <c r="H85" s="66" t="str">
        <f aca="false">IF(AND(ISNUMBER(H83),H83&lt;&gt;0,ISNUMBER(H33),ISNUMBER(H22)),(H22/損益!D9-(H33)/H83)*損益!D9,"不適用")</f>
        <v>不適用</v>
      </c>
      <c r="J85" s="11" t="s">
        <v>1384</v>
      </c>
    </row>
    <row r="86" customFormat="false" ht="15" hidden="true" customHeight="false" outlineLevel="1" collapsed="false">
      <c r="A86" s="3" t="s">
        <v>1385</v>
      </c>
      <c r="C86" s="48" t="str">
        <f aca="false">IF(ISNUMBER(C43),IF(ABS(C43)&gt;輸入與假設!$C$545,IF(ISNUMBER(C84),IF(ABS(C85)&gt;ABS(C84),"營收 vs 共識 "&amp;IF(C43&lt;0,"−","+")&amp;TEXT(ABS(C43)*100,"#,##0.0")&amp;"%"&amp;"：拆法（分配 "&amp;IF(C85&lt;0,"−","+")&amp;IF(ABS(C85)&lt;0,"−","")&amp;"$"&amp;TEXT(ABS(ABS(C85)),"#,##0.000")&amp;"bn"&amp;"（Q3 2026 占 2H26 "&amp;TEXT((C22/損益!C9)*100,"#,##0.0")&amp;"%"&amp;"，共識合計 "&amp;TEXT(((C33)/C83)*100,"#,##0.0")&amp;"%"&amp;"）；水準 "&amp;IF(C84&lt;0,"−","+")&amp;IF(ABS(C84)&lt;0,"−","")&amp;"$"&amp;TEXT(ABS(ABS(C84)),"#,##0.000")&amp;"bn"&amp;"）","營收 vs 共識 "&amp;IF(C43&lt;0,"−","+")&amp;TEXT(ABS(C43)*100,"#,##0.0")&amp;"%"&amp;"：觀點（水準 "&amp;IF(C84&lt;0,"−","+")&amp;IF(ABS(C84)&lt;0,"−","")&amp;"$"&amp;TEXT(ABS(ABS(C84)),"#,##0.000")&amp;"bn"&amp;"（2H26 模型 "&amp;IF(損益!C9&lt;0,"−","")&amp;"$"&amp;TEXT(ABS(損益!C9),"#,##0.000")&amp;"bn"&amp;"，共識合計 "&amp;IF(C83&lt;0,"−","")&amp;"$"&amp;TEXT(ABS(C83),"#,##0.000")&amp;"bn"&amp;"）；分配 "&amp;IF(C85&lt;0,"−","+")&amp;IF(ABS(C85)&lt;0,"−","")&amp;"$"&amp;TEXT(ABS(ABS(C85)),"#,##0.000")&amp;"bn"&amp;"；"&amp;"營收＝對外 AI 雲端（在役 MW × 每 MW 年收入，Tokenomics × k）＋各分部依近四季年增率收斂；年度總額線性分到各季，未建模第四季季節性"&amp;"）"),"營收 vs 共識 "&amp;IF(C43&lt;0,"−","+")&amp;TEXT(ABS(C43)*100,"#,##0.0")&amp;"%"&amp;"：觀點（"&amp;"營收＝對外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86" s="48" t="str">
        <f aca="false">IF(ISNUMBER(D43),IF(ABS(D43)&gt;輸入與假設!$C$545,IF(ISNUMBER(D84),IF(ABS(D85)&gt;ABS(D84),"營收 vs 共識 "&amp;IF(D43&lt;0,"−","+")&amp;TEXT(ABS(D43)*100,"#,##0.0")&amp;"%"&amp;"：拆法（分配 "&amp;IF(D85&lt;0,"−","+")&amp;IF(ABS(D85)&lt;0,"−","")&amp;"$"&amp;TEXT(ABS(ABS(D85)),"#,##0.000")&amp;"bn"&amp;"（Q4 2026 占 2H26 "&amp;TEXT((D22/損益!C9)*100,"#,##0.0")&amp;"%"&amp;"，共識合計 "&amp;TEXT(((D33)/D83)*100,"#,##0.0")&amp;"%"&amp;"）；水準 "&amp;IF(D84&lt;0,"−","+")&amp;IF(ABS(D84)&lt;0,"−","")&amp;"$"&amp;TEXT(ABS(ABS(D84)),"#,##0.000")&amp;"bn"&amp;"）","營收 vs 共識 "&amp;IF(D43&lt;0,"−","+")&amp;TEXT(ABS(D43)*100,"#,##0.0")&amp;"%"&amp;"：觀點（水準 "&amp;IF(D84&lt;0,"−","+")&amp;IF(ABS(D84)&lt;0,"−","")&amp;"$"&amp;TEXT(ABS(ABS(D84)),"#,##0.000")&amp;"bn"&amp;"（2H26 模型 "&amp;IF(損益!C9&lt;0,"−","")&amp;"$"&amp;TEXT(ABS(損益!C9),"#,##0.000")&amp;"bn"&amp;"，共識合計 "&amp;IF(D83&lt;0,"−","")&amp;"$"&amp;TEXT(ABS(D83),"#,##0.000")&amp;"bn"&amp;"）；分配 "&amp;IF(D85&lt;0,"−","+")&amp;IF(ABS(D85)&lt;0,"−","")&amp;"$"&amp;TEXT(ABS(ABS(D85)),"#,##0.000")&amp;"bn"&amp;"；"&amp;"營收＝對外 AI 雲端（在役 MW × 每 MW 年收入，Tokenomics × k）＋各分部依近四季年增率收斂；年度總額線性分到各季，未建模第四季季節性"&amp;"）"),"營收 vs 共識 "&amp;IF(D43&lt;0,"−","+")&amp;TEXT(ABS(D43)*100,"#,##0.0")&amp;"%"&amp;"：觀點（"&amp;"營收＝對外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86" s="48" t="str">
        <f aca="false">IF(ISNUMBER(E43),IF(ABS(E43)&gt;輸入與假設!$C$545,IF(ISNUMBER(E84),IF(ABS(E85)&gt;ABS(E84),"營收 vs 共識 "&amp;IF(E43&lt;0,"−","+")&amp;TEXT(ABS(E43)*100,"#,##0.0")&amp;"%"&amp;"：拆法（分配 "&amp;IF(E85&lt;0,"−","+")&amp;IF(ABS(E85)&lt;0,"−","")&amp;"$"&amp;TEXT(ABS(ABS(E85)),"#,##0.000")&amp;"bn"&amp;"（Q1 2027 占 2027 "&amp;TEXT((E22/損益!D9)*100,"#,##0.0")&amp;"%"&amp;"，共識合計 "&amp;TEXT(((E33)/E83)*100,"#,##0.0")&amp;"%"&amp;"）；水準 "&amp;IF(E84&lt;0,"−","+")&amp;IF(ABS(E84)&lt;0,"−","")&amp;"$"&amp;TEXT(ABS(ABS(E84)),"#,##0.000")&amp;"bn"&amp;"）","營收 vs 共識 "&amp;IF(E43&lt;0,"−","+")&amp;TEXT(ABS(E43)*100,"#,##0.0")&amp;"%"&amp;"：觀點（水準 "&amp;IF(E84&lt;0,"−","+")&amp;IF(ABS(E84)&lt;0,"−","")&amp;"$"&amp;TEXT(ABS(ABS(E84)),"#,##0.000")&amp;"bn"&amp;"（2027 模型 "&amp;IF(損益!D9&lt;0,"−","")&amp;"$"&amp;TEXT(ABS(損益!D9),"#,##0.000")&amp;"bn"&amp;"，共識合計 "&amp;IF(E83&lt;0,"−","")&amp;"$"&amp;TEXT(ABS(E83),"#,##0.000")&amp;"bn"&amp;"）；分配 "&amp;IF(E85&lt;0,"−","+")&amp;IF(ABS(E85)&lt;0,"−","")&amp;"$"&amp;TEXT(ABS(ABS(E85)),"#,##0.000")&amp;"bn"&amp;"；"&amp;"營收＝對外 AI 雲端（在役 MW × 每 MW 年收入，Tokenomics × k）＋各分部依近四季年增率收斂；年度總額線性分到各季，未建模第四季季節性"&amp;"）"),"營收 vs 共識 "&amp;IF(E43&lt;0,"−","+")&amp;TEXT(ABS(E43)*100,"#,##0.0")&amp;"%"&amp;"：觀點（"&amp;"營收＝對外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86" s="48" t="str">
        <f aca="false">IF(ISNUMBER(F43),IF(ABS(F43)&gt;輸入與假設!$C$545,IF(ISNUMBER(F84),IF(ABS(F85)&gt;ABS(F84),"營收 vs 共識 "&amp;IF(F43&lt;0,"−","+")&amp;TEXT(ABS(F43)*100,"#,##0.0")&amp;"%"&amp;"：拆法（分配 "&amp;IF(F85&lt;0,"−","+")&amp;IF(ABS(F85)&lt;0,"−","")&amp;"$"&amp;TEXT(ABS(ABS(F85)),"#,##0.000")&amp;"bn"&amp;"（Q2 2027 占 2027 "&amp;TEXT((F22/損益!D9)*100,"#,##0.0")&amp;"%"&amp;"，共識合計 "&amp;TEXT(((F33)/F83)*100,"#,##0.0")&amp;"%"&amp;"）；水準 "&amp;IF(F84&lt;0,"−","+")&amp;IF(ABS(F84)&lt;0,"−","")&amp;"$"&amp;TEXT(ABS(ABS(F84)),"#,##0.000")&amp;"bn"&amp;"）","營收 vs 共識 "&amp;IF(F43&lt;0,"−","+")&amp;TEXT(ABS(F43)*100,"#,##0.0")&amp;"%"&amp;"：觀點（水準 "&amp;IF(F84&lt;0,"−","+")&amp;IF(ABS(F84)&lt;0,"−","")&amp;"$"&amp;TEXT(ABS(ABS(F84)),"#,##0.000")&amp;"bn"&amp;"（2027 模型 "&amp;IF(損益!D9&lt;0,"−","")&amp;"$"&amp;TEXT(ABS(損益!D9),"#,##0.000")&amp;"bn"&amp;"，共識合計 "&amp;IF(F83&lt;0,"−","")&amp;"$"&amp;TEXT(ABS(F83),"#,##0.000")&amp;"bn"&amp;"）；分配 "&amp;IF(F85&lt;0,"−","+")&amp;IF(ABS(F85)&lt;0,"−","")&amp;"$"&amp;TEXT(ABS(ABS(F85)),"#,##0.000")&amp;"bn"&amp;"；"&amp;"營收＝對外 AI 雲端（在役 MW × 每 MW 年收入，Tokenomics × k）＋各分部依近四季年增率收斂；年度總額線性分到各季，未建模第四季季節性"&amp;"）"),"營收 vs 共識 "&amp;IF(F43&lt;0,"−","+")&amp;TEXT(ABS(F43)*100,"#,##0.0")&amp;"%"&amp;"：觀點（"&amp;"營收＝對外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86" s="48" t="str">
        <f aca="false">IF(ISNUMBER(G43),IF(ABS(G43)&gt;輸入與假設!$C$545,IF(ISNUMBER(G84),IF(ABS(G85)&gt;ABS(G84),"營收 vs 共識 "&amp;IF(G43&lt;0,"−","+")&amp;TEXT(ABS(G43)*100,"#,##0.0")&amp;"%"&amp;"：拆法（分配 "&amp;IF(G85&lt;0,"−","+")&amp;IF(ABS(G85)&lt;0,"−","")&amp;"$"&amp;TEXT(ABS(ABS(G85)),"#,##0.000")&amp;"bn"&amp;"（Q3 2027 占 2027 "&amp;TEXT((G22/損益!D9)*100,"#,##0.0")&amp;"%"&amp;"，共識合計 "&amp;TEXT(((G33)/G83)*100,"#,##0.0")&amp;"%"&amp;"）；水準 "&amp;IF(G84&lt;0,"−","+")&amp;IF(ABS(G84)&lt;0,"−","")&amp;"$"&amp;TEXT(ABS(ABS(G84)),"#,##0.000")&amp;"bn"&amp;"）","營收 vs 共識 "&amp;IF(G43&lt;0,"−","+")&amp;TEXT(ABS(G43)*100,"#,##0.0")&amp;"%"&amp;"：觀點（水準 "&amp;IF(G84&lt;0,"−","+")&amp;IF(ABS(G84)&lt;0,"−","")&amp;"$"&amp;TEXT(ABS(ABS(G84)),"#,##0.000")&amp;"bn"&amp;"（2027 模型 "&amp;IF(損益!D9&lt;0,"−","")&amp;"$"&amp;TEXT(ABS(損益!D9),"#,##0.000")&amp;"bn"&amp;"，共識合計 "&amp;IF(G83&lt;0,"−","")&amp;"$"&amp;TEXT(ABS(G83),"#,##0.000")&amp;"bn"&amp;"）；分配 "&amp;IF(G85&lt;0,"−","+")&amp;IF(ABS(G85)&lt;0,"−","")&amp;"$"&amp;TEXT(ABS(ABS(G85)),"#,##0.000")&amp;"bn"&amp;"；"&amp;"營收＝對外 AI 雲端（在役 MW × 每 MW 年收入，Tokenomics × k）＋各分部依近四季年增率收斂；年度總額線性分到各季，未建模第四季季節性"&amp;"）"),"營收 vs 共識 "&amp;IF(G43&lt;0,"−","+")&amp;TEXT(ABS(G43)*100,"#,##0.0")&amp;"%"&amp;"：觀點（"&amp;"營收＝對外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86" s="48" t="str">
        <f aca="false">IF(ISNUMBER(H43),IF(ABS(H43)&gt;輸入與假設!$C$545,IF(ISNUMBER(H84),IF(ABS(H85)&gt;ABS(H84),"營收 vs 共識 "&amp;IF(H43&lt;0,"−","+")&amp;TEXT(ABS(H43)*100,"#,##0.0")&amp;"%"&amp;"：拆法（分配 "&amp;IF(H85&lt;0,"−","+")&amp;IF(ABS(H85)&lt;0,"−","")&amp;"$"&amp;TEXT(ABS(ABS(H85)),"#,##0.000")&amp;"bn"&amp;"（Q4 2027 占 2027 "&amp;TEXT((H22/損益!D9)*100,"#,##0.0")&amp;"%"&amp;"，共識合計 "&amp;TEXT(((H33)/H83)*100,"#,##0.0")&amp;"%"&amp;"）；水準 "&amp;IF(H84&lt;0,"−","+")&amp;IF(ABS(H84)&lt;0,"−","")&amp;"$"&amp;TEXT(ABS(ABS(H84)),"#,##0.000")&amp;"bn"&amp;"）","營收 vs 共識 "&amp;IF(H43&lt;0,"−","+")&amp;TEXT(ABS(H43)*100,"#,##0.0")&amp;"%"&amp;"：觀點（水準 "&amp;IF(H84&lt;0,"−","+")&amp;IF(ABS(H84)&lt;0,"−","")&amp;"$"&amp;TEXT(ABS(ABS(H84)),"#,##0.000")&amp;"bn"&amp;"（2027 模型 "&amp;IF(損益!D9&lt;0,"−","")&amp;"$"&amp;TEXT(ABS(損益!D9),"#,##0.000")&amp;"bn"&amp;"，共識合計 "&amp;IF(H83&lt;0,"−","")&amp;"$"&amp;TEXT(ABS(H83),"#,##0.000")&amp;"bn"&amp;"）；分配 "&amp;IF(H85&lt;0,"−","+")&amp;IF(ABS(H85)&lt;0,"−","")&amp;"$"&amp;TEXT(ABS(ABS(H85)),"#,##0.000")&amp;"bn"&amp;"；"&amp;"營收＝對外 AI 雲端（在役 MW × 每 MW 年收入，Tokenomics × k）＋各分部依近四季年增率收斂；年度總額線性分到各季，未建模第四季季節性"&amp;"）"),"營收 vs 共識 "&amp;IF(H43&lt;0,"−","+")&amp;TEXT(ABS(H43)*100,"#,##0.0")&amp;"%"&amp;"：觀點（"&amp;"營收＝對外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87" customFormat="false" ht="15" hidden="true" customHeight="false" outlineLevel="1" collapsed="false">
      <c r="A87" s="3" t="s">
        <v>1386</v>
      </c>
      <c r="C87" s="48" t="str">
        <f aca="false">IF(ISNUMBER(C43),IF(ABS(C43)&gt;輸入與假設!$C$545,IF(ISNUMBER(C84),IF(ABS(C85)&gt;ABS(C84),"拆法","觀點"),"觀點"),""),"")</f>
        <v/>
      </c>
      <c r="D87" s="48" t="str">
        <f aca="false">IF(ISNUMBER(D43),IF(ABS(D43)&gt;輸入與假設!$C$545,IF(ISNUMBER(D84),IF(ABS(D85)&gt;ABS(D84),"拆法","觀點"),"觀點"),""),"")</f>
        <v/>
      </c>
      <c r="E87" s="48" t="str">
        <f aca="false">IF(ISNUMBER(E43),IF(ABS(E43)&gt;輸入與假設!$C$545,IF(ISNUMBER(E84),IF(ABS(E85)&gt;ABS(E84),"拆法","觀點"),"觀點"),""),"")</f>
        <v/>
      </c>
      <c r="F87" s="48" t="str">
        <f aca="false">IF(ISNUMBER(F43),IF(ABS(F43)&gt;輸入與假設!$C$545,IF(ISNUMBER(F84),IF(ABS(F85)&gt;ABS(F84),"拆法","觀點"),"觀點"),""),"")</f>
        <v/>
      </c>
      <c r="G87" s="48" t="str">
        <f aca="false">IF(ISNUMBER(G43),IF(ABS(G43)&gt;輸入與假設!$C$545,IF(ISNUMBER(G84),IF(ABS(G85)&gt;ABS(G84),"拆法","觀點"),"觀點"),""),"")</f>
        <v/>
      </c>
      <c r="H87" s="48" t="str">
        <f aca="false">IF(ISNUMBER(H43),IF(ABS(H43)&gt;輸入與假設!$C$545,IF(ISNUMBER(H84),IF(ABS(H85)&gt;ABS(H84),"拆法","觀點"),"觀點"),""),"")</f>
        <v/>
      </c>
    </row>
    <row r="88" customFormat="false" ht="15" hidden="true" customHeight="false" outlineLevel="1" collapsed="false">
      <c r="A88" s="3" t="s">
        <v>1387</v>
      </c>
      <c r="C88" s="48"/>
      <c r="D88" s="48"/>
      <c r="E88" s="48"/>
      <c r="F88" s="48"/>
      <c r="G88" s="48"/>
      <c r="H88" s="48"/>
    </row>
    <row r="89" customFormat="false" ht="15" hidden="true" customHeight="false" outlineLevel="1" collapsed="false">
      <c r="A89" s="3" t="s">
        <v>1388</v>
      </c>
      <c r="C89" s="48"/>
      <c r="D89" s="48"/>
      <c r="E89" s="48"/>
      <c r="F89" s="48"/>
      <c r="G89" s="48"/>
      <c r="H89" s="48"/>
    </row>
    <row r="90" customFormat="false" ht="15" hidden="true" customHeight="false" outlineLevel="1" collapsed="false">
      <c r="A90" s="3" t="s">
        <v>1389</v>
      </c>
      <c r="C90" s="48" t="str">
        <f aca="false">IF(ISNUMBER(C45),IF(ABS(C45)&gt;輸入與假設!$C$545,"營收 實際 vs 模型 "&amp;IF(C45&lt;0,"−","+")&amp;TEXT(ABS(C45)*100,"#,##0.0")&amp;"%"&amp;"：觀點（"&amp;"營收＝對外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0" s="48" t="str">
        <f aca="false">IF(ISNUMBER(D45),IF(ABS(D45)&gt;輸入與假設!$C$545,"營收 實際 vs 模型 "&amp;IF(D45&lt;0,"−","+")&amp;TEXT(ABS(D45)*100,"#,##0.0")&amp;"%"&amp;"：觀點（"&amp;"營收＝對外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0" s="48" t="str">
        <f aca="false">IF(ISNUMBER(E45),IF(ABS(E45)&gt;輸入與假設!$C$545,"營收 實際 vs 模型 "&amp;IF(E45&lt;0,"−","+")&amp;TEXT(ABS(E45)*100,"#,##0.0")&amp;"%"&amp;"：觀點（"&amp;"營收＝對外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0" s="48" t="str">
        <f aca="false">IF(ISNUMBER(F45),IF(ABS(F45)&gt;輸入與假設!$C$545,"營收 實際 vs 模型 "&amp;IF(F45&lt;0,"−","+")&amp;TEXT(ABS(F45)*100,"#,##0.0")&amp;"%"&amp;"：觀點（"&amp;"營收＝對外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0" s="48" t="str">
        <f aca="false">IF(ISNUMBER(G45),IF(ABS(G45)&gt;輸入與假設!$C$545,"營收 實際 vs 模型 "&amp;IF(G45&lt;0,"−","+")&amp;TEXT(ABS(G45)*100,"#,##0.0")&amp;"%"&amp;"：觀點（"&amp;"營收＝對外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0" s="48" t="str">
        <f aca="false">IF(ISNUMBER(H45),IF(ABS(H45)&gt;輸入與假設!$C$545,"營收 實際 vs 模型 "&amp;IF(H45&lt;0,"−","+")&amp;TEXT(ABS(H45)*100,"#,##0.0")&amp;"%"&amp;"：觀點（"&amp;"營收＝對外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1" customFormat="false" ht="15" hidden="true" customHeight="false" outlineLevel="1" collapsed="false">
      <c r="A91" s="3" t="s">
        <v>1390</v>
      </c>
      <c r="C91" s="48" t="str">
        <f aca="false">IF(ISNUMBER(C45),IF(ABS(C45)&gt;輸入與假設!$C$545,"觀點",""),"")</f>
        <v/>
      </c>
      <c r="D91" s="48" t="str">
        <f aca="false">IF(ISNUMBER(D45),IF(ABS(D45)&gt;輸入與假設!$C$545,"觀點",""),"")</f>
        <v/>
      </c>
      <c r="E91" s="48" t="str">
        <f aca="false">IF(ISNUMBER(E45),IF(ABS(E45)&gt;輸入與假設!$C$545,"觀點",""),"")</f>
        <v/>
      </c>
      <c r="F91" s="48" t="str">
        <f aca="false">IF(ISNUMBER(F45),IF(ABS(F45)&gt;輸入與假設!$C$545,"觀點",""),"")</f>
        <v/>
      </c>
      <c r="G91" s="48" t="str">
        <f aca="false">IF(ISNUMBER(G45),IF(ABS(G45)&gt;輸入與假設!$C$545,"觀點",""),"")</f>
        <v/>
      </c>
      <c r="H91" s="48" t="str">
        <f aca="false">IF(ISNUMBER(H45),IF(ABS(H45)&gt;輸入與假設!$C$545,"觀點",""),"")</f>
        <v/>
      </c>
    </row>
    <row r="92" customFormat="false" ht="15" hidden="true" customHeight="false" outlineLevel="1" collapsed="false">
      <c r="A92" s="3" t="s">
        <v>1391</v>
      </c>
      <c r="B92" s="11" t="s">
        <v>65</v>
      </c>
      <c r="C92" s="66" t="str">
        <f aca="false">IF(COUNT(C34,D34)=2,C34+D34,"不適用")</f>
        <v>不適用</v>
      </c>
      <c r="D92" s="66" t="str">
        <f aca="false">IF(COUNT(C34,D34)=2,C34+D34,"不適用")</f>
        <v>不適用</v>
      </c>
      <c r="E92" s="66" t="str">
        <f aca="false">IF(COUNT(E34,F34,G34,H34)=4,E34+F34+G34+H34,"不適用")</f>
        <v>不適用</v>
      </c>
      <c r="F92" s="66" t="str">
        <f aca="false">IF(COUNT(E34,F34,G34,H34)=4,E34+F34+G34+H34,"不適用")</f>
        <v>不適用</v>
      </c>
      <c r="G92" s="66" t="str">
        <f aca="false">IF(COUNT(E34,F34,G34,H34)=4,E34+F34+G34+H34,"不適用")</f>
        <v>不適用</v>
      </c>
      <c r="H92" s="66" t="str">
        <f aca="false">IF(COUNT(E34,F34,G34,H34)=4,E34+F34+G34+H34,"不適用")</f>
        <v>不適用</v>
      </c>
      <c r="J92" s="6" t="s">
        <v>1380</v>
      </c>
    </row>
    <row r="93" customFormat="false" ht="15" hidden="true" customHeight="false" outlineLevel="1" collapsed="false">
      <c r="A93" s="3" t="s">
        <v>1392</v>
      </c>
      <c r="B93" s="11" t="s">
        <v>65</v>
      </c>
      <c r="C93" s="66" t="str">
        <f aca="false">IF(AND(ISNUMBER(C92),C92&lt;&gt;0,ISNUMBER(C34),ISNUMBER(C28)),(損益!C22-C92)*(C34)/C92,"不適用")</f>
        <v>不適用</v>
      </c>
      <c r="D93" s="66" t="str">
        <f aca="false">IF(AND(ISNUMBER(D92),D92&lt;&gt;0,ISNUMBER(D34),ISNUMBER(D28)),(損益!C22-D92)*(D34)/D92,"不適用")</f>
        <v>不適用</v>
      </c>
      <c r="E93" s="66" t="str">
        <f aca="false">IF(AND(ISNUMBER(E92),E92&lt;&gt;0,ISNUMBER(E34),ISNUMBER(E28)),(損益!D22-E92)*(E34)/E92,"不適用")</f>
        <v>不適用</v>
      </c>
      <c r="F93" s="66" t="str">
        <f aca="false">IF(AND(ISNUMBER(F92),F92&lt;&gt;0,ISNUMBER(F34),ISNUMBER(F28)),(損益!D22-F92)*(F34)/F92,"不適用")</f>
        <v>不適用</v>
      </c>
      <c r="G93" s="66" t="str">
        <f aca="false">IF(AND(ISNUMBER(G92),G92&lt;&gt;0,ISNUMBER(G34),ISNUMBER(G28)),(損益!D22-G92)*(G34)/G92,"不適用")</f>
        <v>不適用</v>
      </c>
      <c r="H93" s="66" t="str">
        <f aca="false">IF(AND(ISNUMBER(H92),H92&lt;&gt;0,ISNUMBER(H34),ISNUMBER(H28)),(損益!D22-H92)*(H34)/H92,"不適用")</f>
        <v>不適用</v>
      </c>
      <c r="J93" s="11" t="s">
        <v>1382</v>
      </c>
    </row>
    <row r="94" customFormat="false" ht="15" hidden="true" customHeight="false" outlineLevel="1" collapsed="false">
      <c r="A94" s="3" t="s">
        <v>1393</v>
      </c>
      <c r="B94" s="11" t="s">
        <v>65</v>
      </c>
      <c r="C94" s="66" t="str">
        <f aca="false">IF(AND(ISNUMBER(C92),C92&lt;&gt;0,ISNUMBER(C34),ISNUMBER(C28)),(C28/損益!C22-(C34)/C92)*損益!C22,"不適用")</f>
        <v>不適用</v>
      </c>
      <c r="D94" s="66" t="str">
        <f aca="false">IF(AND(ISNUMBER(D92),D92&lt;&gt;0,ISNUMBER(D34),ISNUMBER(D28)),(D28/損益!C22-(D34)/D92)*損益!C22,"不適用")</f>
        <v>不適用</v>
      </c>
      <c r="E94" s="66" t="str">
        <f aca="false">IF(AND(ISNUMBER(E92),E92&lt;&gt;0,ISNUMBER(E34),ISNUMBER(E28)),(E28/損益!D22-(E34)/E92)*損益!D22,"不適用")</f>
        <v>不適用</v>
      </c>
      <c r="F94" s="66" t="str">
        <f aca="false">IF(AND(ISNUMBER(F92),F92&lt;&gt;0,ISNUMBER(F34),ISNUMBER(F28)),(F28/損益!D22-(F34)/F92)*損益!D22,"不適用")</f>
        <v>不適用</v>
      </c>
      <c r="G94" s="66" t="str">
        <f aca="false">IF(AND(ISNUMBER(G92),G92&lt;&gt;0,ISNUMBER(G34),ISNUMBER(G28)),(G28/損益!D22-(G34)/G92)*損益!D22,"不適用")</f>
        <v>不適用</v>
      </c>
      <c r="H94" s="66" t="str">
        <f aca="false">IF(AND(ISNUMBER(H92),H92&lt;&gt;0,ISNUMBER(H34),ISNUMBER(H28)),(H28/損益!D22-(H34)/H92)*損益!D22,"不適用")</f>
        <v>不適用</v>
      </c>
      <c r="J94" s="11" t="s">
        <v>1384</v>
      </c>
    </row>
    <row r="95" customFormat="false" ht="15" hidden="true" customHeight="false" outlineLevel="1" collapsed="false">
      <c r="A95" s="3" t="s">
        <v>1394</v>
      </c>
      <c r="C95" s="48" t="str">
        <f aca="false">IF(ISNUMBER(C48),IF(IF(ISNUMBER(C53),ABS(C53)&gt;輸入與假設!$C$546,OR(AND(C34&lt;&gt;0,ABS(C48)&gt;輸入與假設!$C$545*ABS(C34)),AND(C34=0,C48&lt;&gt;0))),IF(ISNUMBER(C93),IF(ABS(C94)&gt;ABS(C93),"調整後 EBITDA vs 共識 "&amp;IF(C48&lt;0,"−","+")&amp;IF(ABS(C48)&lt;0,"−","")&amp;"$"&amp;TEXT(ABS(ABS(C48)),"#,##0.00")&amp;"bn"&amp;IF(ISNUMBER(C53),"／"&amp;IF(C53&lt;0,"−","+")&amp;TEXT(ABS(C53)*100,"#,##0.0")&amp;"pt","")&amp;"：拆法（分配 "&amp;IF(C94&lt;0,"−","+")&amp;IF(ABS(C94)&lt;0,"−","")&amp;"$"&amp;TEXT(ABS(ABS(C94)),"#,##0.000")&amp;"bn"&amp;"（Q3 2026 占 2H26 "&amp;TEXT((C28/損益!C22)*100,"#,##0.0")&amp;"%"&amp;"，共識合計 "&amp;TEXT(((C34)/C92)*100,"#,##0.0")&amp;"%"&amp;"）；水準 "&amp;IF(C93&lt;0,"−","+")&amp;IF(ABS(C93)&lt;0,"−","")&amp;"$"&amp;TEXT(ABS(ABS(C93)),"#,##0.000")&amp;"bn"&amp;"）","調整後 EBITDA vs 共識 "&amp;IF(C48&lt;0,"−","+")&amp;IF(ABS(C48)&lt;0,"−","")&amp;"$"&amp;TEXT(ABS(ABS(C48)),"#,##0.00")&amp;"bn"&amp;IF(ISNUMBER(C53),"／"&amp;IF(C53&lt;0,"−","+")&amp;TEXT(ABS(C53)*100,"#,##0.0")&amp;"pt","")&amp;"：觀點（水準 "&amp;IF(C93&lt;0,"−","+")&amp;IF(ABS(C93)&lt;0,"−","")&amp;"$"&amp;TEXT(ABS(ABS(C93)),"#,##0.000")&amp;"bn"&amp;"（2H26 模型 "&amp;IF(損益!C22&lt;0,"−","")&amp;"$"&amp;TEXT(ABS(損益!C22),"#,##0.000")&amp;"bn"&amp;"，共識合計 "&amp;IF(C92&lt;0,"−","")&amp;"$"&amp;TEXT(ABS(C92),"#,##0.000")&amp;"bn"&amp;"）；分配 "&amp;IF(C94&lt;0,"−","+")&amp;IF(ABS(C94)&lt;0,"−","")&amp;"$"&amp;TEXT(ABS(ABS(C94)),"#,##0.000")&amp;"bn"&amp;"；"&amp;"模型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"&amp;IF(C48&lt;0,"−","+")&amp;IF(ABS(C48)&lt;0,"−","")&amp;"$"&amp;TEXT(ABS(ABS(C48)),"#,##0.00")&amp;"bn"&amp;IF(ISNUMBER(C53),"／"&amp;IF(C53&lt;0,"−","+")&amp;TEXT(ABS(C53)*100,"#,##0.0")&amp;"pt","")&amp;"：觀點（"&amp;"模型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5" s="48" t="str">
        <f aca="false">IF(ISNUMBER(D48),IF(IF(ISNUMBER(D53),ABS(D53)&gt;輸入與假設!$C$546,OR(AND(D34&lt;&gt;0,ABS(D48)&gt;輸入與假設!$C$545*ABS(D34)),AND(D34=0,D48&lt;&gt;0))),IF(ISNUMBER(D93),IF(ABS(D94)&gt;ABS(D93),"調整後 EBITDA vs 共識 "&amp;IF(D48&lt;0,"−","+")&amp;IF(ABS(D48)&lt;0,"−","")&amp;"$"&amp;TEXT(ABS(ABS(D48)),"#,##0.00")&amp;"bn"&amp;IF(ISNUMBER(D53),"／"&amp;IF(D53&lt;0,"−","+")&amp;TEXT(ABS(D53)*100,"#,##0.0")&amp;"pt","")&amp;"：拆法（分配 "&amp;IF(D94&lt;0,"−","+")&amp;IF(ABS(D94)&lt;0,"−","")&amp;"$"&amp;TEXT(ABS(ABS(D94)),"#,##0.000")&amp;"bn"&amp;"（Q4 2026 占 2H26 "&amp;TEXT((D28/損益!C22)*100,"#,##0.0")&amp;"%"&amp;"，共識合計 "&amp;TEXT(((D34)/D92)*100,"#,##0.0")&amp;"%"&amp;"）；水準 "&amp;IF(D93&lt;0,"−","+")&amp;IF(ABS(D93)&lt;0,"−","")&amp;"$"&amp;TEXT(ABS(ABS(D93)),"#,##0.000")&amp;"bn"&amp;"）","調整後 EBITDA vs 共識 "&amp;IF(D48&lt;0,"−","+")&amp;IF(ABS(D48)&lt;0,"−","")&amp;"$"&amp;TEXT(ABS(ABS(D48)),"#,##0.00")&amp;"bn"&amp;IF(ISNUMBER(D53),"／"&amp;IF(D53&lt;0,"−","+")&amp;TEXT(ABS(D53)*100,"#,##0.0")&amp;"pt","")&amp;"：觀點（水準 "&amp;IF(D93&lt;0,"−","+")&amp;IF(ABS(D93)&lt;0,"−","")&amp;"$"&amp;TEXT(ABS(ABS(D93)),"#,##0.000")&amp;"bn"&amp;"（2H26 模型 "&amp;IF(損益!C22&lt;0,"−","")&amp;"$"&amp;TEXT(ABS(損益!C22),"#,##0.000")&amp;"bn"&amp;"，共識合計 "&amp;IF(D92&lt;0,"−","")&amp;"$"&amp;TEXT(ABS(D92),"#,##0.000")&amp;"bn"&amp;"）；分配 "&amp;IF(D94&lt;0,"−","+")&amp;IF(ABS(D94)&lt;0,"−","")&amp;"$"&amp;TEXT(ABS(ABS(D94)),"#,##0.000")&amp;"bn"&amp;"；"&amp;"模型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"&amp;IF(D48&lt;0,"−","+")&amp;IF(ABS(D48)&lt;0,"−","")&amp;"$"&amp;TEXT(ABS(ABS(D48)),"#,##0.00")&amp;"bn"&amp;IF(ISNUMBER(D53),"／"&amp;IF(D53&lt;0,"−","+")&amp;TEXT(ABS(D53)*100,"#,##0.0")&amp;"pt","")&amp;"：觀點（"&amp;"模型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5" s="48" t="str">
        <f aca="false">IF(ISNUMBER(E48),IF(IF(ISNUMBER(E53),ABS(E53)&gt;輸入與假設!$C$546,OR(AND(E34&lt;&gt;0,ABS(E48)&gt;輸入與假設!$C$545*ABS(E34)),AND(E34=0,E48&lt;&gt;0))),IF(ISNUMBER(E93),IF(ABS(E94)&gt;ABS(E93),"調整後 EBITDA vs 共識 "&amp;IF(E48&lt;0,"−","+")&amp;IF(ABS(E48)&lt;0,"−","")&amp;"$"&amp;TEXT(ABS(ABS(E48)),"#,##0.00")&amp;"bn"&amp;IF(ISNUMBER(E53),"／"&amp;IF(E53&lt;0,"−","+")&amp;TEXT(ABS(E53)*100,"#,##0.0")&amp;"pt","")&amp;"：拆法（分配 "&amp;IF(E94&lt;0,"−","+")&amp;IF(ABS(E94)&lt;0,"−","")&amp;"$"&amp;TEXT(ABS(ABS(E94)),"#,##0.000")&amp;"bn"&amp;"（Q1 2027 占 2027 "&amp;TEXT((E28/損益!D22)*100,"#,##0.0")&amp;"%"&amp;"，共識合計 "&amp;TEXT(((E34)/E92)*100,"#,##0.0")&amp;"%"&amp;"）；水準 "&amp;IF(E93&lt;0,"−","+")&amp;IF(ABS(E93)&lt;0,"−","")&amp;"$"&amp;TEXT(ABS(ABS(E93)),"#,##0.000")&amp;"bn"&amp;"）","調整後 EBITDA vs 共識 "&amp;IF(E48&lt;0,"−","+")&amp;IF(ABS(E48)&lt;0,"−","")&amp;"$"&amp;TEXT(ABS(ABS(E48)),"#,##0.00")&amp;"bn"&amp;IF(ISNUMBER(E53),"／"&amp;IF(E53&lt;0,"−","+")&amp;TEXT(ABS(E53)*100,"#,##0.0")&amp;"pt","")&amp;"：觀點（水準 "&amp;IF(E93&lt;0,"−","+")&amp;IF(ABS(E93)&lt;0,"−","")&amp;"$"&amp;TEXT(ABS(ABS(E93)),"#,##0.000")&amp;"bn"&amp;"（2027 模型 "&amp;IF(損益!D22&lt;0,"−","")&amp;"$"&amp;TEXT(ABS(損益!D22),"#,##0.000")&amp;"bn"&amp;"，共識合計 "&amp;IF(E92&lt;0,"−","")&amp;"$"&amp;TEXT(ABS(E92),"#,##0.000")&amp;"bn"&amp;"）；分配 "&amp;IF(E94&lt;0,"−","+")&amp;IF(ABS(E94)&lt;0,"−","")&amp;"$"&amp;TEXT(ABS(ABS(E94)),"#,##0.000")&amp;"bn"&amp;"；"&amp;"模型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"&amp;IF(E48&lt;0,"−","+")&amp;IF(ABS(E48)&lt;0,"−","")&amp;"$"&amp;TEXT(ABS(ABS(E48)),"#,##0.00")&amp;"bn"&amp;IF(ISNUMBER(E53),"／"&amp;IF(E53&lt;0,"−","+")&amp;TEXT(ABS(E53)*100,"#,##0.0")&amp;"pt","")&amp;"：觀點（"&amp;"模型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5" s="48" t="str">
        <f aca="false">IF(ISNUMBER(F48),IF(IF(ISNUMBER(F53),ABS(F53)&gt;輸入與假設!$C$546,OR(AND(F34&lt;&gt;0,ABS(F48)&gt;輸入與假設!$C$545*ABS(F34)),AND(F34=0,F48&lt;&gt;0))),IF(ISNUMBER(F93),IF(ABS(F94)&gt;ABS(F93),"調整後 EBITDA vs 共識 "&amp;IF(F48&lt;0,"−","+")&amp;IF(ABS(F48)&lt;0,"−","")&amp;"$"&amp;TEXT(ABS(ABS(F48)),"#,##0.00")&amp;"bn"&amp;IF(ISNUMBER(F53),"／"&amp;IF(F53&lt;0,"−","+")&amp;TEXT(ABS(F53)*100,"#,##0.0")&amp;"pt","")&amp;"：拆法（分配 "&amp;IF(F94&lt;0,"−","+")&amp;IF(ABS(F94)&lt;0,"−","")&amp;"$"&amp;TEXT(ABS(ABS(F94)),"#,##0.000")&amp;"bn"&amp;"（Q2 2027 占 2027 "&amp;TEXT((F28/損益!D22)*100,"#,##0.0")&amp;"%"&amp;"，共識合計 "&amp;TEXT(((F34)/F92)*100,"#,##0.0")&amp;"%"&amp;"）；水準 "&amp;IF(F93&lt;0,"−","+")&amp;IF(ABS(F93)&lt;0,"−","")&amp;"$"&amp;TEXT(ABS(ABS(F93)),"#,##0.000")&amp;"bn"&amp;"）","調整後 EBITDA vs 共識 "&amp;IF(F48&lt;0,"−","+")&amp;IF(ABS(F48)&lt;0,"−","")&amp;"$"&amp;TEXT(ABS(ABS(F48)),"#,##0.00")&amp;"bn"&amp;IF(ISNUMBER(F53),"／"&amp;IF(F53&lt;0,"−","+")&amp;TEXT(ABS(F53)*100,"#,##0.0")&amp;"pt","")&amp;"：觀點（水準 "&amp;IF(F93&lt;0,"−","+")&amp;IF(ABS(F93)&lt;0,"−","")&amp;"$"&amp;TEXT(ABS(ABS(F93)),"#,##0.000")&amp;"bn"&amp;"（2027 模型 "&amp;IF(損益!D22&lt;0,"−","")&amp;"$"&amp;TEXT(ABS(損益!D22),"#,##0.000")&amp;"bn"&amp;"，共識合計 "&amp;IF(F92&lt;0,"−","")&amp;"$"&amp;TEXT(ABS(F92),"#,##0.000")&amp;"bn"&amp;"）；分配 "&amp;IF(F94&lt;0,"−","+")&amp;IF(ABS(F94)&lt;0,"−","")&amp;"$"&amp;TEXT(ABS(ABS(F94)),"#,##0.000")&amp;"bn"&amp;"；"&amp;"模型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"&amp;IF(F48&lt;0,"−","+")&amp;IF(ABS(F48)&lt;0,"−","")&amp;"$"&amp;TEXT(ABS(ABS(F48)),"#,##0.00")&amp;"bn"&amp;IF(ISNUMBER(F53),"／"&amp;IF(F53&lt;0,"−","+")&amp;TEXT(ABS(F53)*100,"#,##0.0")&amp;"pt","")&amp;"：觀點（"&amp;"模型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5" s="48" t="str">
        <f aca="false">IF(ISNUMBER(G48),IF(IF(ISNUMBER(G53),ABS(G53)&gt;輸入與假設!$C$546,OR(AND(G34&lt;&gt;0,ABS(G48)&gt;輸入與假設!$C$545*ABS(G34)),AND(G34=0,G48&lt;&gt;0))),IF(ISNUMBER(G93),IF(ABS(G94)&gt;ABS(G93),"調整後 EBITDA vs 共識 "&amp;IF(G48&lt;0,"−","+")&amp;IF(ABS(G48)&lt;0,"−","")&amp;"$"&amp;TEXT(ABS(ABS(G48)),"#,##0.00")&amp;"bn"&amp;IF(ISNUMBER(G53),"／"&amp;IF(G53&lt;0,"−","+")&amp;TEXT(ABS(G53)*100,"#,##0.0")&amp;"pt","")&amp;"：拆法（分配 "&amp;IF(G94&lt;0,"−","+")&amp;IF(ABS(G94)&lt;0,"−","")&amp;"$"&amp;TEXT(ABS(ABS(G94)),"#,##0.000")&amp;"bn"&amp;"（Q3 2027 占 2027 "&amp;TEXT((G28/損益!D22)*100,"#,##0.0")&amp;"%"&amp;"，共識合計 "&amp;TEXT(((G34)/G92)*100,"#,##0.0")&amp;"%"&amp;"）；水準 "&amp;IF(G93&lt;0,"−","+")&amp;IF(ABS(G93)&lt;0,"−","")&amp;"$"&amp;TEXT(ABS(ABS(G93)),"#,##0.000")&amp;"bn"&amp;"）","調整後 EBITDA vs 共識 "&amp;IF(G48&lt;0,"−","+")&amp;IF(ABS(G48)&lt;0,"−","")&amp;"$"&amp;TEXT(ABS(ABS(G48)),"#,##0.00")&amp;"bn"&amp;IF(ISNUMBER(G53),"／"&amp;IF(G53&lt;0,"−","+")&amp;TEXT(ABS(G53)*100,"#,##0.0")&amp;"pt","")&amp;"：觀點（水準 "&amp;IF(G93&lt;0,"−","+")&amp;IF(ABS(G93)&lt;0,"−","")&amp;"$"&amp;TEXT(ABS(ABS(G93)),"#,##0.000")&amp;"bn"&amp;"（2027 模型 "&amp;IF(損益!D22&lt;0,"−","")&amp;"$"&amp;TEXT(ABS(損益!D22),"#,##0.000")&amp;"bn"&amp;"，共識合計 "&amp;IF(G92&lt;0,"−","")&amp;"$"&amp;TEXT(ABS(G92),"#,##0.000")&amp;"bn"&amp;"）；分配 "&amp;IF(G94&lt;0,"−","+")&amp;IF(ABS(G94)&lt;0,"−","")&amp;"$"&amp;TEXT(ABS(ABS(G94)),"#,##0.000")&amp;"bn"&amp;"；"&amp;"模型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"&amp;IF(G48&lt;0,"−","+")&amp;IF(ABS(G48)&lt;0,"−","")&amp;"$"&amp;TEXT(ABS(ABS(G48)),"#,##0.00")&amp;"bn"&amp;IF(ISNUMBER(G53),"／"&amp;IF(G53&lt;0,"−","+")&amp;TEXT(ABS(G53)*100,"#,##0.0")&amp;"pt","")&amp;"：觀點（"&amp;"模型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5" s="48" t="str">
        <f aca="false">IF(ISNUMBER(H48),IF(IF(ISNUMBER(H53),ABS(H53)&gt;輸入與假設!$C$546,OR(AND(H34&lt;&gt;0,ABS(H48)&gt;輸入與假設!$C$545*ABS(H34)),AND(H34=0,H48&lt;&gt;0))),IF(ISNUMBER(H93),IF(ABS(H94)&gt;ABS(H93),"調整後 EBITDA vs 共識 "&amp;IF(H48&lt;0,"−","+")&amp;IF(ABS(H48)&lt;0,"−","")&amp;"$"&amp;TEXT(ABS(ABS(H48)),"#,##0.00")&amp;"bn"&amp;IF(ISNUMBER(H53),"／"&amp;IF(H53&lt;0,"−","+")&amp;TEXT(ABS(H53)*100,"#,##0.0")&amp;"pt","")&amp;"：拆法（分配 "&amp;IF(H94&lt;0,"−","+")&amp;IF(ABS(H94)&lt;0,"−","")&amp;"$"&amp;TEXT(ABS(ABS(H94)),"#,##0.000")&amp;"bn"&amp;"（Q4 2027 占 2027 "&amp;TEXT((H28/損益!D22)*100,"#,##0.0")&amp;"%"&amp;"，共識合計 "&amp;TEXT(((H34)/H92)*100,"#,##0.0")&amp;"%"&amp;"）；水準 "&amp;IF(H93&lt;0,"−","+")&amp;IF(ABS(H93)&lt;0,"−","")&amp;"$"&amp;TEXT(ABS(ABS(H93)),"#,##0.000")&amp;"bn"&amp;"）","調整後 EBITDA vs 共識 "&amp;IF(H48&lt;0,"−","+")&amp;IF(ABS(H48)&lt;0,"−","")&amp;"$"&amp;TEXT(ABS(ABS(H48)),"#,##0.00")&amp;"bn"&amp;IF(ISNUMBER(H53),"／"&amp;IF(H53&lt;0,"−","+")&amp;TEXT(ABS(H53)*100,"#,##0.0")&amp;"pt","")&amp;"：觀點（水準 "&amp;IF(H93&lt;0,"−","+")&amp;IF(ABS(H93)&lt;0,"−","")&amp;"$"&amp;TEXT(ABS(ABS(H93)),"#,##0.000")&amp;"bn"&amp;"（2027 模型 "&amp;IF(損益!D22&lt;0,"−","")&amp;"$"&amp;TEXT(ABS(損益!D22),"#,##0.000")&amp;"bn"&amp;"，共識合計 "&amp;IF(H92&lt;0,"−","")&amp;"$"&amp;TEXT(ABS(H92),"#,##0.000")&amp;"bn"&amp;"）；分配 "&amp;IF(H94&lt;0,"−","+")&amp;IF(ABS(H94)&lt;0,"−","")&amp;"$"&amp;TEXT(ABS(ABS(H94)),"#,##0.000")&amp;"bn"&amp;"；"&amp;"模型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"&amp;IF(H48&lt;0,"−","+")&amp;IF(ABS(H48)&lt;0,"−","")&amp;"$"&amp;TEXT(ABS(ABS(H48)),"#,##0.00")&amp;"bn"&amp;IF(ISNUMBER(H53),"／"&amp;IF(H53&lt;0,"−","+")&amp;TEXT(ABS(H53)*100,"#,##0.0")&amp;"pt","")&amp;"：觀點（"&amp;"模型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96" customFormat="false" ht="15" hidden="true" customHeight="false" outlineLevel="1" collapsed="false">
      <c r="A96" s="3" t="s">
        <v>1395</v>
      </c>
      <c r="C96" s="48" t="str">
        <f aca="false">IF(ISNUMBER(C48),IF(IF(ISNUMBER(C53),ABS(C53)&gt;輸入與假設!$C$546,OR(AND(C34&lt;&gt;0,ABS(C48)&gt;輸入與假設!$C$545*ABS(C34)),AND(C34=0,C48&lt;&gt;0))),IF(ISNUMBER(C93),IF(ABS(C94)&gt;ABS(C93),"拆法","觀點"),"觀點"),""),"")</f>
        <v/>
      </c>
      <c r="D96" s="48" t="str">
        <f aca="false">IF(ISNUMBER(D48),IF(IF(ISNUMBER(D53),ABS(D53)&gt;輸入與假設!$C$546,OR(AND(D34&lt;&gt;0,ABS(D48)&gt;輸入與假設!$C$545*ABS(D34)),AND(D34=0,D48&lt;&gt;0))),IF(ISNUMBER(D93),IF(ABS(D94)&gt;ABS(D93),"拆法","觀點"),"觀點"),""),"")</f>
        <v/>
      </c>
      <c r="E96" s="48" t="str">
        <f aca="false">IF(ISNUMBER(E48),IF(IF(ISNUMBER(E53),ABS(E53)&gt;輸入與假設!$C$546,OR(AND(E34&lt;&gt;0,ABS(E48)&gt;輸入與假設!$C$545*ABS(E34)),AND(E34=0,E48&lt;&gt;0))),IF(ISNUMBER(E93),IF(ABS(E94)&gt;ABS(E93),"拆法","觀點"),"觀點"),""),"")</f>
        <v/>
      </c>
      <c r="F96" s="48" t="str">
        <f aca="false">IF(ISNUMBER(F48),IF(IF(ISNUMBER(F53),ABS(F53)&gt;輸入與假設!$C$546,OR(AND(F34&lt;&gt;0,ABS(F48)&gt;輸入與假設!$C$545*ABS(F34)),AND(F34=0,F48&lt;&gt;0))),IF(ISNUMBER(F93),IF(ABS(F94)&gt;ABS(F93),"拆法","觀點"),"觀點"),""),"")</f>
        <v/>
      </c>
      <c r="G96" s="48" t="str">
        <f aca="false">IF(ISNUMBER(G48),IF(IF(ISNUMBER(G53),ABS(G53)&gt;輸入與假設!$C$546,OR(AND(G34&lt;&gt;0,ABS(G48)&gt;輸入與假設!$C$545*ABS(G34)),AND(G34=0,G48&lt;&gt;0))),IF(ISNUMBER(G93),IF(ABS(G94)&gt;ABS(G93),"拆法","觀點"),"觀點"),""),"")</f>
        <v/>
      </c>
      <c r="H96" s="48" t="str">
        <f aca="false">IF(ISNUMBER(H48),IF(IF(ISNUMBER(H53),ABS(H53)&gt;輸入與假設!$C$546,OR(AND(H34&lt;&gt;0,ABS(H48)&gt;輸入與假設!$C$545*ABS(H34)),AND(H34=0,H48&lt;&gt;0))),IF(ISNUMBER(H93),IF(ABS(H94)&gt;ABS(H93),"拆法","觀點"),"觀點"),""),"")</f>
        <v/>
      </c>
    </row>
    <row r="97" customFormat="false" ht="15" hidden="true" customHeight="false" outlineLevel="1" collapsed="false">
      <c r="A97" s="3" t="s">
        <v>1396</v>
      </c>
      <c r="C97" s="48"/>
      <c r="D97" s="48"/>
      <c r="E97" s="48"/>
      <c r="F97" s="48"/>
      <c r="G97" s="48"/>
      <c r="H97" s="48"/>
    </row>
    <row r="98" customFormat="false" ht="15" hidden="true" customHeight="false" outlineLevel="1" collapsed="false">
      <c r="A98" s="3" t="s">
        <v>1397</v>
      </c>
      <c r="C98" s="48"/>
      <c r="D98" s="48"/>
      <c r="E98" s="48"/>
      <c r="F98" s="48"/>
      <c r="G98" s="48"/>
      <c r="H98" s="48"/>
    </row>
    <row r="99" customFormat="false" ht="15" hidden="true" customHeight="false" outlineLevel="1" collapsed="false">
      <c r="A99" s="3" t="s">
        <v>1398</v>
      </c>
      <c r="C99" s="48" t="str">
        <f aca="false">IF(ISNUMBER(C50),IF(IF(ISNUMBER(C55),ABS(C55)&gt;輸入與假設!$C$546,OR(AND(C28&lt;&gt;0,ABS(C50)&gt;輸入與假設!$C$545*ABS(C28)),AND(C28=0,C50&lt;&gt;0))),"調整後 EBITDA 實際 vs 模型 "&amp;IF(C50&lt;0,"−","+")&amp;IF(ABS(C50)&lt;0,"−","")&amp;"$"&amp;TEXT(ABS(ABS(C50)),"#,##0.00")&amp;"bn"&amp;IF(ISNUMBER(C55),"／"&amp;IF(C55&lt;0,"−","+")&amp;TEXT(ABS(C55)*100,"#,##0.0")&amp;"pt","")&amp;"：觀點（"&amp;"模型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99" s="48" t="str">
        <f aca="false">IF(ISNUMBER(D50),IF(IF(ISNUMBER(D55),ABS(D55)&gt;輸入與假設!$C$546,OR(AND(D28&lt;&gt;0,ABS(D50)&gt;輸入與假設!$C$545*ABS(D28)),AND(D28=0,D50&lt;&gt;0))),"調整後 EBITDA 實際 vs 模型 "&amp;IF(D50&lt;0,"−","+")&amp;IF(ABS(D50)&lt;0,"−","")&amp;"$"&amp;TEXT(ABS(ABS(D50)),"#,##0.00")&amp;"bn"&amp;IF(ISNUMBER(D55),"／"&amp;IF(D55&lt;0,"−","+")&amp;TEXT(ABS(D55)*100,"#,##0.0")&amp;"pt","")&amp;"：觀點（"&amp;"模型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99" s="48" t="str">
        <f aca="false">IF(ISNUMBER(E50),IF(IF(ISNUMBER(E55),ABS(E55)&gt;輸入與假設!$C$546,OR(AND(E28&lt;&gt;0,ABS(E50)&gt;輸入與假設!$C$545*ABS(E28)),AND(E28=0,E50&lt;&gt;0))),"調整後 EBITDA 實際 vs 模型 "&amp;IF(E50&lt;0,"−","+")&amp;IF(ABS(E50)&lt;0,"−","")&amp;"$"&amp;TEXT(ABS(ABS(E50)),"#,##0.00")&amp;"bn"&amp;IF(ISNUMBER(E55),"／"&amp;IF(E55&lt;0,"−","+")&amp;TEXT(ABS(E55)*100,"#,##0.0")&amp;"pt","")&amp;"：觀點（"&amp;"模型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99" s="48" t="str">
        <f aca="false">IF(ISNUMBER(F50),IF(IF(ISNUMBER(F55),ABS(F55)&gt;輸入與假設!$C$546,OR(AND(F28&lt;&gt;0,ABS(F50)&gt;輸入與假設!$C$545*ABS(F28)),AND(F28=0,F50&lt;&gt;0))),"調整後 EBITDA 實際 vs 模型 "&amp;IF(F50&lt;0,"−","+")&amp;IF(ABS(F50)&lt;0,"−","")&amp;"$"&amp;TEXT(ABS(ABS(F50)),"#,##0.00")&amp;"bn"&amp;IF(ISNUMBER(F55),"／"&amp;IF(F55&lt;0,"−","+")&amp;TEXT(ABS(F55)*100,"#,##0.0")&amp;"pt","")&amp;"：觀點（"&amp;"模型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99" s="48" t="str">
        <f aca="false">IF(ISNUMBER(G50),IF(IF(ISNUMBER(G55),ABS(G55)&gt;輸入與假設!$C$546,OR(AND(G28&lt;&gt;0,ABS(G50)&gt;輸入與假設!$C$545*ABS(G28)),AND(G28=0,G50&lt;&gt;0))),"調整後 EBITDA 實際 vs 模型 "&amp;IF(G50&lt;0,"−","+")&amp;IF(ABS(G50)&lt;0,"−","")&amp;"$"&amp;TEXT(ABS(ABS(G50)),"#,##0.00")&amp;"bn"&amp;IF(ISNUMBER(G55),"／"&amp;IF(G55&lt;0,"−","+")&amp;TEXT(ABS(G55)*100,"#,##0.0")&amp;"pt","")&amp;"：觀點（"&amp;"模型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99" s="48" t="str">
        <f aca="false">IF(ISNUMBER(H50),IF(IF(ISNUMBER(H55),ABS(H55)&gt;輸入與假設!$C$546,OR(AND(H28&lt;&gt;0,ABS(H50)&gt;輸入與假設!$C$545*ABS(H28)),AND(H28=0,H50&lt;&gt;0))),"調整後 EBITDA 實際 vs 模型 "&amp;IF(H50&lt;0,"−","+")&amp;IF(ABS(H50)&lt;0,"−","")&amp;"$"&amp;TEXT(ABS(ABS(H50)),"#,##0.00")&amp;"bn"&amp;IF(ISNUMBER(H55),"／"&amp;IF(H55&lt;0,"−","+")&amp;TEXT(ABS(H55)*100,"#,##0.0")&amp;"pt","")&amp;"：觀點（"&amp;"模型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0" customFormat="false" ht="15" hidden="true" customHeight="false" outlineLevel="1" collapsed="false">
      <c r="A100" s="3" t="s">
        <v>1399</v>
      </c>
      <c r="C100" s="48" t="str">
        <f aca="false">IF(ISNUMBER(C50),IF(IF(ISNUMBER(C55),ABS(C55)&gt;輸入與假設!$C$546,OR(AND(C28&lt;&gt;0,ABS(C50)&gt;輸入與假設!$C$545*ABS(C28)),AND(C28=0,C50&lt;&gt;0))),"觀點",""),"")</f>
        <v/>
      </c>
      <c r="D100" s="48" t="str">
        <f aca="false">IF(ISNUMBER(D50),IF(IF(ISNUMBER(D55),ABS(D55)&gt;輸入與假設!$C$546,OR(AND(D28&lt;&gt;0,ABS(D50)&gt;輸入與假設!$C$545*ABS(D28)),AND(D28=0,D50&lt;&gt;0))),"觀點",""),"")</f>
        <v/>
      </c>
      <c r="E100" s="48" t="str">
        <f aca="false">IF(ISNUMBER(E50),IF(IF(ISNUMBER(E55),ABS(E55)&gt;輸入與假設!$C$546,OR(AND(E28&lt;&gt;0,ABS(E50)&gt;輸入與假設!$C$545*ABS(E28)),AND(E28=0,E50&lt;&gt;0))),"觀點",""),"")</f>
        <v/>
      </c>
      <c r="F100" s="48" t="str">
        <f aca="false">IF(ISNUMBER(F50),IF(IF(ISNUMBER(F55),ABS(F55)&gt;輸入與假設!$C$546,OR(AND(F28&lt;&gt;0,ABS(F50)&gt;輸入與假設!$C$545*ABS(F28)),AND(F28=0,F50&lt;&gt;0))),"觀點",""),"")</f>
        <v/>
      </c>
      <c r="G100" s="48" t="str">
        <f aca="false">IF(ISNUMBER(G50),IF(IF(ISNUMBER(G55),ABS(G55)&gt;輸入與假設!$C$546,OR(AND(G28&lt;&gt;0,ABS(G50)&gt;輸入與假設!$C$545*ABS(G28)),AND(G28=0,G50&lt;&gt;0))),"觀點",""),"")</f>
        <v/>
      </c>
      <c r="H100" s="48" t="str">
        <f aca="false">IF(ISNUMBER(H50),IF(IF(ISNUMBER(H55),ABS(H55)&gt;輸入與假設!$C$546,OR(AND(H28&lt;&gt;0,ABS(H50)&gt;輸入與假設!$C$545*ABS(H28)),AND(H28=0,H50&lt;&gt;0))),"觀點",""),"")</f>
        <v/>
      </c>
    </row>
    <row r="101" customFormat="false" ht="15" hidden="true" customHeight="false" outlineLevel="1" collapsed="false">
      <c r="A101" s="3" t="s">
        <v>1400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1401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1402</v>
      </c>
      <c r="C103" s="48"/>
      <c r="D103" s="48"/>
      <c r="E103" s="48"/>
      <c r="F103" s="48"/>
      <c r="G103" s="48"/>
      <c r="H103" s="48"/>
    </row>
    <row r="104" customFormat="false" ht="15" hidden="true" customHeight="false" outlineLevel="1" collapsed="false">
      <c r="A104" s="3" t="s">
        <v>1403</v>
      </c>
      <c r="C104" s="48"/>
      <c r="D104" s="48"/>
      <c r="E104" s="48"/>
      <c r="F104" s="48"/>
      <c r="G104" s="48"/>
      <c r="H104" s="48"/>
    </row>
    <row r="105" customFormat="false" ht="15" hidden="true" customHeight="false" outlineLevel="1" collapsed="false">
      <c r="A105" s="3" t="s">
        <v>1404</v>
      </c>
      <c r="C105" s="48" t="str">
        <f aca="false">IF(ISNUMBER(C65),IF(IF(ISNUMBER(C70),ABS(C70)&gt;輸入與假設!$C$546,OR(AND(C31&lt;&gt;0,ABS(C65)&gt;輸入與假設!$C$545*ABS(C31)),AND(C31=0,C65&lt;&gt;0))),"調整後營業利益 實際 vs 模型 "&amp;IF(C65&lt;0,"−","+")&amp;IF(ABS(C65)&lt;0,"−","")&amp;"$"&amp;TEXT(ABS(ABS(C65)),"#,##0.00")&amp;"bn"&amp;IF(ISNUMBER(C70),"／"&amp;IF(C70&lt;0,"−","+")&amp;TEXT(ABS(C70)*100,"#,##0.0")&amp;"pt","")&amp;"：觀點（"&amp;"模型折舊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5" s="48" t="str">
        <f aca="false">IF(ISNUMBER(D65),IF(IF(ISNUMBER(D70),ABS(D70)&gt;輸入與假設!$C$546,OR(AND(D31&lt;&gt;0,ABS(D65)&gt;輸入與假設!$C$545*ABS(D31)),AND(D31=0,D65&lt;&gt;0))),"調整後營業利益 實際 vs 模型 "&amp;IF(D65&lt;0,"−","+")&amp;IF(ABS(D65)&lt;0,"−","")&amp;"$"&amp;TEXT(ABS(ABS(D65)),"#,##0.00")&amp;"bn"&amp;IF(ISNUMBER(D70),"／"&amp;IF(D70&lt;0,"−","+")&amp;TEXT(ABS(D70)*100,"#,##0.0")&amp;"pt","")&amp;"：觀點（"&amp;"模型折舊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5" s="48" t="str">
        <f aca="false">IF(ISNUMBER(E65),IF(IF(ISNUMBER(E70),ABS(E70)&gt;輸入與假設!$C$546,OR(AND(E31&lt;&gt;0,ABS(E65)&gt;輸入與假設!$C$545*ABS(E31)),AND(E31=0,E65&lt;&gt;0))),"調整後營業利益 實際 vs 模型 "&amp;IF(E65&lt;0,"−","+")&amp;IF(ABS(E65)&lt;0,"−","")&amp;"$"&amp;TEXT(ABS(ABS(E65)),"#,##0.00")&amp;"bn"&amp;IF(ISNUMBER(E70),"／"&amp;IF(E70&lt;0,"−","+")&amp;TEXT(ABS(E70)*100,"#,##0.0")&amp;"pt","")&amp;"：觀點（"&amp;"模型折舊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5" s="48" t="str">
        <f aca="false">IF(ISNUMBER(F65),IF(IF(ISNUMBER(F70),ABS(F70)&gt;輸入與假設!$C$546,OR(AND(F31&lt;&gt;0,ABS(F65)&gt;輸入與假設!$C$545*ABS(F31)),AND(F31=0,F65&lt;&gt;0))),"調整後營業利益 實際 vs 模型 "&amp;IF(F65&lt;0,"−","+")&amp;IF(ABS(F65)&lt;0,"−","")&amp;"$"&amp;TEXT(ABS(ABS(F65)),"#,##0.00")&amp;"bn"&amp;IF(ISNUMBER(F70),"／"&amp;IF(F70&lt;0,"−","+")&amp;TEXT(ABS(F70)*100,"#,##0.0")&amp;"pt","")&amp;"：觀點（"&amp;"模型折舊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5" s="48" t="str">
        <f aca="false">IF(ISNUMBER(G65),IF(IF(ISNUMBER(G70),ABS(G70)&gt;輸入與假設!$C$546,OR(AND(G31&lt;&gt;0,ABS(G65)&gt;輸入與假設!$C$545*ABS(G31)),AND(G31=0,G65&lt;&gt;0))),"調整後營業利益 實際 vs 模型 "&amp;IF(G65&lt;0,"−","+")&amp;IF(ABS(G65)&lt;0,"−","")&amp;"$"&amp;TEXT(ABS(ABS(G65)),"#,##0.00")&amp;"bn"&amp;IF(ISNUMBER(G70),"／"&amp;IF(G70&lt;0,"−","+")&amp;TEXT(ABS(G70)*100,"#,##0.0")&amp;"pt","")&amp;"：觀點（"&amp;"模型折舊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5" s="48" t="str">
        <f aca="false">IF(ISNUMBER(H65),IF(IF(ISNUMBER(H70),ABS(H70)&gt;輸入與假設!$C$546,OR(AND(H31&lt;&gt;0,ABS(H65)&gt;輸入與假設!$C$545*ABS(H31)),AND(H31=0,H65&lt;&gt;0))),"調整後營業利益 實際 vs 模型 "&amp;IF(H65&lt;0,"−","+")&amp;IF(ABS(H65)&lt;0,"−","")&amp;"$"&amp;TEXT(ABS(ABS(H65)),"#,##0.00")&amp;"bn"&amp;IF(ISNUMBER(H70),"／"&amp;IF(H70&lt;0,"−","+")&amp;TEXT(ABS(H70)*100,"#,##0.0")&amp;"pt","")&amp;"：觀點（"&amp;"模型折舊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6" customFormat="false" ht="15" hidden="true" customHeight="false" outlineLevel="1" collapsed="false">
      <c r="A106" s="3" t="s">
        <v>1405</v>
      </c>
      <c r="C106" s="48" t="str">
        <f aca="false">IF(ISNUMBER(C65),IF(IF(ISNUMBER(C70),ABS(C70)&gt;輸入與假設!$C$546,OR(AND(C31&lt;&gt;0,ABS(C65)&gt;輸入與假設!$C$545*ABS(C31)),AND(C31=0,C65&lt;&gt;0))),"觀點",""),"")</f>
        <v/>
      </c>
      <c r="D106" s="48" t="str">
        <f aca="false">IF(ISNUMBER(D65),IF(IF(ISNUMBER(D70),ABS(D70)&gt;輸入與假設!$C$546,OR(AND(D31&lt;&gt;0,ABS(D65)&gt;輸入與假設!$C$545*ABS(D31)),AND(D31=0,D65&lt;&gt;0))),"觀點",""),"")</f>
        <v/>
      </c>
      <c r="E106" s="48" t="str">
        <f aca="false">IF(ISNUMBER(E65),IF(IF(ISNUMBER(E70),ABS(E70)&gt;輸入與假設!$C$546,OR(AND(E31&lt;&gt;0,ABS(E65)&gt;輸入與假設!$C$545*ABS(E31)),AND(E31=0,E65&lt;&gt;0))),"觀點",""),"")</f>
        <v/>
      </c>
      <c r="F106" s="48" t="str">
        <f aca="false">IF(ISNUMBER(F65),IF(IF(ISNUMBER(F70),ABS(F70)&gt;輸入與假設!$C$546,OR(AND(F31&lt;&gt;0,ABS(F65)&gt;輸入與假設!$C$545*ABS(F31)),AND(F31=0,F65&lt;&gt;0))),"觀點",""),"")</f>
        <v/>
      </c>
      <c r="G106" s="48" t="str">
        <f aca="false">IF(ISNUMBER(G65),IF(IF(ISNUMBER(G70),ABS(G70)&gt;輸入與假設!$C$546,OR(AND(G31&lt;&gt;0,ABS(G65)&gt;輸入與假設!$C$545*ABS(G31)),AND(G31=0,G65&lt;&gt;0))),"觀點",""),"")</f>
        <v/>
      </c>
      <c r="H106" s="48" t="str">
        <f aca="false">IF(ISNUMBER(H65),IF(IF(ISNUMBER(H70),ABS(H70)&gt;輸入與假設!$C$546,OR(AND(H31&lt;&gt;0,ABS(H65)&gt;輸入與假設!$C$545*ABS(H31)),AND(H31=0,H65&lt;&gt;0))),"觀點",""),"")</f>
        <v/>
      </c>
    </row>
    <row r="107" customFormat="false" ht="15" hidden="true" customHeight="false" outlineLevel="1" collapsed="false">
      <c r="A107" s="3" t="s">
        <v>1406</v>
      </c>
      <c r="C107" s="48"/>
      <c r="D107" s="48"/>
      <c r="E107" s="48"/>
      <c r="F107" s="48"/>
      <c r="G107" s="48"/>
      <c r="H107" s="48"/>
    </row>
    <row r="108" customFormat="false" ht="15" hidden="true" customHeight="false" outlineLevel="1" collapsed="false">
      <c r="A108" s="3" t="s">
        <v>1407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1408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1409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1410</v>
      </c>
      <c r="C111" s="48" t="str">
        <f aca="false">IF(ISNUMBER(C75),IF(ABS(C75)&gt;輸入與假設!$C$545,"CapEx（毛額） 實際 vs 模型 "&amp;IF(C75&lt;0,"−","+")&amp;TEXT(ABS(C75)*100,"#,##0.0")&amp;"%"&amp;"：觀點（"&amp;"首期資本支出＝2026 指引中點 200 − 上半年實際；之後由 MW 推導（Tokenomics 每 MW 成本）"&amp;"）",""),"")</f>
        <v/>
      </c>
      <c r="D111" s="48" t="str">
        <f aca="false">IF(ISNUMBER(D75),IF(ABS(D75)&gt;輸入與假設!$C$545,"CapEx（毛額） 實際 vs 模型 "&amp;IF(D75&lt;0,"−","+")&amp;TEXT(ABS(D75)*100,"#,##0.0")&amp;"%"&amp;"：觀點（"&amp;"首期資本支出＝2026 指引中點 200 − 上半年實際；之後由 MW 推導（Tokenomics 每 MW 成本）"&amp;"）",""),"")</f>
        <v/>
      </c>
      <c r="E111" s="48" t="str">
        <f aca="false">IF(ISNUMBER(E75),IF(ABS(E75)&gt;輸入與假設!$C$545,"CapEx（毛額） 實際 vs 模型 "&amp;IF(E75&lt;0,"−","+")&amp;TEXT(ABS(E75)*100,"#,##0.0")&amp;"%"&amp;"：觀點（"&amp;"首期資本支出＝2026 指引中點 200 − 上半年實際；之後由 MW 推導（Tokenomics 每 MW 成本）"&amp;"）",""),"")</f>
        <v/>
      </c>
      <c r="F111" s="48" t="str">
        <f aca="false">IF(ISNUMBER(F75),IF(ABS(F75)&gt;輸入與假設!$C$545,"CapEx（毛額） 實際 vs 模型 "&amp;IF(F75&lt;0,"−","+")&amp;TEXT(ABS(F75)*100,"#,##0.0")&amp;"%"&amp;"：觀點（"&amp;"首期資本支出＝2026 指引中點 200 − 上半年實際；之後由 MW 推導（Tokenomics 每 MW 成本）"&amp;"）",""),"")</f>
        <v/>
      </c>
      <c r="G111" s="48" t="str">
        <f aca="false">IF(ISNUMBER(G75),IF(ABS(G75)&gt;輸入與假設!$C$545,"CapEx（毛額） 實際 vs 模型 "&amp;IF(G75&lt;0,"−","+")&amp;TEXT(ABS(G75)*100,"#,##0.0")&amp;"%"&amp;"：觀點（"&amp;"首期資本支出＝2026 指引中點 200 − 上半年實際；之後由 MW 推導（Tokenomics 每 MW 成本）"&amp;"）",""),"")</f>
        <v/>
      </c>
      <c r="H111" s="48" t="str">
        <f aca="false">IF(ISNUMBER(H75),IF(ABS(H75)&gt;輸入與假設!$C$545,"CapEx（毛額） 實際 vs 模型 "&amp;IF(H75&lt;0,"−","+")&amp;TEXT(ABS(H75)*100,"#,##0.0")&amp;"%"&amp;"：觀點（"&amp;"首期資本支出＝2026 指引中點 200 − 上半年實際；之後由 MW 推導（Tokenomics 每 MW 成本）"&amp;"）",""),"")</f>
        <v/>
      </c>
    </row>
    <row r="112" customFormat="false" ht="15" hidden="true" customHeight="false" outlineLevel="1" collapsed="false">
      <c r="A112" s="3" t="s">
        <v>1411</v>
      </c>
      <c r="C112" s="48" t="str">
        <f aca="false">IF(ISNUMBER(C75),IF(ABS(C75)&gt;輸入與假設!$C$545,"觀點",""),"")</f>
        <v/>
      </c>
      <c r="D112" s="48" t="str">
        <f aca="false">IF(ISNUMBER(D75),IF(ABS(D75)&gt;輸入與假設!$C$545,"觀點",""),"")</f>
        <v/>
      </c>
      <c r="E112" s="48" t="str">
        <f aca="false">IF(ISNUMBER(E75),IF(ABS(E75)&gt;輸入與假設!$C$545,"觀點",""),"")</f>
        <v/>
      </c>
      <c r="F112" s="48" t="str">
        <f aca="false">IF(ISNUMBER(F75),IF(ABS(F75)&gt;輸入與假設!$C$545,"觀點",""),"")</f>
        <v/>
      </c>
      <c r="G112" s="48" t="str">
        <f aca="false">IF(ISNUMBER(G75),IF(ABS(G75)&gt;輸入與假設!$C$545,"觀點",""),"")</f>
        <v/>
      </c>
      <c r="H112" s="48" t="str">
        <f aca="false">IF(ISNUMBER(H75),IF(ABS(H75)&gt;輸入與假設!$C$545,"觀點",""),"")</f>
        <v/>
      </c>
    </row>
    <row r="113" customFormat="false" ht="15" hidden="true" customHeight="false" outlineLevel="1" collapsed="false">
      <c r="A113" s="3" t="s">
        <v>1412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1413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1414</v>
      </c>
      <c r="C115" s="48"/>
      <c r="D115" s="48"/>
      <c r="E115" s="48"/>
      <c r="F115" s="48"/>
      <c r="G115" s="48"/>
      <c r="H115" s="48"/>
    </row>
    <row r="116" customFormat="false" ht="15" hidden="true" customHeight="false" outlineLevel="1" collapsed="false">
      <c r="A116" s="3" t="s">
        <v>1415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1416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1417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1418</v>
      </c>
      <c r="C119" s="48" t="str">
        <f aca="false">MID(IF(C86&lt;&gt;"","；"&amp;C86,"")&amp;IF(C88&lt;&gt;"","；"&amp;C88,"")&amp;IF(C90&lt;&gt;"","；"&amp;C90,"")&amp;IF(C95&lt;&gt;"","；"&amp;C95,"")&amp;IF(C97&lt;&gt;"","；"&amp;C97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,2,9999)</f>
        <v/>
      </c>
      <c r="D119" s="48" t="str">
        <f aca="false">MID(IF(D86&lt;&gt;"","；"&amp;D86,"")&amp;IF(D88&lt;&gt;"","；"&amp;D88,"")&amp;IF(D90&lt;&gt;"","；"&amp;D90,"")&amp;IF(D95&lt;&gt;"","；"&amp;D95,"")&amp;IF(D97&lt;&gt;"","；"&amp;D97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,2,9999)</f>
        <v/>
      </c>
      <c r="E119" s="48" t="str">
        <f aca="false">MID(IF(E86&lt;&gt;"","；"&amp;E86,"")&amp;IF(E88&lt;&gt;"","；"&amp;E88,"")&amp;IF(E90&lt;&gt;"","；"&amp;E90,"")&amp;IF(E95&lt;&gt;"","；"&amp;E95,"")&amp;IF(E97&lt;&gt;"","；"&amp;E97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,2,9999)</f>
        <v/>
      </c>
      <c r="F119" s="48" t="str">
        <f aca="false">MID(IF(F86&lt;&gt;"","；"&amp;F86,"")&amp;IF(F88&lt;&gt;"","；"&amp;F88,"")&amp;IF(F90&lt;&gt;"","；"&amp;F90,"")&amp;IF(F95&lt;&gt;"","；"&amp;F95,"")&amp;IF(F97&lt;&gt;"","；"&amp;F97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,2,9999)</f>
        <v/>
      </c>
      <c r="G119" s="48" t="str">
        <f aca="false">MID(IF(G86&lt;&gt;"","；"&amp;G86,"")&amp;IF(G88&lt;&gt;"","；"&amp;G88,"")&amp;IF(G90&lt;&gt;"","；"&amp;G90,"")&amp;IF(G95&lt;&gt;"","；"&amp;G95,"")&amp;IF(G97&lt;&gt;"","；"&amp;G97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,2,9999)</f>
        <v/>
      </c>
      <c r="H119" s="48" t="str">
        <f aca="false">MID(IF(H86&lt;&gt;"","；"&amp;H86,"")&amp;IF(H88&lt;&gt;"","；"&amp;H88,"")&amp;IF(H90&lt;&gt;"","；"&amp;H90,"")&amp;IF(H95&lt;&gt;"","；"&amp;H95,"")&amp;IF(H97&lt;&gt;"","；"&amp;H97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,2,9999)</f>
        <v/>
      </c>
    </row>
    <row r="120" customFormat="false" ht="15" hidden="true" customHeight="false" outlineLevel="1" collapsed="false">
      <c r="A120" s="3" t="s">
        <v>1419</v>
      </c>
      <c r="C120" s="48" t="str">
        <f aca="false">IF((C87&amp;IF(AND(C89&lt;&gt;"",C89&lt;&gt;C87),IF((C87)&lt;&gt;"","、","")&amp;C89,"")&amp;IF(AND(C91&lt;&gt;"",C91&lt;&gt;C87,C91&lt;&gt;C89),IF((C87&amp;C89)&lt;&gt;"","、","")&amp;C91,""))&lt;&gt;"","〔"&amp;(C87&amp;IF(AND(C89&lt;&gt;"",C89&lt;&gt;C87),IF((C87)&lt;&gt;"","、","")&amp;C89,"")&amp;IF(AND(C91&lt;&gt;"",C91&lt;&gt;C87,C91&lt;&gt;C89),IF((C87&amp;C89)&lt;&gt;"","、","")&amp;C91,""))&amp;"〕","")</f>
        <v/>
      </c>
      <c r="D120" s="48" t="str">
        <f aca="false">IF((D87&amp;IF(AND(D89&lt;&gt;"",D89&lt;&gt;D87),IF((D87)&lt;&gt;"","、","")&amp;D89,"")&amp;IF(AND(D91&lt;&gt;"",D91&lt;&gt;D87,D91&lt;&gt;D89),IF((D87&amp;D89)&lt;&gt;"","、","")&amp;D91,""))&lt;&gt;"","〔"&amp;(D87&amp;IF(AND(D89&lt;&gt;"",D89&lt;&gt;D87),IF((D87)&lt;&gt;"","、","")&amp;D89,"")&amp;IF(AND(D91&lt;&gt;"",D91&lt;&gt;D87,D91&lt;&gt;D89),IF((D87&amp;D89)&lt;&gt;"","、","")&amp;D91,""))&amp;"〕","")</f>
        <v/>
      </c>
      <c r="E120" s="48" t="str">
        <f aca="false">IF((E87&amp;IF(AND(E89&lt;&gt;"",E89&lt;&gt;E87),IF((E87)&lt;&gt;"","、","")&amp;E89,"")&amp;IF(AND(E91&lt;&gt;"",E91&lt;&gt;E87,E91&lt;&gt;E89),IF((E87&amp;E89)&lt;&gt;"","、","")&amp;E91,""))&lt;&gt;"","〔"&amp;(E87&amp;IF(AND(E89&lt;&gt;"",E89&lt;&gt;E87),IF((E87)&lt;&gt;"","、","")&amp;E89,"")&amp;IF(AND(E91&lt;&gt;"",E91&lt;&gt;E87,E91&lt;&gt;E89),IF((E87&amp;E89)&lt;&gt;"","、","")&amp;E91,""))&amp;"〕","")</f>
        <v/>
      </c>
      <c r="F120" s="48" t="str">
        <f aca="false">IF((F87&amp;IF(AND(F89&lt;&gt;"",F89&lt;&gt;F87),IF((F87)&lt;&gt;"","、","")&amp;F89,"")&amp;IF(AND(F91&lt;&gt;"",F91&lt;&gt;F87,F91&lt;&gt;F89),IF((F87&amp;F89)&lt;&gt;"","、","")&amp;F91,""))&lt;&gt;"","〔"&amp;(F87&amp;IF(AND(F89&lt;&gt;"",F89&lt;&gt;F87),IF((F87)&lt;&gt;"","、","")&amp;F89,"")&amp;IF(AND(F91&lt;&gt;"",F91&lt;&gt;F87,F91&lt;&gt;F89),IF((F87&amp;F89)&lt;&gt;"","、","")&amp;F91,""))&amp;"〕","")</f>
        <v/>
      </c>
      <c r="G120" s="48" t="str">
        <f aca="false">IF((G87&amp;IF(AND(G89&lt;&gt;"",G89&lt;&gt;G87),IF((G87)&lt;&gt;"","、","")&amp;G89,"")&amp;IF(AND(G91&lt;&gt;"",G91&lt;&gt;G87,G91&lt;&gt;G89),IF((G87&amp;G89)&lt;&gt;"","、","")&amp;G91,""))&lt;&gt;"","〔"&amp;(G87&amp;IF(AND(G89&lt;&gt;"",G89&lt;&gt;G87),IF((G87)&lt;&gt;"","、","")&amp;G89,"")&amp;IF(AND(G91&lt;&gt;"",G91&lt;&gt;G87,G91&lt;&gt;G89),IF((G87&amp;G89)&lt;&gt;"","、","")&amp;G91,""))&amp;"〕","")</f>
        <v/>
      </c>
      <c r="H120" s="48" t="str">
        <f aca="false">IF((H87&amp;IF(AND(H89&lt;&gt;"",H89&lt;&gt;H87),IF((H87)&lt;&gt;"","、","")&amp;H89,"")&amp;IF(AND(H91&lt;&gt;"",H91&lt;&gt;H87,H91&lt;&gt;H89),IF((H87&amp;H89)&lt;&gt;"","、","")&amp;H91,""))&lt;&gt;"","〔"&amp;(H87&amp;IF(AND(H89&lt;&gt;"",H89&lt;&gt;H87),IF((H87)&lt;&gt;"","、","")&amp;H89,"")&amp;IF(AND(H91&lt;&gt;"",H91&lt;&gt;H87,H91&lt;&gt;H89),IF((H87&amp;H89)&lt;&gt;"","、","")&amp;H91,""))&amp;"〕","")</f>
        <v/>
      </c>
    </row>
    <row r="121" customFormat="false" ht="15" hidden="true" customHeight="false" outlineLevel="1" collapsed="false">
      <c r="A121" s="3" t="s">
        <v>1420</v>
      </c>
      <c r="C121" s="48" t="str">
        <f aca="false">IF((C96&amp;IF(AND(C98&lt;&gt;"",C98&lt;&gt;C96),IF((C96)&lt;&gt;"","、","")&amp;C98,"")&amp;IF(AND(C100&lt;&gt;"",C100&lt;&gt;C96,C100&lt;&gt;C98),IF((C96&amp;C98)&lt;&gt;"","、","")&amp;C100,""))&lt;&gt;"","〔"&amp;(C96&amp;IF(AND(C98&lt;&gt;"",C98&lt;&gt;C96),IF((C96)&lt;&gt;"","、","")&amp;C98,"")&amp;IF(AND(C100&lt;&gt;"",C100&lt;&gt;C96,C100&lt;&gt;C98),IF((C96&amp;C98)&lt;&gt;"","、","")&amp;C100,""))&amp;"〕","")</f>
        <v/>
      </c>
      <c r="D121" s="48" t="str">
        <f aca="false">IF((D96&amp;IF(AND(D98&lt;&gt;"",D98&lt;&gt;D96),IF((D96)&lt;&gt;"","、","")&amp;D98,"")&amp;IF(AND(D100&lt;&gt;"",D100&lt;&gt;D96,D100&lt;&gt;D98),IF((D96&amp;D98)&lt;&gt;"","、","")&amp;D100,""))&lt;&gt;"","〔"&amp;(D96&amp;IF(AND(D98&lt;&gt;"",D98&lt;&gt;D96),IF((D96)&lt;&gt;"","、","")&amp;D98,"")&amp;IF(AND(D100&lt;&gt;"",D100&lt;&gt;D96,D100&lt;&gt;D98),IF((D96&amp;D98)&lt;&gt;"","、","")&amp;D100,""))&amp;"〕","")</f>
        <v/>
      </c>
      <c r="E121" s="48" t="str">
        <f aca="false">IF((E96&amp;IF(AND(E98&lt;&gt;"",E98&lt;&gt;E96),IF((E96)&lt;&gt;"","、","")&amp;E98,"")&amp;IF(AND(E100&lt;&gt;"",E100&lt;&gt;E96,E100&lt;&gt;E98),IF((E96&amp;E98)&lt;&gt;"","、","")&amp;E100,""))&lt;&gt;"","〔"&amp;(E96&amp;IF(AND(E98&lt;&gt;"",E98&lt;&gt;E96),IF((E96)&lt;&gt;"","、","")&amp;E98,"")&amp;IF(AND(E100&lt;&gt;"",E100&lt;&gt;E96,E100&lt;&gt;E98),IF((E96&amp;E98)&lt;&gt;"","、","")&amp;E100,""))&amp;"〕","")</f>
        <v/>
      </c>
      <c r="F121" s="48" t="str">
        <f aca="false">IF((F96&amp;IF(AND(F98&lt;&gt;"",F98&lt;&gt;F96),IF((F96)&lt;&gt;"","、","")&amp;F98,"")&amp;IF(AND(F100&lt;&gt;"",F100&lt;&gt;F96,F100&lt;&gt;F98),IF((F96&amp;F98)&lt;&gt;"","、","")&amp;F100,""))&lt;&gt;"","〔"&amp;(F96&amp;IF(AND(F98&lt;&gt;"",F98&lt;&gt;F96),IF((F96)&lt;&gt;"","、","")&amp;F98,"")&amp;IF(AND(F100&lt;&gt;"",F100&lt;&gt;F96,F100&lt;&gt;F98),IF((F96&amp;F98)&lt;&gt;"","、","")&amp;F100,""))&amp;"〕","")</f>
        <v/>
      </c>
      <c r="G121" s="48" t="str">
        <f aca="false">IF((G96&amp;IF(AND(G98&lt;&gt;"",G98&lt;&gt;G96),IF((G96)&lt;&gt;"","、","")&amp;G98,"")&amp;IF(AND(G100&lt;&gt;"",G100&lt;&gt;G96,G100&lt;&gt;G98),IF((G96&amp;G98)&lt;&gt;"","、","")&amp;G100,""))&lt;&gt;"","〔"&amp;(G96&amp;IF(AND(G98&lt;&gt;"",G98&lt;&gt;G96),IF((G96)&lt;&gt;"","、","")&amp;G98,"")&amp;IF(AND(G100&lt;&gt;"",G100&lt;&gt;G96,G100&lt;&gt;G98),IF((G96&amp;G98)&lt;&gt;"","、","")&amp;G100,""))&amp;"〕","")</f>
        <v/>
      </c>
      <c r="H121" s="48" t="str">
        <f aca="false">IF((H96&amp;IF(AND(H98&lt;&gt;"",H98&lt;&gt;H96),IF((H96)&lt;&gt;"","、","")&amp;H98,"")&amp;IF(AND(H100&lt;&gt;"",H100&lt;&gt;H96,H100&lt;&gt;H98),IF((H96&amp;H98)&lt;&gt;"","、","")&amp;H100,""))&lt;&gt;"","〔"&amp;(H96&amp;IF(AND(H98&lt;&gt;"",H98&lt;&gt;H96),IF((H96)&lt;&gt;"","、","")&amp;H98,"")&amp;IF(AND(H100&lt;&gt;"",H100&lt;&gt;H96,H100&lt;&gt;H98),IF((H96&amp;H98)&lt;&gt;"","、","")&amp;H100,""))&amp;"〕","")</f>
        <v/>
      </c>
    </row>
    <row r="122" customFormat="false" ht="15" hidden="true" customHeight="false" outlineLevel="1" collapsed="false">
      <c r="A122" s="3" t="s">
        <v>1421</v>
      </c>
      <c r="C122" s="48" t="str">
        <f aca="false">IF((C102&amp;IF(AND(C104&lt;&gt;"",C104&lt;&gt;C102),IF((C102)&lt;&gt;"","、","")&amp;C104,"")&amp;IF(AND(C106&lt;&gt;"",C106&lt;&gt;C102,C106&lt;&gt;C104),IF((C102&amp;C104)&lt;&gt;"","、","")&amp;C106,""))&lt;&gt;"","〔"&amp;(C102&amp;IF(AND(C104&lt;&gt;"",C104&lt;&gt;C102),IF((C102)&lt;&gt;"","、","")&amp;C104,"")&amp;IF(AND(C106&lt;&gt;"",C106&lt;&gt;C102,C106&lt;&gt;C104),IF((C102&amp;C104)&lt;&gt;"","、","")&amp;C106,""))&amp;"〕","")</f>
        <v/>
      </c>
      <c r="D122" s="48" t="str">
        <f aca="false">IF((D102&amp;IF(AND(D104&lt;&gt;"",D104&lt;&gt;D102),IF((D102)&lt;&gt;"","、","")&amp;D104,"")&amp;IF(AND(D106&lt;&gt;"",D106&lt;&gt;D102,D106&lt;&gt;D104),IF((D102&amp;D104)&lt;&gt;"","、","")&amp;D106,""))&lt;&gt;"","〔"&amp;(D102&amp;IF(AND(D104&lt;&gt;"",D104&lt;&gt;D102),IF((D102)&lt;&gt;"","、","")&amp;D104,"")&amp;IF(AND(D106&lt;&gt;"",D106&lt;&gt;D102,D106&lt;&gt;D104),IF((D102&amp;D104)&lt;&gt;"","、","")&amp;D106,""))&amp;"〕","")</f>
        <v/>
      </c>
      <c r="E122" s="48" t="str">
        <f aca="false">IF((E102&amp;IF(AND(E104&lt;&gt;"",E104&lt;&gt;E102),IF((E102)&lt;&gt;"","、","")&amp;E104,"")&amp;IF(AND(E106&lt;&gt;"",E106&lt;&gt;E102,E106&lt;&gt;E104),IF((E102&amp;E104)&lt;&gt;"","、","")&amp;E106,""))&lt;&gt;"","〔"&amp;(E102&amp;IF(AND(E104&lt;&gt;"",E104&lt;&gt;E102),IF((E102)&lt;&gt;"","、","")&amp;E104,"")&amp;IF(AND(E106&lt;&gt;"",E106&lt;&gt;E102,E106&lt;&gt;E104),IF((E102&amp;E104)&lt;&gt;"","、","")&amp;E106,""))&amp;"〕","")</f>
        <v/>
      </c>
      <c r="F122" s="48" t="str">
        <f aca="false">IF((F102&amp;IF(AND(F104&lt;&gt;"",F104&lt;&gt;F102),IF((F102)&lt;&gt;"","、","")&amp;F104,"")&amp;IF(AND(F106&lt;&gt;"",F106&lt;&gt;F102,F106&lt;&gt;F104),IF((F102&amp;F104)&lt;&gt;"","、","")&amp;F106,""))&lt;&gt;"","〔"&amp;(F102&amp;IF(AND(F104&lt;&gt;"",F104&lt;&gt;F102),IF((F102)&lt;&gt;"","、","")&amp;F104,"")&amp;IF(AND(F106&lt;&gt;"",F106&lt;&gt;F102,F106&lt;&gt;F104),IF((F102&amp;F104)&lt;&gt;"","、","")&amp;F106,""))&amp;"〕","")</f>
        <v/>
      </c>
      <c r="G122" s="48" t="str">
        <f aca="false">IF((G102&amp;IF(AND(G104&lt;&gt;"",G104&lt;&gt;G102),IF((G102)&lt;&gt;"","、","")&amp;G104,"")&amp;IF(AND(G106&lt;&gt;"",G106&lt;&gt;G102,G106&lt;&gt;G104),IF((G102&amp;G104)&lt;&gt;"","、","")&amp;G106,""))&lt;&gt;"","〔"&amp;(G102&amp;IF(AND(G104&lt;&gt;"",G104&lt;&gt;G102),IF((G102)&lt;&gt;"","、","")&amp;G104,"")&amp;IF(AND(G106&lt;&gt;"",G106&lt;&gt;G102,G106&lt;&gt;G104),IF((G102&amp;G104)&lt;&gt;"","、","")&amp;G106,""))&amp;"〕","")</f>
        <v/>
      </c>
      <c r="H122" s="48" t="str">
        <f aca="false">IF((H102&amp;IF(AND(H104&lt;&gt;"",H104&lt;&gt;H102),IF((H102)&lt;&gt;"","、","")&amp;H104,"")&amp;IF(AND(H106&lt;&gt;"",H106&lt;&gt;H102,H106&lt;&gt;H104),IF((H102&amp;H104)&lt;&gt;"","、","")&amp;H106,""))&lt;&gt;"","〔"&amp;(H102&amp;IF(AND(H104&lt;&gt;"",H104&lt;&gt;H102),IF((H102)&lt;&gt;"","、","")&amp;H104,"")&amp;IF(AND(H106&lt;&gt;"",H106&lt;&gt;H102,H106&lt;&gt;H104),IF((H102&amp;H104)&lt;&gt;"","、","")&amp;H106,""))&amp;"〕","")</f>
        <v/>
      </c>
    </row>
    <row r="123" customFormat="false" ht="15" hidden="true" customHeight="false" outlineLevel="1" collapsed="false">
      <c r="A123" s="3" t="s">
        <v>1422</v>
      </c>
      <c r="C123" s="48" t="str">
        <f aca="false">IF((C108&amp;IF(AND(C110&lt;&gt;"",C110&lt;&gt;C108),IF((C108)&lt;&gt;"","、","")&amp;C110,"")&amp;IF(AND(C112&lt;&gt;"",C112&lt;&gt;C108,C112&lt;&gt;C110),IF((C108&amp;C110)&lt;&gt;"","、","")&amp;C112,""))&lt;&gt;"","〔"&amp;(C108&amp;IF(AND(C110&lt;&gt;"",C110&lt;&gt;C108),IF((C108)&lt;&gt;"","、","")&amp;C110,"")&amp;IF(AND(C112&lt;&gt;"",C112&lt;&gt;C108,C112&lt;&gt;C110),IF((C108&amp;C110)&lt;&gt;"","、","")&amp;C112,""))&amp;"〕","")</f>
        <v/>
      </c>
      <c r="D123" s="48" t="str">
        <f aca="false">IF((D108&amp;IF(AND(D110&lt;&gt;"",D110&lt;&gt;D108),IF((D108)&lt;&gt;"","、","")&amp;D110,"")&amp;IF(AND(D112&lt;&gt;"",D112&lt;&gt;D108,D112&lt;&gt;D110),IF((D108&amp;D110)&lt;&gt;"","、","")&amp;D112,""))&lt;&gt;"","〔"&amp;(D108&amp;IF(AND(D110&lt;&gt;"",D110&lt;&gt;D108),IF((D108)&lt;&gt;"","、","")&amp;D110,"")&amp;IF(AND(D112&lt;&gt;"",D112&lt;&gt;D108,D112&lt;&gt;D110),IF((D108&amp;D110)&lt;&gt;"","、","")&amp;D112,""))&amp;"〕","")</f>
        <v/>
      </c>
      <c r="E123" s="48" t="str">
        <f aca="false">IF((E108&amp;IF(AND(E110&lt;&gt;"",E110&lt;&gt;E108),IF((E108)&lt;&gt;"","、","")&amp;E110,"")&amp;IF(AND(E112&lt;&gt;"",E112&lt;&gt;E108,E112&lt;&gt;E110),IF((E108&amp;E110)&lt;&gt;"","、","")&amp;E112,""))&lt;&gt;"","〔"&amp;(E108&amp;IF(AND(E110&lt;&gt;"",E110&lt;&gt;E108),IF((E108)&lt;&gt;"","、","")&amp;E110,"")&amp;IF(AND(E112&lt;&gt;"",E112&lt;&gt;E108,E112&lt;&gt;E110),IF((E108&amp;E110)&lt;&gt;"","、","")&amp;E112,""))&amp;"〕","")</f>
        <v/>
      </c>
      <c r="F123" s="48" t="str">
        <f aca="false">IF((F108&amp;IF(AND(F110&lt;&gt;"",F110&lt;&gt;F108),IF((F108)&lt;&gt;"","、","")&amp;F110,"")&amp;IF(AND(F112&lt;&gt;"",F112&lt;&gt;F108,F112&lt;&gt;F110),IF((F108&amp;F110)&lt;&gt;"","、","")&amp;F112,""))&lt;&gt;"","〔"&amp;(F108&amp;IF(AND(F110&lt;&gt;"",F110&lt;&gt;F108),IF((F108)&lt;&gt;"","、","")&amp;F110,"")&amp;IF(AND(F112&lt;&gt;"",F112&lt;&gt;F108,F112&lt;&gt;F110),IF((F108&amp;F110)&lt;&gt;"","、","")&amp;F112,""))&amp;"〕","")</f>
        <v/>
      </c>
      <c r="G123" s="48" t="str">
        <f aca="false">IF((G108&amp;IF(AND(G110&lt;&gt;"",G110&lt;&gt;G108),IF((G108)&lt;&gt;"","、","")&amp;G110,"")&amp;IF(AND(G112&lt;&gt;"",G112&lt;&gt;G108,G112&lt;&gt;G110),IF((G108&amp;G110)&lt;&gt;"","、","")&amp;G112,""))&lt;&gt;"","〔"&amp;(G108&amp;IF(AND(G110&lt;&gt;"",G110&lt;&gt;G108),IF((G108)&lt;&gt;"","、","")&amp;G110,"")&amp;IF(AND(G112&lt;&gt;"",G112&lt;&gt;G108,G112&lt;&gt;G110),IF((G108&amp;G110)&lt;&gt;"","、","")&amp;G112,""))&amp;"〕","")</f>
        <v/>
      </c>
      <c r="H123" s="48" t="str">
        <f aca="false">IF((H108&amp;IF(AND(H110&lt;&gt;"",H110&lt;&gt;H108),IF((H108)&lt;&gt;"","、","")&amp;H110,"")&amp;IF(AND(H112&lt;&gt;"",H112&lt;&gt;H108,H112&lt;&gt;H110),IF((H108&amp;H110)&lt;&gt;"","、","")&amp;H112,""))&lt;&gt;"","〔"&amp;(H108&amp;IF(AND(H110&lt;&gt;"",H110&lt;&gt;H108),IF((H108)&lt;&gt;"","、","")&amp;H110,"")&amp;IF(AND(H112&lt;&gt;"",H112&lt;&gt;H108,H112&lt;&gt;H110),IF((H108&amp;H110)&lt;&gt;"","、","")&amp;H112,""))&amp;"〕","")</f>
        <v/>
      </c>
    </row>
    <row r="124" customFormat="false" ht="15" hidden="true" customHeight="false" outlineLevel="1" collapsed="false">
      <c r="A124" s="3" t="s">
        <v>1423</v>
      </c>
      <c r="C124" s="48" t="str">
        <f aca="false">IF((C114&amp;IF(AND(C116&lt;&gt;"",C116&lt;&gt;C114),IF((C114)&lt;&gt;"","、","")&amp;C116,"")&amp;IF(AND(C118&lt;&gt;"",C118&lt;&gt;C114,C118&lt;&gt;C116),IF((C114&amp;C116)&lt;&gt;"","、","")&amp;C118,""))&lt;&gt;"","〔"&amp;(C114&amp;IF(AND(C116&lt;&gt;"",C116&lt;&gt;C114),IF((C114)&lt;&gt;"","、","")&amp;C116,"")&amp;IF(AND(C118&lt;&gt;"",C118&lt;&gt;C114,C118&lt;&gt;C116),IF((C114&amp;C116)&lt;&gt;"","、","")&amp;C118,""))&amp;"〕","")</f>
        <v/>
      </c>
      <c r="D124" s="48" t="str">
        <f aca="false">IF((D114&amp;IF(AND(D116&lt;&gt;"",D116&lt;&gt;D114),IF((D114)&lt;&gt;"","、","")&amp;D116,"")&amp;IF(AND(D118&lt;&gt;"",D118&lt;&gt;D114,D118&lt;&gt;D116),IF((D114&amp;D116)&lt;&gt;"","、","")&amp;D118,""))&lt;&gt;"","〔"&amp;(D114&amp;IF(AND(D116&lt;&gt;"",D116&lt;&gt;D114),IF((D114)&lt;&gt;"","、","")&amp;D116,"")&amp;IF(AND(D118&lt;&gt;"",D118&lt;&gt;D114,D118&lt;&gt;D116),IF((D114&amp;D116)&lt;&gt;"","、","")&amp;D118,""))&amp;"〕","")</f>
        <v/>
      </c>
      <c r="E124" s="48" t="str">
        <f aca="false">IF((E114&amp;IF(AND(E116&lt;&gt;"",E116&lt;&gt;E114),IF((E114)&lt;&gt;"","、","")&amp;E116,"")&amp;IF(AND(E118&lt;&gt;"",E118&lt;&gt;E114,E118&lt;&gt;E116),IF((E114&amp;E116)&lt;&gt;"","、","")&amp;E118,""))&lt;&gt;"","〔"&amp;(E114&amp;IF(AND(E116&lt;&gt;"",E116&lt;&gt;E114),IF((E114)&lt;&gt;"","、","")&amp;E116,"")&amp;IF(AND(E118&lt;&gt;"",E118&lt;&gt;E114,E118&lt;&gt;E116),IF((E114&amp;E116)&lt;&gt;"","、","")&amp;E118,""))&amp;"〕","")</f>
        <v/>
      </c>
      <c r="F124" s="48" t="str">
        <f aca="false">IF((F114&amp;IF(AND(F116&lt;&gt;"",F116&lt;&gt;F114),IF((F114)&lt;&gt;"","、","")&amp;F116,"")&amp;IF(AND(F118&lt;&gt;"",F118&lt;&gt;F114,F118&lt;&gt;F116),IF((F114&amp;F116)&lt;&gt;"","、","")&amp;F118,""))&lt;&gt;"","〔"&amp;(F114&amp;IF(AND(F116&lt;&gt;"",F116&lt;&gt;F114),IF((F114)&lt;&gt;"","、","")&amp;F116,"")&amp;IF(AND(F118&lt;&gt;"",F118&lt;&gt;F114,F118&lt;&gt;F116),IF((F114&amp;F116)&lt;&gt;"","、","")&amp;F118,""))&amp;"〕","")</f>
        <v/>
      </c>
      <c r="G124" s="48" t="str">
        <f aca="false">IF((G114&amp;IF(AND(G116&lt;&gt;"",G116&lt;&gt;G114),IF((G114)&lt;&gt;"","、","")&amp;G116,"")&amp;IF(AND(G118&lt;&gt;"",G118&lt;&gt;G114,G118&lt;&gt;G116),IF((G114&amp;G116)&lt;&gt;"","、","")&amp;G118,""))&lt;&gt;"","〔"&amp;(G114&amp;IF(AND(G116&lt;&gt;"",G116&lt;&gt;G114),IF((G114)&lt;&gt;"","、","")&amp;G116,"")&amp;IF(AND(G118&lt;&gt;"",G118&lt;&gt;G114,G118&lt;&gt;G116),IF((G114&amp;G116)&lt;&gt;"","、","")&amp;G118,""))&amp;"〕","")</f>
        <v/>
      </c>
      <c r="H124" s="48" t="str">
        <f aca="false">IF((H114&amp;IF(AND(H116&lt;&gt;"",H116&lt;&gt;H114),IF((H114)&lt;&gt;"","、","")&amp;H116,"")&amp;IF(AND(H118&lt;&gt;"",H118&lt;&gt;H114,H118&lt;&gt;H116),IF((H114&amp;H116)&lt;&gt;"","、","")&amp;H118,""))&lt;&gt;"","〔"&amp;(H114&amp;IF(AND(H116&lt;&gt;"",H116&lt;&gt;H114),IF((H114)&lt;&gt;"","、","")&amp;H116,"")&amp;IF(AND(H118&lt;&gt;"",H118&lt;&gt;H114,H118&lt;&gt;H116),IF((H114&amp;H116)&lt;&gt;"","、","")&amp;H118,""))&amp;"〕","")</f>
        <v/>
      </c>
    </row>
    <row r="125" customFormat="false" ht="15" hidden="true" customHeight="false" outlineLevel="1" collapsed="false">
      <c r="A125" s="3" t="s">
        <v>1424</v>
      </c>
      <c r="C125" s="48" t="str">
        <f aca="false">"營收：模型 "&amp;IF(ISNUMBER(C22),IF(C22&lt;0,"−","")&amp;"$"&amp;TEXT(ABS(C22),"#,##0.00")&amp;"bn","不適用")&amp;IF(ISNUMBER(C33),"｜共識 "&amp;IF(C33&lt;0,"−","")&amp;"$"&amp;TEXT(ABS(C33),"#,##0.00")&amp;"bn"&amp;"（"&amp;IF(ISNUMBER(C43),IF(C43&lt;0,"−","+")&amp;TEXT(ABS(C43)*100,"#,##0.0")&amp;"%","不適用")&amp;"）","")&amp;IF(ISNUMBER(C37),"｜實際 "&amp;IF(C37&lt;0,"−","")&amp;"$"&amp;TEXT(ABS(C37),"#,##0.00")&amp;"bn"&amp;"（較模型 "&amp;IF(ISNUMBER(C45),IF(C45&lt;0,"−","+")&amp;TEXT(ABS(C45)*100,"#,##0.0")&amp;"%","不適用")&amp;IF(ISNUMBER(C33),"、較共識 "&amp;IF(ISNUMBER(C46),IF(C46&lt;0,"−","+")&amp;TEXT(ABS(C46)*100,"#,##0.0")&amp;"%","不適用"),"")&amp;"）","")&amp;C120</f>
        <v>營收：模型 $127.46bn</v>
      </c>
      <c r="D125" s="48" t="str">
        <f aca="false">"營收：模型 "&amp;IF(ISNUMBER(D22),IF(D22&lt;0,"−","")&amp;"$"&amp;TEXT(ABS(D22),"#,##0.00")&amp;"bn","不適用")&amp;IF(ISNUMBER(D33),"｜共識 "&amp;IF(D33&lt;0,"−","")&amp;"$"&amp;TEXT(ABS(D33),"#,##0.00")&amp;"bn"&amp;"（"&amp;IF(ISNUMBER(D43),IF(D43&lt;0,"−","+")&amp;TEXT(ABS(D43)*100,"#,##0.0")&amp;"%","不適用")&amp;"）","")&amp;IF(ISNUMBER(D37),"｜實際 "&amp;IF(D37&lt;0,"−","")&amp;"$"&amp;TEXT(ABS(D37),"#,##0.00")&amp;"bn"&amp;"（較模型 "&amp;IF(ISNUMBER(D45),IF(D45&lt;0,"−","+")&amp;TEXT(ABS(D45)*100,"#,##0.0")&amp;"%","不適用")&amp;IF(ISNUMBER(D33),"、較共識 "&amp;IF(ISNUMBER(D46),IF(D46&lt;0,"−","+")&amp;TEXT(ABS(D46)*100,"#,##0.0")&amp;"%","不適用"),"")&amp;"）","")&amp;D120</f>
        <v>營收：模型 $135.12bn</v>
      </c>
      <c r="E125" s="48" t="str">
        <f aca="false">"營收：模型 "&amp;IF(ISNUMBER(E22),IF(E22&lt;0,"−","")&amp;"$"&amp;TEXT(ABS(E22),"#,##0.00")&amp;"bn","不適用")&amp;IF(ISNUMBER(E33),"｜共識 "&amp;IF(E33&lt;0,"−","")&amp;"$"&amp;TEXT(ABS(E33),"#,##0.00")&amp;"bn"&amp;"（"&amp;IF(ISNUMBER(E43),IF(E43&lt;0,"−","+")&amp;TEXT(ABS(E43)*100,"#,##0.0")&amp;"%","不適用")&amp;"）","")&amp;IF(ISNUMBER(E37),"｜實際 "&amp;IF(E37&lt;0,"−","")&amp;"$"&amp;TEXT(ABS(E37),"#,##0.00")&amp;"bn"&amp;"（較模型 "&amp;IF(ISNUMBER(E45),IF(E45&lt;0,"−","+")&amp;TEXT(ABS(E45)*100,"#,##0.0")&amp;"%","不適用")&amp;IF(ISNUMBER(E33),"、較共識 "&amp;IF(ISNUMBER(E46),IF(E46&lt;0,"−","+")&amp;TEXT(ABS(E46)*100,"#,##0.0")&amp;"%","不適用"),"")&amp;"）","")&amp;E120</f>
        <v>營收：模型 $127.53bn</v>
      </c>
      <c r="F125" s="48" t="str">
        <f aca="false">"營收：模型 "&amp;IF(ISNUMBER(F22),IF(F22&lt;0,"−","")&amp;"$"&amp;TEXT(ABS(F22),"#,##0.00")&amp;"bn","不適用")&amp;IF(ISNUMBER(F33),"｜共識 "&amp;IF(F33&lt;0,"−","")&amp;"$"&amp;TEXT(ABS(F33),"#,##0.00")&amp;"bn"&amp;"（"&amp;IF(ISNUMBER(F43),IF(F43&lt;0,"−","+")&amp;TEXT(ABS(F43)*100,"#,##0.0")&amp;"%","不適用")&amp;"）","")&amp;IF(ISNUMBER(F37),"｜實際 "&amp;IF(F37&lt;0,"−","")&amp;"$"&amp;TEXT(ABS(F37),"#,##0.00")&amp;"bn"&amp;"（較模型 "&amp;IF(ISNUMBER(F45),IF(F45&lt;0,"−","+")&amp;TEXT(ABS(F45)*100,"#,##0.0")&amp;"%","不適用")&amp;IF(ISNUMBER(F33),"、較共識 "&amp;IF(ISNUMBER(F46),IF(F46&lt;0,"−","+")&amp;TEXT(ABS(F46)*100,"#,##0.0")&amp;"%","不適用"),"")&amp;"）","")&amp;F120</f>
        <v>營收：模型 $142.36bn</v>
      </c>
      <c r="G125" s="48" t="str">
        <f aca="false">"營收：模型 "&amp;IF(ISNUMBER(G22),IF(G22&lt;0,"−","")&amp;"$"&amp;TEXT(ABS(G22),"#,##0.00")&amp;"bn","不適用")&amp;IF(ISNUMBER(G33),"｜共識 "&amp;IF(G33&lt;0,"−","")&amp;"$"&amp;TEXT(ABS(G33),"#,##0.00")&amp;"bn"&amp;"（"&amp;IF(ISNUMBER(G43),IF(G43&lt;0,"−","+")&amp;TEXT(ABS(G43)*100,"#,##0.0")&amp;"%","不適用")&amp;"）","")&amp;IF(ISNUMBER(G37),"｜實際 "&amp;IF(G37&lt;0,"−","")&amp;"$"&amp;TEXT(ABS(G37),"#,##0.00")&amp;"bn"&amp;"（較模型 "&amp;IF(ISNUMBER(G45),IF(G45&lt;0,"−","+")&amp;TEXT(ABS(G45)*100,"#,##0.0")&amp;"%","不適用")&amp;IF(ISNUMBER(G33),"、較共識 "&amp;IF(ISNUMBER(G46),IF(G46&lt;0,"−","+")&amp;TEXT(ABS(G46)*100,"#,##0.0")&amp;"%","不適用"),"")&amp;"）","")&amp;G120</f>
        <v>營收：模型 $157.18bn</v>
      </c>
      <c r="H125" s="48" t="str">
        <f aca="false">"營收：模型 "&amp;IF(ISNUMBER(H22),IF(H22&lt;0,"−","")&amp;"$"&amp;TEXT(ABS(H22),"#,##0.00")&amp;"bn","不適用")&amp;IF(ISNUMBER(H33),"｜共識 "&amp;IF(H33&lt;0,"−","")&amp;"$"&amp;TEXT(ABS(H33),"#,##0.00")&amp;"bn"&amp;"（"&amp;IF(ISNUMBER(H43),IF(H43&lt;0,"−","+")&amp;TEXT(ABS(H43)*100,"#,##0.0")&amp;"%","不適用")&amp;"）","")&amp;IF(ISNUMBER(H37),"｜實際 "&amp;IF(H37&lt;0,"−","")&amp;"$"&amp;TEXT(ABS(H37),"#,##0.00")&amp;"bn"&amp;"（較模型 "&amp;IF(ISNUMBER(H45),IF(H45&lt;0,"−","+")&amp;TEXT(ABS(H45)*100,"#,##0.0")&amp;"%","不適用")&amp;IF(ISNUMBER(H33),"、較共識 "&amp;IF(ISNUMBER(H46),IF(H46&lt;0,"−","+")&amp;TEXT(ABS(H46)*100,"#,##0.0")&amp;"%","不適用"),"")&amp;"）","")&amp;H120</f>
        <v>營收：模型 $172.01bn</v>
      </c>
    </row>
    <row r="126" customFormat="false" ht="15" hidden="true" customHeight="false" outlineLevel="1" collapsed="false">
      <c r="A126" s="3" t="s">
        <v>1425</v>
      </c>
      <c r="C126" s="48" t="str">
        <f aca="false">"調整後 EBITDA：模型 "&amp;IF(ISNUMBER(C28),IF(C28&lt;0,"−","")&amp;"$"&amp;TEXT(ABS(C28),"#,##0.00")&amp;"bn","不適用")&amp;IF(ISNUMBER(C34),"｜共識 "&amp;IF(C34&lt;0,"−","")&amp;"$"&amp;TEXT(ABS(C34),"#,##0.00")&amp;"bn"&amp;"（"&amp;IF(ISNUMBER(C48),IF(C48&lt;0,"−","+")&amp;IF(ABS(C48)&lt;0,"−","")&amp;"$"&amp;TEXT(ABS(ABS(C48)),"#,##0.00")&amp;"bn"&amp;IF(ISNUMBER(C53),"／"&amp;IF(C53&lt;0,"−","+")&amp;TEXT(ABS(C53)*100,"#,##0.0")&amp;"pt",""),"不適用")&amp;"）","")&amp;IF(ISNUMBER(C38),"｜實際 "&amp;IF(C38&lt;0,"−","")&amp;"$"&amp;TEXT(ABS(C38),"#,##0.00")&amp;"bn"&amp;"（較模型 "&amp;IF(ISNUMBER(C50),IF(C50&lt;0,"−","+")&amp;IF(ABS(C50)&lt;0,"−","")&amp;"$"&amp;TEXT(ABS(ABS(C50)),"#,##0.00")&amp;"bn"&amp;IF(ISNUMBER(C55),"／"&amp;IF(C55&lt;0,"−","+")&amp;TEXT(ABS(C55)*100,"#,##0.0")&amp;"pt",""),"不適用")&amp;IF(ISNUMBER(C34),"、較共識 "&amp;IF(ISNUMBER(C51),IF(C51&lt;0,"−","+")&amp;IF(ABS(C51)&lt;0,"−","")&amp;"$"&amp;TEXT(ABS(ABS(C51)),"#,##0.00")&amp;"bn"&amp;IF(ISNUMBER(C56),"／"&amp;IF(C56&lt;0,"−","+")&amp;TEXT(ABS(C56)*100,"#,##0.0")&amp;"pt",""),"不適用"),"")&amp;"）","")&amp;C121</f>
        <v>調整後 EBITDA：模型 $49.05bn</v>
      </c>
      <c r="D126" s="48" t="str">
        <f aca="false">"調整後 EBITDA：模型 "&amp;IF(ISNUMBER(D28),IF(D28&lt;0,"−","")&amp;"$"&amp;TEXT(ABS(D28),"#,##0.00")&amp;"bn","不適用")&amp;IF(ISNUMBER(D34),"｜共識 "&amp;IF(D34&lt;0,"−","")&amp;"$"&amp;TEXT(ABS(D34),"#,##0.00")&amp;"bn"&amp;"（"&amp;IF(ISNUMBER(D48),IF(D48&lt;0,"−","+")&amp;IF(ABS(D48)&lt;0,"−","")&amp;"$"&amp;TEXT(ABS(ABS(D48)),"#,##0.00")&amp;"bn"&amp;IF(ISNUMBER(D53),"／"&amp;IF(D53&lt;0,"−","+")&amp;TEXT(ABS(D53)*100,"#,##0.0")&amp;"pt",""),"不適用")&amp;"）","")&amp;IF(ISNUMBER(D38),"｜實際 "&amp;IF(D38&lt;0,"−","")&amp;"$"&amp;TEXT(ABS(D38),"#,##0.00")&amp;"bn"&amp;"（較模型 "&amp;IF(ISNUMBER(D50),IF(D50&lt;0,"−","+")&amp;IF(ABS(D50)&lt;0,"−","")&amp;"$"&amp;TEXT(ABS(ABS(D50)),"#,##0.00")&amp;"bn"&amp;IF(ISNUMBER(D55),"／"&amp;IF(D55&lt;0,"−","+")&amp;TEXT(ABS(D55)*100,"#,##0.0")&amp;"pt",""),"不適用")&amp;IF(ISNUMBER(D34),"、較共識 "&amp;IF(ISNUMBER(D51),IF(D51&lt;0,"−","+")&amp;IF(ABS(D51)&lt;0,"−","")&amp;"$"&amp;TEXT(ABS(ABS(D51)),"#,##0.00")&amp;"bn"&amp;IF(ISNUMBER(D56),"／"&amp;IF(D56&lt;0,"−","+")&amp;TEXT(ABS(D56)*100,"#,##0.0")&amp;"pt",""),"不適用"),"")&amp;"）","")&amp;D121</f>
        <v>調整後 EBITDA：模型 $51.38bn</v>
      </c>
      <c r="E126" s="48" t="str">
        <f aca="false">"調整後 EBITDA：模型 "&amp;IF(ISNUMBER(E28),IF(E28&lt;0,"−","")&amp;"$"&amp;TEXT(ABS(E28),"#,##0.00")&amp;"bn","不適用")&amp;IF(ISNUMBER(E34),"｜共識 "&amp;IF(E34&lt;0,"−","")&amp;"$"&amp;TEXT(ABS(E34),"#,##0.00")&amp;"bn"&amp;"（"&amp;IF(ISNUMBER(E48),IF(E48&lt;0,"−","+")&amp;IF(ABS(E48)&lt;0,"−","")&amp;"$"&amp;TEXT(ABS(ABS(E48)),"#,##0.00")&amp;"bn"&amp;IF(ISNUMBER(E53),"／"&amp;IF(E53&lt;0,"−","+")&amp;TEXT(ABS(E53)*100,"#,##0.0")&amp;"pt",""),"不適用")&amp;"）","")&amp;IF(ISNUMBER(E38),"｜實際 "&amp;IF(E38&lt;0,"−","")&amp;"$"&amp;TEXT(ABS(E38),"#,##0.00")&amp;"bn"&amp;"（較模型 "&amp;IF(ISNUMBER(E50),IF(E50&lt;0,"−","+")&amp;IF(ABS(E50)&lt;0,"−","")&amp;"$"&amp;TEXT(ABS(ABS(E50)),"#,##0.00")&amp;"bn"&amp;IF(ISNUMBER(E55),"／"&amp;IF(E55&lt;0,"−","+")&amp;TEXT(ABS(E55)*100,"#,##0.0")&amp;"pt",""),"不適用")&amp;IF(ISNUMBER(E34),"、較共識 "&amp;IF(ISNUMBER(E51),IF(E51&lt;0,"−","+")&amp;IF(ABS(E51)&lt;0,"−","")&amp;"$"&amp;TEXT(ABS(ABS(E51)),"#,##0.00")&amp;"bn"&amp;IF(ISNUMBER(E56),"／"&amp;IF(E56&lt;0,"−","+")&amp;TEXT(ABS(E56)*100,"#,##0.0")&amp;"pt",""),"不適用"),"")&amp;"）","")&amp;E121</f>
        <v>調整後 EBITDA：模型 $47.91bn</v>
      </c>
      <c r="F126" s="48" t="str">
        <f aca="false">"調整後 EBITDA：模型 "&amp;IF(ISNUMBER(F28),IF(F28&lt;0,"−","")&amp;"$"&amp;TEXT(ABS(F28),"#,##0.00")&amp;"bn","不適用")&amp;IF(ISNUMBER(F34),"｜共識 "&amp;IF(F34&lt;0,"−","")&amp;"$"&amp;TEXT(ABS(F34),"#,##0.00")&amp;"bn"&amp;"（"&amp;IF(ISNUMBER(F48),IF(F48&lt;0,"−","+")&amp;IF(ABS(F48)&lt;0,"−","")&amp;"$"&amp;TEXT(ABS(ABS(F48)),"#,##0.00")&amp;"bn"&amp;IF(ISNUMBER(F53),"／"&amp;IF(F53&lt;0,"−","+")&amp;TEXT(ABS(F53)*100,"#,##0.0")&amp;"pt",""),"不適用")&amp;"）","")&amp;IF(ISNUMBER(F38),"｜實際 "&amp;IF(F38&lt;0,"−","")&amp;"$"&amp;TEXT(ABS(F38),"#,##0.00")&amp;"bn"&amp;"（較模型 "&amp;IF(ISNUMBER(F50),IF(F50&lt;0,"−","+")&amp;IF(ABS(F50)&lt;0,"−","")&amp;"$"&amp;TEXT(ABS(ABS(F50)),"#,##0.00")&amp;"bn"&amp;IF(ISNUMBER(F55),"／"&amp;IF(F55&lt;0,"−","+")&amp;TEXT(ABS(F55)*100,"#,##0.0")&amp;"pt",""),"不適用")&amp;IF(ISNUMBER(F34),"、較共識 "&amp;IF(ISNUMBER(F51),IF(F51&lt;0,"−","+")&amp;IF(ABS(F51)&lt;0,"−","")&amp;"$"&amp;TEXT(ABS(ABS(F51)),"#,##0.00")&amp;"bn"&amp;IF(ISNUMBER(F56),"／"&amp;IF(F56&lt;0,"−","+")&amp;TEXT(ABS(F56)*100,"#,##0.0")&amp;"pt",""),"不適用"),"")&amp;"）","")&amp;F121</f>
        <v>調整後 EBITDA：模型 $52.83bn</v>
      </c>
      <c r="G126" s="48" t="str">
        <f aca="false">"調整後 EBITDA：模型 "&amp;IF(ISNUMBER(G28),IF(G28&lt;0,"−","")&amp;"$"&amp;TEXT(ABS(G28),"#,##0.00")&amp;"bn","不適用")&amp;IF(ISNUMBER(G34),"｜共識 "&amp;IF(G34&lt;0,"−","")&amp;"$"&amp;TEXT(ABS(G34),"#,##0.00")&amp;"bn"&amp;"（"&amp;IF(ISNUMBER(G48),IF(G48&lt;0,"−","+")&amp;IF(ABS(G48)&lt;0,"−","")&amp;"$"&amp;TEXT(ABS(ABS(G48)),"#,##0.00")&amp;"bn"&amp;IF(ISNUMBER(G53),"／"&amp;IF(G53&lt;0,"−","+")&amp;TEXT(ABS(G53)*100,"#,##0.0")&amp;"pt",""),"不適用")&amp;"）","")&amp;IF(ISNUMBER(G38),"｜實際 "&amp;IF(G38&lt;0,"−","")&amp;"$"&amp;TEXT(ABS(G38),"#,##0.00")&amp;"bn"&amp;"（較模型 "&amp;IF(ISNUMBER(G50),IF(G50&lt;0,"−","+")&amp;IF(ABS(G50)&lt;0,"−","")&amp;"$"&amp;TEXT(ABS(ABS(G50)),"#,##0.00")&amp;"bn"&amp;IF(ISNUMBER(G55),"／"&amp;IF(G55&lt;0,"−","+")&amp;TEXT(ABS(G55)*100,"#,##0.0")&amp;"pt",""),"不適用")&amp;IF(ISNUMBER(G34),"、較共識 "&amp;IF(ISNUMBER(G51),IF(G51&lt;0,"−","+")&amp;IF(ABS(G51)&lt;0,"−","")&amp;"$"&amp;TEXT(ABS(ABS(G51)),"#,##0.00")&amp;"bn"&amp;IF(ISNUMBER(G56),"／"&amp;IF(G56&lt;0,"−","+")&amp;TEXT(ABS(G56)*100,"#,##0.0")&amp;"pt",""),"不適用"),"")&amp;"）","")&amp;G121</f>
        <v>調整後 EBITDA：模型 $57.62bn</v>
      </c>
      <c r="H126" s="48" t="str">
        <f aca="false">"調整後 EBITDA：模型 "&amp;IF(ISNUMBER(H28),IF(H28&lt;0,"−","")&amp;"$"&amp;TEXT(ABS(H28),"#,##0.00")&amp;"bn","不適用")&amp;IF(ISNUMBER(H34),"｜共識 "&amp;IF(H34&lt;0,"−","")&amp;"$"&amp;TEXT(ABS(H34),"#,##0.00")&amp;"bn"&amp;"（"&amp;IF(ISNUMBER(H48),IF(H48&lt;0,"−","+")&amp;IF(ABS(H48)&lt;0,"−","")&amp;"$"&amp;TEXT(ABS(ABS(H48)),"#,##0.00")&amp;"bn"&amp;IF(ISNUMBER(H53),"／"&amp;IF(H53&lt;0,"−","+")&amp;TEXT(ABS(H53)*100,"#,##0.0")&amp;"pt",""),"不適用")&amp;"）","")&amp;IF(ISNUMBER(H38),"｜實際 "&amp;IF(H38&lt;0,"−","")&amp;"$"&amp;TEXT(ABS(H38),"#,##0.00")&amp;"bn"&amp;"（較模型 "&amp;IF(ISNUMBER(H50),IF(H50&lt;0,"−","+")&amp;IF(ABS(H50)&lt;0,"−","")&amp;"$"&amp;TEXT(ABS(ABS(H50)),"#,##0.00")&amp;"bn"&amp;IF(ISNUMBER(H55),"／"&amp;IF(H55&lt;0,"−","+")&amp;TEXT(ABS(H55)*100,"#,##0.0")&amp;"pt",""),"不適用")&amp;IF(ISNUMBER(H34),"、較共識 "&amp;IF(ISNUMBER(H51),IF(H51&lt;0,"−","+")&amp;IF(ABS(H51)&lt;0,"−","")&amp;"$"&amp;TEXT(ABS(ABS(H51)),"#,##0.00")&amp;"bn"&amp;IF(ISNUMBER(H56),"／"&amp;IF(H56&lt;0,"−","+")&amp;TEXT(ABS(H56)*100,"#,##0.0")&amp;"pt",""),"不適用"),"")&amp;"）","")&amp;H121</f>
        <v>調整後 EBITDA：模型 $62.27bn</v>
      </c>
    </row>
    <row r="127" customFormat="false" ht="15" hidden="true" customHeight="false" outlineLevel="1" collapsed="false">
      <c r="A127" s="3" t="s">
        <v>1426</v>
      </c>
      <c r="C127" s="48" t="str">
        <f aca="false">"EBITDA 率：模型 "&amp;IF(ISNUMBER(C27),IF(C27&lt;0,"−","")&amp;TEXT(ABS(C27)*100,"#,##0.0")&amp;"%","不適用")&amp;IF(ISNUMBER(C35),"｜共識 "&amp;IF(C35&lt;0,"−","")&amp;TEXT(ABS(C35)*100,"#,##0.0")&amp;"%"&amp;"（"&amp;IF(ISNUMBER(C58),IF(C58&lt;0,"−","+")&amp;TEXT(ABS(C58)*100,"#,##0.0")&amp;"pt","不適用")&amp;"）","")&amp;IF(ISNUMBER(C39),"｜實際 "&amp;IF(C39&lt;0,"−","")&amp;TEXT(ABS(C39)*100,"#,##0.0")&amp;"%"&amp;"（較模型 "&amp;IF(ISNUMBER(C60),IF(C60&lt;0,"−","+")&amp;TEXT(ABS(C60)*100,"#,##0.0")&amp;"pt","不適用")&amp;IF(ISNUMBER(C35),"、較共識 "&amp;IF(ISNUMBER(C61),IF(C61&lt;0,"−","+")&amp;TEXT(ABS(C61)*100,"#,##0.0")&amp;"pt","不適用"),"")&amp;"）","")</f>
        <v>EBITDA 率：模型 38.5%</v>
      </c>
      <c r="D127" s="48" t="str">
        <f aca="false">"EBITDA 率：模型 "&amp;IF(ISNUMBER(D27),IF(D27&lt;0,"−","")&amp;TEXT(ABS(D27)*100,"#,##0.0")&amp;"%","不適用")&amp;IF(ISNUMBER(D35),"｜共識 "&amp;IF(D35&lt;0,"−","")&amp;TEXT(ABS(D35)*100,"#,##0.0")&amp;"%"&amp;"（"&amp;IF(ISNUMBER(D58),IF(D58&lt;0,"−","+")&amp;TEXT(ABS(D58)*100,"#,##0.0")&amp;"pt","不適用")&amp;"）","")&amp;IF(ISNUMBER(D39),"｜實際 "&amp;IF(D39&lt;0,"−","")&amp;TEXT(ABS(D39)*100,"#,##0.0")&amp;"%"&amp;"（較模型 "&amp;IF(ISNUMBER(D60),IF(D60&lt;0,"−","+")&amp;TEXT(ABS(D60)*100,"#,##0.0")&amp;"pt","不適用")&amp;IF(ISNUMBER(D35),"、較共識 "&amp;IF(ISNUMBER(D61),IF(D61&lt;0,"−","+")&amp;TEXT(ABS(D61)*100,"#,##0.0")&amp;"pt","不適用"),"")&amp;"）","")</f>
        <v>EBITDA 率：模型 38.0%</v>
      </c>
      <c r="E127" s="48" t="str">
        <f aca="false">"EBITDA 率：模型 "&amp;IF(ISNUMBER(E27),IF(E27&lt;0,"−","")&amp;TEXT(ABS(E27)*100,"#,##0.0")&amp;"%","不適用")&amp;IF(ISNUMBER(E35),"｜共識 "&amp;IF(E35&lt;0,"−","")&amp;TEXT(ABS(E35)*100,"#,##0.0")&amp;"%"&amp;"（"&amp;IF(ISNUMBER(E58),IF(E58&lt;0,"−","+")&amp;TEXT(ABS(E58)*100,"#,##0.0")&amp;"pt","不適用")&amp;"）","")&amp;IF(ISNUMBER(E39),"｜實際 "&amp;IF(E39&lt;0,"−","")&amp;TEXT(ABS(E39)*100,"#,##0.0")&amp;"%"&amp;"（較模型 "&amp;IF(ISNUMBER(E60),IF(E60&lt;0,"−","+")&amp;TEXT(ABS(E60)*100,"#,##0.0")&amp;"pt","不適用")&amp;IF(ISNUMBER(E35),"、較共識 "&amp;IF(ISNUMBER(E61),IF(E61&lt;0,"−","+")&amp;TEXT(ABS(E61)*100,"#,##0.0")&amp;"pt","不適用"),"")&amp;"）","")</f>
        <v>EBITDA 率：模型 37.6%</v>
      </c>
      <c r="F127" s="48" t="str">
        <f aca="false">"EBITDA 率：模型 "&amp;IF(ISNUMBER(F27),IF(F27&lt;0,"−","")&amp;TEXT(ABS(F27)*100,"#,##0.0")&amp;"%","不適用")&amp;IF(ISNUMBER(F35),"｜共識 "&amp;IF(F35&lt;0,"−","")&amp;TEXT(ABS(F35)*100,"#,##0.0")&amp;"%"&amp;"（"&amp;IF(ISNUMBER(F58),IF(F58&lt;0,"−","+")&amp;TEXT(ABS(F58)*100,"#,##0.0")&amp;"pt","不適用")&amp;"）","")&amp;IF(ISNUMBER(F39),"｜實際 "&amp;IF(F39&lt;0,"−","")&amp;TEXT(ABS(F39)*100,"#,##0.0")&amp;"%"&amp;"（較模型 "&amp;IF(ISNUMBER(F60),IF(F60&lt;0,"−","+")&amp;TEXT(ABS(F60)*100,"#,##0.0")&amp;"pt","不適用")&amp;IF(ISNUMBER(F35),"、較共識 "&amp;IF(ISNUMBER(F61),IF(F61&lt;0,"−","+")&amp;TEXT(ABS(F61)*100,"#,##0.0")&amp;"pt","不適用"),"")&amp;"）","")</f>
        <v>EBITDA 率：模型 37.1%</v>
      </c>
      <c r="G127" s="48" t="str">
        <f aca="false">"EBITDA 率：模型 "&amp;IF(ISNUMBER(G27),IF(G27&lt;0,"−","")&amp;TEXT(ABS(G27)*100,"#,##0.0")&amp;"%","不適用")&amp;IF(ISNUMBER(G35),"｜共識 "&amp;IF(G35&lt;0,"−","")&amp;TEXT(ABS(G35)*100,"#,##0.0")&amp;"%"&amp;"（"&amp;IF(ISNUMBER(G58),IF(G58&lt;0,"−","+")&amp;TEXT(ABS(G58)*100,"#,##0.0")&amp;"pt","不適用")&amp;"）","")&amp;IF(ISNUMBER(G39),"｜實際 "&amp;IF(G39&lt;0,"−","")&amp;TEXT(ABS(G39)*100,"#,##0.0")&amp;"%"&amp;"（較模型 "&amp;IF(ISNUMBER(G60),IF(G60&lt;0,"−","+")&amp;TEXT(ABS(G60)*100,"#,##0.0")&amp;"pt","不適用")&amp;IF(ISNUMBER(G35),"、較共識 "&amp;IF(ISNUMBER(G61),IF(G61&lt;0,"−","+")&amp;TEXT(ABS(G61)*100,"#,##0.0")&amp;"pt","不適用"),"")&amp;"）","")</f>
        <v>EBITDA 率：模型 36.7%</v>
      </c>
      <c r="H127" s="48" t="str">
        <f aca="false">"EBITDA 率：模型 "&amp;IF(ISNUMBER(H27),IF(H27&lt;0,"−","")&amp;TEXT(ABS(H27)*100,"#,##0.0")&amp;"%","不適用")&amp;IF(ISNUMBER(H35),"｜共識 "&amp;IF(H35&lt;0,"−","")&amp;TEXT(ABS(H35)*100,"#,##0.0")&amp;"%"&amp;"（"&amp;IF(ISNUMBER(H58),IF(H58&lt;0,"−","+")&amp;TEXT(ABS(H58)*100,"#,##0.0")&amp;"pt","不適用")&amp;"）","")&amp;IF(ISNUMBER(H39),"｜實際 "&amp;IF(H39&lt;0,"−","")&amp;TEXT(ABS(H39)*100,"#,##0.0")&amp;"%"&amp;"（較模型 "&amp;IF(ISNUMBER(H60),IF(H60&lt;0,"−","+")&amp;TEXT(ABS(H60)*100,"#,##0.0")&amp;"pt","不適用")&amp;IF(ISNUMBER(H35),"、較共識 "&amp;IF(ISNUMBER(H61),IF(H61&lt;0,"−","+")&amp;TEXT(ABS(H61)*100,"#,##0.0")&amp;"pt","不適用"),"")&amp;"）","")</f>
        <v>EBITDA 率：模型 36.2%</v>
      </c>
    </row>
    <row r="128" customFormat="false" ht="15" hidden="true" customHeight="false" outlineLevel="1" collapsed="false">
      <c r="A128" s="3" t="s">
        <v>1427</v>
      </c>
      <c r="C128" s="48" t="str">
        <f aca="false">"調整後營業利益：模型 "&amp;IF(ISNUMBER(C31),IF(C31&lt;0,"−","")&amp;"$"&amp;TEXT(ABS(C31),"#,##0.00")&amp;"bn","不適用")&amp;IF(ISNUMBER(C40),"｜實際 "&amp;IF(C40&lt;0,"−","")&amp;"$"&amp;TEXT(ABS(C40),"#,##0.00")&amp;"bn"&amp;"（較模型 "&amp;IF(ISNUMBER(C65),IF(C65&lt;0,"−","+")&amp;IF(ABS(C65)&lt;0,"−","")&amp;"$"&amp;TEXT(ABS(ABS(C65)),"#,##0.00")&amp;"bn"&amp;IF(ISNUMBER(C70),"／"&amp;IF(C70&lt;0,"−","+")&amp;TEXT(ABS(C70)*100,"#,##0.0")&amp;"pt",""),"不適用")&amp;"）","")&amp;C122</f>
        <v>調整後營業利益：模型 $37.02bn</v>
      </c>
      <c r="D128" s="48" t="str">
        <f aca="false">"調整後營業利益：模型 "&amp;IF(ISNUMBER(D31),IF(D31&lt;0,"−","")&amp;"$"&amp;TEXT(ABS(D31),"#,##0.00")&amp;"bn","不適用")&amp;IF(ISNUMBER(D40),"｜實際 "&amp;IF(D40&lt;0,"−","")&amp;"$"&amp;TEXT(ABS(D40),"#,##0.00")&amp;"bn"&amp;"（較模型 "&amp;IF(ISNUMBER(D65),IF(D65&lt;0,"−","+")&amp;IF(ABS(D65)&lt;0,"−","")&amp;"$"&amp;TEXT(ABS(ABS(D65)),"#,##0.00")&amp;"bn"&amp;IF(ISNUMBER(D70),"／"&amp;IF(D70&lt;0,"−","+")&amp;TEXT(ABS(D70)*100,"#,##0.0")&amp;"pt",""),"不適用")&amp;"）","")&amp;D122</f>
        <v>調整後營業利益：模型 $39.35bn</v>
      </c>
      <c r="E128" s="48" t="str">
        <f aca="false">"調整後營業利益：模型 "&amp;IF(ISNUMBER(E31),IF(E31&lt;0,"−","")&amp;"$"&amp;TEXT(ABS(E31),"#,##0.00")&amp;"bn","不適用")&amp;IF(ISNUMBER(E40),"｜實際 "&amp;IF(E40&lt;0,"−","")&amp;"$"&amp;TEXT(ABS(E40),"#,##0.00")&amp;"bn"&amp;"（較模型 "&amp;IF(ISNUMBER(E65),IF(E65&lt;0,"−","+")&amp;IF(ABS(E65)&lt;0,"−","")&amp;"$"&amp;TEXT(ABS(ABS(E65)),"#,##0.00")&amp;"bn"&amp;IF(ISNUMBER(E70),"／"&amp;IF(E70&lt;0,"−","+")&amp;TEXT(ABS(E70)*100,"#,##0.0")&amp;"pt",""),"不適用")&amp;"）","")&amp;E122</f>
        <v>調整後營業利益：模型 $30.03bn</v>
      </c>
      <c r="F128" s="48" t="str">
        <f aca="false">"調整後營業利益：模型 "&amp;IF(ISNUMBER(F31),IF(F31&lt;0,"−","")&amp;"$"&amp;TEXT(ABS(F31),"#,##0.00")&amp;"bn","不適用")&amp;IF(ISNUMBER(F40),"｜實際 "&amp;IF(F40&lt;0,"−","")&amp;"$"&amp;TEXT(ABS(F40),"#,##0.00")&amp;"bn"&amp;"（較模型 "&amp;IF(ISNUMBER(F65),IF(F65&lt;0,"−","+")&amp;IF(ABS(F65)&lt;0,"−","")&amp;"$"&amp;TEXT(ABS(ABS(F65)),"#,##0.00")&amp;"bn"&amp;IF(ISNUMBER(F70),"／"&amp;IF(F70&lt;0,"−","+")&amp;TEXT(ABS(F70)*100,"#,##0.0")&amp;"pt",""),"不適用")&amp;"）","")&amp;F122</f>
        <v>調整後營業利益：模型 $34.95bn</v>
      </c>
      <c r="G128" s="48" t="str">
        <f aca="false">"調整後營業利益：模型 "&amp;IF(ISNUMBER(G31),IF(G31&lt;0,"−","")&amp;"$"&amp;TEXT(ABS(G31),"#,##0.00")&amp;"bn","不適用")&amp;IF(ISNUMBER(G40),"｜實際 "&amp;IF(G40&lt;0,"−","")&amp;"$"&amp;TEXT(ABS(G40),"#,##0.00")&amp;"bn"&amp;"（較模型 "&amp;IF(ISNUMBER(G65),IF(G65&lt;0,"−","+")&amp;IF(ABS(G65)&lt;0,"−","")&amp;"$"&amp;TEXT(ABS(ABS(G65)),"#,##0.00")&amp;"bn"&amp;IF(ISNUMBER(G70),"／"&amp;IF(G70&lt;0,"−","+")&amp;TEXT(ABS(G70)*100,"#,##0.0")&amp;"pt",""),"不適用")&amp;"）","")&amp;G122</f>
        <v>調整後營業利益：模型 $39.74bn</v>
      </c>
      <c r="H128" s="48" t="str">
        <f aca="false">"調整後營業利益：模型 "&amp;IF(ISNUMBER(H31),IF(H31&lt;0,"−","")&amp;"$"&amp;TEXT(ABS(H31),"#,##0.00")&amp;"bn","不適用")&amp;IF(ISNUMBER(H40),"｜實際 "&amp;IF(H40&lt;0,"−","")&amp;"$"&amp;TEXT(ABS(H40),"#,##0.00")&amp;"bn"&amp;"（較模型 "&amp;IF(ISNUMBER(H65),IF(H65&lt;0,"−","+")&amp;IF(ABS(H65)&lt;0,"−","")&amp;"$"&amp;TEXT(ABS(ABS(H65)),"#,##0.00")&amp;"bn"&amp;IF(ISNUMBER(H70),"／"&amp;IF(H70&lt;0,"−","+")&amp;TEXT(ABS(H70)*100,"#,##0.0")&amp;"pt",""),"不適用")&amp;"）","")&amp;H122</f>
        <v>調整後營業利益：模型 $44.39bn</v>
      </c>
    </row>
    <row r="129" customFormat="false" ht="15" hidden="true" customHeight="false" outlineLevel="1" collapsed="false">
      <c r="A129" s="3" t="s">
        <v>1428</v>
      </c>
      <c r="C129" s="48" t="str">
        <f aca="false">"CapEx（毛額）：模型 "&amp;IF(ISNUMBER(C32),IF(C32&lt;0,"−","")&amp;"$"&amp;TEXT(ABS(C32),"#,##0.00")&amp;"bn","不適用")&amp;IF(ISNUMBER(C41),"｜實際 "&amp;IF(C41&lt;0,"−","")&amp;"$"&amp;TEXT(ABS(C41),"#,##0.00")&amp;"bn"&amp;"（較模型 "&amp;IF(ISNUMBER(C75),IF(C75&lt;0,"−","+")&amp;TEXT(ABS(C75)*100,"#,##0.0")&amp;"%","不適用")&amp;"）","")&amp;C123</f>
        <v>CapEx（毛額）：模型 $59.70bn</v>
      </c>
      <c r="D129" s="48" t="str">
        <f aca="false">"CapEx（毛額）：模型 "&amp;IF(ISNUMBER(D32),IF(D32&lt;0,"−","")&amp;"$"&amp;TEXT(ABS(D32),"#,##0.00")&amp;"bn","不適用")&amp;IF(ISNUMBER(D41),"｜實際 "&amp;IF(D41&lt;0,"−","")&amp;"$"&amp;TEXT(ABS(D41),"#,##0.00")&amp;"bn"&amp;"（較模型 "&amp;IF(ISNUMBER(D75),IF(D75&lt;0,"−","+")&amp;TEXT(ABS(D75)*100,"#,##0.0")&amp;"%","不適用")&amp;"）","")&amp;D123</f>
        <v>CapEx（毛額）：模型 $59.70bn</v>
      </c>
      <c r="E129" s="48" t="str">
        <f aca="false">"CapEx（毛額）：模型 "&amp;IF(ISNUMBER(E32),IF(E32&lt;0,"−","")&amp;"$"&amp;TEXT(ABS(E32),"#,##0.00")&amp;"bn","不適用")&amp;IF(ISNUMBER(E41),"｜實際 "&amp;IF(E41&lt;0,"−","")&amp;"$"&amp;TEXT(ABS(E41),"#,##0.00")&amp;"bn"&amp;"（較模型 "&amp;IF(ISNUMBER(E75),IF(E75&lt;0,"−","+")&amp;TEXT(ABS(E75)*100,"#,##0.0")&amp;"%","不適用")&amp;"）","")&amp;E123</f>
        <v>CapEx（毛額）：模型 $59.21bn</v>
      </c>
      <c r="F129" s="48" t="str">
        <f aca="false">"CapEx（毛額）：模型 "&amp;IF(ISNUMBER(F32),IF(F32&lt;0,"−","")&amp;"$"&amp;TEXT(ABS(F32),"#,##0.00")&amp;"bn","不適用")&amp;IF(ISNUMBER(F41),"｜實際 "&amp;IF(F41&lt;0,"−","")&amp;"$"&amp;TEXT(ABS(F41),"#,##0.00")&amp;"bn"&amp;"（較模型 "&amp;IF(ISNUMBER(F75),IF(F75&lt;0,"−","+")&amp;TEXT(ABS(F75)*100,"#,##0.0")&amp;"%","不適用")&amp;"）","")&amp;F123</f>
        <v>CapEx（毛額）：模型 $59.21bn</v>
      </c>
      <c r="G129" s="48" t="str">
        <f aca="false">"CapEx（毛額）：模型 "&amp;IF(ISNUMBER(G32),IF(G32&lt;0,"−","")&amp;"$"&amp;TEXT(ABS(G32),"#,##0.00")&amp;"bn","不適用")&amp;IF(ISNUMBER(G41),"｜實際 "&amp;IF(G41&lt;0,"−","")&amp;"$"&amp;TEXT(ABS(G41),"#,##0.00")&amp;"bn"&amp;"（較模型 "&amp;IF(ISNUMBER(G75),IF(G75&lt;0,"−","+")&amp;TEXT(ABS(G75)*100,"#,##0.0")&amp;"%","不適用")&amp;"）","")&amp;G123</f>
        <v>CapEx（毛額）：模型 $59.21bn</v>
      </c>
      <c r="H129" s="48" t="str">
        <f aca="false">"CapEx（毛額）：模型 "&amp;IF(ISNUMBER(H32),IF(H32&lt;0,"−","")&amp;"$"&amp;TEXT(ABS(H32),"#,##0.00")&amp;"bn","不適用")&amp;IF(ISNUMBER(H41),"｜實際 "&amp;IF(H41&lt;0,"−","")&amp;"$"&amp;TEXT(ABS(H41),"#,##0.00")&amp;"bn"&amp;"（較模型 "&amp;IF(ISNUMBER(H75),IF(H75&lt;0,"−","+")&amp;TEXT(ABS(H75)*100,"#,##0.0")&amp;"%","不適用")&amp;"）","")&amp;H123</f>
        <v>CapEx（毛額）：模型 $59.21bn</v>
      </c>
    </row>
    <row r="130" customFormat="false" ht="15" hidden="true" customHeight="false" outlineLevel="1" collapsed="false">
      <c r="A130" s="3" t="s">
        <v>1429</v>
      </c>
      <c r="C130" s="48" t="str">
        <f aca="false">"季末已連網 MW-IT：模型 "&amp;IF(ISNUMBER(C19),IF(C19&lt;0,"−","")&amp;TEXT(ABS(C19),"#,##0")&amp;" MW","不適用")&amp;IF(ISNUMBER(C42),"｜實際 "&amp;IF(C42&lt;0,"−","")&amp;TEXT(ABS(C42),"#,##0")&amp;" MW"&amp;"（較模型 "&amp;IF(ISNUMBER(C80),IF(C80&lt;0,"−","+")&amp;IF(ABS(C80)&lt;0,"−","")&amp;TEXT(ABS(ABS(C80)),"#,##0")&amp;" MW","不適用")&amp;"）","")&amp;C124</f>
        <v>季末已連網 MW-IT：模型 2,213 MW</v>
      </c>
      <c r="D130" s="48" t="str">
        <f aca="false">"季末已連網 MW-IT：模型 "&amp;IF(ISNUMBER(D19),IF(D19&lt;0,"−","")&amp;TEXT(ABS(D19),"#,##0")&amp;" MW","不適用")&amp;IF(ISNUMBER(D42),"｜實際 "&amp;IF(D42&lt;0,"−","")&amp;TEXT(ABS(D42),"#,##0")&amp;" MW"&amp;"（較模型 "&amp;IF(ISNUMBER(D80),IF(D80&lt;0,"−","+")&amp;IF(ABS(D80)&lt;0,"−","")&amp;TEXT(ABS(ABS(D80)),"#,##0")&amp;" MW","不適用")&amp;"）","")&amp;D124</f>
        <v>季末已連網 MW-IT：模型 2,524 MW</v>
      </c>
      <c r="E130" s="48" t="str">
        <f aca="false">"季末已連網 MW-IT：模型 "&amp;IF(ISNUMBER(E19),IF(E19&lt;0,"−","")&amp;TEXT(ABS(E19),"#,##0")&amp;" MW","不適用")&amp;IF(ISNUMBER(E42),"｜實際 "&amp;IF(E42&lt;0,"−","")&amp;TEXT(ABS(E42),"#,##0")&amp;" MW"&amp;"（較模型 "&amp;IF(ISNUMBER(E80),IF(E80&lt;0,"−","+")&amp;IF(ABS(E80)&lt;0,"−","")&amp;TEXT(ABS(ABS(E80)),"#,##0")&amp;" MW","不適用")&amp;"）","")&amp;E124</f>
        <v>季末已連網 MW-IT：模型 2,836 MW</v>
      </c>
      <c r="F130" s="48" t="str">
        <f aca="false">"季末已連網 MW-IT：模型 "&amp;IF(ISNUMBER(F19),IF(F19&lt;0,"−","")&amp;TEXT(ABS(F19),"#,##0")&amp;" MW","不適用")&amp;IF(ISNUMBER(F42),"｜實際 "&amp;IF(F42&lt;0,"−","")&amp;TEXT(ABS(F42),"#,##0")&amp;" MW"&amp;"（較模型 "&amp;IF(ISNUMBER(F80),IF(F80&lt;0,"−","+")&amp;IF(ABS(F80)&lt;0,"−","")&amp;TEXT(ABS(ABS(F80)),"#,##0")&amp;" MW","不適用")&amp;"）","")&amp;F124</f>
        <v>季末已連網 MW-IT：模型 3,147 MW</v>
      </c>
      <c r="G130" s="48" t="str">
        <f aca="false">"季末已連網 MW-IT：模型 "&amp;IF(ISNUMBER(G19),IF(G19&lt;0,"−","")&amp;TEXT(ABS(G19),"#,##0")&amp;" MW","不適用")&amp;IF(ISNUMBER(G42),"｜實際 "&amp;IF(G42&lt;0,"−","")&amp;TEXT(ABS(G42),"#,##0")&amp;" MW"&amp;"（較模型 "&amp;IF(ISNUMBER(G80),IF(G80&lt;0,"−","+")&amp;IF(ABS(G80)&lt;0,"−","")&amp;TEXT(ABS(ABS(G80)),"#,##0")&amp;" MW","不適用")&amp;"）","")&amp;G124</f>
        <v>季末已連網 MW-IT：模型 3,459 MW</v>
      </c>
      <c r="H130" s="48" t="str">
        <f aca="false">"季末已連網 MW-IT：模型 "&amp;IF(ISNUMBER(H19),IF(H19&lt;0,"−","")&amp;TEXT(ABS(H19),"#,##0")&amp;" MW","不適用")&amp;IF(ISNUMBER(H42),"｜實際 "&amp;IF(H42&lt;0,"−","")&amp;TEXT(ABS(H42),"#,##0")&amp;" MW"&amp;"（較模型 "&amp;IF(ISNUMBER(H80),IF(H80&lt;0,"−","+")&amp;IF(ABS(H80)&lt;0,"−","")&amp;TEXT(ABS(ABS(H80)),"#,##0")&amp;" MW","不適用")&amp;"）","")&amp;H124</f>
        <v>季末已連網 MW-IT：模型 3,770 MW</v>
      </c>
    </row>
    <row r="131" customFormat="false" ht="15" hidden="true" customHeight="false" outlineLevel="1" collapsed="false"/>
    <row r="132" customFormat="false" ht="15" hidden="true" customHeight="false" outlineLevel="1" collapsed="false">
      <c r="A132" s="2" t="s">
        <v>1430</v>
      </c>
    </row>
    <row r="133" customFormat="false" ht="15" hidden="true" customHeight="false" outlineLevel="1" collapsed="false">
      <c r="A133" s="3" t="s">
        <v>1431</v>
      </c>
      <c r="C133" s="69" t="n">
        <f aca="false">C22+D22-損益!C9</f>
        <v>0</v>
      </c>
      <c r="D133" s="69" t="n">
        <f aca="false">E22+F22+G22+H22-損益!D9</f>
        <v>0</v>
      </c>
    </row>
    <row r="134" customFormat="false" ht="15" hidden="true" customHeight="false" outlineLevel="1" collapsed="false">
      <c r="A134" s="3" t="s">
        <v>1432</v>
      </c>
      <c r="C134" s="69" t="n">
        <f aca="false">C28+D28-損益!C22</f>
        <v>0</v>
      </c>
      <c r="D134" s="69" t="n">
        <f aca="false">E28+F28+G28+H28-損益!D22</f>
        <v>0</v>
      </c>
    </row>
    <row r="135" customFormat="false" ht="15" hidden="true" customHeight="false" outlineLevel="1" collapsed="false">
      <c r="A135" s="3" t="s">
        <v>1433</v>
      </c>
      <c r="C135" s="69" t="n">
        <f aca="false">C31+D31-損益!C12</f>
        <v>0</v>
      </c>
      <c r="D135" s="69" t="n">
        <f aca="false">E31+F31+G31+H31-損益!D12</f>
        <v>0</v>
      </c>
    </row>
    <row r="136" customFormat="false" ht="15" hidden="true" customHeight="false" outlineLevel="1" collapsed="false">
      <c r="A136" s="3" t="s">
        <v>1434</v>
      </c>
      <c r="C136" s="69" t="n">
        <f aca="false">C32+D32-輸入與假設!C$323</f>
        <v>0</v>
      </c>
      <c r="D136" s="69" t="n">
        <f aca="false">E32+F32+G32+H32-輸入與假設!D$323</f>
        <v>0</v>
      </c>
    </row>
    <row r="137" customFormat="false" ht="15" hidden="true" customHeight="false" outlineLevel="1" collapsed="false">
      <c r="A137" s="3" t="s">
        <v>1435</v>
      </c>
      <c r="C137" s="69" t="n">
        <f aca="false">C29+D29-輸入與假設!C$324</f>
        <v>0</v>
      </c>
      <c r="D137" s="69" t="n">
        <f aca="false">E29+F29+G29+H29-輸入與假設!D$324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1436</v>
      </c>
    </row>
    <row r="2" customFormat="false" ht="15" hidden="false" customHeight="false" outlineLevel="0" collapsed="false">
      <c r="A2" s="6" t="s">
        <v>1437</v>
      </c>
    </row>
    <row r="3" customFormat="false" ht="15" hidden="false" customHeight="false" outlineLevel="0" collapsed="false">
      <c r="A3" s="11" t="s">
        <v>1438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1088</v>
      </c>
    </row>
    <row r="6" customFormat="false" ht="15" hidden="false" customHeight="false" outlineLevel="0" collapsed="false">
      <c r="A6" s="3" t="s">
        <v>885</v>
      </c>
      <c r="B6" s="6"/>
      <c r="C6" s="66" t="str">
        <f aca="false">"2026-07-01~12-31"</f>
        <v>2026-07-01~12-31</v>
      </c>
      <c r="D6" s="66" t="str">
        <f aca="false">"2027 全年"</f>
        <v>2027 全年</v>
      </c>
      <c r="E6" s="66" t="str">
        <f aca="false">"2028 全年"</f>
        <v>2028 全年</v>
      </c>
      <c r="F6" s="66" t="str">
        <f aca="false">"2029 全年"</f>
        <v>2029 全年</v>
      </c>
      <c r="G6" s="66" t="str">
        <f aca="false">"2030 全年"</f>
        <v>2030 全年</v>
      </c>
      <c r="I6" s="11" t="s">
        <v>1439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0.5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1440</v>
      </c>
    </row>
    <row r="8" customFormat="false" ht="15" hidden="false" customHeight="false" outlineLevel="0" collapsed="false">
      <c r="A8" s="52" t="s">
        <v>1441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1442</v>
      </c>
      <c r="B9" s="11" t="s">
        <v>157</v>
      </c>
      <c r="C9" s="68" t="n">
        <f aca="false">MAX(0,輸入與假設!C$36)</f>
        <v>2524.05</v>
      </c>
      <c r="D9" s="68" t="n">
        <f aca="false">MAX(輸入與假設!D$36,C9)</f>
        <v>3770.15</v>
      </c>
      <c r="E9" s="68" t="n">
        <f aca="false">MAX(輸入與假設!E$36,D9)</f>
        <v>5016.25</v>
      </c>
      <c r="F9" s="68" t="n">
        <f aca="false">MAX(輸入與假設!F$36,E9)</f>
        <v>6262.35</v>
      </c>
      <c r="G9" s="68" t="n">
        <f aca="false">MAX(輸入與假設!G$36,F9)</f>
        <v>7508.45</v>
      </c>
      <c r="I9" s="6" t="s">
        <v>1443</v>
      </c>
    </row>
    <row r="10" customFormat="false" ht="15" hidden="false" customHeight="false" outlineLevel="1" collapsed="false">
      <c r="A10" s="4" t="s">
        <v>1444</v>
      </c>
      <c r="B10" s="11" t="s">
        <v>157</v>
      </c>
      <c r="C10" s="68" t="n">
        <f aca="false">MIN(MAX(0,輸入與假設!C$37),C9)</f>
        <v>2524</v>
      </c>
      <c r="D10" s="68" t="n">
        <f aca="false">MIN(MAX(0,輸入與假設!D$37),D9)</f>
        <v>3770</v>
      </c>
      <c r="E10" s="68" t="n">
        <f aca="false">MIN(MAX(0,輸入與假設!E$37),E9)</f>
        <v>5016</v>
      </c>
      <c r="F10" s="68" t="n">
        <f aca="false">MIN(MAX(0,輸入與假設!F$37),F9)</f>
        <v>6262</v>
      </c>
      <c r="G10" s="68" t="n">
        <f aca="false">MIN(MAX(0,輸入與假設!G$37),G9)</f>
        <v>7508</v>
      </c>
      <c r="I10" s="6" t="s">
        <v>1445</v>
      </c>
    </row>
    <row r="11" customFormat="false" ht="15" hidden="false" customHeight="false" outlineLevel="1" collapsed="false">
      <c r="A11" s="4" t="s">
        <v>1446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2524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3770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5016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6262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7508</v>
      </c>
      <c r="I11" s="6" t="s">
        <v>1447</v>
      </c>
    </row>
    <row r="12" customFormat="false" ht="15" hidden="false" customHeight="false" outlineLevel="1" collapsed="false">
      <c r="A12" s="3" t="s">
        <v>1448</v>
      </c>
      <c r="B12" s="11" t="s">
        <v>157</v>
      </c>
      <c r="C12" s="68" t="n">
        <f aca="false">輸入與假設!$C$29</f>
        <v>1901</v>
      </c>
      <c r="D12" s="68" t="n">
        <f aca="false">C11</f>
        <v>2524</v>
      </c>
      <c r="E12" s="68" t="n">
        <f aca="false">D11</f>
        <v>3770</v>
      </c>
      <c r="F12" s="68" t="n">
        <f aca="false">E11</f>
        <v>5016</v>
      </c>
      <c r="G12" s="68" t="n">
        <f aca="false">F11</f>
        <v>6262</v>
      </c>
      <c r="I12" s="6" t="s">
        <v>1449</v>
      </c>
    </row>
    <row r="13" customFormat="false" ht="15" hidden="false" customHeight="false" outlineLevel="1" collapsed="false">
      <c r="A13" s="3" t="s">
        <v>1450</v>
      </c>
      <c r="B13" s="11" t="s">
        <v>157</v>
      </c>
      <c r="C13" s="68" t="n">
        <f aca="false">IF(輸入與假設!$C$30=1,(C12+C11)/2,C11)</f>
        <v>2212.5</v>
      </c>
      <c r="D13" s="68" t="n">
        <f aca="false">IF(輸入與假設!$C$30=1,(D12+D11)/2,D11)</f>
        <v>3147</v>
      </c>
      <c r="E13" s="68" t="n">
        <f aca="false">IF(輸入與假設!$C$30=1,(E12+E11)/2,E11)</f>
        <v>4393</v>
      </c>
      <c r="F13" s="68" t="n">
        <f aca="false">IF(輸入與假設!$C$30=1,(F12+F11)/2,F11)</f>
        <v>5639</v>
      </c>
      <c r="G13" s="68" t="n">
        <f aca="false">IF(輸入與假設!$C$30=1,(G12+G11)/2,G11)</f>
        <v>6885</v>
      </c>
      <c r="I13" s="6" t="s">
        <v>1451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0.011500792682779</v>
      </c>
      <c r="D15" s="70" t="n">
        <f aca="false">輸入與假設!D$39</f>
        <v>0.0121072137713929</v>
      </c>
      <c r="E15" s="70" t="n">
        <f aca="false">輸入與假設!E$39</f>
        <v>0.0126042824758587</v>
      </c>
      <c r="F15" s="70" t="n">
        <f aca="false">輸入與假設!F$39</f>
        <v>0.0129035349252015</v>
      </c>
      <c r="G15" s="70" t="n">
        <f aca="false">輸入與假設!G$39</f>
        <v>0.0131034596898354</v>
      </c>
    </row>
    <row r="16" customFormat="false" ht="15" hidden="false" customHeight="false" outlineLevel="1" collapsed="false">
      <c r="A16" s="3" t="s">
        <v>1452</v>
      </c>
      <c r="B16" s="11" t="s">
        <v>65</v>
      </c>
      <c r="C16" s="42" t="n">
        <f aca="false">C13*輸入與假設!C$39*輸入與假設!$C$32*輸入與假設!C$38*C7</f>
        <v>12.7227519053242</v>
      </c>
      <c r="D16" s="42" t="n">
        <f aca="false">D13*輸入與假設!D$39*輸入與假設!$C$32*輸入與假設!D$38*D7</f>
        <v>38.1014017385733</v>
      </c>
      <c r="E16" s="42" t="n">
        <f aca="false">E13*輸入與假設!E$39*輸入與假設!$C$32*輸入與假設!E$38*E7</f>
        <v>55.3706129164472</v>
      </c>
      <c r="F16" s="42" t="n">
        <f aca="false">F13*輸入與假設!F$39*輸入與假設!$C$32*輸入與假設!F$38*F7</f>
        <v>72.7630334432111</v>
      </c>
      <c r="G16" s="42" t="n">
        <f aca="false">G13*輸入與假設!G$39*輸入與假設!$C$32*輸入與假設!G$38*G7</f>
        <v>90.2173199645169</v>
      </c>
      <c r="I16" s="6" t="s">
        <v>1453</v>
      </c>
    </row>
    <row r="17" customFormat="false" ht="15" hidden="false" customHeight="false" outlineLevel="0" collapsed="false">
      <c r="A17" s="52" t="s">
        <v>1454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1455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1456</v>
      </c>
    </row>
    <row r="19" customFormat="false" ht="15" hidden="false" customHeight="false" outlineLevel="0" collapsed="false">
      <c r="A19" s="52" t="s">
        <v>1457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1458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1459</v>
      </c>
    </row>
    <row r="21" customFormat="false" ht="15" hidden="false" customHeight="false" outlineLevel="1" collapsed="false">
      <c r="A21" s="3" t="s">
        <v>1460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1461</v>
      </c>
    </row>
    <row r="22" customFormat="false" ht="15" hidden="false" customHeight="false" outlineLevel="1" collapsed="false">
      <c r="A22" s="3" t="s">
        <v>1462</v>
      </c>
      <c r="B22" s="11" t="s">
        <v>65</v>
      </c>
      <c r="C22" s="66" t="n">
        <f aca="false">MAX(0,C16-C18)</f>
        <v>12.7227519053242</v>
      </c>
      <c r="D22" s="66" t="n">
        <f aca="false">MAX(0,D16-D18)</f>
        <v>38.1014017385733</v>
      </c>
      <c r="E22" s="66" t="n">
        <f aca="false">MAX(0,E16-E18)</f>
        <v>55.3706129164472</v>
      </c>
      <c r="F22" s="66" t="n">
        <f aca="false">MAX(0,F16-F18)</f>
        <v>72.7630334432111</v>
      </c>
      <c r="G22" s="66" t="n">
        <f aca="false">MAX(0,G16-G18)</f>
        <v>90.2173199645169</v>
      </c>
      <c r="I22" s="6" t="s">
        <v>1463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1464</v>
      </c>
    </row>
    <row r="24" customFormat="false" ht="15" hidden="false" customHeight="false" outlineLevel="1" collapsed="false">
      <c r="A24" s="3" t="s">
        <v>1465</v>
      </c>
      <c r="B24" s="11" t="s">
        <v>65</v>
      </c>
      <c r="C24" s="66" t="n">
        <f aca="false">C22*C23</f>
        <v>12.7227519053242</v>
      </c>
      <c r="D24" s="66" t="n">
        <f aca="false">D22*D23</f>
        <v>38.1014017385733</v>
      </c>
      <c r="E24" s="66" t="n">
        <f aca="false">E22*E23</f>
        <v>55.3706129164472</v>
      </c>
      <c r="F24" s="66" t="n">
        <f aca="false">F22*F23</f>
        <v>72.7630334432111</v>
      </c>
      <c r="G24" s="66" t="n">
        <f aca="false">G22*G23</f>
        <v>90.2173199645169</v>
      </c>
      <c r="I24" s="6" t="s">
        <v>1466</v>
      </c>
    </row>
    <row r="25" customFormat="false" ht="15" hidden="false" customHeight="false" outlineLevel="1" collapsed="false">
      <c r="A25" s="3" t="s">
        <v>1467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1468</v>
      </c>
    </row>
    <row r="26" customFormat="false" ht="15" hidden="false" customHeight="false" outlineLevel="1" collapsed="false">
      <c r="A26" s="3" t="s">
        <v>1469</v>
      </c>
      <c r="B26" s="11" t="s">
        <v>65</v>
      </c>
      <c r="C26" s="42" t="n">
        <f aca="false">C21+C24</f>
        <v>12.7227519053242</v>
      </c>
      <c r="D26" s="42" t="n">
        <f aca="false">D21+D24</f>
        <v>38.1014017385733</v>
      </c>
      <c r="E26" s="42" t="n">
        <f aca="false">E21+E24</f>
        <v>55.3706129164472</v>
      </c>
      <c r="F26" s="42" t="n">
        <f aca="false">F21+F24</f>
        <v>72.7630334432111</v>
      </c>
      <c r="G26" s="42" t="n">
        <f aca="false">G21+G24</f>
        <v>90.2173199645169</v>
      </c>
      <c r="I26" s="6" t="s">
        <v>1470</v>
      </c>
    </row>
    <row r="27" customFormat="false" ht="15" hidden="false" customHeight="false" outlineLevel="1" collapsed="false">
      <c r="A27" s="3" t="s">
        <v>1471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1472</v>
      </c>
    </row>
    <row r="28" customFormat="false" ht="15" hidden="false" customHeight="false" outlineLevel="1" collapsed="false">
      <c r="A28" s="3" t="s">
        <v>1473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0.5</v>
      </c>
      <c r="G28" s="67" t="n">
        <v>0</v>
      </c>
      <c r="I28" s="11" t="s">
        <v>1474</v>
      </c>
    </row>
    <row r="29" customFormat="false" ht="15" hidden="false" customHeight="false" outlineLevel="1" collapsed="false">
      <c r="A29" s="3" t="s">
        <v>1475</v>
      </c>
      <c r="B29" s="11" t="s">
        <v>65</v>
      </c>
      <c r="C29" s="66" t="n">
        <f aca="false">C26*C28</f>
        <v>12.7227519053242</v>
      </c>
      <c r="D29" s="66" t="n">
        <f aca="false">D26*D28</f>
        <v>38.1014017385733</v>
      </c>
      <c r="E29" s="66" t="n">
        <f aca="false">E26*E28</f>
        <v>55.3706129164472</v>
      </c>
      <c r="F29" s="66" t="n">
        <f aca="false">F26*F28</f>
        <v>36.3815167216055</v>
      </c>
      <c r="G29" s="66" t="n">
        <f aca="false">G26*G28</f>
        <v>0</v>
      </c>
      <c r="I29" s="6" t="s">
        <v>1476</v>
      </c>
    </row>
    <row r="30" customFormat="false" ht="15" hidden="false" customHeight="false" outlineLevel="1" collapsed="false">
      <c r="A30" s="4" t="s">
        <v>1477</v>
      </c>
      <c r="B30" s="11" t="s">
        <v>65</v>
      </c>
      <c r="C30" s="39" t="n">
        <f aca="false">輸入與假設!$C$477</f>
        <v>229.692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1478</v>
      </c>
    </row>
    <row r="31" customFormat="false" ht="15" hidden="false" customHeight="false" outlineLevel="1" collapsed="false">
      <c r="A31" s="4" t="s">
        <v>1479</v>
      </c>
      <c r="B31" s="11" t="s">
        <v>65</v>
      </c>
      <c r="C31" s="71" t="n">
        <f aca="false">C30+C26+輸入與假設!C$43+輸入與假設!C$240</f>
        <v>492.268310257</v>
      </c>
      <c r="D31" s="42" t="n">
        <f aca="false">D30+D26+輸入與假設!D$43+輸入與假設!D$240</f>
        <v>599.075955158032</v>
      </c>
      <c r="E31" s="42" t="n">
        <f aca="false">E30+E26+輸入與假設!E$43+輸入與假設!E$240</f>
        <v>695.234652095486</v>
      </c>
      <c r="F31" s="42" t="n">
        <f aca="false">F30+F26+輸入與假設!F$43+輸入與假設!F$240</f>
        <v>783.745365297019</v>
      </c>
      <c r="G31" s="42" t="n">
        <f aca="false">G30+G26+輸入與假設!G$43+輸入與假設!G$240</f>
        <v>856.49900810769</v>
      </c>
      <c r="I31" s="11" t="s">
        <v>1480</v>
      </c>
    </row>
    <row r="32" customFormat="false" ht="15" hidden="false" customHeight="false" outlineLevel="0" collapsed="false">
      <c r="A32" s="52" t="s">
        <v>1481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1482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1483</v>
      </c>
    </row>
    <row r="36" customFormat="false" ht="15" hidden="false" customHeight="false" outlineLevel="1" collapsed="false">
      <c r="A36" s="3" t="s">
        <v>1484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1485</v>
      </c>
      <c r="B37" s="11" t="s">
        <v>42</v>
      </c>
      <c r="C37" s="53" t="n">
        <f aca="false">輸入與假設!C$250</f>
        <v>0.834234376204762</v>
      </c>
      <c r="D37" s="53" t="n">
        <f aca="false">輸入與假設!D$250</f>
        <v>0.838943805381426</v>
      </c>
      <c r="E37" s="53" t="n">
        <f aca="false">輸入與假設!E$250</f>
        <v>0.842466054282288</v>
      </c>
      <c r="F37" s="53" t="n">
        <f aca="false">輸入與假設!F$250</f>
        <v>0.844455705006196</v>
      </c>
      <c r="G37" s="53" t="n">
        <f aca="false">輸入與假設!G$250</f>
        <v>0.845734314352038</v>
      </c>
      <c r="I37" s="6" t="s">
        <v>1486</v>
      </c>
    </row>
    <row r="38" customFormat="false" ht="15" hidden="false" customHeight="false" outlineLevel="1" collapsed="false">
      <c r="A38" s="3" t="s">
        <v>1487</v>
      </c>
      <c r="B38" s="11" t="s">
        <v>65</v>
      </c>
      <c r="C38" s="66" t="n">
        <f aca="false">C26+輸入與假設!C$43</f>
        <v>12.7227519053242</v>
      </c>
      <c r="D38" s="66" t="n">
        <f aca="false">D26+輸入與假設!D$43</f>
        <v>38.1014017385733</v>
      </c>
      <c r="E38" s="66" t="n">
        <f aca="false">E26+輸入與假設!E$43</f>
        <v>55.3706129164472</v>
      </c>
      <c r="F38" s="66" t="n">
        <f aca="false">F26+輸入與假設!F$43</f>
        <v>72.7630334432111</v>
      </c>
      <c r="G38" s="66" t="n">
        <f aca="false">G26+輸入與假設!G$43</f>
        <v>90.2173199645169</v>
      </c>
    </row>
    <row r="39" customFormat="false" ht="15" hidden="false" customHeight="false" outlineLevel="1" collapsed="false">
      <c r="A39" s="4" t="s">
        <v>1488</v>
      </c>
      <c r="B39" s="11" t="s">
        <v>42</v>
      </c>
      <c r="C39" s="72" t="n">
        <f aca="false">輸入與假設!C$250</f>
        <v>0.834234376204762</v>
      </c>
      <c r="D39" s="72" t="n">
        <f aca="false">輸入與假設!D$250</f>
        <v>0.838943805381426</v>
      </c>
      <c r="E39" s="72" t="n">
        <f aca="false">輸入與假設!E$250</f>
        <v>0.842466054282288</v>
      </c>
      <c r="F39" s="72" t="n">
        <f aca="false">輸入與假設!F$250</f>
        <v>0.844455705006196</v>
      </c>
      <c r="G39" s="72" t="n">
        <f aca="false">輸入與假設!G$250</f>
        <v>0.845734314352038</v>
      </c>
      <c r="I39" s="6" t="s">
        <v>1489</v>
      </c>
    </row>
    <row r="40" customFormat="false" ht="15" hidden="false" customHeight="false" outlineLevel="1" collapsed="false">
      <c r="A40" s="4" t="s">
        <v>1490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1491</v>
      </c>
    </row>
    <row r="41" customFormat="false" ht="15" hidden="false" customHeight="false" outlineLevel="1" collapsed="false">
      <c r="A41" s="3" t="s">
        <v>1492</v>
      </c>
      <c r="B41" s="11" t="s">
        <v>65</v>
      </c>
      <c r="C41" s="66" t="n">
        <f aca="false">C24*(1-輸入與假設!C$41*(1-輸入與假設!C$42))*C39</f>
        <v>10.6137569993461</v>
      </c>
      <c r="D41" s="66" t="n">
        <f aca="false">D24*(1-輸入與假設!D$41*(1-輸入與假設!D$42))*D39</f>
        <v>31.9649349649252</v>
      </c>
      <c r="E41" s="66" t="n">
        <f aca="false">E24*(1-輸入與假設!E$41*(1-輸入與假設!E$42))*E39</f>
        <v>46.6478617869112</v>
      </c>
      <c r="F41" s="66" t="n">
        <f aca="false">F24*(1-輸入與假設!F$41*(1-輸入與假設!F$42))*F39</f>
        <v>61.4451587046762</v>
      </c>
      <c r="G41" s="66" t="n">
        <f aca="false">G24*(1-輸入與假設!G$41*(1-輸入與假設!G$42))*G39</f>
        <v>76.2998832428691</v>
      </c>
      <c r="I41" s="6" t="s">
        <v>1493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1494</v>
      </c>
    </row>
    <row r="44" customFormat="false" ht="15" hidden="false" customHeight="false" outlineLevel="1" collapsed="false">
      <c r="A44" s="6" t="s">
        <v>1495</v>
      </c>
    </row>
    <row r="46" customFormat="false" ht="15" hidden="false" customHeight="false" outlineLevel="0" collapsed="false">
      <c r="A46" s="52" t="s">
        <v>1496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1497</v>
      </c>
      <c r="B47" s="6" t="s">
        <v>873</v>
      </c>
      <c r="C47" s="25" t="n">
        <v>0</v>
      </c>
      <c r="I47" s="11" t="s">
        <v>1498</v>
      </c>
    </row>
    <row r="48" customFormat="false" ht="15" hidden="false" customHeight="false" outlineLevel="1" collapsed="false">
      <c r="A48" s="3" t="s">
        <v>1499</v>
      </c>
      <c r="B48" s="6" t="s">
        <v>873</v>
      </c>
      <c r="C48" s="25" t="n">
        <v>0</v>
      </c>
      <c r="I48" s="11" t="s">
        <v>1498</v>
      </c>
    </row>
    <row r="49" customFormat="false" ht="15" hidden="false" customHeight="false" outlineLevel="1" collapsed="false">
      <c r="A49" s="3" t="s">
        <v>1500</v>
      </c>
      <c r="B49" s="6" t="s">
        <v>873</v>
      </c>
      <c r="C49" s="25" t="n">
        <v>0</v>
      </c>
      <c r="I49" s="11" t="s">
        <v>1498</v>
      </c>
    </row>
    <row r="50" customFormat="false" ht="15" hidden="false" customHeight="false" outlineLevel="1" collapsed="false">
      <c r="A50" s="3" t="s">
        <v>1501</v>
      </c>
      <c r="B50" s="6" t="s">
        <v>873</v>
      </c>
      <c r="C50" s="41" t="n">
        <f aca="false">CHOOSE(輸入與假設!$C$5,運營_產能與收入!$C$47,運營_產能與收入!$C$48,運營_產能與收入!$C$49)</f>
        <v>0</v>
      </c>
      <c r="I50" s="6" t="s">
        <v>1502</v>
      </c>
    </row>
    <row r="51" customFormat="false" ht="15" hidden="false" customHeight="false" outlineLevel="1" collapsed="false">
      <c r="A51" s="3" t="s">
        <v>1503</v>
      </c>
      <c r="B51" s="6" t="s">
        <v>184</v>
      </c>
      <c r="C51" s="66" t="n">
        <f aca="false">SUM($C$7:C7)</f>
        <v>0.5</v>
      </c>
      <c r="D51" s="66" t="n">
        <f aca="false">SUM($C$7:D7)</f>
        <v>1.5</v>
      </c>
      <c r="E51" s="66" t="n">
        <f aca="false">SUM($C$7:E7)</f>
        <v>2.5</v>
      </c>
      <c r="F51" s="66" t="n">
        <f aca="false">SUM($C$7:F7)</f>
        <v>3.5</v>
      </c>
      <c r="G51" s="66" t="n">
        <f aca="false">SUM($C$7:G7)</f>
        <v>4.5</v>
      </c>
      <c r="I51" s="6" t="s">
        <v>1504</v>
      </c>
    </row>
    <row r="52" customFormat="false" ht="15" hidden="false" customHeight="false" outlineLevel="1" collapsed="false">
      <c r="A52" s="3" t="s">
        <v>1505</v>
      </c>
      <c r="B52" s="11" t="s">
        <v>65</v>
      </c>
      <c r="C52" s="66" t="n">
        <f aca="false">SUM(輸入與假設!$C$299:C$299)</f>
        <v>119.406790442699</v>
      </c>
      <c r="D52" s="66" t="n">
        <f aca="false">SUM(輸入與假設!$C$299:D$299)</f>
        <v>356.241812646747</v>
      </c>
      <c r="E52" s="66" t="n">
        <f aca="false">SUM(輸入與假設!$C$299:E$299)</f>
        <v>612.787592060747</v>
      </c>
      <c r="F52" s="66" t="n">
        <f aca="false">SUM(輸入與假設!$C$299:F$299)</f>
        <v>876.784148348624</v>
      </c>
      <c r="G52" s="66" t="n">
        <f aca="false">SUM(輸入與假設!$C$299:G$299)</f>
        <v>1145.79974807674</v>
      </c>
      <c r="I52" s="11" t="s">
        <v>1506</v>
      </c>
    </row>
    <row r="53" customFormat="false" ht="15" hidden="false" customHeight="false" outlineLevel="1" collapsed="false">
      <c r="A53" s="3" t="s">
        <v>1507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119.406790442699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356.241812646747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612.787592060747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876.784148348624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1145.79974807674</v>
      </c>
      <c r="I53" s="6" t="s">
        <v>1508</v>
      </c>
    </row>
    <row r="54" customFormat="false" ht="15" hidden="false" customHeight="false" outlineLevel="1" collapsed="false">
      <c r="A54" s="3" t="s">
        <v>1509</v>
      </c>
      <c r="B54" s="11" t="s">
        <v>65</v>
      </c>
      <c r="C54" s="66" t="n">
        <f aca="false">C53</f>
        <v>119.406790442699</v>
      </c>
      <c r="D54" s="66" t="n">
        <f aca="false">D53-C53</f>
        <v>236.835022204047</v>
      </c>
      <c r="E54" s="66" t="n">
        <f aca="false">E53-D53</f>
        <v>256.545779414001</v>
      </c>
      <c r="F54" s="66" t="n">
        <f aca="false">F53-E53</f>
        <v>263.996556287876</v>
      </c>
      <c r="G54" s="66" t="n">
        <f aca="false">G53-F53</f>
        <v>269.015599728117</v>
      </c>
      <c r="I54" s="6" t="s">
        <v>1510</v>
      </c>
    </row>
    <row r="55" customFormat="false" ht="15" hidden="false" customHeight="false" outlineLevel="1" collapsed="false">
      <c r="A55" s="3" t="s">
        <v>1511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1512</v>
      </c>
    </row>
    <row r="56" customFormat="false" ht="15" hidden="false" customHeight="false" outlineLevel="1" collapsed="false">
      <c r="A56" s="3" t="s">
        <v>1513</v>
      </c>
      <c r="B56" s="11" t="s">
        <v>42</v>
      </c>
      <c r="C56" s="23" t="n">
        <v>0</v>
      </c>
      <c r="I56" s="6" t="s">
        <v>1514</v>
      </c>
    </row>
    <row r="57" customFormat="false" ht="15" hidden="false" customHeight="false" outlineLevel="1" collapsed="false">
      <c r="A57" s="3" t="s">
        <v>1515</v>
      </c>
      <c r="B57" s="11" t="s">
        <v>42</v>
      </c>
      <c r="C57" s="23" t="n">
        <v>0</v>
      </c>
      <c r="I57" s="6" t="s">
        <v>1516</v>
      </c>
    </row>
    <row r="58" customFormat="false" ht="15" hidden="false" customHeight="false" outlineLevel="1" collapsed="false">
      <c r="A58" s="3" t="s">
        <v>1517</v>
      </c>
      <c r="B58" s="11" t="s">
        <v>65</v>
      </c>
      <c r="C58" s="66" t="n">
        <f aca="false">輸入與假設!$C$19/輸入與假設!$C$21/輸入與假設!$C$22/4*((MIN(MAX(0,輸入與假設!C$281-(輸入與假設!$C$20+運營_產能與收入!$C$50/3)),輸入與假設!$C$21)*(MIN(MAX(0,輸入與假設!C$281-(輸入與假設!$C$20+運營_產能與收入!$C$50/3)),輸入與假設!$C$21)+1)/2+輸入與假設!$C$21*MAX(0,MAX(0,輸入與假設!C$281-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0.193636363636364</v>
      </c>
      <c r="D58" s="66" t="n">
        <f aca="false">輸入與假設!$C$19/輸入與假設!$C$21/輸入與假設!$C$22/4*((MIN(MAX(0,輸入與假設!D$281-(輸入與假設!$C$20+運營_產能與收入!$C$50/3)),輸入與假設!$C$21)*(MIN(MAX(0,輸入與假設!D$281-(輸入與假設!$C$20+運營_產能與收入!$C$50/3)),輸入與假設!$C$21)+1)/2+輸入與假設!$C$21*MAX(0,MAX(0,輸入與假設!D$281-(輸入與假設!$C$20+運營_產能與收入!$C$50/3))-輸入與假設!$C$21))-(MIN(MAX(0,輸入與假設!C$281-(輸入與假設!$C$20+運營_產能與收入!$C$50/3)),輸入與假設!$C$21)*(MIN(MAX(0,輸入與假設!C$281-(輸入與假設!$C$20+運營_產能與收入!$C$50/3)),輸入與假設!$C$21)+1)/2+輸入與假設!$C$21*MAX(0,MAX(0,輸入與假設!C$281-(輸入與假設!$C$20+運營_產能與收入!$C$50/3))-輸入與假設!$C$21)))</f>
        <v>1.16181818181818</v>
      </c>
      <c r="E58" s="66" t="n">
        <f aca="false">輸入與假設!$C$19/輸入與假設!$C$21/輸入與假設!$C$22/4*((MIN(MAX(0,輸入與假設!E$281-(輸入與假設!$C$20+運營_產能與收入!$C$50/3)),輸入與假設!$C$21)*(MIN(MAX(0,輸入與假設!E$281-(輸入與假設!$C$20+運營_產能與收入!$C$50/3)),輸入與假設!$C$21)+1)/2+輸入與假設!$C$21*MAX(0,MAX(0,輸入與假設!E$281-(輸入與假設!$C$20+運營_產能與收入!$C$50/3))-輸入與假設!$C$21))-(MIN(MAX(0,輸入與假設!D$281-(輸入與假設!$C$20+運營_產能與收入!$C$50/3)),輸入與假設!$C$21)*(MIN(MAX(0,輸入與假設!D$281-(輸入與假設!$C$20+運營_產能與收入!$C$50/3)),輸入與假設!$C$21)+1)/2+輸入與假設!$C$21*MAX(0,MAX(0,輸入與假設!D$281-(輸入與假設!$C$20+運營_產能與收入!$C$50/3))-輸入與假設!$C$21)))</f>
        <v>2.19454545454545</v>
      </c>
      <c r="F58" s="66" t="n">
        <f aca="false">輸入與假設!$C$19/輸入與假設!$C$21/輸入與假設!$C$22/4*((MIN(MAX(0,輸入與假設!F$281-(輸入與假設!$C$20+運營_產能與收入!$C$50/3)),輸入與假設!$C$21)*(MIN(MAX(0,輸入與假設!F$281-(輸入與假設!$C$20+運營_產能與收入!$C$50/3)),輸入與假設!$C$21)+1)/2+輸入與假設!$C$21*MAX(0,MAX(0,輸入與假設!F$281-(輸入與假設!$C$20+運營_產能與收入!$C$50/3))-輸入與假設!$C$21))-(MIN(MAX(0,輸入與假設!E$281-(輸入與假設!$C$20+運營_產能與收入!$C$50/3)),輸入與假設!$C$21)*(MIN(MAX(0,輸入與假設!E$281-(輸入與假設!$C$20+運營_產能與收入!$C$50/3)),輸入與假設!$C$21)+1)/2+輸入與假設!$C$21*MAX(0,MAX(0,輸入與假設!E$281-(輸入與假設!$C$20+運營_產能與收入!$C$50/3))-輸入與假設!$C$21)))</f>
        <v>3.22727272727273</v>
      </c>
      <c r="G58" s="66" t="n">
        <f aca="false">輸入與假設!$C$19/輸入與假設!$C$21/輸入與假設!$C$22/4*((MIN(MAX(0,輸入與假設!G$281-(輸入與假設!$C$20+運營_產能與收入!$C$50/3)),輸入與假設!$C$21)*(MIN(MAX(0,輸入與假設!G$281-(輸入與假設!$C$20+運營_產能與收入!$C$50/3)),輸入與假設!$C$21)+1)/2+輸入與假設!$C$21*MAX(0,MAX(0,輸入與假設!G$281-(輸入與假設!$C$20+運營_產能與收入!$C$50/3))-輸入與假設!$C$21))-(MIN(MAX(0,輸入與假設!F$281-(輸入與假設!$C$20+運營_產能與收入!$C$50/3)),輸入與假設!$C$21)*(MIN(MAX(0,輸入與假設!F$281-(輸入與假設!$C$20+運營_產能與收入!$C$50/3)),輸入與假設!$C$21)+1)/2+輸入與假設!$C$21*MAX(0,MAX(0,輸入與假設!F$281-(輸入與假設!$C$20+運營_產能與收入!$C$50/3))-輸入與假設!$C$21)))</f>
        <v>4.26</v>
      </c>
      <c r="I58" s="6" t="s">
        <v>1518</v>
      </c>
    </row>
    <row r="59" customFormat="false" ht="15" hidden="false" customHeight="false" outlineLevel="1" collapsed="false">
      <c r="A59" s="3" t="s">
        <v>1519</v>
      </c>
      <c r="B59" s="11" t="s">
        <v>65</v>
      </c>
      <c r="C59" s="42" t="n">
        <f aca="false">IF(OR(運營_產能與收入!$C$50&lt;=0,運營_產能與收入!$C$56&lt;=0),輸入與假設!C$282,(1-運營_產能與收入!$C$56)*輸入與假設!C$282+運營_產能與收入!$C$56*C58)</f>
        <v>0.193636363636364</v>
      </c>
      <c r="D59" s="42" t="n">
        <f aca="false">IF(OR(運營_產能與收入!$C$50&lt;=0,運營_產能與收入!$C$56&lt;=0),輸入與假設!D$282,(1-運營_產能與收入!$C$56)*輸入與假設!D$282+運營_產能與收入!$C$56*D58)</f>
        <v>1.16181818181818</v>
      </c>
      <c r="E59" s="42" t="n">
        <f aca="false">IF(OR(運營_產能與收入!$C$50&lt;=0,運營_產能與收入!$C$56&lt;=0),輸入與假設!E$282,(1-運營_產能與收入!$C$56)*輸入與假設!E$282+運營_產能與收入!$C$56*E58)</f>
        <v>2.19454545454545</v>
      </c>
      <c r="F59" s="42" t="n">
        <f aca="false">IF(OR(運營_產能與收入!$C$50&lt;=0,運營_產能與收入!$C$56&lt;=0),輸入與假設!F$282,(1-運營_產能與收入!$C$56)*輸入與假設!F$282+運營_產能與收入!$C$56*F58)</f>
        <v>3.22727272727273</v>
      </c>
      <c r="G59" s="42" t="n">
        <f aca="false">IF(OR(運營_產能與收入!$C$50&lt;=0,運營_產能與收入!$C$56&lt;=0),輸入與假設!G$282,(1-運營_產能與收入!$C$56)*輸入與假設!G$282+運營_產能與收入!$C$56*G58)</f>
        <v>4.26</v>
      </c>
      <c r="I59" s="6" t="s">
        <v>1520</v>
      </c>
    </row>
    <row r="60" customFormat="false" ht="15" hidden="false" customHeight="false" outlineLevel="1" collapsed="false">
      <c r="A60" s="3" t="s">
        <v>1521</v>
      </c>
      <c r="B60" s="11" t="s">
        <v>65</v>
      </c>
      <c r="C60" s="66" t="n">
        <f aca="false">IF(輸入與假設!$C$30=1,(輸入與假設!$C$29+C10)/2,C10)*輸入與假設!C$39*輸入與假設!$C$32*輸入與假設!C$38*C7</f>
        <v>12.7227519053242</v>
      </c>
      <c r="D60" s="66" t="n">
        <f aca="false">IF(輸入與假設!$C$30=1,(C10+D10)/2,D10)*輸入與假設!D$39*輸入與假設!$C$32*輸入與假設!D$38*D7</f>
        <v>38.1014017385733</v>
      </c>
      <c r="E60" s="66" t="n">
        <f aca="false">IF(輸入與假設!$C$30=1,(D10+E10)/2,E10)*輸入與假設!E$39*輸入與假設!$C$32*輸入與假設!E$38*E7</f>
        <v>55.3706129164472</v>
      </c>
      <c r="F60" s="66" t="n">
        <f aca="false">IF(輸入與假設!$C$30=1,(E10+F10)/2,F10)*輸入與假設!F$39*輸入與假設!$C$32*輸入與假設!F$38*F7</f>
        <v>72.7630334432111</v>
      </c>
      <c r="G60" s="66" t="n">
        <f aca="false">IF(輸入與假設!$C$30=1,(F10+G10)/2,G10)*輸入與假設!G$39*輸入與假設!$C$32*輸入與假設!G$38*G7</f>
        <v>90.2173199645169</v>
      </c>
      <c r="I60" s="6" t="s">
        <v>1522</v>
      </c>
    </row>
    <row r="61" customFormat="false" ht="15" hidden="false" customHeight="false" outlineLevel="1" collapsed="false">
      <c r="A61" s="3" t="s">
        <v>1523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1524</v>
      </c>
    </row>
    <row r="62" customFormat="false" ht="15" hidden="false" customHeight="false" outlineLevel="1" collapsed="false">
      <c r="A62" s="3" t="s">
        <v>1525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1527</v>
      </c>
    </row>
    <row r="2" customFormat="false" ht="15" hidden="false" customHeight="false" outlineLevel="0" collapsed="false">
      <c r="A2" s="6" t="s">
        <v>1528</v>
      </c>
    </row>
    <row r="4" customFormat="false" ht="17.15" hidden="false" customHeight="false" outlineLevel="0" collapsed="false">
      <c r="A4" s="14" t="s">
        <v>1529</v>
      </c>
      <c r="B4" s="14" t="s">
        <v>1530</v>
      </c>
      <c r="C4" s="14" t="s">
        <v>1531</v>
      </c>
      <c r="D4" s="14" t="s">
        <v>1532</v>
      </c>
      <c r="E4" s="14" t="s">
        <v>1533</v>
      </c>
      <c r="F4" s="14" t="s">
        <v>1534</v>
      </c>
      <c r="G4" s="14" t="s">
        <v>1535</v>
      </c>
      <c r="H4" s="14" t="s">
        <v>1536</v>
      </c>
      <c r="I4" s="14" t="s">
        <v>1537</v>
      </c>
      <c r="J4" s="14" t="s">
        <v>1538</v>
      </c>
      <c r="K4" s="14" t="s">
        <v>1066</v>
      </c>
    </row>
    <row r="5" customFormat="false" ht="15" hidden="false" customHeight="false" outlineLevel="0" collapsed="false">
      <c r="A5" s="4" t="s">
        <v>1539</v>
      </c>
      <c r="B5" s="11" t="s">
        <v>1540</v>
      </c>
      <c r="C5" s="21" t="n">
        <v>183</v>
      </c>
      <c r="D5" s="21" t="n">
        <v>183</v>
      </c>
      <c r="E5" s="73" t="s">
        <v>1541</v>
      </c>
      <c r="F5" s="73" t="s">
        <v>1541</v>
      </c>
      <c r="I5" s="11" t="s">
        <v>61</v>
      </c>
      <c r="J5" s="11" t="s">
        <v>1542</v>
      </c>
      <c r="K5" s="11" t="s">
        <v>1543</v>
      </c>
    </row>
    <row r="6" customFormat="false" ht="15" hidden="false" customHeight="false" outlineLevel="0" collapsed="false">
      <c r="A6" s="2" t="s">
        <v>1544</v>
      </c>
      <c r="C6" s="74" t="n">
        <f aca="false">SUM(C5:C5)</f>
        <v>183</v>
      </c>
      <c r="D6" s="74" t="n">
        <f aca="false">SUM(D5:D5)</f>
        <v>183</v>
      </c>
      <c r="E6" s="58" t="n">
        <f aca="false">SUM(E5:E5)</f>
        <v>0</v>
      </c>
      <c r="G6" s="58" t="n">
        <f aca="false">SUM(G5:G5)</f>
        <v>0</v>
      </c>
      <c r="H6" s="75" t="n">
        <f aca="false">IF(I6&gt;0,G6/I6*1000,0)</f>
        <v>0</v>
      </c>
      <c r="I6" s="50" t="n">
        <f aca="false">SUMPRODUCT(ISNUMBER(G5:G5)*C5:C5)</f>
        <v>0</v>
      </c>
      <c r="K6" s="6" t="s">
        <v>1545</v>
      </c>
    </row>
    <row r="8" customFormat="false" ht="15" hidden="false" customHeight="false" outlineLevel="0" collapsed="false">
      <c r="A8" s="52" t="s">
        <v>1546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false" outlineLevel="1" collapsed="false">
      <c r="A9" s="3" t="s">
        <v>1547</v>
      </c>
      <c r="E9" s="24" t="n">
        <v>24.253</v>
      </c>
      <c r="K9" s="11" t="s">
        <v>1548</v>
      </c>
    </row>
    <row r="10" customFormat="false" ht="15" hidden="false" customHeight="false" outlineLevel="1" collapsed="false">
      <c r="A10" s="3" t="s">
        <v>1549</v>
      </c>
      <c r="E10" s="24" t="n">
        <v>85.2</v>
      </c>
      <c r="K10" s="11" t="s">
        <v>1550</v>
      </c>
    </row>
    <row r="11" customFormat="false" ht="15" hidden="false" customHeight="false" outlineLevel="1" collapsed="false">
      <c r="A11" s="3" t="s">
        <v>1551</v>
      </c>
      <c r="E11" s="24" t="n">
        <v>0</v>
      </c>
      <c r="K11" s="11" t="s">
        <v>1552</v>
      </c>
    </row>
    <row r="12" customFormat="false" ht="15" hidden="false" customHeight="false" outlineLevel="1" collapsed="false">
      <c r="A12" s="2" t="s">
        <v>1553</v>
      </c>
      <c r="E12" s="58" t="n">
        <f aca="false">SUM(E9:E11)</f>
        <v>109.453</v>
      </c>
      <c r="K12" s="6" t="s">
        <v>1554</v>
      </c>
    </row>
    <row r="13" customFormat="false" ht="15" hidden="false" customHeight="false" outlineLevel="1" collapsed="false">
      <c r="A13" s="3" t="s">
        <v>1555</v>
      </c>
      <c r="E13" s="57" t="n">
        <f aca="false">-E6</f>
        <v>-0</v>
      </c>
    </row>
    <row r="14" customFormat="false" ht="15" hidden="false" customHeight="false" outlineLevel="1" collapsed="false">
      <c r="A14" s="2" t="s">
        <v>1556</v>
      </c>
      <c r="E14" s="58" t="n">
        <f aca="false">E12+E13</f>
        <v>109.453</v>
      </c>
      <c r="K14" s="6" t="s">
        <v>1557</v>
      </c>
    </row>
    <row r="15" customFormat="false" ht="15" hidden="false" customHeight="false" outlineLevel="1" collapsed="false">
      <c r="A15" s="3" t="s">
        <v>1558</v>
      </c>
      <c r="E15" s="29" t="n">
        <f aca="false">IF(E12&lt;&gt;0,E14/E12,0)</f>
        <v>1</v>
      </c>
    </row>
    <row r="17" customFormat="false" ht="15" hidden="false" customHeight="false" outlineLevel="0" collapsed="false">
      <c r="A17" s="52" t="s">
        <v>1559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1" collapsed="false">
      <c r="A18" s="14" t="s">
        <v>59</v>
      </c>
      <c r="B18" s="14" t="s">
        <v>60</v>
      </c>
      <c r="C18" s="15" t="s">
        <v>61</v>
      </c>
      <c r="D18" s="15" t="s">
        <v>62</v>
      </c>
      <c r="E18" s="15" t="s">
        <v>63</v>
      </c>
      <c r="F18" s="15" t="s">
        <v>153</v>
      </c>
      <c r="G18" s="15" t="s">
        <v>154</v>
      </c>
    </row>
    <row r="19" customFormat="false" ht="15" hidden="false" customHeight="false" outlineLevel="1" collapsed="false">
      <c r="A19" s="3" t="s">
        <v>1560</v>
      </c>
      <c r="B19" s="11" t="s">
        <v>65</v>
      </c>
      <c r="C19" s="66" t="n">
        <f aca="false">各期收支!C16</f>
        <v>0.230313756363636</v>
      </c>
      <c r="D19" s="66" t="n">
        <f aca="false">各期收支!D16</f>
        <v>0.532882538181818</v>
      </c>
      <c r="E19" s="66" t="n">
        <f aca="false">各期收支!E16</f>
        <v>0.652555905454545</v>
      </c>
      <c r="F19" s="66" t="n">
        <f aca="false">各期收支!F16</f>
        <v>0.761229272727273</v>
      </c>
      <c r="G19" s="66" t="n">
        <f aca="false">各期收支!G16</f>
        <v>0.81990264</v>
      </c>
    </row>
    <row r="20" customFormat="false" ht="15" hidden="false" customHeight="false" outlineLevel="1" collapsed="false">
      <c r="A20" s="3" t="s">
        <v>1561</v>
      </c>
      <c r="B20" s="11" t="s">
        <v>157</v>
      </c>
      <c r="C20" s="68" t="n">
        <f aca="false">(輸入與假設!C$289+輸入與假設!C$36)/2</f>
        <v>1993.025</v>
      </c>
      <c r="D20" s="68" t="n">
        <f aca="false">(輸入與假設!D$289+輸入與假設!D$36)/2</f>
        <v>3147.1</v>
      </c>
      <c r="E20" s="68" t="n">
        <f aca="false">(輸入與假設!E$289+輸入與假設!E$36)/2</f>
        <v>4393.2</v>
      </c>
      <c r="F20" s="68" t="n">
        <f aca="false">(輸入與假設!F$289+輸入與假設!F$36)/2</f>
        <v>5639.3</v>
      </c>
      <c r="G20" s="68" t="n">
        <f aca="false">(輸入與假設!G$289+輸入與假設!G$36)/2</f>
        <v>6885.4</v>
      </c>
    </row>
    <row r="21" customFormat="false" ht="15" hidden="false" customHeight="false" outlineLevel="1" collapsed="false">
      <c r="A21" s="3" t="s">
        <v>207</v>
      </c>
      <c r="B21" s="6" t="s">
        <v>184</v>
      </c>
      <c r="C21" s="66" t="n">
        <f aca="false">輸入與假設!C$34</f>
        <v>0.5</v>
      </c>
      <c r="D21" s="66" t="n">
        <f aca="false">輸入與假設!D$34</f>
        <v>1</v>
      </c>
      <c r="E21" s="66" t="n">
        <f aca="false">輸入與假設!E$34</f>
        <v>1</v>
      </c>
      <c r="F21" s="66" t="n">
        <f aca="false">輸入與假設!F$34</f>
        <v>1</v>
      </c>
      <c r="G21" s="66" t="n">
        <f aca="false">輸入與假設!G$34</f>
        <v>1</v>
      </c>
    </row>
    <row r="22" customFormat="false" ht="15" hidden="false" customHeight="false" outlineLevel="1" collapsed="false">
      <c r="A22" s="2" t="s">
        <v>1562</v>
      </c>
      <c r="B22" s="11" t="s">
        <v>268</v>
      </c>
      <c r="C22" s="42" t="n">
        <f aca="false">C19/C21/C20*1000</f>
        <v>0.231119786619472</v>
      </c>
      <c r="D22" s="42" t="n">
        <f aca="false">D19/D21/D20*1000</f>
        <v>0.169324946198665</v>
      </c>
      <c r="E22" s="42" t="n">
        <f aca="false">E19/E21/E20*1000</f>
        <v>0.148537718622996</v>
      </c>
      <c r="F22" s="42" t="n">
        <f aca="false">F19/F21/F20*1000</f>
        <v>0.134986482848452</v>
      </c>
      <c r="G22" s="42" t="n">
        <f aca="false">G19/G21/G20*1000</f>
        <v>0.119078432625556</v>
      </c>
      <c r="K22" s="11" t="s">
        <v>1563</v>
      </c>
    </row>
    <row r="23" customFormat="false" ht="15" hidden="false" customHeight="false" outlineLevel="1" collapsed="false">
      <c r="A23" s="3" t="s">
        <v>1564</v>
      </c>
      <c r="C23" s="23" t="n">
        <v>1</v>
      </c>
      <c r="K23" s="6" t="s">
        <v>1565</v>
      </c>
    </row>
    <row r="24" customFormat="false" ht="15" hidden="false" customHeight="false" outlineLevel="1" collapsed="false">
      <c r="A24" s="3" t="s">
        <v>1566</v>
      </c>
      <c r="B24" s="11" t="s">
        <v>65</v>
      </c>
      <c r="C24" s="66" t="n">
        <f aca="false">C20*運營_站點!$H$6/1000*$C$23*C21</f>
        <v>0</v>
      </c>
      <c r="D24" s="66" t="n">
        <f aca="false">D20*運營_站點!$H$6/1000*$C$23*D21</f>
        <v>0</v>
      </c>
      <c r="E24" s="66" t="n">
        <f aca="false">E20*運營_站點!$H$6/1000*$C$23*E21</f>
        <v>0</v>
      </c>
      <c r="F24" s="66" t="n">
        <f aca="false">F20*運營_站點!$H$6/1000*$C$23*F21</f>
        <v>0</v>
      </c>
      <c r="G24" s="66" t="n">
        <f aca="false">G20*運營_站點!$H$6/1000*$C$23*G21</f>
        <v>0</v>
      </c>
      <c r="K24" s="6" t="s">
        <v>1567</v>
      </c>
    </row>
    <row r="25" customFormat="false" ht="15" hidden="false" customHeight="false" outlineLevel="1" collapsed="false">
      <c r="A25" s="2" t="s">
        <v>1568</v>
      </c>
      <c r="B25" s="11" t="s">
        <v>65</v>
      </c>
      <c r="C25" s="42" t="n">
        <f aca="false">C24-C19</f>
        <v>-0.230313756363636</v>
      </c>
      <c r="D25" s="42" t="n">
        <f aca="false">D24-D19</f>
        <v>-0.532882538181818</v>
      </c>
      <c r="E25" s="42" t="n">
        <f aca="false">E24-E19</f>
        <v>-0.652555905454545</v>
      </c>
      <c r="F25" s="42" t="n">
        <f aca="false">F24-F19</f>
        <v>-0.761229272727273</v>
      </c>
      <c r="G25" s="42" t="n">
        <f aca="false">G24-G19</f>
        <v>-0.81990264</v>
      </c>
      <c r="K25" s="6" t="s">
        <v>1569</v>
      </c>
    </row>
    <row r="26" customFormat="false" ht="15" hidden="false" customHeight="false" outlineLevel="1" collapsed="false">
      <c r="A26" s="2" t="s">
        <v>1570</v>
      </c>
      <c r="C26" s="75" t="n">
        <f aca="false">SUM(C25:G25)</f>
        <v>-2.99688411272727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1571</v>
      </c>
    </row>
    <row r="2" customFormat="false" ht="15" hidden="false" customHeight="false" outlineLevel="0" collapsed="false">
      <c r="A2" s="6" t="s">
        <v>1572</v>
      </c>
    </row>
    <row r="4" customFormat="false" ht="17.15" hidden="false" customHeight="false" outlineLevel="0" collapsed="false">
      <c r="A4" s="14" t="s">
        <v>1573</v>
      </c>
      <c r="B4" s="14" t="s">
        <v>1574</v>
      </c>
      <c r="C4" s="14" t="s">
        <v>1575</v>
      </c>
      <c r="D4" s="14" t="s">
        <v>1576</v>
      </c>
      <c r="E4" s="15" t="s">
        <v>1577</v>
      </c>
      <c r="F4" s="14" t="s">
        <v>1578</v>
      </c>
      <c r="I4" s="14" t="s">
        <v>979</v>
      </c>
    </row>
    <row r="5" customFormat="false" ht="15" hidden="false" customHeight="false" outlineLevel="0" collapsed="false">
      <c r="A5" s="4" t="s">
        <v>1579</v>
      </c>
      <c r="B5" s="6" t="s">
        <v>1580</v>
      </c>
      <c r="C5" s="11" t="s">
        <v>1581</v>
      </c>
      <c r="D5" s="23" t="n">
        <v>0.0223</v>
      </c>
      <c r="E5" s="24" t="n">
        <v>2</v>
      </c>
      <c r="F5" s="66" t="n">
        <f aca="false">D5*E5</f>
        <v>0.0446</v>
      </c>
      <c r="I5" s="11" t="s">
        <v>1582</v>
      </c>
    </row>
    <row r="6" customFormat="false" ht="15" hidden="false" customHeight="false" outlineLevel="0" collapsed="false">
      <c r="A6" s="4" t="s">
        <v>1583</v>
      </c>
      <c r="B6" s="6" t="s">
        <v>1580</v>
      </c>
      <c r="C6" s="11" t="s">
        <v>1584</v>
      </c>
      <c r="D6" s="23" t="n">
        <v>0.0163</v>
      </c>
      <c r="E6" s="24" t="n">
        <v>9</v>
      </c>
      <c r="F6" s="66" t="n">
        <f aca="false">D6*E6</f>
        <v>0.1467</v>
      </c>
      <c r="I6" s="11" t="s">
        <v>1585</v>
      </c>
    </row>
    <row r="7" customFormat="false" ht="15" hidden="false" customHeight="false" outlineLevel="0" collapsed="false">
      <c r="A7" s="4" t="s">
        <v>1586</v>
      </c>
      <c r="B7" s="6" t="s">
        <v>1580</v>
      </c>
      <c r="C7" s="11" t="s">
        <v>1587</v>
      </c>
      <c r="D7" s="23" t="n">
        <v>0.04895</v>
      </c>
      <c r="E7" s="24" t="n">
        <v>22.5</v>
      </c>
      <c r="F7" s="66" t="n">
        <f aca="false">D7*E7</f>
        <v>1.101375</v>
      </c>
      <c r="I7" s="11" t="s">
        <v>1588</v>
      </c>
    </row>
    <row r="8" customFormat="false" ht="15" hidden="false" customHeight="false" outlineLevel="0" collapsed="false">
      <c r="A8" s="4" t="s">
        <v>1589</v>
      </c>
      <c r="B8" s="6" t="s">
        <v>1580</v>
      </c>
      <c r="C8" s="11" t="s">
        <v>1590</v>
      </c>
      <c r="D8" s="23" t="n">
        <v>0.0354</v>
      </c>
      <c r="E8" s="24" t="n">
        <v>15.074</v>
      </c>
      <c r="F8" s="66" t="n">
        <f aca="false">D8*E8</f>
        <v>0.5336196</v>
      </c>
      <c r="I8" s="11" t="s">
        <v>1591</v>
      </c>
    </row>
    <row r="9" customFormat="false" ht="15" hidden="false" customHeight="false" outlineLevel="0" collapsed="false">
      <c r="A9" s="4" t="s">
        <v>1592</v>
      </c>
      <c r="B9" s="6" t="s">
        <v>1580</v>
      </c>
      <c r="C9" s="11" t="s">
        <v>1593</v>
      </c>
      <c r="D9" s="23" t="n">
        <v>0.048</v>
      </c>
      <c r="E9" s="24" t="n">
        <v>20</v>
      </c>
      <c r="F9" s="66" t="n">
        <f aca="false">D9*E9</f>
        <v>0.96</v>
      </c>
      <c r="I9" s="11" t="s">
        <v>1594</v>
      </c>
    </row>
    <row r="10" customFormat="false" ht="15" hidden="false" customHeight="false" outlineLevel="0" collapsed="false">
      <c r="A10" s="4" t="s">
        <v>1595</v>
      </c>
      <c r="B10" s="6" t="s">
        <v>1580</v>
      </c>
      <c r="C10" s="11" t="s">
        <v>1596</v>
      </c>
      <c r="D10" s="23" t="n">
        <v>0.0531</v>
      </c>
      <c r="E10" s="24" t="n">
        <v>7.263</v>
      </c>
      <c r="F10" s="66" t="n">
        <f aca="false">D10*E10</f>
        <v>0.3856653</v>
      </c>
      <c r="I10" s="11" t="s">
        <v>1597</v>
      </c>
    </row>
    <row r="11" customFormat="false" ht="15" hidden="false" customHeight="false" outlineLevel="0" collapsed="false">
      <c r="A11" s="4" t="s">
        <v>1598</v>
      </c>
      <c r="B11" s="6" t="s">
        <v>1580</v>
      </c>
      <c r="C11" s="11" t="s">
        <v>1599</v>
      </c>
      <c r="D11" s="23" t="n">
        <v>0.0106</v>
      </c>
      <c r="E11" s="24" t="n">
        <v>3.772</v>
      </c>
      <c r="F11" s="66" t="n">
        <f aca="false">D11*E11</f>
        <v>0.0399832</v>
      </c>
      <c r="I11" s="11" t="s">
        <v>1600</v>
      </c>
    </row>
    <row r="12" customFormat="false" ht="15" hidden="false" customHeight="false" outlineLevel="0" collapsed="false">
      <c r="A12" s="4" t="s">
        <v>1601</v>
      </c>
      <c r="B12" s="6" t="s">
        <v>1580</v>
      </c>
      <c r="C12" s="11" t="s">
        <v>1602</v>
      </c>
      <c r="D12" s="23" t="n">
        <v>0.039</v>
      </c>
      <c r="E12" s="24" t="n">
        <v>10.239</v>
      </c>
      <c r="F12" s="66" t="n">
        <f aca="false">D12*E12</f>
        <v>0.399321</v>
      </c>
      <c r="I12" s="11" t="s">
        <v>1603</v>
      </c>
    </row>
    <row r="13" customFormat="false" ht="15" hidden="false" customHeight="false" outlineLevel="0" collapsed="false">
      <c r="A13" s="4" t="s">
        <v>1604</v>
      </c>
      <c r="B13" s="6" t="s">
        <v>1580</v>
      </c>
      <c r="C13" s="11" t="s">
        <v>1605</v>
      </c>
      <c r="D13" s="23" t="n">
        <v>0.0435</v>
      </c>
      <c r="E13" s="24" t="n">
        <v>5.985</v>
      </c>
      <c r="F13" s="66" t="n">
        <f aca="false">D13*E13</f>
        <v>0.2603475</v>
      </c>
      <c r="I13" s="11" t="s">
        <v>1606</v>
      </c>
    </row>
    <row r="14" customFormat="false" ht="15" hidden="false" customHeight="false" outlineLevel="0" collapsed="false">
      <c r="A14" s="4" t="s">
        <v>1607</v>
      </c>
      <c r="B14" s="6" t="s">
        <v>1580</v>
      </c>
      <c r="C14" s="11" t="s">
        <v>1608</v>
      </c>
      <c r="D14" s="23" t="n">
        <v>0.0265</v>
      </c>
      <c r="E14" s="24" t="n">
        <v>3.566</v>
      </c>
      <c r="F14" s="66" t="n">
        <f aca="false">D14*E14</f>
        <v>0.094499</v>
      </c>
      <c r="I14" s="11" t="s">
        <v>1609</v>
      </c>
    </row>
    <row r="15" customFormat="false" ht="15" hidden="false" customHeight="false" outlineLevel="0" collapsed="false">
      <c r="A15" s="3" t="s">
        <v>1610</v>
      </c>
      <c r="B15" s="6" t="s">
        <v>1580</v>
      </c>
      <c r="C15" s="11" t="s">
        <v>1611</v>
      </c>
      <c r="D15" s="23" t="n">
        <v>0.059</v>
      </c>
      <c r="E15" s="24" t="n">
        <v>1.686</v>
      </c>
      <c r="F15" s="66" t="n">
        <f aca="false">D15*E15</f>
        <v>0.099474</v>
      </c>
      <c r="I15" s="11" t="s">
        <v>1612</v>
      </c>
    </row>
    <row r="16" customFormat="false" ht="15" hidden="false" customHeight="false" outlineLevel="0" collapsed="false">
      <c r="A16" s="2" t="s">
        <v>1613</v>
      </c>
      <c r="E16" s="58" t="n">
        <f aca="false">SUM(E5:E15)</f>
        <v>101.085</v>
      </c>
      <c r="F16" s="58" t="n">
        <f aca="false">SUM(F5:F15)</f>
        <v>4.0655846</v>
      </c>
      <c r="I16" s="6" t="s">
        <v>1614</v>
      </c>
    </row>
    <row r="17" customFormat="false" ht="15" hidden="false" customHeight="false" outlineLevel="0" collapsed="false">
      <c r="A17" s="2" t="s">
        <v>1615</v>
      </c>
      <c r="D17" s="76" t="n">
        <f aca="false">F16/E16</f>
        <v>0.0402194648068457</v>
      </c>
      <c r="I17" s="6" t="s">
        <v>1616</v>
      </c>
    </row>
    <row r="19" customFormat="false" ht="15" hidden="false" customHeight="false" outlineLevel="0" collapsed="false">
      <c r="A19" s="3" t="s">
        <v>1617</v>
      </c>
      <c r="D19" s="77" t="n">
        <v>0</v>
      </c>
      <c r="E19" s="24" t="n">
        <v>0</v>
      </c>
      <c r="F19" s="10" t="n">
        <f aca="false">D19*E19</f>
        <v>0</v>
      </c>
      <c r="I19" s="11" t="s">
        <v>1618</v>
      </c>
    </row>
    <row r="21" customFormat="false" ht="15" hidden="false" customHeight="false" outlineLevel="0" collapsed="false">
      <c r="A21" s="52" t="s">
        <v>1619</v>
      </c>
      <c r="B21" s="8"/>
      <c r="C21" s="8"/>
      <c r="D21" s="8"/>
      <c r="E21" s="8"/>
      <c r="F21" s="8"/>
      <c r="G21" s="8"/>
      <c r="H21" s="8"/>
    </row>
    <row r="22" customFormat="false" ht="17.15" hidden="false" customHeight="false" outlineLevel="1" collapsed="false">
      <c r="A22" s="14" t="s">
        <v>1620</v>
      </c>
      <c r="B22" s="14" t="s">
        <v>1575</v>
      </c>
      <c r="C22" s="14" t="s">
        <v>1621</v>
      </c>
      <c r="D22" s="14" t="s">
        <v>1622</v>
      </c>
      <c r="E22" s="14" t="s">
        <v>1623</v>
      </c>
      <c r="F22" s="14" t="s">
        <v>1624</v>
      </c>
      <c r="G22" s="14" t="s">
        <v>1625</v>
      </c>
      <c r="H22" s="14" t="s">
        <v>1626</v>
      </c>
      <c r="I22" s="14" t="s">
        <v>979</v>
      </c>
    </row>
    <row r="23" customFormat="false" ht="15" hidden="false" customHeight="false" outlineLevel="1" collapsed="false">
      <c r="A23" s="4" t="s">
        <v>1627</v>
      </c>
      <c r="B23" s="11" t="s">
        <v>1628</v>
      </c>
      <c r="C23" s="77" t="n">
        <v>0.0625</v>
      </c>
      <c r="D23" s="45" t="n">
        <v>19.25</v>
      </c>
      <c r="E23" s="35" t="n">
        <v>1</v>
      </c>
      <c r="F23" s="44" t="n">
        <v>352.56</v>
      </c>
      <c r="G23" s="68" t="n">
        <v>3</v>
      </c>
      <c r="H23" s="21" t="n">
        <v>1</v>
      </c>
      <c r="I23" s="6" t="s">
        <v>1629</v>
      </c>
    </row>
    <row r="24" customFormat="false" ht="15" hidden="false" customHeight="false" outlineLevel="1" collapsed="false">
      <c r="I24" s="6" t="s">
        <v>1630</v>
      </c>
    </row>
    <row r="25" customFormat="false" ht="15" hidden="false" customHeight="false" outlineLevel="1" collapsed="false"/>
    <row r="26" customFormat="false" ht="15" hidden="false" customHeight="false" outlineLevel="1" collapsed="false">
      <c r="A26" s="14" t="s">
        <v>1631</v>
      </c>
      <c r="C26" s="14" t="s">
        <v>1632</v>
      </c>
      <c r="D26" s="14" t="s">
        <v>1633</v>
      </c>
      <c r="E26" s="14" t="s">
        <v>1634</v>
      </c>
      <c r="F26" s="14" t="s">
        <v>1635</v>
      </c>
      <c r="G26" s="14" t="s">
        <v>1636</v>
      </c>
      <c r="H26" s="14" t="s">
        <v>1637</v>
      </c>
      <c r="I26" s="14" t="s">
        <v>1066</v>
      </c>
    </row>
    <row r="27" customFormat="false" ht="15" hidden="false" customHeight="false" outlineLevel="1" collapsed="false">
      <c r="A27" s="3" t="str">
        <f aca="false">A23</f>
        <v>6.25% 強制轉換特別股（A、B 系列，2026-06）</v>
      </c>
      <c r="C27" s="30" t="n">
        <f aca="false">D23*E23</f>
        <v>19.25</v>
      </c>
      <c r="D27" s="30" t="n">
        <f aca="false">D23/F23</f>
        <v>0.0546006353528477</v>
      </c>
      <c r="E27" s="55" t="n">
        <f aca="false">F23*E23</f>
        <v>352.56</v>
      </c>
      <c r="F27" s="68" t="n">
        <f aca="false">IF(OR(H23=1,E27&lt;輸入與假設!$C$343),1,0)</f>
        <v>1</v>
      </c>
      <c r="G27" s="68" t="n">
        <f aca="false">IF(OR(H23=1,E27&lt;輸入與假設!$C$366),1,0)</f>
        <v>1</v>
      </c>
      <c r="H27" s="68" t="n">
        <f aca="false">IF(OR(H23=1,E27&lt;評價_DCF與目標價!$C$87),1,0)</f>
        <v>1</v>
      </c>
    </row>
    <row r="28" customFormat="false" ht="15" hidden="false" customHeight="false" outlineLevel="1" collapsed="false">
      <c r="A28" s="2" t="s">
        <v>1638</v>
      </c>
      <c r="C28" s="78" t="n">
        <f aca="false">SUM(C27:C27)</f>
        <v>19.25</v>
      </c>
      <c r="D28" s="78" t="n">
        <f aca="false">SUM(D27:D27)</f>
        <v>0.0546006353528477</v>
      </c>
      <c r="I28" s="6" t="s">
        <v>1639</v>
      </c>
    </row>
    <row r="30" customFormat="false" ht="15" hidden="false" customHeight="false" outlineLevel="0" collapsed="false">
      <c r="A30" s="52" t="s">
        <v>1640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14" t="s">
        <v>59</v>
      </c>
      <c r="B31" s="14" t="s">
        <v>60</v>
      </c>
      <c r="C31" s="28" t="s">
        <v>61</v>
      </c>
      <c r="D31" s="28" t="s">
        <v>62</v>
      </c>
      <c r="E31" s="28" t="s">
        <v>63</v>
      </c>
      <c r="F31" s="28" t="s">
        <v>153</v>
      </c>
      <c r="G31" s="28" t="s">
        <v>154</v>
      </c>
      <c r="I31" s="14" t="s">
        <v>1088</v>
      </c>
    </row>
    <row r="32" customFormat="false" ht="15" hidden="false" customHeight="false" outlineLevel="1" collapsed="false">
      <c r="A32" s="3" t="s">
        <v>1641</v>
      </c>
      <c r="B32" s="11" t="s">
        <v>65</v>
      </c>
      <c r="C32" s="66" t="n">
        <f aca="false">E16</f>
        <v>101.085</v>
      </c>
      <c r="D32" s="66" t="n">
        <f aca="false">C34</f>
        <v>99.085</v>
      </c>
      <c r="E32" s="66" t="n">
        <f aca="false">D34</f>
        <v>98.085</v>
      </c>
      <c r="F32" s="66" t="n">
        <f aca="false">E34</f>
        <v>95.409</v>
      </c>
      <c r="G32" s="66" t="n">
        <f aca="false">F34</f>
        <v>93.645</v>
      </c>
      <c r="I32" s="11" t="s">
        <v>1642</v>
      </c>
    </row>
    <row r="33" customFormat="false" ht="15" hidden="false" customHeight="false" outlineLevel="1" collapsed="false">
      <c r="A33" s="3" t="s">
        <v>1643</v>
      </c>
      <c r="B33" s="11" t="s">
        <v>65</v>
      </c>
      <c r="C33" s="39" t="n">
        <f aca="false">輸入與假設!C$361</f>
        <v>2</v>
      </c>
      <c r="D33" s="39" t="n">
        <f aca="false">輸入與假設!D$361</f>
        <v>1</v>
      </c>
      <c r="E33" s="39" t="n">
        <f aca="false">輸入與假設!E$361</f>
        <v>2.676</v>
      </c>
      <c r="F33" s="39" t="n">
        <f aca="false">輸入與假設!F$361</f>
        <v>1.764</v>
      </c>
      <c r="G33" s="39" t="n">
        <f aca="false">輸入與假設!G$361</f>
        <v>7.186</v>
      </c>
      <c r="I33" s="6" t="s">
        <v>1644</v>
      </c>
    </row>
    <row r="34" customFormat="false" ht="15" hidden="false" customHeight="false" outlineLevel="1" collapsed="false">
      <c r="A34" s="3" t="s">
        <v>1645</v>
      </c>
      <c r="B34" s="11" t="s">
        <v>65</v>
      </c>
      <c r="C34" s="66" t="n">
        <f aca="false">C32-C33</f>
        <v>99.085</v>
      </c>
      <c r="D34" s="66" t="n">
        <f aca="false">D32-D33</f>
        <v>98.085</v>
      </c>
      <c r="E34" s="66" t="n">
        <f aca="false">E32-E33</f>
        <v>95.409</v>
      </c>
      <c r="F34" s="66" t="n">
        <f aca="false">F32-F33</f>
        <v>93.645</v>
      </c>
      <c r="G34" s="66" t="n">
        <f aca="false">G32-G33</f>
        <v>86.459</v>
      </c>
    </row>
    <row r="35" customFormat="false" ht="15" hidden="false" customHeight="false" outlineLevel="1" collapsed="false">
      <c r="A35" s="3" t="s">
        <v>1646</v>
      </c>
      <c r="B35" s="11" t="s">
        <v>65</v>
      </c>
      <c r="C35" s="66" t="n">
        <f aca="false">(C32+C34)/2</f>
        <v>100.085</v>
      </c>
      <c r="D35" s="66" t="n">
        <f aca="false">(D32+D34)/2</f>
        <v>98.585</v>
      </c>
      <c r="E35" s="66" t="n">
        <f aca="false">(E32+E34)/2</f>
        <v>96.747</v>
      </c>
      <c r="F35" s="66" t="n">
        <f aca="false">(F32+F34)/2</f>
        <v>94.527</v>
      </c>
      <c r="G35" s="66" t="n">
        <f aca="false">(G32+G34)/2</f>
        <v>90.052</v>
      </c>
    </row>
    <row r="36" customFormat="false" ht="15" hidden="false" customHeight="false" outlineLevel="1" collapsed="false">
      <c r="A36" s="3" t="s">
        <v>1647</v>
      </c>
      <c r="B36" s="11" t="s">
        <v>65</v>
      </c>
      <c r="C36" s="66" t="n">
        <f aca="false">C35*資產負債_既有債務!$D$17*輸入與假設!C$34</f>
        <v>2.01268256759658</v>
      </c>
      <c r="D36" s="66" t="n">
        <f aca="false">D35*資產負債_既有債務!$D$17*輸入與假設!D$34</f>
        <v>3.96503593798289</v>
      </c>
      <c r="E36" s="66" t="n">
        <f aca="false">E35*資產負債_既有債務!$D$17*輸入與假設!E$34</f>
        <v>3.8911125616679</v>
      </c>
      <c r="F36" s="66" t="n">
        <f aca="false">F35*資產負債_既有債務!$D$17*輸入與假設!F$34</f>
        <v>3.80182534979671</v>
      </c>
      <c r="G36" s="66" t="n">
        <f aca="false">G35*資產負債_既有債務!$D$17*輸入與假設!G$34</f>
        <v>3.62184324478607</v>
      </c>
      <c r="I36" s="6" t="s">
        <v>1648</v>
      </c>
    </row>
    <row r="37" customFormat="false" ht="15" hidden="false" customHeight="false" outlineLevel="1" collapsed="false">
      <c r="A37" s="3" t="s">
        <v>1649</v>
      </c>
      <c r="B37" s="11" t="s">
        <v>65</v>
      </c>
      <c r="C37" s="66" t="n">
        <f aca="false">資產負債_既有債務!$F$19*輸入與假設!C$34</f>
        <v>0</v>
      </c>
      <c r="D37" s="66" t="n">
        <f aca="false">資產負債_既有債務!$F$19*輸入與假設!D$34</f>
        <v>0</v>
      </c>
      <c r="E37" s="66" t="n">
        <f aca="false">資產負債_既有債務!$F$19*輸入與假設!E$34</f>
        <v>0</v>
      </c>
      <c r="F37" s="66" t="n">
        <f aca="false">資產負債_既有債務!$F$19*輸入與假設!F$34</f>
        <v>0</v>
      </c>
      <c r="G37" s="66" t="n">
        <f aca="false">資產負債_既有債務!$F$19*輸入與假設!G$34</f>
        <v>0</v>
      </c>
    </row>
    <row r="38" customFormat="false" ht="15" hidden="false" customHeight="false" outlineLevel="1" collapsed="false">
      <c r="A38" s="3" t="s">
        <v>1650</v>
      </c>
      <c r="B38" s="11" t="s">
        <v>65</v>
      </c>
      <c r="C38" s="66" t="n">
        <f aca="false">IF(輸入與假設!$C$332=1,SUMPRODUCT((1-資產負債_既有債務!$F$27:$F$27)*資產負債_既有債務!$C$27:$C$27*(資產負債_既有債務!$G$23:$G$23=0)),0)</f>
        <v>0</v>
      </c>
      <c r="D38" s="66" t="n">
        <f aca="false">IF(輸入與假設!$C$332=1,SUMPRODUCT((1-資產負債_既有債務!$F$27:$F$27)*資產負債_既有債務!$C$27:$C$27*(資產負債_既有債務!$G$23:$G$23=1)),0)</f>
        <v>0</v>
      </c>
      <c r="E38" s="66" t="n">
        <f aca="false">IF(輸入與假設!$C$332=1,SUMPRODUCT((1-資產負債_既有債務!$F$27:$F$27)*資產負債_既有債務!$C$27:$C$27*(資產負債_既有債務!$G$23:$G$23=2)),0)</f>
        <v>0</v>
      </c>
      <c r="F38" s="66" t="n">
        <f aca="false">IF(輸入與假設!$C$332=1,SUMPRODUCT((1-資產負債_既有債務!$F$27:$F$27)*資產負債_既有債務!$C$27:$C$27*(資產負債_既有債務!$G$23:$G$23=3)),0)</f>
        <v>0</v>
      </c>
      <c r="G38" s="66" t="n">
        <f aca="false">IF(輸入與假設!$C$332=1,SUMPRODUCT((1-資產負債_既有債務!$F$27:$F$27)*資產負債_既有債務!$C$27:$C$27*(資產負債_既有債務!$G$23:$G$23=4)),0)</f>
        <v>0</v>
      </c>
      <c r="I38" s="6" t="s">
        <v>1651</v>
      </c>
    </row>
    <row r="39" customFormat="false" ht="15" hidden="false" customHeight="false" outlineLevel="1" collapsed="false">
      <c r="A39" s="3" t="s">
        <v>1652</v>
      </c>
      <c r="B39" s="11" t="s">
        <v>65</v>
      </c>
      <c r="C39" s="66" t="n">
        <f aca="false">IF(輸入與假設!$C$332=1,SUMPRODUCT((1-資產負債_既有債務!$F$27:$F$27)*資產負債_既有債務!$C$27:$C$27*(資產負債_既有債務!$G$23:$G$23&gt;0)),SUMPRODUCT((1-資產負債_既有債務!$F$27:$F$27)*資產負債_既有債務!$C$27:$C$27))</f>
        <v>0</v>
      </c>
      <c r="D39" s="66" t="n">
        <f aca="false">IF(輸入與假設!$C$332=1,SUMPRODUCT((1-資產負債_既有債務!$F$27:$F$27)*資產負債_既有債務!$C$27:$C$27*(資產負債_既有債務!$G$23:$G$23&gt;1)),SUMPRODUCT((1-資產負債_既有債務!$F$27:$F$27)*資產負債_既有債務!$C$27:$C$27))</f>
        <v>0</v>
      </c>
      <c r="E39" s="66" t="n">
        <f aca="false">IF(輸入與假設!$C$332=1,SUMPRODUCT((1-資產負債_既有債務!$F$27:$F$27)*資產負債_既有債務!$C$27:$C$27*(資產負債_既有債務!$G$23:$G$23&gt;2)),SUMPRODUCT((1-資產負債_既有債務!$F$27:$F$27)*資產負債_既有債務!$C$27:$C$27))</f>
        <v>0</v>
      </c>
      <c r="F39" s="66" t="n">
        <f aca="false">IF(輸入與假設!$C$332=1,SUMPRODUCT((1-資產負債_既有債務!$F$27:$F$27)*資產負債_既有債務!$C$27:$C$27*(資產負債_既有債務!$G$23:$G$23&gt;3)),SUMPRODUCT((1-資產負債_既有債務!$F$27:$F$27)*資產負債_既有債務!$C$27:$C$27))</f>
        <v>0</v>
      </c>
      <c r="G39" s="66" t="n">
        <f aca="false">IF(輸入與假設!$C$332=1,SUMPRODUCT((1-資產負債_既有債務!$F$27:$F$27)*資產負債_既有債務!$C$27:$C$27*(資產負債_既有債務!$G$23:$G$23&gt;4)),SUMPRODUCT((1-資產負債_既有債務!$F$27:$F$27)*資產負債_既有債務!$C$27:$C$27))</f>
        <v>0</v>
      </c>
      <c r="I39" s="6" t="s">
        <v>1653</v>
      </c>
    </row>
    <row r="40" customFormat="false" ht="15" hidden="false" customHeight="false" outlineLevel="1" collapsed="false">
      <c r="A40" s="3" t="s">
        <v>1654</v>
      </c>
      <c r="B40" s="11" t="s">
        <v>65</v>
      </c>
      <c r="C40" s="66" t="n">
        <f aca="false">IF(輸入與假設!$C$332=1,SUMPRODUCT((1-資產負債_既有債務!$F$27:$F$27)*資產負債_既有債務!$D$23:$D$23*資產負債_既有債務!$C$23:$C$23*((資產負債_既有債務!$G$23:$G$23&gt;0)+0.5*(資產負債_既有債務!$G$23:$G$23=0))),SUMPRODUCT((1-資產負債_既有債務!$F$27:$F$27)*資產負債_既有債務!$D$23:$D$23*資產負債_既有債務!$C$23:$C$23))*輸入與假設!C$34</f>
        <v>0</v>
      </c>
      <c r="D40" s="66" t="n">
        <f aca="false">IF(輸入與假設!$C$332=1,SUMPRODUCT((1-資產負債_既有債務!$F$27:$F$27)*資產負債_既有債務!$D$23:$D$23*資產負債_既有債務!$C$23:$C$23*((資產負債_既有債務!$G$23:$G$23&gt;1)+0.5*(資產負債_既有債務!$G$23:$G$23=1))),SUMPRODUCT((1-資產負債_既有債務!$F$27:$F$27)*資產負債_既有債務!$D$23:$D$23*資產負債_既有債務!$C$23:$C$23))*輸入與假設!D$34</f>
        <v>0</v>
      </c>
      <c r="E40" s="66" t="n">
        <f aca="false">IF(輸入與假設!$C$332=1,SUMPRODUCT((1-資產負債_既有債務!$F$27:$F$27)*資產負債_既有債務!$D$23:$D$23*資產負債_既有債務!$C$23:$C$23*((資產負債_既有債務!$G$23:$G$23&gt;2)+0.5*(資產負債_既有債務!$G$23:$G$23=2))),SUMPRODUCT((1-資產負債_既有債務!$F$27:$F$27)*資產負債_既有債務!$D$23:$D$23*資產負債_既有債務!$C$23:$C$23))*輸入與假設!E$34</f>
        <v>0</v>
      </c>
      <c r="F40" s="66" t="n">
        <f aca="false">IF(輸入與假設!$C$332=1,SUMPRODUCT((1-資產負債_既有債務!$F$27:$F$27)*資產負債_既有債務!$D$23:$D$23*資產負債_既有債務!$C$23:$C$23*((資產負債_既有債務!$G$23:$G$23&gt;3)+0.5*(資產負債_既有債務!$G$23:$G$23=3))),SUMPRODUCT((1-資產負債_既有債務!$F$27:$F$27)*資產負債_既有債務!$D$23:$D$23*資產負債_既有債務!$C$23:$C$23))*輸入與假設!F$34</f>
        <v>0</v>
      </c>
      <c r="G40" s="66" t="n">
        <f aca="false">IF(輸入與假設!$C$332=1,SUMPRODUCT((1-資產負債_既有債務!$F$27:$F$27)*資產負債_既有債務!$D$23:$D$23*資產負債_既有債務!$C$23:$C$23*((資產負債_既有債務!$G$23:$G$23&gt;4)+0.5*(資產負債_既有債務!$G$23:$G$23=4))),SUMPRODUCT((1-資產負債_既有債務!$F$27:$F$27)*資產負債_既有債務!$D$23:$D$23*資產負債_既有債務!$C$23:$C$23))*輸入與假設!G$34</f>
        <v>0</v>
      </c>
      <c r="I40" s="6" t="s">
        <v>1655</v>
      </c>
    </row>
    <row r="41" customFormat="false" ht="15" hidden="false" customHeight="false" outlineLevel="1" collapsed="false">
      <c r="A41" s="3" t="s">
        <v>1656</v>
      </c>
      <c r="B41" s="11" t="s">
        <v>65</v>
      </c>
      <c r="C41" s="24" t="n">
        <f aca="false">0</f>
        <v>0</v>
      </c>
      <c r="D41" s="24" t="n">
        <f aca="false">0</f>
        <v>0</v>
      </c>
      <c r="E41" s="24" t="n">
        <f aca="false">0</f>
        <v>0</v>
      </c>
      <c r="F41" s="24" t="n">
        <f aca="false">0</f>
        <v>0</v>
      </c>
      <c r="G41" s="24" t="n">
        <f aca="false">0</f>
        <v>0</v>
      </c>
      <c r="I41" s="6" t="s">
        <v>1657</v>
      </c>
    </row>
    <row r="42" customFormat="false" ht="15" hidden="false" customHeight="false" outlineLevel="1" collapsed="false">
      <c r="A42" s="2" t="s">
        <v>1658</v>
      </c>
      <c r="B42" s="11" t="s">
        <v>65</v>
      </c>
      <c r="C42" s="42" t="n">
        <f aca="false">C36+C37+C40+C41</f>
        <v>2.01268256759658</v>
      </c>
      <c r="D42" s="42" t="n">
        <f aca="false">D36+D37+D40+D41</f>
        <v>3.96503593798289</v>
      </c>
      <c r="E42" s="42" t="n">
        <f aca="false">E36+E37+E40+E41</f>
        <v>3.8911125616679</v>
      </c>
      <c r="F42" s="42" t="n">
        <f aca="false">F36+F37+F40+F41</f>
        <v>3.80182534979671</v>
      </c>
      <c r="G42" s="42" t="n">
        <f aca="false">G36+G37+G40+G41</f>
        <v>3.62184324478607</v>
      </c>
      <c r="I42" s="6" t="s">
        <v>1659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1660</v>
      </c>
    </row>
    <row r="2" customFormat="false" ht="15" hidden="false" customHeight="false" outlineLevel="0" collapsed="false">
      <c r="A2" s="6" t="s">
        <v>1661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1088</v>
      </c>
    </row>
    <row r="5" customFormat="false" ht="15" hidden="false" customHeight="false" outlineLevel="0" collapsed="false">
      <c r="A5" s="52" t="s">
        <v>1662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1663</v>
      </c>
      <c r="B6" s="11" t="s">
        <v>65</v>
      </c>
      <c r="C6" s="66" t="n">
        <f aca="false">輸入與假設!$C$327</f>
        <v>155.411</v>
      </c>
      <c r="D6" s="66" t="n">
        <f aca="false">各期收支!C56</f>
        <v>128.122906558114</v>
      </c>
      <c r="E6" s="66" t="n">
        <f aca="false">各期收支!D56</f>
        <v>85.9355074370625</v>
      </c>
      <c r="F6" s="66" t="n">
        <f aca="false">各期收支!E56</f>
        <v>63.4409650626317</v>
      </c>
      <c r="G6" s="66" t="n">
        <f aca="false">各期收支!F56</f>
        <v>53.7001816528477</v>
      </c>
      <c r="I6" s="11" t="s">
        <v>1664</v>
      </c>
    </row>
    <row r="7" customFormat="false" ht="15" hidden="false" customHeight="false" outlineLevel="1" collapsed="false">
      <c r="A7" s="3" t="s">
        <v>1665</v>
      </c>
      <c r="B7" s="11" t="s">
        <v>65</v>
      </c>
      <c r="C7" s="66" t="n">
        <f aca="false">各期收支!C103-輸入與假設!$C$327</f>
        <v>-18.7865934418856</v>
      </c>
      <c r="D7" s="66" t="n">
        <f aca="false">各期收支!D103-各期收支!C103</f>
        <v>-25.1843991210519</v>
      </c>
      <c r="E7" s="66" t="n">
        <f aca="false">各期收支!E103-各期收支!D103</f>
        <v>-5.49154237443082</v>
      </c>
      <c r="F7" s="66" t="n">
        <f aca="false">各期收支!F103-各期收支!E103</f>
        <v>7.26221659021599</v>
      </c>
      <c r="G7" s="66" t="n">
        <f aca="false">各期收支!G103-各期收支!F103</f>
        <v>-85.2159529979801</v>
      </c>
      <c r="I7" s="6" t="s">
        <v>1666</v>
      </c>
    </row>
    <row r="8" customFormat="false" ht="15" hidden="false" customHeight="false" outlineLevel="1" collapsed="false">
      <c r="A8" s="3" t="s">
        <v>1667</v>
      </c>
      <c r="B8" s="11" t="s">
        <v>65</v>
      </c>
      <c r="C8" s="66" t="n">
        <f aca="false">各期收支!C86</f>
        <v>0</v>
      </c>
      <c r="D8" s="66" t="n">
        <f aca="false">各期收支!D86</f>
        <v>0</v>
      </c>
      <c r="E8" s="66" t="n">
        <f aca="false">各期收支!E86</f>
        <v>0</v>
      </c>
      <c r="F8" s="66" t="n">
        <f aca="false">各期收支!F86</f>
        <v>0</v>
      </c>
      <c r="G8" s="66" t="n">
        <f aca="false">各期收支!G86</f>
        <v>85.8060751001393</v>
      </c>
    </row>
    <row r="9" customFormat="false" ht="15" hidden="false" customHeight="false" outlineLevel="1" collapsed="false">
      <c r="A9" s="3" t="s">
        <v>1668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1669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1670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1671</v>
      </c>
      <c r="B12" s="11" t="s">
        <v>65</v>
      </c>
      <c r="C12" s="66" t="n">
        <f aca="false">-各期收支!C76</f>
        <v>-8.5015</v>
      </c>
      <c r="D12" s="66" t="n">
        <f aca="false">-各期收支!D76</f>
        <v>-17.003</v>
      </c>
      <c r="E12" s="66" t="n">
        <f aca="false">-各期收支!E76</f>
        <v>-17.003</v>
      </c>
      <c r="F12" s="66" t="n">
        <f aca="false">-各期收支!F76</f>
        <v>-17.003</v>
      </c>
      <c r="G12" s="66" t="n">
        <f aca="false">-各期收支!G76</f>
        <v>-0</v>
      </c>
    </row>
    <row r="13" customFormat="false" ht="15" hidden="false" customHeight="false" outlineLevel="1" collapsed="false">
      <c r="A13" s="3" t="s">
        <v>1672</v>
      </c>
      <c r="B13" s="11" t="s">
        <v>65</v>
      </c>
      <c r="C13" s="66" t="n">
        <f aca="false">-各期收支!C94</f>
        <v>-0</v>
      </c>
      <c r="D13" s="66" t="n">
        <f aca="false">-各期收支!D94</f>
        <v>-0</v>
      </c>
      <c r="E13" s="66" t="n">
        <f aca="false">-各期收支!E94</f>
        <v>-0</v>
      </c>
      <c r="F13" s="66" t="n">
        <f aca="false">-各期收支!F94</f>
        <v>-0</v>
      </c>
      <c r="G13" s="66" t="n">
        <f aca="false">-各期收支!G94</f>
        <v>-4.29030375500697</v>
      </c>
    </row>
    <row r="14" customFormat="false" ht="15" hidden="false" customHeight="false" outlineLevel="1" collapsed="false">
      <c r="A14" s="2" t="s">
        <v>1673</v>
      </c>
      <c r="B14" s="11" t="s">
        <v>65</v>
      </c>
      <c r="C14" s="42" t="n">
        <f aca="false">SUM(C6:C13)</f>
        <v>128.122906558114</v>
      </c>
      <c r="D14" s="42" t="n">
        <f aca="false">SUM(D6:D13)</f>
        <v>85.9355074370625</v>
      </c>
      <c r="E14" s="42" t="n">
        <f aca="false">SUM(E6:E13)</f>
        <v>63.4409650626317</v>
      </c>
      <c r="F14" s="42" t="n">
        <f aca="false">SUM(F6:F13)</f>
        <v>53.7001816528477</v>
      </c>
      <c r="G14" s="42" t="n">
        <f aca="false">SUM(G6:G13)</f>
        <v>50</v>
      </c>
      <c r="I14" s="6" t="s">
        <v>1674</v>
      </c>
    </row>
    <row r="15" customFormat="false" ht="15" hidden="false" customHeight="false" outlineLevel="1" collapsed="false">
      <c r="A15" s="3" t="s">
        <v>1675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1676</v>
      </c>
    </row>
    <row r="16" customFormat="false" ht="15" hidden="false" customHeight="false" outlineLevel="0" collapsed="false">
      <c r="A16" s="52" t="s">
        <v>1677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1678</v>
      </c>
      <c r="B17" s="11" t="s">
        <v>65</v>
      </c>
      <c r="C17" s="66" t="n">
        <f aca="false">資產負債_既有債務!$E$16+SUMPRODUCT((1-資產負債_既有債務!$F$27:$F$27)*資產負債_既有債務!$C$27:$C$27)</f>
        <v>101.085</v>
      </c>
      <c r="D17" s="66" t="n">
        <f aca="false">C19</f>
        <v>99.085</v>
      </c>
      <c r="E17" s="66" t="n">
        <f aca="false">D19</f>
        <v>98.085</v>
      </c>
      <c r="F17" s="66" t="n">
        <f aca="false">E19</f>
        <v>95.409</v>
      </c>
      <c r="G17" s="66" t="n">
        <f aca="false">F19</f>
        <v>93.645</v>
      </c>
      <c r="I17" s="11" t="s">
        <v>1679</v>
      </c>
    </row>
    <row r="18" customFormat="false" ht="15" hidden="false" customHeight="false" outlineLevel="1" collapsed="false">
      <c r="A18" s="3" t="s">
        <v>1680</v>
      </c>
      <c r="B18" s="11" t="s">
        <v>65</v>
      </c>
      <c r="C18" s="66" t="n">
        <f aca="false">-IF(輸入與假設!$C$332=1,輸入與假設!C$361,0)-資產負債_既有債務!C38</f>
        <v>-2</v>
      </c>
      <c r="D18" s="66" t="n">
        <f aca="false">-IF(輸入與假設!$C$332=1,輸入與假設!D$361,0)-資產負債_既有債務!D38</f>
        <v>-1</v>
      </c>
      <c r="E18" s="66" t="n">
        <f aca="false">-IF(輸入與假設!$C$332=1,輸入與假設!E$361,0)-資產負債_既有債務!E38</f>
        <v>-2.676</v>
      </c>
      <c r="F18" s="66" t="n">
        <f aca="false">-IF(輸入與假設!$C$332=1,輸入與假設!F$361,0)-資產負債_既有債務!F38</f>
        <v>-1.764</v>
      </c>
      <c r="G18" s="66" t="n">
        <f aca="false">-IF(輸入與假設!$C$332=1,輸入與假設!G$361,0)-資產負債_既有債務!G38</f>
        <v>-7.186</v>
      </c>
    </row>
    <row r="19" customFormat="false" ht="15" hidden="false" customHeight="false" outlineLevel="1" collapsed="false">
      <c r="A19" s="3" t="s">
        <v>1681</v>
      </c>
      <c r="B19" s="11" t="s">
        <v>65</v>
      </c>
      <c r="C19" s="66" t="n">
        <f aca="false">各期收支!C82-0</f>
        <v>99.085</v>
      </c>
      <c r="D19" s="66" t="n">
        <f aca="false">各期收支!D82-0</f>
        <v>98.085</v>
      </c>
      <c r="E19" s="66" t="n">
        <f aca="false">各期收支!E82-0</f>
        <v>95.409</v>
      </c>
      <c r="F19" s="66" t="n">
        <f aca="false">各期收支!F82-0</f>
        <v>93.645</v>
      </c>
      <c r="G19" s="66" t="n">
        <f aca="false">各期收支!G82-0</f>
        <v>86.459</v>
      </c>
      <c r="I19" s="6" t="s">
        <v>1682</v>
      </c>
    </row>
    <row r="20" customFormat="false" ht="15" hidden="false" customHeight="false" outlineLevel="1" collapsed="false">
      <c r="A20" s="3" t="s">
        <v>1683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1684</v>
      </c>
      <c r="B21" s="11" t="s">
        <v>65</v>
      </c>
      <c r="C21" s="66" t="n">
        <f aca="false">各期收支!C98</f>
        <v>0</v>
      </c>
      <c r="D21" s="66" t="n">
        <f aca="false">各期收支!D98</f>
        <v>0</v>
      </c>
      <c r="E21" s="66" t="n">
        <f aca="false">各期收支!E98</f>
        <v>0</v>
      </c>
      <c r="F21" s="66" t="n">
        <f aca="false">各期收支!F98</f>
        <v>0</v>
      </c>
      <c r="G21" s="66" t="n">
        <f aca="false">各期收支!G98</f>
        <v>85.8060751001393</v>
      </c>
    </row>
    <row r="22" customFormat="false" ht="15" hidden="false" customHeight="false" outlineLevel="1" collapsed="false">
      <c r="A22" s="3" t="s">
        <v>1685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1686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1687</v>
      </c>
      <c r="B24" s="11" t="s">
        <v>65</v>
      </c>
      <c r="C24" s="42" t="n">
        <f aca="false">SUM(C19:C23)</f>
        <v>99.085</v>
      </c>
      <c r="D24" s="42" t="n">
        <f aca="false">SUM(D19:D23)</f>
        <v>98.085</v>
      </c>
      <c r="E24" s="42" t="n">
        <f aca="false">SUM(E19:E23)</f>
        <v>95.409</v>
      </c>
      <c r="F24" s="42" t="n">
        <f aca="false">SUM(F19:F23)</f>
        <v>93.645</v>
      </c>
      <c r="G24" s="42" t="n">
        <f aca="false">SUM(G19:G23)</f>
        <v>172.265075100139</v>
      </c>
      <c r="I24" s="6" t="s">
        <v>1688</v>
      </c>
    </row>
    <row r="25" customFormat="false" ht="15" hidden="false" customHeight="false" outlineLevel="1" collapsed="false">
      <c r="A25" s="2" t="s">
        <v>1689</v>
      </c>
      <c r="B25" s="11" t="s">
        <v>65</v>
      </c>
      <c r="C25" s="42" t="n">
        <f aca="false">C24-C14</f>
        <v>-29.0379065581144</v>
      </c>
      <c r="D25" s="42" t="n">
        <f aca="false">D24-D14</f>
        <v>12.1494925629375</v>
      </c>
      <c r="E25" s="42" t="n">
        <f aca="false">E24-E14</f>
        <v>31.9680349373683</v>
      </c>
      <c r="F25" s="42" t="n">
        <f aca="false">F24-F14</f>
        <v>39.9448183471523</v>
      </c>
      <c r="G25" s="42" t="n">
        <f aca="false">G24-G14</f>
        <v>122.265075100139</v>
      </c>
    </row>
    <row r="26" customFormat="false" ht="15" hidden="false" customHeight="false" outlineLevel="0" collapsed="false">
      <c r="A26" s="52" t="s">
        <v>1690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1691</v>
      </c>
      <c r="B27" s="11" t="s">
        <v>689</v>
      </c>
      <c r="C27" s="31" t="n">
        <f aca="false">損益!C23</f>
        <v>12.3636006353528</v>
      </c>
      <c r="D27" s="31" t="n">
        <f aca="false">損益!D23</f>
        <v>12.4872366417064</v>
      </c>
      <c r="E27" s="31" t="n">
        <f aca="false">損益!E23</f>
        <v>12.6121090081234</v>
      </c>
      <c r="F27" s="31" t="n">
        <f aca="false">損益!F23</f>
        <v>12.7382300982047</v>
      </c>
      <c r="G27" s="31" t="n">
        <f aca="false">損益!G23</f>
        <v>12.8656123991867</v>
      </c>
    </row>
    <row r="28" customFormat="false" ht="15" hidden="false" customHeight="false" outlineLevel="1" collapsed="false">
      <c r="A28" s="3" t="s">
        <v>1692</v>
      </c>
      <c r="B28" s="11" t="s">
        <v>689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1693</v>
      </c>
      <c r="B29" s="11" t="s">
        <v>689</v>
      </c>
      <c r="C29" s="56" t="n">
        <f aca="false">損益!C24</f>
        <v>12.3393452858521</v>
      </c>
      <c r="D29" s="56" t="n">
        <f aca="false">損益!D24</f>
        <v>12.4144705932042</v>
      </c>
      <c r="E29" s="56" t="n">
        <f aca="false">損益!E24</f>
        <v>12.4908322606199</v>
      </c>
      <c r="F29" s="56" t="n">
        <f aca="false">損益!F24</f>
        <v>12.5684426516997</v>
      </c>
      <c r="G29" s="56" t="n">
        <f aca="false">損益!G24</f>
        <v>12.6958249526817</v>
      </c>
      <c r="I29" s="6" t="s">
        <v>1694</v>
      </c>
    </row>
    <row r="30" customFormat="false" ht="15" hidden="false" customHeight="false" outlineLevel="0" collapsed="false">
      <c r="A30" s="52" t="s">
        <v>1695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1212</v>
      </c>
      <c r="B31" s="11" t="s">
        <v>65</v>
      </c>
      <c r="C31" s="66" t="n">
        <f aca="false">各期收支!C81</f>
        <v>63.6137595266212</v>
      </c>
      <c r="D31" s="66" t="n">
        <f aca="false">各期收支!D81</f>
        <v>63.4800515718224</v>
      </c>
      <c r="E31" s="66" t="n">
        <f aca="false">各期收支!E81</f>
        <v>59.9170721889968</v>
      </c>
      <c r="F31" s="66" t="n">
        <f aca="false">各期收支!F81</f>
        <v>39.3313003260774</v>
      </c>
      <c r="G31" s="66" t="n">
        <f aca="false">各期收支!G81</f>
        <v>1.4768399254779</v>
      </c>
    </row>
    <row r="32" customFormat="false" ht="15" hidden="false" customHeight="false" outlineLevel="1" collapsed="false">
      <c r="A32" s="3" t="s">
        <v>1696</v>
      </c>
      <c r="B32" s="11" t="s">
        <v>65</v>
      </c>
      <c r="C32" s="66" t="n">
        <f aca="false">各期收支!C83</f>
        <v>579.219412818026</v>
      </c>
      <c r="D32" s="66" t="n">
        <f aca="false">各期收支!D83</f>
        <v>630.900442252681</v>
      </c>
      <c r="E32" s="66" t="n">
        <f aca="false">各期收支!E83</f>
        <v>732.210344278109</v>
      </c>
      <c r="F32" s="66" t="n">
        <f aca="false">各期收支!F83</f>
        <v>840.063089016995</v>
      </c>
      <c r="G32" s="66" t="n">
        <f aca="false">各期收支!G83</f>
        <v>931.453526178556</v>
      </c>
    </row>
    <row r="33" customFormat="false" ht="15" hidden="false" customHeight="false" outlineLevel="1" collapsed="false">
      <c r="A33" s="3" t="s">
        <v>1697</v>
      </c>
      <c r="B33" s="11" t="s">
        <v>111</v>
      </c>
      <c r="C33" s="79" t="n">
        <f aca="false">C24/MAX(0.01,C31)</f>
        <v>1.55760327226903</v>
      </c>
      <c r="D33" s="79" t="n">
        <f aca="false">D24/MAX(0.01,D31)</f>
        <v>1.54513106986098</v>
      </c>
      <c r="E33" s="79" t="n">
        <f aca="false">E24/MAX(0.01,E31)</f>
        <v>1.59235083615319</v>
      </c>
      <c r="F33" s="79" t="n">
        <f aca="false">F24/MAX(0.01,F31)</f>
        <v>2.3809281468864</v>
      </c>
      <c r="G33" s="79" t="n">
        <f aca="false">G24/MAX(0.01,G31)</f>
        <v>116.644378397608</v>
      </c>
      <c r="I33" s="6" t="s">
        <v>1698</v>
      </c>
    </row>
    <row r="34" customFormat="false" ht="15" hidden="false" customHeight="false" outlineLevel="1" collapsed="false">
      <c r="A34" s="3" t="s">
        <v>1699</v>
      </c>
      <c r="B34" s="11" t="s">
        <v>111</v>
      </c>
      <c r="C34" s="47" t="n">
        <f aca="false">C24/MAX(0.01,損益!C22/輸入與假設!C$34)</f>
        <v>0.493317167814296</v>
      </c>
      <c r="D34" s="47" t="n">
        <f aca="false">D24/MAX(0.01,損益!D22/輸入與假設!D$34)</f>
        <v>0.444545983356274</v>
      </c>
      <c r="E34" s="47" t="n">
        <f aca="false">E24/MAX(0.01,損益!E22/輸入與假設!E$34)</f>
        <v>0.3714534083613</v>
      </c>
      <c r="F34" s="47" t="n">
        <f aca="false">F24/MAX(0.01,損益!F22/輸入與假設!F$34)</f>
        <v>0.317279600208308</v>
      </c>
      <c r="G34" s="47" t="n">
        <f aca="false">G24/MAX(0.01,損益!G22/輸入與假設!G$34)</f>
        <v>0.525267025665647</v>
      </c>
      <c r="I34" s="11" t="s">
        <v>1700</v>
      </c>
    </row>
    <row r="35" customFormat="false" ht="15" hidden="false" customHeight="false" outlineLevel="1" collapsed="false">
      <c r="A35" s="3" t="s">
        <v>1701</v>
      </c>
      <c r="B35" s="11" t="s">
        <v>65</v>
      </c>
      <c r="C35" s="66" t="n">
        <f aca="false">各期收支!C63</f>
        <v>24.7261334114602</v>
      </c>
      <c r="D35" s="66" t="n">
        <f aca="false">各期收支!D63</f>
        <v>32.620730852718</v>
      </c>
      <c r="E35" s="66" t="n">
        <f aca="false">各期收支!E63</f>
        <v>40.3069509907814</v>
      </c>
      <c r="F35" s="66" t="n">
        <f aca="false">各期收支!F63</f>
        <v>47.6698990888628</v>
      </c>
      <c r="G35" s="66" t="n">
        <f aca="false">各期收支!G63</f>
        <v>54.8776224539205</v>
      </c>
      <c r="I35" s="6" t="s">
        <v>1702</v>
      </c>
    </row>
    <row r="36" customFormat="false" ht="15" hidden="false" customHeight="false" outlineLevel="1" collapsed="false">
      <c r="A36" s="4" t="s">
        <v>1703</v>
      </c>
      <c r="B36" s="11" t="s">
        <v>65</v>
      </c>
      <c r="C36" s="66" t="n">
        <f aca="false">(損益!C22+各期收支!C16)/輸入與假設!C$34</f>
        <v>201.315182076495</v>
      </c>
      <c r="D36" s="66" t="n">
        <f aca="false">(損益!D22+各期收支!D16)/輸入與假設!D$34</f>
        <v>221.173724368466</v>
      </c>
      <c r="E36" s="66" t="n">
        <f aca="false">(損益!E22+各期收支!E16)/輸入與假設!E$34</f>
        <v>257.50576508963</v>
      </c>
      <c r="F36" s="66" t="n">
        <f aca="false">(損益!F22+各期收支!F16)/輸入與假設!F$34</f>
        <v>295.910996035286</v>
      </c>
      <c r="G36" s="66" t="n">
        <f aca="false">(損益!G22+各期收支!G16)/輸入與假設!G$34</f>
        <v>328.777049544159</v>
      </c>
    </row>
    <row r="37" customFormat="false" ht="15" hidden="false" customHeight="false" outlineLevel="1" collapsed="false">
      <c r="A37" s="2" t="s">
        <v>1704</v>
      </c>
      <c r="B37" s="11" t="s">
        <v>111</v>
      </c>
      <c r="C37" s="80" t="n">
        <f aca="false">(C24+C35)/MAX(0.01,C36)</f>
        <v>0.615011407159619</v>
      </c>
      <c r="D37" s="80" t="n">
        <f aca="false">(D24+D35)/MAX(0.01,D36)</f>
        <v>0.59096409949207</v>
      </c>
      <c r="E37" s="80" t="n">
        <f aca="false">(E24+E35)/MAX(0.01,E36)</f>
        <v>0.527040437108438</v>
      </c>
      <c r="F37" s="80" t="n">
        <f aca="false">(F24+F35)/MAX(0.01,F36)</f>
        <v>0.477558796334867</v>
      </c>
      <c r="G37" s="80" t="n">
        <f aca="false">(G24+G35)/MAX(0.01,G36)</f>
        <v>0.690871512683101</v>
      </c>
      <c r="I37" s="11" t="s">
        <v>1705</v>
      </c>
    </row>
    <row r="38" customFormat="false" ht="15" hidden="false" customHeight="false" outlineLevel="1" collapsed="false">
      <c r="A38" s="3" t="s">
        <v>1706</v>
      </c>
      <c r="B38" s="11" t="s">
        <v>111</v>
      </c>
      <c r="C38" s="79" t="n">
        <f aca="false">輸入與假設!$C$335-C37</f>
        <v>2.38498859284038</v>
      </c>
      <c r="D38" s="79" t="n">
        <f aca="false">輸入與假設!$C$335-D37</f>
        <v>2.40903590050793</v>
      </c>
      <c r="E38" s="79" t="n">
        <f aca="false">輸入與假設!$C$335-E37</f>
        <v>2.47295956289156</v>
      </c>
      <c r="F38" s="79" t="n">
        <f aca="false">輸入與假設!$C$335-F37</f>
        <v>2.52244120366513</v>
      </c>
      <c r="G38" s="79" t="n">
        <f aca="false">輸入與假設!$C$335-G37</f>
        <v>2.3091284873169</v>
      </c>
      <c r="I38" s="6" t="s">
        <v>1707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1708</v>
      </c>
    </row>
    <row r="2" customFormat="false" ht="15" hidden="false" customHeight="false" outlineLevel="0" collapsed="false">
      <c r="A2" s="6" t="s">
        <v>1709</v>
      </c>
    </row>
    <row r="4" customFormat="false" ht="15" hidden="false" customHeight="false" outlineLevel="0" collapsed="false">
      <c r="A4" s="2" t="s">
        <v>1710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1711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1712</v>
      </c>
    </row>
    <row r="6" customFormat="false" ht="15" hidden="false" customHeight="false" outlineLevel="0" collapsed="false">
      <c r="A6" s="3" t="s">
        <v>1713</v>
      </c>
      <c r="B6" s="11" t="s">
        <v>65</v>
      </c>
      <c r="C6" s="24" t="n">
        <v>1.836</v>
      </c>
      <c r="D6" s="24" t="n">
        <v>3.498</v>
      </c>
      <c r="E6" s="24" t="n">
        <v>2.979</v>
      </c>
      <c r="F6" s="24" t="n">
        <v>2.576</v>
      </c>
      <c r="G6" s="24" t="n">
        <v>2.046</v>
      </c>
      <c r="H6" s="24" t="n">
        <v>8.398</v>
      </c>
    </row>
    <row r="7" customFormat="false" ht="15" hidden="false" customHeight="false" outlineLevel="0" collapsed="false">
      <c r="A7" s="3" t="s">
        <v>1714</v>
      </c>
      <c r="B7" s="11" t="s">
        <v>65</v>
      </c>
      <c r="C7" s="24" t="n">
        <v>0.206</v>
      </c>
      <c r="D7" s="24" t="n">
        <v>0.387</v>
      </c>
      <c r="E7" s="24" t="n">
        <v>0.377</v>
      </c>
      <c r="F7" s="24" t="n">
        <v>0.356</v>
      </c>
      <c r="G7" s="24" t="n">
        <v>0.285</v>
      </c>
      <c r="H7" s="24" t="n">
        <v>1.309</v>
      </c>
    </row>
    <row r="8" customFormat="false" ht="15" hidden="false" customHeight="false" outlineLevel="0" collapsed="false">
      <c r="A8" s="2" t="s">
        <v>1715</v>
      </c>
      <c r="C8" s="58" t="n">
        <f aca="false">SUM(C6:C7)</f>
        <v>2.042</v>
      </c>
      <c r="D8" s="58" t="n">
        <f aca="false">SUM(D6:D7)</f>
        <v>3.885</v>
      </c>
      <c r="E8" s="58" t="n">
        <f aca="false">SUM(E6:E7)</f>
        <v>3.356</v>
      </c>
      <c r="F8" s="58" t="n">
        <f aca="false">SUM(F6:F7)</f>
        <v>2.932</v>
      </c>
      <c r="G8" s="58" t="n">
        <f aca="false">SUM(G6:G7)</f>
        <v>2.331</v>
      </c>
      <c r="H8" s="58" t="n">
        <f aca="false">SUM(H6:H7)</f>
        <v>9.707</v>
      </c>
      <c r="I8" s="6" t="s">
        <v>1716</v>
      </c>
    </row>
    <row r="10" customFormat="false" ht="15" hidden="false" customHeight="false" outlineLevel="0" collapsed="false">
      <c r="A10" s="2" t="s">
        <v>1717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1711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1712</v>
      </c>
    </row>
    <row r="12" customFormat="false" ht="15" hidden="false" customHeight="false" outlineLevel="0" collapsed="false">
      <c r="A12" s="3" t="s">
        <v>1718</v>
      </c>
      <c r="B12" s="11" t="s">
        <v>65</v>
      </c>
      <c r="C12" s="24" t="n">
        <v>2</v>
      </c>
      <c r="D12" s="24" t="n">
        <v>1</v>
      </c>
      <c r="E12" s="24" t="n">
        <v>2.676</v>
      </c>
      <c r="F12" s="24" t="n">
        <v>1.764</v>
      </c>
      <c r="G12" s="24" t="n">
        <v>7.186</v>
      </c>
      <c r="H12" s="24" t="n">
        <v>86.459</v>
      </c>
      <c r="I12" s="6" t="s">
        <v>1719</v>
      </c>
    </row>
    <row r="13" customFormat="false" ht="15" hidden="false" customHeight="false" outlineLevel="0" collapsed="false">
      <c r="A13" s="2" t="s">
        <v>1638</v>
      </c>
      <c r="C13" s="58" t="n">
        <f aca="false">SUM(C12:H12)</f>
        <v>101.085</v>
      </c>
    </row>
    <row r="15" customFormat="false" ht="15" hidden="false" customHeight="false" outlineLevel="0" collapsed="false">
      <c r="A15" s="2" t="s">
        <v>1720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1721</v>
      </c>
      <c r="D16" s="14" t="s">
        <v>1537</v>
      </c>
      <c r="E16" s="14" t="s">
        <v>1722</v>
      </c>
      <c r="F16" s="14" t="s">
        <v>1723</v>
      </c>
    </row>
    <row r="17" customFormat="false" ht="15" hidden="false" customHeight="false" outlineLevel="0" collapsed="false">
      <c r="A17" s="3" t="s">
        <v>1724</v>
      </c>
      <c r="B17" s="11" t="s">
        <v>65</v>
      </c>
      <c r="C17" s="81" t="n">
        <v>85.2</v>
      </c>
      <c r="D17" s="6" t="s">
        <v>1725</v>
      </c>
      <c r="E17" s="6" t="s">
        <v>1726</v>
      </c>
      <c r="F17" s="6" t="s">
        <v>1727</v>
      </c>
    </row>
    <row r="18" customFormat="false" ht="15" hidden="false" customHeight="false" outlineLevel="0" collapsed="false">
      <c r="A18" s="3" t="s">
        <v>1728</v>
      </c>
      <c r="B18" s="11" t="s">
        <v>65</v>
      </c>
      <c r="C18" s="81" t="n">
        <v>0</v>
      </c>
      <c r="D18" s="6" t="s">
        <v>1729</v>
      </c>
      <c r="E18" s="6" t="s">
        <v>1726</v>
      </c>
      <c r="F18" s="6" t="s">
        <v>1727</v>
      </c>
    </row>
    <row r="19" customFormat="false" ht="15" hidden="false" customHeight="false" outlineLevel="0" collapsed="false">
      <c r="A19" s="3" t="s">
        <v>669</v>
      </c>
      <c r="B19" s="11" t="s">
        <v>65</v>
      </c>
      <c r="C19" s="81" t="n">
        <v>10.4</v>
      </c>
      <c r="D19" s="11" t="s">
        <v>1730</v>
      </c>
      <c r="E19" s="6" t="s">
        <v>1731</v>
      </c>
      <c r="F19" s="6" t="s">
        <v>1732</v>
      </c>
    </row>
    <row r="20" customFormat="false" ht="15" hidden="false" customHeight="false" outlineLevel="0" collapsed="false">
      <c r="A20" s="2" t="s">
        <v>1733</v>
      </c>
      <c r="C20" s="58" t="n">
        <f aca="false">C17+C18</f>
        <v>85.2</v>
      </c>
    </row>
    <row r="21" customFormat="false" ht="15" hidden="false" customHeight="false" outlineLevel="0" collapsed="false">
      <c r="A21" s="3" t="s">
        <v>1734</v>
      </c>
      <c r="C21" s="82" t="n">
        <f aca="false">SUM(各期收支!C15:G15)</f>
        <v>11.0372727272727</v>
      </c>
    </row>
    <row r="22" customFormat="false" ht="15" hidden="false" customHeight="false" outlineLevel="0" collapsed="false">
      <c r="A22" s="3" t="s">
        <v>1735</v>
      </c>
      <c r="C22" s="57" t="n">
        <f aca="false">MAX(0,輸入與假設!$C$19-C21)</f>
        <v>74.1627272727273</v>
      </c>
    </row>
    <row r="23" customFormat="false" ht="15" hidden="false" customHeight="false" outlineLevel="0" collapsed="false">
      <c r="A23" s="2" t="s">
        <v>1736</v>
      </c>
      <c r="C23" s="83" t="n">
        <f aca="false">(C21+C22)/C20</f>
        <v>1</v>
      </c>
      <c r="I23" s="6" t="s">
        <v>1737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1738</v>
      </c>
    </row>
    <row r="2" customFormat="false" ht="15" hidden="false" customHeight="false" outlineLevel="0" collapsed="false">
      <c r="A2" s="6" t="s">
        <v>1739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1088</v>
      </c>
    </row>
    <row r="5" customFormat="false" ht="15" hidden="false" customHeight="false" outlineLevel="0" collapsed="false">
      <c r="A5" s="52" t="s">
        <v>1740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1741</v>
      </c>
      <c r="B6" s="11" t="s">
        <v>65</v>
      </c>
      <c r="C6" s="39" t="n">
        <f aca="false">運營_產能與收入!C26</f>
        <v>12.7227519053242</v>
      </c>
      <c r="D6" s="39" t="n">
        <f aca="false">運營_產能與收入!D26</f>
        <v>38.1014017385733</v>
      </c>
      <c r="E6" s="39" t="n">
        <f aca="false">運營_產能與收入!E26</f>
        <v>55.3706129164472</v>
      </c>
      <c r="F6" s="39" t="n">
        <f aca="false">運營_產能與收入!F26</f>
        <v>72.7630334432111</v>
      </c>
      <c r="G6" s="39" t="n">
        <f aca="false">運營_產能與收入!G26</f>
        <v>90.2173199645169</v>
      </c>
      <c r="I6" s="6" t="s">
        <v>1742</v>
      </c>
    </row>
    <row r="7" customFormat="false" ht="15" hidden="false" customHeight="false" outlineLevel="1" collapsed="false">
      <c r="A7" s="3" t="s">
        <v>1743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1744</v>
      </c>
      <c r="B8" s="11" t="s">
        <v>65</v>
      </c>
      <c r="C8" s="39" t="n">
        <f aca="false">輸入與假設!C$240</f>
        <v>249.853558351676</v>
      </c>
      <c r="D8" s="39" t="n">
        <f aca="false">輸入與假設!D$240</f>
        <v>560.974553419459</v>
      </c>
      <c r="E8" s="39" t="n">
        <f aca="false">輸入與假設!E$240</f>
        <v>639.864039179039</v>
      </c>
      <c r="F8" s="39" t="n">
        <f aca="false">輸入與假設!F$240</f>
        <v>710.982331853808</v>
      </c>
      <c r="G8" s="39" t="n">
        <f aca="false">輸入與假設!G$240</f>
        <v>766.281688143173</v>
      </c>
      <c r="I8" s="6" t="s">
        <v>1745</v>
      </c>
    </row>
    <row r="9" customFormat="false" ht="15" hidden="false" customHeight="false" outlineLevel="1" collapsed="false">
      <c r="A9" s="2" t="s">
        <v>1746</v>
      </c>
      <c r="B9" s="11" t="s">
        <v>65</v>
      </c>
      <c r="C9" s="42" t="n">
        <f aca="false">C6+C7+C8</f>
        <v>262.576310257</v>
      </c>
      <c r="D9" s="42" t="n">
        <f aca="false">D6+D7+D8</f>
        <v>599.075955158032</v>
      </c>
      <c r="E9" s="42" t="n">
        <f aca="false">E6+E7+E8</f>
        <v>695.234652095486</v>
      </c>
      <c r="F9" s="42" t="n">
        <f aca="false">F6+F7+F8</f>
        <v>783.745365297019</v>
      </c>
      <c r="G9" s="42" t="n">
        <f aca="false">G6+G7+G8</f>
        <v>856.49900810769</v>
      </c>
    </row>
    <row r="10" customFormat="false" ht="15" hidden="false" customHeight="false" outlineLevel="1" collapsed="false">
      <c r="A10" s="4" t="s">
        <v>530</v>
      </c>
      <c r="B10" s="11" t="s">
        <v>42</v>
      </c>
      <c r="C10" s="53" t="n">
        <f aca="false">輸入與假設!C$250</f>
        <v>0.834234376204762</v>
      </c>
      <c r="D10" s="53" t="n">
        <f aca="false">輸入與假設!D$250</f>
        <v>0.838943805381426</v>
      </c>
      <c r="E10" s="53" t="n">
        <f aca="false">輸入與假設!E$250</f>
        <v>0.842466054282288</v>
      </c>
      <c r="F10" s="53" t="n">
        <f aca="false">輸入與假設!F$250</f>
        <v>0.844455705006196</v>
      </c>
      <c r="G10" s="53" t="n">
        <f aca="false">輸入與假設!G$250</f>
        <v>0.845734314352038</v>
      </c>
    </row>
    <row r="11" customFormat="false" ht="15" hidden="false" customHeight="false" outlineLevel="1" collapsed="false">
      <c r="A11" s="3" t="s">
        <v>1747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1147</v>
      </c>
    </row>
    <row r="12" customFormat="false" ht="15" hidden="false" customHeight="false" outlineLevel="1" collapsed="false">
      <c r="A12" s="3" t="s">
        <v>1748</v>
      </c>
      <c r="B12" s="11" t="s">
        <v>65</v>
      </c>
      <c r="C12" s="66" t="n">
        <f aca="false">(C6+C7)*輸入與假設!C$250+輸入與假設!C$48+輸入與假設!C$241-輸入與假設!C$242-C11-輸入與假設!C$324</f>
        <v>76.3688840397648</v>
      </c>
      <c r="D12" s="66" t="n">
        <f aca="false">(D6+D7)*輸入與假設!D$250+輸入與假設!D$48+輸入與假設!D$241-輸入與假設!D$242-D11-輸入與假設!D$324</f>
        <v>149.118691814377</v>
      </c>
      <c r="E12" s="66" t="n">
        <f aca="false">(E6+E7)*輸入與假設!E$250+輸入與假設!E$48+輸入與假設!E$241-輸入與假設!E$242-E11-輸入與假設!E$324</f>
        <v>152.857658096644</v>
      </c>
      <c r="F12" s="66" t="n">
        <f aca="false">(F6+F7)*輸入與假設!F$250+輸入與假設!F$48+輸入與假設!F$241-輸入與假設!F$242-F11-輸入與假設!F$324</f>
        <v>156.952429654722</v>
      </c>
      <c r="G12" s="66" t="n">
        <f aca="false">(G6+G7)*輸入與假設!G$250+輸入與假設!G$48+輸入與假設!G$241-輸入與假設!G$242-G11-輸入與假設!G$324</f>
        <v>154.934532760311</v>
      </c>
      <c r="I12" s="6" t="s">
        <v>1749</v>
      </c>
    </row>
    <row r="13" customFormat="false" ht="15" hidden="false" customHeight="false" outlineLevel="1" collapsed="false">
      <c r="A13" s="3" t="s">
        <v>1750</v>
      </c>
      <c r="B13" s="11" t="s">
        <v>65</v>
      </c>
      <c r="C13" s="39" t="n">
        <f aca="false">各期收支!C21</f>
        <v>2.01268256759658</v>
      </c>
      <c r="D13" s="39" t="n">
        <f aca="false">各期收支!D21</f>
        <v>3.96503593798289</v>
      </c>
      <c r="E13" s="39" t="n">
        <f aca="false">各期收支!E21</f>
        <v>3.8911125616679</v>
      </c>
      <c r="F13" s="39" t="n">
        <f aca="false">各期收支!F21</f>
        <v>3.80182534979671</v>
      </c>
      <c r="G13" s="39" t="n">
        <f aca="false">各期收支!G21</f>
        <v>7.91214699979304</v>
      </c>
    </row>
    <row r="14" customFormat="false" ht="15" hidden="false" customHeight="false" outlineLevel="1" collapsed="false">
      <c r="A14" s="3" t="s">
        <v>1751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1752</v>
      </c>
    </row>
    <row r="15" customFormat="false" ht="15" hidden="false" customHeight="false" outlineLevel="1" collapsed="false">
      <c r="A15" s="3" t="s">
        <v>1753</v>
      </c>
      <c r="B15" s="11" t="s">
        <v>65</v>
      </c>
      <c r="C15" s="66" t="n">
        <f aca="false">C12-C13-C14</f>
        <v>74.3562014721682</v>
      </c>
      <c r="D15" s="66" t="n">
        <f aca="false">D12-D13-D14</f>
        <v>145.153655876394</v>
      </c>
      <c r="E15" s="66" t="n">
        <f aca="false">E12-E13-E14</f>
        <v>148.966545534976</v>
      </c>
      <c r="F15" s="66" t="n">
        <f aca="false">F12-F13-F14</f>
        <v>153.150604304925</v>
      </c>
      <c r="G15" s="66" t="n">
        <f aca="false">G12-G13-G14</f>
        <v>147.022385760518</v>
      </c>
    </row>
    <row r="16" customFormat="false" ht="15" hidden="false" customHeight="false" outlineLevel="1" collapsed="false">
      <c r="A16" s="4" t="s">
        <v>1754</v>
      </c>
      <c r="B16" s="11" t="s">
        <v>65</v>
      </c>
      <c r="C16" s="66" t="n">
        <f aca="false">輸入與假設!$C$396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1755</v>
      </c>
    </row>
    <row r="17" customFormat="false" ht="15" hidden="false" customHeight="false" outlineLevel="1" collapsed="false">
      <c r="A17" s="3" t="s">
        <v>1756</v>
      </c>
      <c r="B17" s="11" t="s">
        <v>65</v>
      </c>
      <c r="C17" s="66" t="n">
        <f aca="false">MIN(C16,MAX(0,C15)*輸入與假設!$C$397)</f>
        <v>0</v>
      </c>
      <c r="D17" s="66" t="n">
        <f aca="false">MIN(D16,MAX(0,D15)*輸入與假設!$C$397)</f>
        <v>0</v>
      </c>
      <c r="E17" s="66" t="n">
        <f aca="false">MIN(E16,MAX(0,E15)*輸入與假設!$C$397)</f>
        <v>0</v>
      </c>
      <c r="F17" s="66" t="n">
        <f aca="false">MIN(F16,MAX(0,F15)*輸入與假設!$C$397)</f>
        <v>0</v>
      </c>
      <c r="G17" s="66" t="n">
        <f aca="false">MIN(G16,MAX(0,G15)*輸入與假設!$C$397)</f>
        <v>0</v>
      </c>
      <c r="I17" s="6" t="s">
        <v>1757</v>
      </c>
    </row>
    <row r="18" customFormat="false" ht="15" hidden="false" customHeight="false" outlineLevel="1" collapsed="false">
      <c r="A18" s="4" t="s">
        <v>1758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1759</v>
      </c>
      <c r="B19" s="11" t="s">
        <v>65</v>
      </c>
      <c r="C19" s="66" t="n">
        <f aca="false">MAX(0,C15-C17)*輸入與假設!$C$383</f>
        <v>12.4918418473243</v>
      </c>
      <c r="D19" s="66" t="n">
        <f aca="false">MAX(0,D15-D17)*輸入與假設!$C$383</f>
        <v>24.3858141872343</v>
      </c>
      <c r="E19" s="66" t="n">
        <f aca="false">MAX(0,E15-E17)*輸入與假設!$C$383</f>
        <v>25.0263796498759</v>
      </c>
      <c r="F19" s="66" t="n">
        <f aca="false">MAX(0,F15-F17)*輸入與假設!$C$383</f>
        <v>25.7293015232274</v>
      </c>
      <c r="G19" s="66" t="n">
        <f aca="false">MAX(0,G15-G17)*輸入與假設!$C$383</f>
        <v>24.6997608077671</v>
      </c>
      <c r="I19" s="6" t="s">
        <v>1760</v>
      </c>
    </row>
    <row r="20" customFormat="false" ht="15" hidden="false" customHeight="false" outlineLevel="1" collapsed="false">
      <c r="A20" s="2" t="s">
        <v>1761</v>
      </c>
      <c r="B20" s="11" t="s">
        <v>65</v>
      </c>
      <c r="C20" s="42" t="n">
        <f aca="false">C15-C19</f>
        <v>61.8643596248439</v>
      </c>
      <c r="D20" s="42" t="n">
        <f aca="false">D15-D19</f>
        <v>120.76784168916</v>
      </c>
      <c r="E20" s="42" t="n">
        <f aca="false">E15-E19</f>
        <v>123.9401658851</v>
      </c>
      <c r="F20" s="42" t="n">
        <f aca="false">F15-F19</f>
        <v>127.421302781698</v>
      </c>
      <c r="G20" s="42" t="n">
        <f aca="false">G15-G19</f>
        <v>122.322624952751</v>
      </c>
    </row>
    <row r="21" customFormat="false" ht="15" hidden="false" customHeight="false" outlineLevel="1" collapsed="false">
      <c r="A21" s="4" t="s">
        <v>952</v>
      </c>
      <c r="B21" s="11" t="s">
        <v>65</v>
      </c>
      <c r="C21" s="39" t="n">
        <f aca="false">輸入與假設!C$324+輸入與假設!C$242</f>
        <v>24.0583932421193</v>
      </c>
      <c r="D21" s="39" t="n">
        <f aca="false">輸入與假設!D$324+輸入與假設!D$242</f>
        <v>71.5221500159072</v>
      </c>
      <c r="E21" s="39" t="n">
        <f aca="false">輸入與假設!E$324+輸入與假設!E$242</f>
        <v>103.995551087532</v>
      </c>
      <c r="F21" s="39" t="n">
        <f aca="false">輸入與假設!F$324+輸入與假設!F$242</f>
        <v>138.197337107837</v>
      </c>
      <c r="G21" s="39" t="n">
        <f aca="false">輸入與假設!G$324+輸入與假設!G$242</f>
        <v>173.022614143848</v>
      </c>
      <c r="I21" s="6" t="s">
        <v>1762</v>
      </c>
    </row>
    <row r="22" customFormat="false" ht="15" hidden="false" customHeight="false" outlineLevel="1" collapsed="false">
      <c r="A22" s="84" t="s">
        <v>1763</v>
      </c>
      <c r="B22" s="11" t="s">
        <v>65</v>
      </c>
      <c r="C22" s="42" t="n">
        <f aca="false">C12+C21</f>
        <v>100.427277281884</v>
      </c>
      <c r="D22" s="42" t="n">
        <f aca="false">D12+D21</f>
        <v>220.640841830285</v>
      </c>
      <c r="E22" s="42" t="n">
        <f aca="false">E12+E21</f>
        <v>256.853209184176</v>
      </c>
      <c r="F22" s="42" t="n">
        <f aca="false">F12+F21</f>
        <v>295.149766762559</v>
      </c>
      <c r="G22" s="42" t="n">
        <f aca="false">G12+G21</f>
        <v>327.957146904159</v>
      </c>
    </row>
    <row r="23" customFormat="false" ht="15" hidden="false" customHeight="false" outlineLevel="1" collapsed="false">
      <c r="A23" s="3" t="s">
        <v>1764</v>
      </c>
      <c r="B23" s="11" t="s">
        <v>689</v>
      </c>
      <c r="C23" s="30" t="n">
        <f aca="false">評價_DCF與目標價!$C$90</f>
        <v>12.3636006353528</v>
      </c>
      <c r="D23" s="30" t="n">
        <f aca="false">C23*(1+輸入與假設!$C$436)</f>
        <v>12.4872366417064</v>
      </c>
      <c r="E23" s="30" t="n">
        <f aca="false">D23*(1+輸入與假設!$C$436)</f>
        <v>12.6121090081234</v>
      </c>
      <c r="F23" s="30" t="n">
        <f aca="false">E23*(1+輸入與假設!$C$436)</f>
        <v>12.7382300982047</v>
      </c>
      <c r="G23" s="30" t="n">
        <f aca="false">F23*(1+輸入與假設!$C$436)</f>
        <v>12.8656123991867</v>
      </c>
      <c r="I23" s="11" t="s">
        <v>1765</v>
      </c>
    </row>
    <row r="24" customFormat="false" ht="15" hidden="false" customHeight="false" outlineLevel="1" collapsed="false">
      <c r="A24" s="3" t="s">
        <v>1766</v>
      </c>
      <c r="B24" s="11" t="s">
        <v>689</v>
      </c>
      <c r="C24" s="30" t="n">
        <f aca="false">C23+各期收支!C97</f>
        <v>12.3393452858521</v>
      </c>
      <c r="D24" s="30" t="n">
        <f aca="false">D23+各期收支!D97</f>
        <v>12.4144705932042</v>
      </c>
      <c r="E24" s="30" t="n">
        <f aca="false">E23+各期收支!E97</f>
        <v>12.4908322606199</v>
      </c>
      <c r="F24" s="30" t="n">
        <f aca="false">F23+各期收支!F97</f>
        <v>12.5684426516997</v>
      </c>
      <c r="G24" s="30" t="n">
        <f aca="false">G23+各期收支!G97</f>
        <v>12.6958249526817</v>
      </c>
      <c r="I24" s="6" t="s">
        <v>1767</v>
      </c>
    </row>
    <row r="25" customFormat="false" ht="15" hidden="false" customHeight="false" outlineLevel="1" collapsed="false">
      <c r="A25" s="3" t="s">
        <v>1768</v>
      </c>
      <c r="B25" s="11" t="s">
        <v>39</v>
      </c>
      <c r="C25" s="55" t="n">
        <f aca="false">C20/C24</f>
        <v>5.0135852585125</v>
      </c>
      <c r="D25" s="55" t="n">
        <f aca="false">D20/D24</f>
        <v>9.72798966999602</v>
      </c>
      <c r="E25" s="55" t="n">
        <f aca="false">E20/E24</f>
        <v>9.92249061544513</v>
      </c>
      <c r="F25" s="55" t="n">
        <f aca="false">F20/F24</f>
        <v>10.1381934351641</v>
      </c>
      <c r="G25" s="55" t="n">
        <f aca="false">G20/G24</f>
        <v>9.63487015681585</v>
      </c>
      <c r="I25" s="11" t="s">
        <v>1769</v>
      </c>
    </row>
    <row r="27" customFormat="false" ht="15" hidden="false" customHeight="false" outlineLevel="0" collapsed="false">
      <c r="A27" s="52" t="s">
        <v>1770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1771</v>
      </c>
      <c r="B28" s="11" t="s">
        <v>65</v>
      </c>
      <c r="C28" s="39" t="n">
        <f aca="false">輸入與假設!$C$477</f>
        <v>229.692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1772</v>
      </c>
      <c r="B29" s="11" t="s">
        <v>65</v>
      </c>
      <c r="C29" s="42" t="n">
        <f aca="false">C28+C9</f>
        <v>492.268310257</v>
      </c>
      <c r="D29" s="42" t="n">
        <f aca="false">D28+D9</f>
        <v>599.075955158032</v>
      </c>
      <c r="E29" s="42" t="n">
        <f aca="false">E28+E9</f>
        <v>695.234652095486</v>
      </c>
      <c r="F29" s="42" t="n">
        <f aca="false">F28+F9</f>
        <v>783.745365297019</v>
      </c>
      <c r="G29" s="42" t="n">
        <f aca="false">G28+G9</f>
        <v>856.49900810769</v>
      </c>
      <c r="I29" s="11" t="s">
        <v>1773</v>
      </c>
    </row>
    <row r="30" customFormat="false" ht="15" hidden="false" customHeight="false" outlineLevel="1" collapsed="false">
      <c r="A30" s="3" t="s">
        <v>1774</v>
      </c>
      <c r="B30" s="11" t="s">
        <v>42</v>
      </c>
      <c r="C30" s="67" t="n">
        <f aca="false">C29/402.836-1</f>
        <v>0.222006747800594</v>
      </c>
      <c r="D30" s="67" t="n">
        <f aca="false">D29/C29-1</f>
        <v>0.216970385205724</v>
      </c>
      <c r="E30" s="67" t="n">
        <f aca="false">E29/D29-1</f>
        <v>0.160511694902006</v>
      </c>
      <c r="F30" s="67" t="n">
        <f aca="false">F29/E29-1</f>
        <v>0.127310560448557</v>
      </c>
      <c r="G30" s="67" t="n">
        <f aca="false">G29/F29-1</f>
        <v>0.0928281633705081</v>
      </c>
      <c r="I30" s="11" t="s">
        <v>1775</v>
      </c>
    </row>
    <row r="31" customFormat="false" ht="15" hidden="false" customHeight="false" outlineLevel="1" collapsed="false">
      <c r="A31" s="3" t="s">
        <v>1776</v>
      </c>
      <c r="B31" s="11" t="s">
        <v>65</v>
      </c>
      <c r="C31" s="66" t="n">
        <f aca="false">輸入與假設!$C$478+C12</f>
        <v>156.834884039765</v>
      </c>
      <c r="D31" s="66" t="n">
        <f aca="false">D12</f>
        <v>149.118691814377</v>
      </c>
      <c r="E31" s="66" t="n">
        <f aca="false">E12</f>
        <v>152.857658096644</v>
      </c>
      <c r="F31" s="66" t="n">
        <f aca="false">F12</f>
        <v>156.952429654722</v>
      </c>
      <c r="G31" s="66" t="n">
        <f aca="false">G12</f>
        <v>154.934532760311</v>
      </c>
    </row>
    <row r="32" customFormat="false" ht="15" hidden="false" customHeight="false" outlineLevel="1" collapsed="false">
      <c r="A32" s="3" t="s">
        <v>1777</v>
      </c>
      <c r="B32" s="11" t="s">
        <v>42</v>
      </c>
      <c r="C32" s="67" t="n">
        <f aca="false">C31/C29</f>
        <v>0.318596344253575</v>
      </c>
      <c r="D32" s="67" t="n">
        <f aca="false">D31/D29</f>
        <v>0.248914499956923</v>
      </c>
      <c r="E32" s="67" t="n">
        <f aca="false">E31/E29</f>
        <v>0.219864843669573</v>
      </c>
      <c r="F32" s="67" t="n">
        <f aca="false">F31/F29</f>
        <v>0.200259467684687</v>
      </c>
      <c r="G32" s="67" t="n">
        <f aca="false">G31/G29</f>
        <v>0.180892833842991</v>
      </c>
    </row>
    <row r="33" customFormat="false" ht="15" hidden="false" customHeight="false" outlineLevel="1" collapsed="false">
      <c r="A33" s="3" t="s">
        <v>1778</v>
      </c>
      <c r="B33" s="11" t="s">
        <v>65</v>
      </c>
      <c r="C33" s="66" t="n">
        <f aca="false">輸入與假設!$C$481+C21</f>
        <v>37.6443932421193</v>
      </c>
      <c r="D33" s="66" t="n">
        <f aca="false">D21</f>
        <v>71.5221500159072</v>
      </c>
      <c r="E33" s="66" t="n">
        <f aca="false">E21</f>
        <v>103.995551087532</v>
      </c>
      <c r="F33" s="66" t="n">
        <f aca="false">F21</f>
        <v>138.197337107837</v>
      </c>
      <c r="G33" s="66" t="n">
        <f aca="false">G21</f>
        <v>173.022614143848</v>
      </c>
      <c r="I33" s="11" t="s">
        <v>1779</v>
      </c>
    </row>
    <row r="34" customFormat="false" ht="15" hidden="false" customHeight="false" outlineLevel="1" collapsed="false">
      <c r="A34" s="2" t="s">
        <v>1780</v>
      </c>
      <c r="B34" s="11" t="s">
        <v>65</v>
      </c>
      <c r="C34" s="42" t="n">
        <f aca="false">C31+C33</f>
        <v>194.479277281884</v>
      </c>
      <c r="D34" s="42" t="n">
        <f aca="false">D31+D33</f>
        <v>220.640841830285</v>
      </c>
      <c r="E34" s="42" t="n">
        <f aca="false">E31+E33</f>
        <v>256.853209184176</v>
      </c>
      <c r="F34" s="42" t="n">
        <f aca="false">F31+F33</f>
        <v>295.149766762559</v>
      </c>
      <c r="G34" s="42" t="n">
        <f aca="false">G31+G33</f>
        <v>327.957146904159</v>
      </c>
    </row>
    <row r="35" customFormat="false" ht="15" hidden="false" customHeight="false" outlineLevel="1" collapsed="false">
      <c r="A35" s="3" t="s">
        <v>1781</v>
      </c>
      <c r="B35" s="11" t="s">
        <v>65</v>
      </c>
      <c r="C35" s="66" t="n">
        <f aca="false">輸入與假設!$C$475+C13</f>
        <v>3.82368256759658</v>
      </c>
      <c r="D35" s="66" t="n">
        <f aca="false">D13</f>
        <v>3.96503593798289</v>
      </c>
      <c r="E35" s="66" t="n">
        <f aca="false">E13</f>
        <v>3.8911125616679</v>
      </c>
      <c r="F35" s="66" t="n">
        <f aca="false">F13</f>
        <v>3.80182534979671</v>
      </c>
      <c r="G35" s="66" t="n">
        <f aca="false">G13</f>
        <v>7.91214699979304</v>
      </c>
      <c r="I35" s="11" t="s">
        <v>1782</v>
      </c>
    </row>
    <row r="36" customFormat="false" ht="15" hidden="false" customHeight="false" outlineLevel="1" collapsed="false">
      <c r="A36" s="2" t="s">
        <v>1783</v>
      </c>
      <c r="B36" s="11" t="s">
        <v>65</v>
      </c>
      <c r="C36" s="42" t="n">
        <f aca="false">輸入與假設!$C$479+C20</f>
        <v>236.635359624844</v>
      </c>
      <c r="D36" s="42" t="n">
        <f aca="false">D20</f>
        <v>120.76784168916</v>
      </c>
      <c r="E36" s="42" t="n">
        <f aca="false">E20</f>
        <v>123.9401658851</v>
      </c>
      <c r="F36" s="42" t="n">
        <f aca="false">F20</f>
        <v>127.421302781698</v>
      </c>
      <c r="G36" s="42" t="n">
        <f aca="false">G20</f>
        <v>122.322624952751</v>
      </c>
    </row>
    <row r="37" customFormat="false" ht="15" hidden="false" customHeight="false" outlineLevel="1" collapsed="false">
      <c r="A37" s="3" t="s">
        <v>1784</v>
      </c>
      <c r="B37" s="11" t="s">
        <v>42</v>
      </c>
      <c r="C37" s="67" t="n">
        <f aca="false">C36/C29</f>
        <v>0.480704028055966</v>
      </c>
      <c r="D37" s="67" t="n">
        <f aca="false">D36/D29</f>
        <v>0.201590200122959</v>
      </c>
      <c r="E37" s="67" t="n">
        <f aca="false">E36/E29</f>
        <v>0.178270984496437</v>
      </c>
      <c r="F37" s="67" t="n">
        <f aca="false">F36/F29</f>
        <v>0.16257997612963</v>
      </c>
      <c r="G37" s="67" t="n">
        <f aca="false">G36/G29</f>
        <v>0.142817007135835</v>
      </c>
    </row>
    <row r="38" customFormat="false" ht="15" hidden="false" customHeight="false" outlineLevel="1" collapsed="false">
      <c r="A38" s="2" t="s">
        <v>1785</v>
      </c>
      <c r="B38" s="11" t="s">
        <v>39</v>
      </c>
      <c r="C38" s="85" t="n">
        <f aca="false">輸入與假設!$C$483+C20/C24</f>
        <v>19.2335852585125</v>
      </c>
      <c r="D38" s="85" t="n">
        <f aca="false">D20/D24</f>
        <v>9.72798966999602</v>
      </c>
      <c r="E38" s="85" t="n">
        <f aca="false">E20/E24</f>
        <v>9.92249061544513</v>
      </c>
      <c r="F38" s="85" t="n">
        <f aca="false">F20/F24</f>
        <v>10.1381934351641</v>
      </c>
      <c r="G38" s="85" t="n">
        <f aca="false">G20/G24</f>
        <v>9.63487015681585</v>
      </c>
      <c r="I38" s="11" t="s">
        <v>1786</v>
      </c>
    </row>
    <row r="39" customFormat="false" ht="15" hidden="false" customHeight="false" outlineLevel="1" collapsed="false">
      <c r="A39" s="3" t="s">
        <v>1787</v>
      </c>
      <c r="B39" s="11" t="s">
        <v>39</v>
      </c>
      <c r="C39" s="55" t="n">
        <f aca="false">輸入與假設!$C$484+(C20+輸入與假設!$C$437*輸入與假設!C$34)/C24</f>
        <v>21.5941238911526</v>
      </c>
      <c r="D39" s="55" t="n">
        <f aca="false">(D20+輸入與假設!$C$437*輸入與假設!D$34)/D24</f>
        <v>11.9952631544898</v>
      </c>
      <c r="E39" s="55" t="n">
        <f aca="false">(E20+輸入與假設!$C$437*輸入與假設!E$34)/E24</f>
        <v>12.1759033114702</v>
      </c>
      <c r="F39" s="55" t="n">
        <f aca="false">(F20+輸入與假設!$C$437*輸入與假設!F$34)/F24</f>
        <v>12.3776912615868</v>
      </c>
      <c r="G39" s="55" t="n">
        <f aca="false">(G20+輸入與假設!$C$437*輸入與假設!G$34)/G24</f>
        <v>11.8518982038239</v>
      </c>
      <c r="I39" s="6" t="s">
        <v>1788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1789</v>
      </c>
    </row>
    <row r="2" customFormat="false" ht="15" hidden="false" customHeight="false" outlineLevel="0" collapsed="false">
      <c r="A2" s="6" t="s">
        <v>1790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1088</v>
      </c>
    </row>
    <row r="5" customFormat="false" ht="15" hidden="false" customHeight="false" outlineLevel="0" collapsed="false">
      <c r="A5" s="7" t="s">
        <v>1791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1792</v>
      </c>
      <c r="B6" s="11" t="s">
        <v>65</v>
      </c>
      <c r="C6" s="66" t="n">
        <f aca="false">輸入與假設!C$323-各期收支!C8</f>
        <v>119.406790442699</v>
      </c>
      <c r="D6" s="66" t="n">
        <f aca="false">輸入與假設!D$323-各期收支!D8</f>
        <v>236.835022204047</v>
      </c>
      <c r="E6" s="66" t="n">
        <f aca="false">輸入與假設!E$323-各期收支!E8</f>
        <v>256.545779414001</v>
      </c>
      <c r="F6" s="66" t="n">
        <f aca="false">輸入與假設!F$323-各期收支!F8</f>
        <v>287.926533727876</v>
      </c>
      <c r="G6" s="66" t="n">
        <f aca="false">輸入與假設!G$323-各期收支!G8</f>
        <v>412.791748650783</v>
      </c>
      <c r="I6" s="11" t="s">
        <v>1793</v>
      </c>
    </row>
    <row r="7" customFormat="false" ht="15" hidden="false" customHeight="false" outlineLevel="1" collapsed="false">
      <c r="A7" s="3" t="s">
        <v>1794</v>
      </c>
      <c r="B7" s="11" t="s">
        <v>65</v>
      </c>
      <c r="C7" s="66" t="n">
        <f aca="false">402.836</f>
        <v>402.836</v>
      </c>
      <c r="D7" s="66" t="n">
        <f aca="false">229.692+損益!C9</f>
        <v>492.268310257</v>
      </c>
      <c r="E7" s="66" t="n">
        <f aca="false">損益!D9</f>
        <v>599.075955158032</v>
      </c>
      <c r="F7" s="66" t="n">
        <f aca="false">損益!E9</f>
        <v>695.234652095486</v>
      </c>
      <c r="G7" s="66" t="n">
        <f aca="false">損益!F9</f>
        <v>783.745365297019</v>
      </c>
      <c r="I7" s="11" t="s">
        <v>1795</v>
      </c>
    </row>
    <row r="8" customFormat="false" ht="15" hidden="false" customHeight="false" outlineLevel="1" collapsed="false">
      <c r="A8" s="3" t="s">
        <v>1796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1797</v>
      </c>
    </row>
    <row r="9" customFormat="false" ht="15" hidden="false" customHeight="false" outlineLevel="1" collapsed="false">
      <c r="A9" s="3" t="s">
        <v>1798</v>
      </c>
      <c r="B9" s="11" t="s">
        <v>65</v>
      </c>
      <c r="C9" s="66" t="n">
        <f aca="false">IF(ISBLANK(輸入與假設!$C$50),輸入與假設!$C$398*MAX(0,損益!C9-C7),-輸入與假設!$C$50)</f>
        <v>-8.49</v>
      </c>
      <c r="D9" s="66" t="n">
        <f aca="false">輸入與假設!$C$398*MAX(0,損益!D9-D7)</f>
        <v>0</v>
      </c>
      <c r="E9" s="66" t="n">
        <f aca="false">輸入與假設!$C$398*MAX(0,損益!E9-E7)</f>
        <v>0</v>
      </c>
      <c r="F9" s="66" t="n">
        <f aca="false">輸入與假設!$C$398*MAX(0,損益!F9-F7)</f>
        <v>0</v>
      </c>
      <c r="G9" s="66" t="n">
        <f aca="false">輸入與假設!$C$398*MAX(0,損益!G9-G7)</f>
        <v>0</v>
      </c>
      <c r="I9" s="11" t="s">
        <v>1799</v>
      </c>
    </row>
    <row r="10" customFormat="false" ht="15" hidden="false" customHeight="false" outlineLevel="1" collapsed="false">
      <c r="A10" s="3" t="s">
        <v>1800</v>
      </c>
      <c r="B10" s="11" t="s">
        <v>65</v>
      </c>
      <c r="C10" s="66" t="n">
        <f aca="false">輸入與假設!$C$396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1801</v>
      </c>
    </row>
    <row r="11" customFormat="false" ht="15" hidden="false" customHeight="false" outlineLevel="1" collapsed="false">
      <c r="A11" s="3" t="s">
        <v>1802</v>
      </c>
      <c r="B11" s="11" t="s">
        <v>65</v>
      </c>
      <c r="C11" s="66" t="n">
        <f aca="false">MIN(C10,MAX(0,損益!C12)*輸入與假設!$C$397)</f>
        <v>0</v>
      </c>
      <c r="D11" s="66" t="n">
        <f aca="false">MIN(D10,MAX(0,損益!D12)*輸入與假設!$C$397)</f>
        <v>0</v>
      </c>
      <c r="E11" s="66" t="n">
        <f aca="false">MIN(E10,MAX(0,損益!E12)*輸入與假設!$C$397)</f>
        <v>0</v>
      </c>
      <c r="F11" s="66" t="n">
        <f aca="false">MIN(F10,MAX(0,損益!F12)*輸入與假設!$C$397)</f>
        <v>0</v>
      </c>
      <c r="G11" s="66" t="n">
        <f aca="false">MIN(G10,MAX(0,損益!G12)*輸入與假設!$C$397)</f>
        <v>0</v>
      </c>
    </row>
    <row r="12" customFormat="false" ht="15" hidden="false" customHeight="false" outlineLevel="1" collapsed="false">
      <c r="A12" s="3" t="s">
        <v>1803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1804</v>
      </c>
      <c r="B13" s="11" t="s">
        <v>65</v>
      </c>
      <c r="C13" s="66" t="n">
        <f aca="false">MAX(0,損益!C12-C11)*輸入與假設!$C$383</f>
        <v>12.8299725186805</v>
      </c>
      <c r="D13" s="66" t="n">
        <f aca="false">MAX(0,損益!D12-D11)*輸入與假設!$C$383</f>
        <v>25.0519402248154</v>
      </c>
      <c r="E13" s="66" t="n">
        <f aca="false">MAX(0,損益!E12-E11)*輸入與假設!$C$383</f>
        <v>25.6800865602362</v>
      </c>
      <c r="F13" s="66" t="n">
        <f aca="false">MAX(0,損益!F12-F11)*輸入與假設!$C$383</f>
        <v>26.3680081819933</v>
      </c>
      <c r="G13" s="66" t="n">
        <f aca="false">MAX(0,損益!G12-G11)*輸入與假設!$C$383</f>
        <v>26.0290015037323</v>
      </c>
      <c r="I13" s="6" t="s">
        <v>1805</v>
      </c>
    </row>
    <row r="14" customFormat="false" ht="15" hidden="false" customHeight="false" outlineLevel="1" collapsed="false">
      <c r="A14" s="84" t="s">
        <v>1806</v>
      </c>
      <c r="B14" s="11" t="s">
        <v>65</v>
      </c>
      <c r="C14" s="42" t="n">
        <f aca="false">損益!C12-C13+損益!C21-輸入與假設!C$242-C6-C9-C8</f>
        <v>-23.3194856794957</v>
      </c>
      <c r="D14" s="42" t="n">
        <f aca="false">損益!D12-D13+損益!D21-輸入與假設!D$242-D6-D9-D8</f>
        <v>-41.2461205985783</v>
      </c>
      <c r="E14" s="42" t="n">
        <f aca="false">損益!E12-E13+損益!E21-輸入與假設!E$242-E6-E9-E8</f>
        <v>-25.3726567900613</v>
      </c>
      <c r="F14" s="42" t="n">
        <f aca="false">損益!F12-F13+損益!F21-輸入與假設!F$242-F6-F9-F8</f>
        <v>-19.1447751473108</v>
      </c>
      <c r="G14" s="42" t="n">
        <f aca="false">損益!G12-G13+損益!G21-輸入與假設!G$242-G6-G9-G8</f>
        <v>-110.863603250357</v>
      </c>
      <c r="I14" s="6" t="s">
        <v>1807</v>
      </c>
    </row>
    <row r="15" customFormat="false" ht="15" hidden="false" customHeight="false" outlineLevel="1" collapsed="false">
      <c r="A15" s="3" t="s">
        <v>1808</v>
      </c>
      <c r="B15" s="6" t="s">
        <v>184</v>
      </c>
      <c r="C15" s="86" t="n">
        <f aca="false">輸入與假設!$C$454</f>
        <v>0.5</v>
      </c>
      <c r="D15" s="86" t="n">
        <f aca="false">輸入與假設!$D$454</f>
        <v>1.5</v>
      </c>
      <c r="E15" s="86" t="n">
        <f aca="false">輸入與假設!$E$454</f>
        <v>2.5</v>
      </c>
      <c r="F15" s="86" t="n">
        <f aca="false">輸入與假設!$F$454</f>
        <v>3.5</v>
      </c>
      <c r="G15" s="86" t="n">
        <f aca="false">輸入與假設!$G$454</f>
        <v>4.5</v>
      </c>
      <c r="I15" s="6" t="s">
        <v>1809</v>
      </c>
    </row>
    <row r="16" customFormat="false" ht="15" hidden="false" customHeight="false" outlineLevel="1" collapsed="false">
      <c r="A16" s="3" t="s">
        <v>1810</v>
      </c>
      <c r="B16" s="6"/>
      <c r="C16" s="31" t="n">
        <f aca="false">1/(1+輸入與假設!$C$393)^C15</f>
        <v>0.946699351478847</v>
      </c>
      <c r="D16" s="31" t="n">
        <f aca="false">1/(1+輸入與假設!$C$393)^D15</f>
        <v>0.848469506870669</v>
      </c>
      <c r="E16" s="31" t="n">
        <f aca="false">1/(1+輸入與假設!$C$393)^E15</f>
        <v>0.760432024131836</v>
      </c>
      <c r="F16" s="31" t="n">
        <f aca="false">1/(1+輸入與假設!$C$393)^F15</f>
        <v>0.681529340350689</v>
      </c>
      <c r="G16" s="31" t="n">
        <f aca="false">1/(1+輸入與假設!$C$393)^G15</f>
        <v>0.610813625700642</v>
      </c>
    </row>
    <row r="17" customFormat="false" ht="15" hidden="false" customHeight="false" outlineLevel="1" collapsed="false">
      <c r="A17" s="4" t="s">
        <v>1811</v>
      </c>
      <c r="B17" s="11" t="s">
        <v>65</v>
      </c>
      <c r="C17" s="66" t="n">
        <f aca="false">C14*C16</f>
        <v>-22.0765419695988</v>
      </c>
      <c r="D17" s="66" t="n">
        <f aca="false">D14*D16</f>
        <v>-34.9960756046039</v>
      </c>
      <c r="E17" s="66" t="n">
        <f aca="false">E14*E16</f>
        <v>-19.2941807604687</v>
      </c>
      <c r="F17" s="66" t="n">
        <f aca="false">F14*F16</f>
        <v>-13.047725977309</v>
      </c>
      <c r="G17" s="66" t="n">
        <f aca="false">G14*G16</f>
        <v>-67.7169994595879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1812</v>
      </c>
      <c r="C19" s="10" t="n">
        <f aca="false">SUM(C17:G17)</f>
        <v>-157.131523771568</v>
      </c>
      <c r="I19" s="6" t="s">
        <v>1813</v>
      </c>
    </row>
    <row r="20" customFormat="false" ht="15" hidden="false" customHeight="false" outlineLevel="1" collapsed="false">
      <c r="A20" s="3" t="s">
        <v>1814</v>
      </c>
      <c r="C20" s="10" t="n">
        <f aca="false">G14+輸入與假設!G299*(1-各期收支!G7)</f>
        <v>158.15199647776</v>
      </c>
      <c r="I20" s="11" t="s">
        <v>1815</v>
      </c>
    </row>
    <row r="21" customFormat="false" ht="15" hidden="false" customHeight="false" outlineLevel="1" collapsed="false">
      <c r="A21" s="3" t="s">
        <v>1816</v>
      </c>
      <c r="C21" s="57" t="n">
        <f aca="false">IF(C30=1,0,C20*(1+輸入與假設!$C$394)/(輸入與假設!$C$393-輸入與假設!$C$394))</f>
        <v>1899.15930787321</v>
      </c>
      <c r="I21" s="6" t="s">
        <v>1817</v>
      </c>
    </row>
    <row r="22" customFormat="false" ht="15" hidden="false" customHeight="false" outlineLevel="1" collapsed="false">
      <c r="A22" s="3" t="s">
        <v>1818</v>
      </c>
      <c r="C22" s="57" t="n">
        <f aca="false">C21*G16</f>
        <v>1160.03238262516</v>
      </c>
    </row>
    <row r="23" customFormat="false" ht="15" hidden="false" customHeight="false" outlineLevel="1" collapsed="false">
      <c r="A23" s="3" t="s">
        <v>1819</v>
      </c>
      <c r="C23" s="57" t="n">
        <f aca="false">C19+C22</f>
        <v>1002.90085885359</v>
      </c>
    </row>
    <row r="24" customFormat="false" ht="15" hidden="false" customHeight="false" outlineLevel="1" collapsed="false">
      <c r="A24" s="3" t="s">
        <v>1820</v>
      </c>
      <c r="C24" s="10" t="n">
        <f aca="false">-評價_DCF與目標價!$C$91</f>
        <v>227.559</v>
      </c>
      <c r="I24" s="6" t="s">
        <v>1821</v>
      </c>
    </row>
    <row r="25" customFormat="false" ht="15" hidden="false" customHeight="false" outlineLevel="1" collapsed="false">
      <c r="A25" s="3" t="s">
        <v>1822</v>
      </c>
      <c r="C25" s="57" t="n">
        <f aca="false">C23+C24</f>
        <v>1230.45985885359</v>
      </c>
    </row>
    <row r="26" customFormat="false" ht="15" hidden="false" customHeight="false" outlineLevel="1" collapsed="false">
      <c r="A26" s="84" t="s">
        <v>1823</v>
      </c>
      <c r="C26" s="87" t="n">
        <f aca="false">IF(C30=1,0,IF(輸入與假設!$C$439=2,C32,C31))</f>
        <v>96.6478212185986</v>
      </c>
      <c r="I26" s="6" t="s">
        <v>1824</v>
      </c>
    </row>
    <row r="27" customFormat="false" ht="15" hidden="false" customHeight="false" outlineLevel="1" collapsed="false">
      <c r="A27" s="3" t="s">
        <v>1825</v>
      </c>
      <c r="C27" s="29" t="n">
        <f aca="false">C22/C23</f>
        <v>1.15667702583402</v>
      </c>
      <c r="I27" s="6" t="str">
        <f aca="false">"超過 "&amp;IF(ROUND(ABS(輸入與假設!$C$463)*100,4)=INT(ROUND(ABS(輸入與假設!$C$463)*100,4)),TEXT(ROUND(ABS(輸入與假設!$C$463)*100,4),"0"),TEXT(ROUND(ABS(輸入與假設!$C$463)*100,4),"0.0"))&amp;"%"&amp;"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1826</v>
      </c>
      <c r="C28" s="57" t="n">
        <f aca="false">(各期收支!C92-各期收支!C76)/(1+輸入與假設!$C$393)^輸入與假設!$C$455+(各期收支!D92-各期收支!D76)/(1+輸入與假設!$C$393)^輸入與假設!$D$455+(各期收支!E92-各期收支!E76)/(1+輸入與假設!$C$393)^輸入與假設!$E$455+(各期收支!F92-各期收支!F76)/(1+輸入與假設!$C$393)^輸入與假設!$F$455+(各期收支!G92-各期收支!G76)/(1+輸入與假設!$C$393)^輸入與假設!$G$455</f>
        <v>-51.9543818048304</v>
      </c>
      <c r="I28" s="6" t="s">
        <v>1827</v>
      </c>
    </row>
    <row r="29" customFormat="false" ht="15" hidden="false" customHeight="false" outlineLevel="1" collapsed="false">
      <c r="A29" s="3" t="s">
        <v>1828</v>
      </c>
      <c r="C29" s="88" t="n">
        <f aca="false">評價_DCF與目標價!$C$90+各期收支!G97</f>
        <v>12.1938131888479</v>
      </c>
    </row>
    <row r="30" customFormat="false" ht="15" hidden="false" customHeight="false" outlineLevel="1" collapsed="false">
      <c r="A30" s="4" t="s">
        <v>1829</v>
      </c>
      <c r="C30" s="50" t="n">
        <f aca="false">IF(OR(輸入與假設!$C$393&lt;=輸入與假設!$C$394,C20&lt;=0),1,0)</f>
        <v>0</v>
      </c>
      <c r="I30" s="11" t="s">
        <v>1830</v>
      </c>
    </row>
    <row r="31" customFormat="false" ht="15" hidden="false" customHeight="false" outlineLevel="1" collapsed="false">
      <c r="A31" s="84" t="s">
        <v>1831</v>
      </c>
      <c r="C31" s="49" t="n">
        <f aca="false">MAX(0,(C25+C28)/C29)</f>
        <v>96.6478212185986</v>
      </c>
    </row>
    <row r="32" customFormat="false" ht="15" hidden="false" customHeight="false" outlineLevel="1" collapsed="false">
      <c r="A32" s="84" t="s">
        <v>1832</v>
      </c>
      <c r="C32" s="49" t="n">
        <f aca="false">IF((C23+C28)&lt;=0,0,IF(評價_DCF與目標價!$C$91&lt;=0,(C23+C28),(C23+C28)*NORMSDIST(C33)-評價_DCF與目標價!$C$91*EXP(-輸入與假設!$C$384*輸入與假設!$C$441)*NORMSDIST(C34))/C29)</f>
        <v>77.9859804575708</v>
      </c>
      <c r="I32" s="11" t="s">
        <v>1833</v>
      </c>
    </row>
    <row r="33" customFormat="false" ht="15" hidden="false" customHeight="false" outlineLevel="1" collapsed="false">
      <c r="A33" s="3" t="s">
        <v>1834</v>
      </c>
      <c r="C33" s="88" t="n">
        <f aca="false">IF(OR((C23+C28)&lt;=0,評價_DCF與目標價!$C$91&lt;=0),0,(LN((C23+C28)/評價_DCF與目標價!$C$91)+(輸入與假設!$C$384+輸入與假設!$C$440^2/2)*輸入與假設!$C$441)/(輸入與假設!$C$440*SQRT(輸入與假設!$C$441)))</f>
        <v>0</v>
      </c>
    </row>
    <row r="34" customFormat="false" ht="15" hidden="false" customHeight="false" outlineLevel="1" collapsed="false">
      <c r="A34" s="3" t="s">
        <v>1835</v>
      </c>
      <c r="C34" s="88" t="n">
        <f aca="false">C33-輸入與假設!$C$440*SQRT(輸入與假設!$C$441)</f>
        <v>-1.06066017177982</v>
      </c>
    </row>
    <row r="36" customFormat="false" ht="15" hidden="false" customHeight="false" outlineLevel="0" collapsed="false">
      <c r="A36" s="52" t="s">
        <v>1836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1837</v>
      </c>
      <c r="C37" s="89" t="str">
        <f aca="false">CHOOSE(輸入與假設!$C$431,"2027","2028","2029","2030")</f>
        <v>2029</v>
      </c>
      <c r="I37" s="6" t="s">
        <v>1838</v>
      </c>
    </row>
    <row r="38" customFormat="false" ht="15" hidden="false" customHeight="false" outlineLevel="1" collapsed="false">
      <c r="A38" s="3" t="s">
        <v>1839</v>
      </c>
      <c r="C38" s="10" t="n">
        <f aca="false">INDEX(損益!$D$22:$G$22,1,輸入與假設!$C$431)</f>
        <v>295.149766762559</v>
      </c>
    </row>
    <row r="39" customFormat="false" ht="15" hidden="false" customHeight="false" outlineLevel="1" collapsed="false">
      <c r="A39" s="3" t="s">
        <v>1840</v>
      </c>
      <c r="C39" s="57" t="n">
        <f aca="false">C45*輸入與假設!$C$399+C44*輸入與假設!$C$430</f>
        <v>2791.30236377817</v>
      </c>
      <c r="I39" s="6" t="s">
        <v>1841</v>
      </c>
    </row>
    <row r="40" customFormat="false" ht="15" hidden="false" customHeight="false" outlineLevel="1" collapsed="false">
      <c r="A40" s="3" t="s">
        <v>1842</v>
      </c>
      <c r="C40" s="10" t="n">
        <f aca="false">INDEX(各期收支!$D$102:$G$102,1,輸入與假設!$C$431)-INDEX(各期收支!$D$56:$G$56,1,輸入與假設!$C$431)+評價_DCF與目標價!$C$92</f>
        <v>-133.288181652848</v>
      </c>
      <c r="I40" s="6" t="s">
        <v>1843</v>
      </c>
    </row>
    <row r="41" customFormat="false" ht="15" hidden="false" customHeight="false" outlineLevel="1" collapsed="false">
      <c r="A41" s="3" t="s">
        <v>1844</v>
      </c>
      <c r="C41" s="90" t="n">
        <f aca="false">INDEX(損益!$D$24:$G$24,1,輸入與假設!$C$431)</f>
        <v>12.5684426516997</v>
      </c>
      <c r="I41" s="6" t="s">
        <v>1845</v>
      </c>
    </row>
    <row r="42" customFormat="false" ht="15" hidden="false" customHeight="false" outlineLevel="1" collapsed="false">
      <c r="A42" s="3" t="s">
        <v>1846</v>
      </c>
      <c r="C42" s="90" t="n">
        <f aca="false">1/(1+輸入與假設!$C$393)^(輸入與假設!$C$431-輸入與假設!$C$451)</f>
        <v>0.760432024131836</v>
      </c>
      <c r="I42" s="6" t="s">
        <v>1847</v>
      </c>
    </row>
    <row r="43" customFormat="false" ht="15" hidden="false" customHeight="false" outlineLevel="1" collapsed="false">
      <c r="A43" s="4" t="s">
        <v>1848</v>
      </c>
      <c r="C43" s="49" t="n">
        <f aca="false">MAX(0,(C39-C40)/C41)*C42</f>
        <v>176.947325126092</v>
      </c>
      <c r="I43" s="6" t="s">
        <v>1849</v>
      </c>
    </row>
    <row r="44" customFormat="false" ht="15" hidden="false" customHeight="false" outlineLevel="1" collapsed="false">
      <c r="A44" s="3" t="s">
        <v>1850</v>
      </c>
      <c r="C44" s="10" t="n">
        <f aca="false">INDEX(輸入與假設!$D$241:$G$241,1,輸入與假設!$C$431)</f>
        <v>239.224608057883</v>
      </c>
      <c r="I44" s="11" t="s">
        <v>1851</v>
      </c>
    </row>
    <row r="45" customFormat="false" ht="15" hidden="false" customHeight="false" outlineLevel="1" collapsed="false">
      <c r="A45" s="3" t="s">
        <v>1852</v>
      </c>
      <c r="C45" s="57" t="n">
        <f aca="false">C38-C44</f>
        <v>55.9251587046762</v>
      </c>
      <c r="I45" s="6" t="s">
        <v>1853</v>
      </c>
    </row>
    <row r="47" customFormat="false" ht="15" hidden="false" customHeight="false" outlineLevel="0" collapsed="false">
      <c r="A47" s="52" t="s">
        <v>1854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1855</v>
      </c>
      <c r="C48" s="12" t="n">
        <f aca="false">C26*(1+輸入與假設!$C$393)^輸入與假設!$C$447</f>
        <v>107.837027646342</v>
      </c>
      <c r="I48" s="6" t="s">
        <v>1856</v>
      </c>
    </row>
    <row r="49" customFormat="false" ht="15" hidden="false" customHeight="false" outlineLevel="1" collapsed="false">
      <c r="A49" s="4" t="s">
        <v>1857</v>
      </c>
      <c r="C49" s="12" t="n">
        <f aca="false">C48*IF(C30=1,0,輸入與假設!$C$432)</f>
        <v>48.5266624408541</v>
      </c>
    </row>
    <row r="50" customFormat="false" ht="15" hidden="false" customHeight="false" outlineLevel="1" collapsed="false">
      <c r="A50" s="4" t="s">
        <v>1858</v>
      </c>
      <c r="C50" s="12" t="n">
        <f aca="false">C43*IF(C30=1,1,1-輸入與假設!$C$432)</f>
        <v>97.3210288193505</v>
      </c>
    </row>
    <row r="51" customFormat="false" ht="15" hidden="false" customHeight="false" outlineLevel="1" collapsed="false">
      <c r="A51" s="2" t="s">
        <v>1854</v>
      </c>
      <c r="C51" s="91" t="n">
        <f aca="false">SUM(C49:C50)</f>
        <v>145.847691260205</v>
      </c>
      <c r="I51" s="6" t="s">
        <v>1859</v>
      </c>
    </row>
    <row r="52" customFormat="false" ht="15" hidden="false" customHeight="false" outlineLevel="1" collapsed="false">
      <c r="A52" s="3" t="s">
        <v>1860</v>
      </c>
      <c r="C52" s="12" t="n">
        <f aca="false">輸入與假設!$C$366</f>
        <v>350.5</v>
      </c>
    </row>
    <row r="53" customFormat="false" ht="15" hidden="false" customHeight="false" outlineLevel="1" collapsed="false">
      <c r="A53" s="3" t="s">
        <v>1861</v>
      </c>
      <c r="C53" s="29" t="n">
        <f aca="false">C51/C52-1</f>
        <v>-0.583886758173454</v>
      </c>
    </row>
    <row r="55" customFormat="false" ht="15" hidden="false" customHeight="false" outlineLevel="0" collapsed="false">
      <c r="A55" s="52" t="s">
        <v>1862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1863</v>
      </c>
      <c r="B56" s="11" t="s">
        <v>65</v>
      </c>
      <c r="C56" s="66" t="n">
        <f aca="false">運營_產能與收入!C26*(1/輸入與假設!$C$58-(1-輸入與假設!C$250))*(1/輸入與假設!$C$263-1)</f>
        <v>20.8038135432635</v>
      </c>
      <c r="D56" s="66" t="n">
        <f aca="false">運營_產能與收入!D26*(1/輸入與假設!$C$58-(1-輸入與假設!D$250))*(1/輸入與假設!$C$263-1)</f>
        <v>62.7208069244609</v>
      </c>
      <c r="E56" s="66" t="n">
        <f aca="false">運營_產能與收入!E26*(1/輸入與假設!$C$58-(1-輸入與假設!E$250))*(1/輸入與假設!$C$263-1)</f>
        <v>91.6036703612762</v>
      </c>
      <c r="F56" s="66" t="n">
        <f aca="false">運營_產能與收入!F26*(1/輸入與假設!$C$58-(1-輸入與假設!F$250))*(1/輸入與假設!$C$263-1)</f>
        <v>120.715032341015</v>
      </c>
      <c r="G56" s="66" t="n">
        <f aca="false">運營_產能與收入!G26*(1/輸入與假設!$C$58-(1-輸入與假設!G$250))*(1/輸入與假設!$C$263-1)</f>
        <v>149.941128224768</v>
      </c>
      <c r="I56" s="6" t="s">
        <v>1864</v>
      </c>
    </row>
    <row r="57" customFormat="false" ht="15" hidden="false" customHeight="false" outlineLevel="1" collapsed="false">
      <c r="A57" s="3" t="s">
        <v>1865</v>
      </c>
      <c r="B57" s="11" t="s">
        <v>65</v>
      </c>
      <c r="C57" s="66" t="n">
        <f aca="false">損益!C12+C56</f>
        <v>97.1726975830283</v>
      </c>
      <c r="D57" s="66" t="n">
        <f aca="false">損益!D12+D56</f>
        <v>211.839498738838</v>
      </c>
      <c r="E57" s="66" t="n">
        <f aca="false">損益!E12+E56</f>
        <v>244.46132845792</v>
      </c>
      <c r="F57" s="66" t="n">
        <f aca="false">損益!F12+F56</f>
        <v>277.667461995737</v>
      </c>
      <c r="G57" s="66" t="n">
        <f aca="false">損益!G12+G56</f>
        <v>304.87566098508</v>
      </c>
    </row>
    <row r="58" customFormat="false" ht="15" hidden="false" customHeight="false" outlineLevel="1" collapsed="false">
      <c r="A58" s="3" t="s">
        <v>1866</v>
      </c>
      <c r="B58" s="11" t="s">
        <v>65</v>
      </c>
      <c r="C58" s="66" t="n">
        <f aca="false">輸入與假設!$C$396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1867</v>
      </c>
      <c r="B59" s="11" t="s">
        <v>65</v>
      </c>
      <c r="C59" s="66" t="n">
        <f aca="false">MIN(C58,MAX(0,C57)*輸入與假設!$C$397)</f>
        <v>0</v>
      </c>
      <c r="D59" s="66" t="n">
        <f aca="false">MIN(D58,MAX(0,D57)*輸入與假設!$C$397)</f>
        <v>0</v>
      </c>
      <c r="E59" s="66" t="n">
        <f aca="false">MIN(E58,MAX(0,E57)*輸入與假設!$C$397)</f>
        <v>0</v>
      </c>
      <c r="F59" s="66" t="n">
        <f aca="false">MIN(F58,MAX(0,F57)*輸入與假設!$C$397)</f>
        <v>0</v>
      </c>
      <c r="G59" s="66" t="n">
        <f aca="false">MIN(G58,MAX(0,G57)*輸入與假設!$C$397)</f>
        <v>0</v>
      </c>
    </row>
    <row r="60" customFormat="false" ht="15" hidden="false" customHeight="false" outlineLevel="1" collapsed="false">
      <c r="A60" s="3" t="s">
        <v>1868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1869</v>
      </c>
      <c r="B61" s="11" t="s">
        <v>65</v>
      </c>
      <c r="C61" s="66" t="n">
        <f aca="false">MAX(0,C57-C59)*輸入與假設!$C$383</f>
        <v>16.3250131939488</v>
      </c>
      <c r="D61" s="66" t="n">
        <f aca="false">MAX(0,D57-D59)*輸入與假設!$C$383</f>
        <v>35.5890357881248</v>
      </c>
      <c r="E61" s="66" t="n">
        <f aca="false">MAX(0,E57-E59)*輸入與假設!$C$383</f>
        <v>41.0695031809306</v>
      </c>
      <c r="F61" s="66" t="n">
        <f aca="false">MAX(0,F57-F59)*輸入與假設!$C$383</f>
        <v>46.6481336152838</v>
      </c>
      <c r="G61" s="66" t="n">
        <f aca="false">MAX(0,G57-G59)*輸入與假設!$C$383</f>
        <v>51.2191110454934</v>
      </c>
    </row>
    <row r="62" customFormat="false" ht="15" hidden="false" customHeight="false" outlineLevel="1" collapsed="false">
      <c r="A62" s="2" t="s">
        <v>1870</v>
      </c>
      <c r="B62" s="11" t="s">
        <v>65</v>
      </c>
      <c r="C62" s="42" t="n">
        <f aca="false">C14+C56-(C61-C13)</f>
        <v>-6.01071281150041</v>
      </c>
      <c r="D62" s="42" t="n">
        <f aca="false">D14+D56-(D61-D13)</f>
        <v>10.9375907625732</v>
      </c>
      <c r="E62" s="42" t="n">
        <f aca="false">E14+E56-(E61-E13)</f>
        <v>50.8415969505205</v>
      </c>
      <c r="F62" s="42" t="n">
        <f aca="false">F14+F56-(F61-F13)</f>
        <v>81.2901317604135</v>
      </c>
      <c r="G62" s="42" t="n">
        <f aca="false">G14+G56-(G61-G13)</f>
        <v>13.8874154326504</v>
      </c>
      <c r="I62" s="6" t="s">
        <v>1871</v>
      </c>
    </row>
    <row r="63" customFormat="false" ht="15" hidden="false" customHeight="false" outlineLevel="1" collapsed="false">
      <c r="A63" s="3" t="s">
        <v>1872</v>
      </c>
      <c r="B63" s="11" t="s">
        <v>65</v>
      </c>
      <c r="C63" s="66" t="n">
        <f aca="false">C62*C16</f>
        <v>-5.69033792057304</v>
      </c>
      <c r="D63" s="66" t="n">
        <f aca="false">D62*D16</f>
        <v>9.28021224067365</v>
      </c>
      <c r="E63" s="66" t="n">
        <f aca="false">E62*E16</f>
        <v>38.6615784791793</v>
      </c>
      <c r="F63" s="66" t="n">
        <f aca="false">F62*F16</f>
        <v>55.4016098756952</v>
      </c>
      <c r="G63" s="66" t="n">
        <f aca="false">G62*G16</f>
        <v>8.48262257202826</v>
      </c>
    </row>
    <row r="64" customFormat="false" ht="15" hidden="false" customHeight="false" outlineLevel="1" collapsed="false">
      <c r="A64" s="3" t="s">
        <v>1873</v>
      </c>
      <c r="C64" s="10" t="n">
        <f aca="false">SUM(C63:G63)</f>
        <v>106.135685247003</v>
      </c>
    </row>
    <row r="65" customFormat="false" ht="15" hidden="false" customHeight="false" outlineLevel="1" collapsed="false">
      <c r="A65" s="3" t="s">
        <v>1874</v>
      </c>
      <c r="C65" s="10" t="n">
        <f aca="false">C20-G14+G62</f>
        <v>282.903015160767</v>
      </c>
      <c r="I65" s="6" t="s">
        <v>1875</v>
      </c>
    </row>
    <row r="66" customFormat="false" ht="15" hidden="false" customHeight="false" outlineLevel="1" collapsed="false">
      <c r="A66" s="3" t="s">
        <v>1876</v>
      </c>
      <c r="C66" s="9" t="n">
        <f aca="false">IF(OR(輸入與假設!$C$393&lt;=輸入與假設!$C$394,C65&lt;=0),1,0)</f>
        <v>0</v>
      </c>
    </row>
    <row r="67" customFormat="false" ht="15" hidden="false" customHeight="false" outlineLevel="1" collapsed="false">
      <c r="A67" s="3" t="s">
        <v>1877</v>
      </c>
      <c r="C67" s="10" t="n">
        <f aca="false">IF(C66=1,0,C65*(1+輸入與假設!$C$394)/(輸入與假設!$C$393-輸入與假設!$C$394))*G16</f>
        <v>2075.07123550562</v>
      </c>
    </row>
    <row r="68" customFormat="false" ht="15" hidden="false" customHeight="false" outlineLevel="1" collapsed="false">
      <c r="A68" s="3" t="s">
        <v>1878</v>
      </c>
      <c r="C68" s="10" t="n">
        <f aca="false">C64+C67</f>
        <v>2181.20692075262</v>
      </c>
    </row>
    <row r="69" customFormat="false" ht="15" hidden="false" customHeight="false" outlineLevel="1" collapsed="false">
      <c r="A69" s="3" t="s">
        <v>1879</v>
      </c>
      <c r="C69" s="90" t="n">
        <f aca="false">IF(OR((C68+C28)&lt;=0,評價_DCF與目標價!$C$91&lt;=0),0,(LN((C68+C28)/評價_DCF與目標價!$C$91)+(輸入與假設!$C$384+輸入與假設!$C$440^2/2)*輸入與假設!$C$441)/(輸入與假設!$C$440*SQRT(輸入與假設!$C$441)))</f>
        <v>0</v>
      </c>
    </row>
    <row r="70" customFormat="false" ht="15" hidden="false" customHeight="false" outlineLevel="1" collapsed="false">
      <c r="A70" s="3" t="s">
        <v>1880</v>
      </c>
      <c r="C70" s="12" t="n">
        <f aca="false">IF(C66=1,0,IF(輸入與假設!$C$439=2,IF((C68+C28)&lt;=0,0,IF(評價_DCF與目標價!$C$91&lt;=0,(C68+C28),(C68+C28)*NORMSDIST(C69)-評價_DCF與目標價!$C$91*EXP(-輸入與假設!$C$384*輸入與假設!$C$441)*NORMSDIST(C69-輸入與假設!$C$440*SQRT(輸入與假設!$C$441)))/C29),MAX(0,(C68-評價_DCF與目標價!$C$91+C28)/C29)))</f>
        <v>193.279288639855</v>
      </c>
      <c r="I70" s="6" t="s">
        <v>1881</v>
      </c>
    </row>
    <row r="71" customFormat="false" ht="15" hidden="false" customHeight="false" outlineLevel="1" collapsed="false">
      <c r="A71" s="3" t="s">
        <v>1882</v>
      </c>
      <c r="C71" s="12" t="n">
        <f aca="false">C70*(1+輸入與假設!$C$393)^輸入與假設!$C$447</f>
        <v>215.655808167463</v>
      </c>
    </row>
    <row r="72" customFormat="false" ht="15" hidden="false" customHeight="false" outlineLevel="1" collapsed="false">
      <c r="A72" s="3" t="s">
        <v>1883</v>
      </c>
      <c r="C72" s="12" t="n">
        <f aca="false">MAX(0,(C39+INDEX($D$56:$G$56,1,輸入與假設!$C$431)*輸入與假設!$C$399-C40)/C41)*C42</f>
        <v>220.769258644866</v>
      </c>
      <c r="I72" s="6" t="s">
        <v>1884</v>
      </c>
    </row>
    <row r="73" customFormat="false" ht="15" hidden="false" customHeight="false" outlineLevel="1" collapsed="false">
      <c r="A73" s="2" t="s">
        <v>1885</v>
      </c>
      <c r="C73" s="87" t="n">
        <f aca="false">C71*IF(C66=1,0,輸入與假設!$C$432)+C72*IF(C66=1,1,1-輸入與假設!$C$432)</f>
        <v>218.468205930035</v>
      </c>
      <c r="I73" s="6" t="s">
        <v>1886</v>
      </c>
    </row>
    <row r="74" customFormat="false" ht="15" hidden="false" customHeight="false" outlineLevel="1" collapsed="false">
      <c r="A74" s="2" t="s">
        <v>1887</v>
      </c>
      <c r="C74" s="87" t="n">
        <f aca="false">C73-C51</f>
        <v>72.6205146698302</v>
      </c>
      <c r="I74" s="6" t="s">
        <v>1888</v>
      </c>
    </row>
    <row r="76" customFormat="false" ht="15" hidden="false" customHeight="false" outlineLevel="0" collapsed="false">
      <c r="A76" s="52" t="s">
        <v>1889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1890</v>
      </c>
      <c r="C77" s="92" t="n">
        <f aca="false">SUMPRODUCT(資產負債_既有債務!$D$27:$D$27*資產負債_既有債務!$G$27:$G$27)</f>
        <v>0.0546006353528477</v>
      </c>
      <c r="I77" s="6" t="s">
        <v>1891</v>
      </c>
    </row>
    <row r="78" customFormat="false" ht="15" hidden="false" customHeight="false" outlineLevel="1" collapsed="false">
      <c r="A78" s="3" t="s">
        <v>1892</v>
      </c>
      <c r="C78" s="92" t="n">
        <f aca="false">輸入與假設!$C$367+C77</f>
        <v>12.3636006353528</v>
      </c>
    </row>
    <row r="79" customFormat="false" ht="15" hidden="false" customHeight="false" outlineLevel="1" collapsed="false">
      <c r="A79" s="3" t="s">
        <v>1893</v>
      </c>
      <c r="C79" s="10" t="n">
        <f aca="false">輸入與假設!$C$368+SUMPRODUCT(資產負債_既有債務!$C$27:$C$27*(1-資產負債_既有債務!$G$27:$G$27))+輸入與假設!$C$382</f>
        <v>-227.559</v>
      </c>
      <c r="I79" s="6" t="s">
        <v>1894</v>
      </c>
    </row>
    <row r="80" customFormat="false" ht="15" hidden="false" customHeight="false" outlineLevel="1" collapsed="false">
      <c r="A80" s="3" t="s">
        <v>1895</v>
      </c>
      <c r="C80" s="90" t="n">
        <f aca="false">C78+各期收支!G97</f>
        <v>12.1938131888479</v>
      </c>
    </row>
    <row r="81" customFormat="false" ht="15" hidden="false" customHeight="false" outlineLevel="1" collapsed="false">
      <c r="A81" s="3" t="s">
        <v>1896</v>
      </c>
      <c r="C81" s="90" t="n">
        <f aca="false">IF(OR((C23+C28)&lt;=0,C79&lt;=0),0,(LN((C23+C28)/C79)+(輸入與假設!$C$384+輸入與假設!$C$440^2/2)*輸入與假設!$C$441)/(輸入與假設!$C$440*SQRT(輸入與假設!$C$441)))</f>
        <v>0</v>
      </c>
    </row>
    <row r="82" customFormat="false" ht="15" hidden="false" customHeight="false" outlineLevel="1" collapsed="false">
      <c r="A82" s="3" t="s">
        <v>1897</v>
      </c>
      <c r="C82" s="12" t="n">
        <f aca="false">IF(C30=1,0,IF(輸入與假設!$C$439=2,IF((C23+C28)&lt;=0,0,IF(C79&lt;=0,(C23+C28),(C23+C28)*NORMSDIST(C81)-C79*EXP(-輸入與假設!$C$384*輸入與假設!$C$441)*NORMSDIST(C81-輸入與假設!$C$440*SQRT(輸入與假設!$C$441)))/C80),MAX(0,(C23-C79+C28)/C80)))</f>
        <v>96.6478212185986</v>
      </c>
      <c r="I82" s="6" t="s">
        <v>1898</v>
      </c>
    </row>
    <row r="83" customFormat="false" ht="15" hidden="false" customHeight="false" outlineLevel="1" collapsed="false">
      <c r="A83" s="3" t="s">
        <v>1899</v>
      </c>
      <c r="C83" s="10" t="n">
        <f aca="false">INDEX(各期收支!$D$102:$G$102,1,輸入與假設!$C$431)-INDEX(各期收支!$D$56:$G$56,1,輸入與假設!$C$431)+SUMPRODUCT(資產負債_既有債務!$C$27:$C$27*(資產負債_既有債務!$F$27:$F$27-資產負債_既有債務!$G$27:$G$27))+輸入與假設!$C$382</f>
        <v>-133.288181652848</v>
      </c>
      <c r="I83" s="6" t="s">
        <v>1900</v>
      </c>
    </row>
    <row r="84" customFormat="false" ht="15" hidden="false" customHeight="false" outlineLevel="1" collapsed="false">
      <c r="A84" s="3" t="s">
        <v>1901</v>
      </c>
      <c r="C84" s="90" t="n">
        <f aca="false">C78*(1+輸入與假設!$C$436)^輸入與假設!$C$431+INDEX(各期收支!$D$97:$G$97,1,輸入與假設!$C$431)</f>
        <v>12.5684426516997</v>
      </c>
    </row>
    <row r="85" customFormat="false" ht="15" hidden="false" customHeight="false" outlineLevel="1" collapsed="false">
      <c r="A85" s="3" t="s">
        <v>1902</v>
      </c>
      <c r="C85" s="12" t="n">
        <f aca="false">MAX(0,(C39-C83)/C84)*C42</f>
        <v>176.947325126092</v>
      </c>
    </row>
    <row r="86" customFormat="false" ht="15" hidden="false" customHeight="false" outlineLevel="1" collapsed="false">
      <c r="A86" s="2" t="s">
        <v>1903</v>
      </c>
      <c r="C86" s="87" t="n">
        <f aca="false">C82*(1+輸入與假設!$C$393)^輸入與假設!$C$447*IF(C30=1,0,輸入與假設!$C$432)+C85*IF(C30=1,1,1-輸入與假設!$C$432)</f>
        <v>145.847691260205</v>
      </c>
    </row>
    <row r="87" customFormat="false" ht="15" hidden="false" customHeight="false" outlineLevel="1" collapsed="false">
      <c r="A87" s="2" t="s">
        <v>1904</v>
      </c>
      <c r="C87" s="87" t="n">
        <f aca="false">MIN(輸入與假設!$C$366,C86)</f>
        <v>145.847691260205</v>
      </c>
      <c r="I87" s="6" t="s">
        <v>1905</v>
      </c>
    </row>
    <row r="88" customFormat="false" ht="15" hidden="false" customHeight="false" outlineLevel="1" collapsed="false">
      <c r="A88" s="3" t="s">
        <v>1906</v>
      </c>
      <c r="C88" s="92" t="n">
        <f aca="false">SUMPRODUCT(資產負債_既有債務!$D$27:$D$27*資產負債_既有債務!$H$27:$H$27)</f>
        <v>0.0546006353528477</v>
      </c>
      <c r="I88" s="6" t="s">
        <v>1907</v>
      </c>
    </row>
    <row r="89" customFormat="false" ht="15" hidden="false" customHeight="false" outlineLevel="1" collapsed="false">
      <c r="A89" s="3" t="s">
        <v>1908</v>
      </c>
      <c r="C89" s="10" t="n">
        <f aca="false">SUMPRODUCT(資產負債_既有債務!$C$27:$C$27*(1-資產負債_既有債務!$H$27:$H$27))</f>
        <v>0</v>
      </c>
    </row>
    <row r="90" customFormat="false" ht="15" hidden="false" customHeight="false" outlineLevel="1" collapsed="false">
      <c r="A90" s="2" t="s">
        <v>1909</v>
      </c>
      <c r="C90" s="78" t="n">
        <f aca="false">輸入與假設!$C$367+C88</f>
        <v>12.3636006353528</v>
      </c>
      <c r="I90" s="11" t="s">
        <v>1910</v>
      </c>
    </row>
    <row r="91" customFormat="false" ht="15" hidden="false" customHeight="false" outlineLevel="1" collapsed="false">
      <c r="A91" s="2" t="s">
        <v>1911</v>
      </c>
      <c r="C91" s="58" t="n">
        <f aca="false">輸入與假設!$C$368+C89+輸入與假設!$C$382</f>
        <v>-227.559</v>
      </c>
      <c r="I91" s="11" t="s">
        <v>1912</v>
      </c>
    </row>
    <row r="92" customFormat="false" ht="15" hidden="false" customHeight="false" outlineLevel="1" collapsed="false">
      <c r="A92" s="3" t="s">
        <v>1913</v>
      </c>
      <c r="C92" s="10" t="n">
        <f aca="false">SUMPRODUCT(資產負債_既有債務!$C$27:$C$27*(資產負債_既有債務!$F$27:$F$27-資產負債_既有債務!$H$27:$H$27))+輸入與假設!$C$382</f>
        <v>-173.233</v>
      </c>
      <c r="I92" s="6" t="s">
        <v>1914</v>
      </c>
    </row>
    <row r="93" customFormat="false" ht="15" hidden="false" customHeight="false" outlineLevel="1" collapsed="false">
      <c r="A93" s="4" t="s">
        <v>1915</v>
      </c>
      <c r="C93" s="3" t="str">
        <f aca="false">IF(C30=1,"DCF 失效，已以 EV/EBITDA 100% 計。",IF(AND(輸入與假設!$C$439&lt;&gt;2,C108&lt;0),"DCF 為 $0 仍計 "&amp;TEXT(輸入與假設!$C$432,"0%")&amp;"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$"&amp;TEXT(C43,"0.0")&amp;"（"&amp;CHOOSE(D107+2,"賣出","中立","買進")&amp;"）；"&amp;TEXT(輸入與假設!$C$432,"0%")&amp;"／"&amp;TEXT(1-輸入與假設!$C$432,"0%")&amp;" 為判斷值。",""))</f>
        <v/>
      </c>
      <c r="I93" s="6" t="s">
        <v>1916</v>
      </c>
    </row>
    <row r="95" customFormat="false" ht="15" hidden="false" customHeight="false" outlineLevel="0" collapsed="false">
      <c r="A95" s="52" t="s">
        <v>1917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1918</v>
      </c>
      <c r="C96" s="12" t="n">
        <f aca="false">C51</f>
        <v>145.847691260205</v>
      </c>
      <c r="I96" s="6" t="str">
        <f aca="false">"評等規則不變：空間 ≥"&amp;IF(ROUND(ABS(輸入與假設!$C$457)*100,4)=INT(ROUND(ABS(輸入與假設!$C$457)*100,4)),TEXT(ROUND(ABS(輸入與假設!$C$457)*100,4),"0"),TEXT(ROUND(ABS(輸入與假設!$C$457)*100,4),"0.0"))&amp;"%"&amp;" 且終值占比 &lt;"&amp;IF(ROUND(ABS(輸入與假設!$C$458)*100,4)=INT(ROUND(ABS(輸入與假設!$C$458)*100,4)),TEXT(ROUND(ABS(輸入與假設!$C$458)*100,4),"0"),TEXT(ROUND(ABS(輸入與假設!$C$458)*100,4),"0.0"))&amp;"%"&amp;"、股權募資 ≤"&amp;IF(輸入與假設!$C$460=INT(輸入與假設!$C$460),TEXT(輸入與假設!$C$460,"0"),TEXT(輸入與假設!$C$460,"0.0"))&amp;" 倍現市值 → 買進；空間 ≤−"&amp;IF(ROUND(ABS(輸入與假設!$C$459)*100,4)=INT(ROUND(ABS(輸入與假設!$C$459)*100,4)),TEXT(ROUND(ABS(輸入與假設!$C$459)*100,4),"0"),TEXT(ROUND(ABS(輸入與假設!$C$459)*100,4),"0.0"))&amp;"%"&amp;"，或股權募資 &gt;"&amp;IF(輸入與假設!$C$460=INT(輸入與假設!$C$460),TEXT(輸入與假設!$C$460,"0"),TEXT(輸入與假設!$C$460,"0.0"))&amp;" 倍且空間 ≤−"&amp;IF(ROUND(ABS(輸入與假設!$C$461)*100,4)=INT(ROUND(ABS(輸入與假設!$C$461)*100,4)),TEXT(ROUND(ABS(輸入與假設!$C$461)*100,4),"0"),TEXT(ROUND(ABS(輸入與假設!$C$461)*100,4),"0.0"))&amp;"%"&amp;"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1919</v>
      </c>
      <c r="C97" s="13" t="n">
        <f aca="false">C22/MAX(ABS(C23),1)*IF(C23=0,1,SIGN(C23))</f>
        <v>1.15667702583402</v>
      </c>
    </row>
    <row r="98" customFormat="false" ht="15" hidden="false" customHeight="false" outlineLevel="1" collapsed="false">
      <c r="A98" s="3" t="s">
        <v>1920</v>
      </c>
      <c r="C98" s="16" t="n">
        <f aca="false">SUM(各期收支!C92:G92)/(輸入與假設!$C$366*輸入與假設!$C$367)</f>
        <v>0</v>
      </c>
    </row>
    <row r="99" customFormat="false" ht="15" hidden="false" customHeight="false" outlineLevel="1" collapsed="false">
      <c r="A99" s="3" t="s">
        <v>1921</v>
      </c>
      <c r="C99" s="9" t="n">
        <f aca="false">IF(AND((C51/MAX(輸入與假設!$C$366,0.01)-1)&gt;=輸入與假設!$C$457,$C$97&lt;輸入與假設!$C$458,$C$98&lt;=輸入與假設!$C$460),1,IF(OR((C51/MAX(輸入與假設!$C$366,0.01)-1)&lt;=輸入與假設!$C$459,AND($C$98&gt;輸入與假設!$C$460,(C51/MAX(輸入與假設!$C$366,0.01)-1)&lt;=輸入與假設!$C$461)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1922</v>
      </c>
      <c r="C100" s="12" t="n">
        <f aca="false">輸入與假設!$C$366*(1+輸入與假設!$C$459)</f>
        <v>297.925</v>
      </c>
    </row>
    <row r="101" customFormat="false" ht="15" hidden="false" customHeight="false" outlineLevel="1" collapsed="false">
      <c r="A101" s="3" t="s">
        <v>1923</v>
      </c>
      <c r="C101" s="12" t="n">
        <f aca="false">輸入與假設!D491</f>
        <v>175.7683098576</v>
      </c>
      <c r="D101" s="9" t="n">
        <f aca="false">輸入與假設!E491</f>
        <v>-1</v>
      </c>
      <c r="E101" s="12" t="n">
        <f aca="false">C101-$C$100</f>
        <v>-122.1566901424</v>
      </c>
      <c r="I101" s="6" t="s">
        <v>1924</v>
      </c>
    </row>
    <row r="102" customFormat="false" ht="15" hidden="false" customHeight="false" outlineLevel="1" collapsed="false">
      <c r="A102" s="3" t="s">
        <v>1925</v>
      </c>
      <c r="C102" s="12" t="n">
        <f aca="false">輸入與假設!D492</f>
        <v>145.847691260205</v>
      </c>
      <c r="D102" s="9" t="n">
        <f aca="false">輸入與假設!E492</f>
        <v>-1</v>
      </c>
      <c r="E102" s="12" t="n">
        <f aca="false">C102-$C$100</f>
        <v>-152.077308739795</v>
      </c>
    </row>
    <row r="103" customFormat="false" ht="15" hidden="false" customHeight="false" outlineLevel="1" collapsed="false">
      <c r="A103" s="3" t="s">
        <v>1926</v>
      </c>
      <c r="C103" s="12" t="n">
        <f aca="false">輸入與假設!D493</f>
        <v>121.98878600526</v>
      </c>
      <c r="D103" s="9" t="n">
        <f aca="false">輸入與假設!E493</f>
        <v>-1</v>
      </c>
      <c r="E103" s="12" t="n">
        <f aca="false">C103-$C$100</f>
        <v>-175.93621399474</v>
      </c>
    </row>
    <row r="104" customFormat="false" ht="15" hidden="false" customHeight="false" outlineLevel="1" collapsed="false">
      <c r="A104" s="3" t="s">
        <v>1927</v>
      </c>
      <c r="C104" s="12" t="n">
        <f aca="false">MIN(C101,C103)</f>
        <v>121.98878600526</v>
      </c>
      <c r="D104" s="12" t="n">
        <f aca="false">MAX(C101,C103)</f>
        <v>175.7683098576</v>
      </c>
    </row>
    <row r="105" customFormat="false" ht="15" hidden="false" customHeight="false" outlineLevel="1" collapsed="false">
      <c r="A105" s="3" t="s">
        <v>1928</v>
      </c>
      <c r="C105" s="16" t="n">
        <f aca="false">MIN(輸入與假設!$C$434,輸入與假設!$C$435)</f>
        <v>5</v>
      </c>
      <c r="D105" s="16" t="n">
        <f aca="false">MAX(輸入與假設!$C$434,輸入與假設!$C$435)</f>
        <v>6</v>
      </c>
    </row>
    <row r="106" customFormat="false" ht="15" hidden="false" customHeight="false" outlineLevel="1" collapsed="false">
      <c r="A106" s="3" t="s">
        <v>1929</v>
      </c>
      <c r="C106" s="12" t="n">
        <f aca="false">MIN(C48*IF(C30=1,0,輸入與假設!$C$432)+MAX(0,(C45*C105+C44*輸入與假設!$C$430-C40)/C41)*C42*IF(C30=1,1,1-輸入與假設!$C$432),C48*IF(C30=1,0,輸入與假設!$C$432)+MAX(0,(C45*D105+C44*輸入與假設!$C$430-C40)/C41)*C42*IF(C30=1,1,1-輸入與假設!$C$432))</f>
        <v>143.986680668302</v>
      </c>
      <c r="D106" s="12" t="n">
        <f aca="false">MAX(C48*IF(C30=1,0,輸入與假設!$C$432)+MAX(0,(C45*C105+C44*輸入與假設!$C$430-C40)/C41)*C42*IF(C30=1,1,1-輸入與假設!$C$432),C48*IF(C30=1,0,輸入與假設!$C$432)+MAX(0,(C45*D105+C44*輸入與假設!$C$430-C40)/C41)*C42*IF(C30=1,1,1-輸入與假設!$C$432))</f>
        <v>145.847691260205</v>
      </c>
      <c r="I106" s="6" t="s">
        <v>1930</v>
      </c>
    </row>
    <row r="107" customFormat="false" ht="15" hidden="false" customHeight="false" outlineLevel="1" collapsed="false">
      <c r="A107" s="3" t="s">
        <v>1931</v>
      </c>
      <c r="C107" s="12" t="n">
        <f aca="false">C43</f>
        <v>176.947325126092</v>
      </c>
      <c r="D107" s="9" t="n">
        <f aca="false">IF(AND((C43/MAX(輸入與假設!$C$366,0.01)-1)&gt;=輸入與假設!$C$457,$C$97&lt;輸入與假設!$C$458,$C$98&lt;=輸入與假設!$C$460),1,IF(OR((C43/MAX(輸入與假設!$C$366,0.01)-1)&lt;=輸入與假設!$C$459,AND($C$98&gt;輸入與假設!$C$460,(C43/MAX(輸入與假設!$C$366,0.01)-1)&lt;=輸入與假設!$C$461)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1932</v>
      </c>
      <c r="C108" s="12" t="n">
        <f aca="false">(C25+C28)/C29</f>
        <v>96.6478212185986</v>
      </c>
    </row>
    <row r="109" customFormat="false" ht="15" hidden="false" customHeight="false" outlineLevel="1" collapsed="false">
      <c r="A109" s="3" t="s">
        <v>1933</v>
      </c>
      <c r="C109" s="93" t="n">
        <v>210.441131161935</v>
      </c>
      <c r="D109" s="12" t="n">
        <f aca="false">C109-輸入與假設!D491</f>
        <v>34.6728213043348</v>
      </c>
      <c r="I109" s="6" t="s">
        <v>1934</v>
      </c>
    </row>
    <row r="110" customFormat="false" ht="15" hidden="false" customHeight="false" outlineLevel="1" collapsed="false">
      <c r="A110" s="3" t="s">
        <v>1935</v>
      </c>
      <c r="C110" s="93" t="n">
        <v>218.468205930035</v>
      </c>
      <c r="D110" s="12" t="n">
        <f aca="false">C110-輸入與假設!D492</f>
        <v>72.6205146698302</v>
      </c>
      <c r="I110" s="6" t="s">
        <v>1934</v>
      </c>
    </row>
    <row r="111" customFormat="false" ht="15" hidden="false" customHeight="false" outlineLevel="1" collapsed="false">
      <c r="A111" s="3" t="s">
        <v>1936</v>
      </c>
      <c r="C111" s="93" t="n">
        <v>219.806163306672</v>
      </c>
      <c r="D111" s="12" t="n">
        <f aca="false">C111-輸入與假設!D493</f>
        <v>97.817377301412</v>
      </c>
      <c r="I111" s="6" t="s">
        <v>1934</v>
      </c>
    </row>
    <row r="112" customFormat="false" ht="15" hidden="false" customHeight="false" outlineLevel="1" collapsed="false">
      <c r="A112" s="3" t="s">
        <v>1937</v>
      </c>
      <c r="C112" s="94" t="n">
        <v>0.1</v>
      </c>
      <c r="D112" s="93" t="n">
        <v>99.7171257573258</v>
      </c>
      <c r="I112" s="6" t="s">
        <v>1934</v>
      </c>
    </row>
    <row r="113" customFormat="false" ht="15" hidden="false" customHeight="false" outlineLevel="1" collapsed="false">
      <c r="A113" s="3" t="s">
        <v>1938</v>
      </c>
      <c r="C113" s="94" t="n">
        <v>0.5</v>
      </c>
      <c r="D113" s="93" t="n">
        <v>179.425429394197</v>
      </c>
      <c r="I113" s="6" t="s">
        <v>1934</v>
      </c>
    </row>
    <row r="114" customFormat="false" ht="15" hidden="false" customHeight="false" outlineLevel="1" collapsed="false">
      <c r="A114" s="3" t="s">
        <v>1939</v>
      </c>
      <c r="C114" s="93" t="n">
        <v>177.50952094517</v>
      </c>
      <c r="D114" s="95" t="n">
        <v>-1</v>
      </c>
      <c r="I114" s="6" t="s">
        <v>1934</v>
      </c>
    </row>
    <row r="115" customFormat="false" ht="15" hidden="false" customHeight="false" outlineLevel="1" collapsed="false">
      <c r="A115" s="3" t="s">
        <v>1940</v>
      </c>
      <c r="C115" s="93" t="n">
        <v>162.806005469643</v>
      </c>
      <c r="D115" s="95" t="n">
        <v>-1</v>
      </c>
      <c r="I115" s="6" t="s">
        <v>1934</v>
      </c>
    </row>
    <row r="116" customFormat="false" ht="15" hidden="false" customHeight="false" outlineLevel="1" collapsed="false">
      <c r="A116" s="3" t="s">
        <v>1941</v>
      </c>
      <c r="C116" s="93" t="n">
        <v>151.386885387151</v>
      </c>
      <c r="D116" s="95" t="n">
        <v>-1</v>
      </c>
      <c r="I116" s="6" t="s">
        <v>1934</v>
      </c>
    </row>
    <row r="117" customFormat="false" ht="15" hidden="false" customHeight="false" outlineLevel="1" collapsed="false">
      <c r="A117" s="3" t="s">
        <v>1942</v>
      </c>
      <c r="C117" s="93" t="n">
        <v>158.875384061858</v>
      </c>
      <c r="D117" s="95" t="n">
        <v>-1</v>
      </c>
      <c r="I117" s="6" t="s">
        <v>1934</v>
      </c>
    </row>
    <row r="118" customFormat="false" ht="15" hidden="false" customHeight="false" outlineLevel="1" collapsed="false">
      <c r="A118" s="3" t="s">
        <v>1943</v>
      </c>
      <c r="C118" s="93" t="n">
        <v>135.688177582827</v>
      </c>
      <c r="D118" s="95" t="n">
        <v>-1</v>
      </c>
      <c r="I118" s="6" t="s">
        <v>1934</v>
      </c>
    </row>
    <row r="119" customFormat="false" ht="15" hidden="false" customHeight="false" outlineLevel="1" collapsed="false">
      <c r="A119" s="3" t="s">
        <v>1944</v>
      </c>
      <c r="C119" s="93" t="n">
        <v>180.990187941796</v>
      </c>
      <c r="D119" s="95" t="n">
        <v>-1</v>
      </c>
      <c r="I119" s="6" t="s">
        <v>1934</v>
      </c>
    </row>
    <row r="120" customFormat="false" ht="15" hidden="false" customHeight="false" outlineLevel="1" collapsed="false">
      <c r="A120" s="3" t="s">
        <v>1945</v>
      </c>
      <c r="C120" s="93" t="n">
        <v>161.174203180384</v>
      </c>
      <c r="D120" s="95" t="n">
        <v>-1</v>
      </c>
      <c r="I120" s="6" t="s">
        <v>1934</v>
      </c>
    </row>
    <row r="121" customFormat="false" ht="15" hidden="false" customHeight="false" outlineLevel="1" collapsed="false">
      <c r="A121" s="3" t="s">
        <v>1946</v>
      </c>
      <c r="C121" s="93" t="n">
        <v>232.523157241583</v>
      </c>
      <c r="D121" s="95" t="n">
        <v>-1</v>
      </c>
      <c r="I121" s="6" t="s">
        <v>1934</v>
      </c>
    </row>
    <row r="122" customFormat="false" ht="15" hidden="false" customHeight="false" outlineLevel="1" collapsed="false">
      <c r="A122" s="3" t="s">
        <v>1947</v>
      </c>
      <c r="C122" s="94" t="n">
        <v>0.0565337451254573</v>
      </c>
      <c r="D122" s="94" t="n">
        <v>0.00293865564510273</v>
      </c>
      <c r="I122" s="6" t="s">
        <v>1934</v>
      </c>
    </row>
    <row r="123" customFormat="false" ht="15" hidden="false" customHeight="false" outlineLevel="1" collapsed="false">
      <c r="A123" s="4" t="s">
        <v>1948</v>
      </c>
      <c r="C123" s="44" t="n">
        <v>177.103174089711</v>
      </c>
      <c r="D123" s="44" t="n">
        <v>175.7683098576</v>
      </c>
      <c r="E123" s="44" t="n">
        <v>169.530490574744</v>
      </c>
      <c r="I123" s="6" t="s">
        <v>1949</v>
      </c>
    </row>
    <row r="124" customFormat="false" ht="15" hidden="false" customHeight="false" outlineLevel="1" collapsed="false">
      <c r="A124" s="4" t="s">
        <v>1950</v>
      </c>
      <c r="C124" s="44" t="n">
        <v>145.344555864254</v>
      </c>
      <c r="D124" s="44" t="n">
        <v>145.847691260205</v>
      </c>
      <c r="E124" s="44" t="n">
        <v>150.33001216264</v>
      </c>
    </row>
    <row r="125" customFormat="false" ht="15" hidden="false" customHeight="false" outlineLevel="1" collapsed="false">
      <c r="A125" s="4" t="s">
        <v>1951</v>
      </c>
      <c r="C125" s="44" t="n">
        <v>120.079820458633</v>
      </c>
      <c r="D125" s="44" t="n">
        <v>121.98878600526</v>
      </c>
      <c r="E125" s="44" t="n">
        <v>134.245381702852</v>
      </c>
    </row>
    <row r="126" customFormat="false" ht="15" hidden="false" customHeight="false" outlineLevel="1" collapsed="false">
      <c r="A126" s="3" t="s">
        <v>1952</v>
      </c>
      <c r="C126" s="3" t="str">
        <f aca="false">"目標價 $"&amp;TEXT(C51,"0.0")&amp;"（情境區間 $"&amp;TEXT(C104,"0.0")&amp;"–$"&amp;TEXT(D104,"0.0")&amp;"）"</f>
        <v>目標價 $145.8（情境區間 $122.0–$175.8）</v>
      </c>
    </row>
    <row r="127" customFormat="false" ht="15" hidden="false" customHeight="false" outlineLevel="1" collapsed="false">
      <c r="A127" s="3" t="s">
        <v>1953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1954</v>
      </c>
      <c r="C128" s="3" t="str">
        <f aca="false">IF(ABS(輸入與假設!$C$399-D105)&lt;0.000000001,"目前點位位於方法區間上緣（"&amp;IF(D105=INT(D105),TEXT(D105,"0"),TEXT(D105,"0.0"))&amp;"x 為穩態倍數上緣）",IF(ABS(輸入與假設!$C$399-C105)&lt;0.000000001,"目前點位位於方法區間下緣（"&amp;IF(C105=INT(C105),TEXT(C105,"0"),TEXT(C105,"0.0"))&amp;"x）","目前點位"&amp;IF(AND(輸入與假設!$C$399&gt;C105,輸入與假設!$C$399&lt;D105),"位於方法區間內",IF(輸入與假設!$C$399&gt;D105,"高於方法區間上緣","低於方法區間下緣"))&amp;"（目前倍數 "&amp;IF(輸入與假設!$C$399=INT(輸入與假設!$C$399),TEXT(輸入與假設!$C$399,"0"),TEXT(輸入與假設!$C$399,"0.0"))&amp;"x）"))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1955</v>
      </c>
      <c r="C129" s="3" t="str">
        <f aca="false">IF(D104&lt;輸入與假設!$C$366,"情境區間上緣 $"&amp;TEXT(D104,"0.0")&amp;" 低於現價 $"&amp;TEXT(輸入與假設!$C$366,"0.00")&amp;IF((D101&lt;&gt;-1)+(D102&lt;&gt;-1)+(D103&lt;&gt;-1)&gt;0,"，但"&amp;SUBSTITUTE(TRIM(IF(D101&lt;&gt;-1,"保守","")&amp;"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$"&amp;TEXT(輸入與假設!$C$366,"0.00")&amp;"：賣出並非在三個擴張情境下都成立")&amp;"。"&amp;IF(ABS(E101)&lt;輸入與假設!$C$462*輸入與假設!$C$366,"保守情境 $"&amp;TEXT(C101,"0.0")&amp;"，"&amp;IF(E101&lt;0,"距賣出門檻","高於賣出門檻")&amp;" $"&amp;TEXT($C$100,"0.0")&amp;" 僅 $"&amp;TEXT(ABS(E101),"0.0")&amp;"。","")&amp;IF(ABS(E102)&lt;輸入與假設!$C$462*輸入與假設!$C$366,"基準情境 $"&amp;TEXT(C102,"0.0")&amp;"，"&amp;IF(E102&lt;0,"距賣出門檻","高於賣出門檻")&amp;" $"&amp;TEXT($C$100,"0.0")&amp;" 僅 $"&amp;TEXT(ABS(E102),"0.0")&amp;"。","")&amp;IF(ABS(E103)&lt;輸入與假設!$C$462*輸入與假設!$C$366,"積極情境 $"&amp;TEXT(C103,"0.0")&amp;"，"&amp;IF(E103&lt;0,"距賣出門檻","高於賣出門檻")&amp;" $"&amp;TEXT($C$100,"0.0")&amp;" 僅 $"&amp;TEXT(ABS(E103),"0.0")&amp;"。","")</f>
        <v>情境區間上緣 $175.8 低於現價 $350.50：賣出在三個擴張情境下都成立。</v>
      </c>
    </row>
    <row r="131" customFormat="false" ht="15" hidden="false" customHeight="false" outlineLevel="0" collapsed="false">
      <c r="A131" s="52" t="s">
        <v>1956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1957</v>
      </c>
      <c r="B132" s="14" t="s">
        <v>1958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1959</v>
      </c>
    </row>
    <row r="133" customFormat="false" ht="15" hidden="false" customHeight="false" outlineLevel="1" collapsed="false">
      <c r="A133" s="3" t="s">
        <v>1960</v>
      </c>
      <c r="B133" s="96" t="n">
        <v>3.4</v>
      </c>
      <c r="C133" s="12" t="n">
        <f aca="false">MAX(0,((INDEX(損益!$D$22:$G$22,1,1)-INDEX(輸入與假設!$D$241:$G$241,1,1))*$B133+INDEX(輸入與假設!$D$241:$G$241,1,1)*輸入與假設!$C$430-(INDEX(各期收支!$D$102:$G$102,1,1)-INDEX(各期收支!$D$56:$G$56,1,1)+評價_DCF與目標價!$C$92))/INDEX(損益!$D$24:$G$24,1,1))/(1+輸入與假設!$C$393)^(1-輸入與假設!$C$451)</f>
        <v>174.050993075586</v>
      </c>
      <c r="D133" s="12" t="n">
        <f aca="false">MAX(0,((INDEX(損益!$D$22:$G$22,1,2)-INDEX(輸入與假設!$D$241:$G$241,1,2))*$B133+INDEX(輸入與假設!$D$241:$G$241,1,2)*輸入與假設!$C$430-(INDEX(各期收支!$D$102:$G$102,1,2)-INDEX(各期收支!$D$56:$G$56,1,2)+評價_DCF與目標價!$C$92))/INDEX(損益!$D$24:$G$24,1,2))/(1+輸入與假設!$C$393)^(2-輸入與假設!$C$451)</f>
        <v>172.095216836834</v>
      </c>
      <c r="E133" s="12" t="n">
        <f aca="false">MAX(0,((INDEX(損益!$D$22:$G$22,1,3)-INDEX(輸入與假設!$D$241:$G$241,1,3))*$B133+INDEX(輸入與假設!$D$241:$G$241,1,3)*輸入與假設!$C$430-(INDEX(各期收支!$D$102:$G$102,1,3)-INDEX(各期收支!$D$56:$G$56,1,3)+評價_DCF與目標價!$C$92))/INDEX(損益!$D$24:$G$24,1,3))/(1+輸入與假設!$C$393)^(3-輸入與假設!$C$451)</f>
        <v>168.149820509826</v>
      </c>
      <c r="F133" s="12" t="n">
        <f aca="false">MAX(0,((INDEX(損益!$D$22:$G$22,1,4)-INDEX(輸入與假設!$D$241:$G$241,1,4))*$B133+INDEX(輸入與假設!$D$241:$G$241,1,4)*輸入與假設!$C$430-(INDEX(各期收支!$D$102:$G$102,1,4)-INDEX(各期收支!$D$56:$G$56,1,4)+評價_DCF與目標價!$C$92))/INDEX(損益!$D$24:$G$24,1,4))/(1+輸入與假設!$C$393)^(4-輸入與假設!$C$451)</f>
        <v>155.341332905028</v>
      </c>
    </row>
    <row r="134" customFormat="false" ht="15" hidden="false" customHeight="false" outlineLevel="1" collapsed="false">
      <c r="A134" s="3" t="s">
        <v>1961</v>
      </c>
      <c r="B134" s="96" t="n">
        <v>4.5</v>
      </c>
      <c r="C134" s="12" t="n">
        <f aca="false">MAX(0,((INDEX(損益!$D$22:$G$22,1,1)-INDEX(輸入與假設!$D$241:$G$241,1,1))*$B134+INDEX(輸入與假設!$D$241:$G$241,1,1)*輸入與假設!$C$430-(INDEX(各期收支!$D$102:$G$102,1,1)-INDEX(各期收支!$D$56:$G$56,1,1)+評價_DCF與目標價!$C$92))/INDEX(損益!$D$24:$G$24,1,1))/(1+輸入與假設!$C$393)^(1-輸入與假設!$C$451)</f>
        <v>175.806249929557</v>
      </c>
      <c r="D134" s="12" t="n">
        <f aca="false">MAX(0,((INDEX(損益!$D$22:$G$22,1,2)-INDEX(輸入與假設!$D$241:$G$241,1,2))*$B134+INDEX(輸入與假設!$D$241:$G$241,1,2)*輸入與假設!$C$430-(INDEX(各期收支!$D$102:$G$102,1,2)-INDEX(各期收支!$D$56:$G$56,1,2)+評價_DCF與目標價!$C$92))/INDEX(損益!$D$24:$G$24,1,2))/(1+輸入與假設!$C$393)^(2-輸入與假設!$C$451)</f>
        <v>174.755840463087</v>
      </c>
      <c r="E134" s="12" t="n">
        <f aca="false">MAX(0,((INDEX(損益!$D$22:$G$22,1,3)-INDEX(輸入與假設!$D$241:$G$241,1,3))*$B134+INDEX(輸入與假設!$D$241:$G$241,1,3)*輸入與假設!$C$430-(INDEX(各期收支!$D$102:$G$102,1,3)-INDEX(各期收支!$D$56:$G$56,1,3)+評價_DCF與目標價!$C$92))/INDEX(損益!$D$24:$G$24,1,3))/(1+輸入與假設!$C$393)^(3-輸入與假設!$C$451)</f>
        <v>171.871841693631</v>
      </c>
      <c r="F134" s="12" t="n">
        <f aca="false">MAX(0,((INDEX(損益!$D$22:$G$22,1,4)-INDEX(輸入與假設!$D$241:$G$241,1,4))*$B134+INDEX(輸入與假設!$D$241:$G$241,1,4)*輸入與假設!$C$430-(INDEX(各期收支!$D$102:$G$102,1,4)-INDEX(各期收支!$D$56:$G$56,1,4)+評價_DCF與目標價!$C$92))/INDEX(損益!$D$24:$G$24,1,4))/(1+輸入與假設!$C$393)^(4-輸入與假設!$C$451)</f>
        <v>159.846803815195</v>
      </c>
    </row>
    <row r="135" customFormat="false" ht="15" hidden="false" customHeight="false" outlineLevel="1" collapsed="false">
      <c r="A135" s="3" t="s">
        <v>1962</v>
      </c>
      <c r="B135" s="96" t="n">
        <v>5</v>
      </c>
      <c r="C135" s="12" t="n">
        <f aca="false">MAX(0,((INDEX(損益!$D$22:$G$22,1,1)-INDEX(輸入與假設!$D$241:$G$241,1,1))*$B135+INDEX(輸入與假設!$D$241:$G$241,1,1)*輸入與假設!$C$430-(INDEX(各期收支!$D$102:$G$102,1,1)-INDEX(各期收支!$D$56:$G$56,1,1)+評價_DCF與目標價!$C$92))/INDEX(損益!$D$24:$G$24,1,1))/(1+輸入與假設!$C$393)^(1-輸入與假設!$C$451)</f>
        <v>176.604093954089</v>
      </c>
      <c r="D135" s="12" t="n">
        <f aca="false">MAX(0,((INDEX(損益!$D$22:$G$22,1,2)-INDEX(輸入與假設!$D$241:$G$241,1,2))*$B135+INDEX(輸入與假設!$D$241:$G$241,1,2)*輸入與假設!$C$430-(INDEX(各期收支!$D$102:$G$102,1,2)-INDEX(各期收支!$D$56:$G$56,1,2)+評價_DCF與目標價!$C$92))/INDEX(損益!$D$24:$G$24,1,2))/(1+輸入與假設!$C$393)^(2-輸入與假設!$C$451)</f>
        <v>175.965214838657</v>
      </c>
      <c r="E135" s="12" t="n">
        <f aca="false">MAX(0,((INDEX(損益!$D$22:$G$22,1,3)-INDEX(輸入與假設!$D$241:$G$241,1,3))*$B135+INDEX(輸入與假設!$D$241:$G$241,1,3)*輸入與假設!$C$430-(INDEX(各期收支!$D$102:$G$102,1,3)-INDEX(各期收支!$D$56:$G$56,1,3)+評價_DCF與目標價!$C$92))/INDEX(損益!$D$24:$G$24,1,3))/(1+輸入與假設!$C$393)^(3-輸入與假設!$C$451)</f>
        <v>173.563669504451</v>
      </c>
      <c r="F135" s="12" t="n">
        <f aca="false">MAX(0,((INDEX(損益!$D$22:$G$22,1,4)-INDEX(輸入與假設!$D$241:$G$241,1,4))*$B135+INDEX(輸入與假設!$D$241:$G$241,1,4)*輸入與假設!$C$430-(INDEX(各期收支!$D$102:$G$102,1,4)-INDEX(各期收支!$D$56:$G$56,1,4)+評價_DCF與目標價!$C$92))/INDEX(損益!$D$24:$G$24,1,4))/(1+輸入與假設!$C$393)^(4-輸入與假設!$C$451)</f>
        <v>161.894745137998</v>
      </c>
    </row>
    <row r="136" customFormat="false" ht="15" hidden="false" customHeight="false" outlineLevel="1" collapsed="false">
      <c r="A136" s="3" t="s">
        <v>1963</v>
      </c>
      <c r="B136" s="96" t="n">
        <v>6</v>
      </c>
      <c r="C136" s="12" t="n">
        <f aca="false">MAX(0,((INDEX(損益!$D$22:$G$22,1,1)-INDEX(輸入與假設!$D$241:$G$241,1,1))*$B136+INDEX(輸入與假設!$D$241:$G$241,1,1)*輸入與假設!$C$430-(INDEX(各期收支!$D$102:$G$102,1,1)-INDEX(各期收支!$D$56:$G$56,1,1)+評價_DCF與目標價!$C$92))/INDEX(損益!$D$24:$G$24,1,1))/(1+輸入與假設!$C$393)^(1-輸入與假設!$C$451)</f>
        <v>178.199782003153</v>
      </c>
      <c r="D136" s="12" t="n">
        <f aca="false">MAX(0,((INDEX(損益!$D$22:$G$22,1,2)-INDEX(輸入與假設!$D$241:$G$241,1,2))*$B136+INDEX(輸入與假設!$D$241:$G$241,1,2)*輸入與假設!$C$430-(INDEX(各期收支!$D$102:$G$102,1,2)-INDEX(各期收支!$D$56:$G$56,1,2)+評價_DCF與目標價!$C$92))/INDEX(損益!$D$24:$G$24,1,2))/(1+輸入與假設!$C$393)^(2-輸入與假設!$C$451)</f>
        <v>178.383963589795</v>
      </c>
      <c r="E136" s="12" t="n">
        <f aca="false">MAX(0,((INDEX(損益!$D$22:$G$22,1,3)-INDEX(輸入與假設!$D$241:$G$241,1,3))*$B136+INDEX(輸入與假設!$D$241:$G$241,1,3)*輸入與假設!$C$430-(INDEX(各期收支!$D$102:$G$102,1,3)-INDEX(各期收支!$D$56:$G$56,1,3)+評價_DCF與目標價!$C$92))/INDEX(損益!$D$24:$G$24,1,3))/(1+輸入與假設!$C$393)^(3-輸入與假設!$C$451)</f>
        <v>176.947325126092</v>
      </c>
      <c r="F136" s="12" t="n">
        <f aca="false">MAX(0,((INDEX(損益!$D$22:$G$22,1,4)-INDEX(輸入與假設!$D$241:$G$241,1,4))*$B136+INDEX(輸入與假設!$D$241:$G$241,1,4)*輸入與假設!$C$430-(INDEX(各期收支!$D$102:$G$102,1,4)-INDEX(各期收支!$D$56:$G$56,1,4)+評價_DCF與目標價!$C$92))/INDEX(損益!$D$24:$G$24,1,4))/(1+輸入與假設!$C$393)^(4-輸入與假設!$C$451)</f>
        <v>165.990627783605</v>
      </c>
    </row>
    <row r="137" customFormat="false" ht="15" hidden="false" customHeight="false" outlineLevel="1" collapsed="false">
      <c r="A137" s="3" t="s">
        <v>1964</v>
      </c>
      <c r="B137" s="96" t="n">
        <v>7</v>
      </c>
      <c r="C137" s="12" t="n">
        <f aca="false">MAX(0,((INDEX(損益!$D$22:$G$22,1,1)-INDEX(輸入與假設!$D$241:$G$241,1,1))*$B137+INDEX(輸入與假設!$D$241:$G$241,1,1)*輸入與假設!$C$430-(INDEX(各期收支!$D$102:$G$102,1,1)-INDEX(各期收支!$D$56:$G$56,1,1)+評價_DCF與目標價!$C$92))/INDEX(損益!$D$24:$G$24,1,1))/(1+輸入與假設!$C$393)^(1-輸入與假設!$C$451)</f>
        <v>179.795470052217</v>
      </c>
      <c r="D137" s="12" t="n">
        <f aca="false">MAX(0,((INDEX(損益!$D$22:$G$22,1,2)-INDEX(輸入與假設!$D$241:$G$241,1,2))*$B137+INDEX(輸入與假設!$D$241:$G$241,1,2)*輸入與假設!$C$430-(INDEX(各期收支!$D$102:$G$102,1,2)-INDEX(各期收支!$D$56:$G$56,1,2)+評價_DCF與目標價!$C$92))/INDEX(損益!$D$24:$G$24,1,2))/(1+輸入與假設!$C$393)^(2-輸入與假設!$C$451)</f>
        <v>180.802712340934</v>
      </c>
      <c r="E137" s="12" t="n">
        <f aca="false">MAX(0,((INDEX(損益!$D$22:$G$22,1,3)-INDEX(輸入與假設!$D$241:$G$241,1,3))*$B137+INDEX(輸入與假設!$D$241:$G$241,1,3)*輸入與假設!$C$430-(INDEX(各期收支!$D$102:$G$102,1,3)-INDEX(各期收支!$D$56:$G$56,1,3)+評價_DCF與目標價!$C$92))/INDEX(損益!$D$24:$G$24,1,3))/(1+輸入與假設!$C$393)^(3-輸入與假設!$C$451)</f>
        <v>180.330980747732</v>
      </c>
      <c r="F137" s="12" t="n">
        <f aca="false">MAX(0,((INDEX(損益!$D$22:$G$22,1,4)-INDEX(輸入與假設!$D$241:$G$241,1,4))*$B137+INDEX(輸入與假設!$D$241:$G$241,1,4)*輸入與假設!$C$430-(INDEX(各期收支!$D$102:$G$102,1,4)-INDEX(各期收支!$D$56:$G$56,1,4)+評價_DCF與目標價!$C$92))/INDEX(損益!$D$24:$G$24,1,4))/(1+輸入與假設!$C$393)^(4-輸入與假設!$C$451)</f>
        <v>170.086510429211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1965</v>
      </c>
      <c r="B139" s="14" t="s">
        <v>1958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1966</v>
      </c>
      <c r="B140" s="96" t="n">
        <v>3.4</v>
      </c>
      <c r="C140" s="12" t="n">
        <f aca="false">C48*IF(C30=1,0,輸入與假設!$C$432)+C133*IF(C30=1,1,1-輸入與假設!$C$432)</f>
        <v>144.254708632427</v>
      </c>
      <c r="D140" s="12" t="n">
        <f aca="false">C48*IF(C30=1,0,輸入與假設!$C$432)+D133*IF(C30=1,1,1-輸入與假設!$C$432)</f>
        <v>143.179031701113</v>
      </c>
      <c r="E140" s="12" t="n">
        <f aca="false">C48*IF(C30=1,0,輸入與假設!$C$432)+E133*IF(C30=1,1,1-輸入與假設!$C$432)</f>
        <v>141.009063721259</v>
      </c>
      <c r="F140" s="12" t="n">
        <f aca="false">C48*IF(C30=1,0,輸入與假設!$C$432)+F133*IF(C30=1,1,1-輸入與假設!$C$432)</f>
        <v>133.964395538619</v>
      </c>
    </row>
    <row r="141" customFormat="false" ht="15" hidden="false" customHeight="false" outlineLevel="1" collapsed="false">
      <c r="A141" s="3" t="s">
        <v>1967</v>
      </c>
      <c r="B141" s="96" t="n">
        <v>4.5</v>
      </c>
      <c r="C141" s="12" t="n">
        <f aca="false">C48*IF(C30=1,0,輸入與假設!$C$432)+C134*IF(C30=1,1,1-輸入與假設!$C$432)</f>
        <v>145.22009990211</v>
      </c>
      <c r="D141" s="12" t="n">
        <f aca="false">C48*IF(C30=1,0,輸入與假設!$C$432)+D134*IF(C30=1,1,1-輸入與假設!$C$432)</f>
        <v>144.642374695552</v>
      </c>
      <c r="E141" s="12" t="n">
        <f aca="false">C48*IF(C30=1,0,輸入與假設!$C$432)+E134*IF(C30=1,1,1-輸入與假設!$C$432)</f>
        <v>143.056175372351</v>
      </c>
      <c r="F141" s="12" t="n">
        <f aca="false">C48*IF(C30=1,0,輸入與假設!$C$432)+F134*IF(C30=1,1,1-輸入與假設!$C$432)</f>
        <v>136.442404539211</v>
      </c>
    </row>
    <row r="142" customFormat="false" ht="15" hidden="false" customHeight="false" outlineLevel="1" collapsed="false">
      <c r="A142" s="3" t="s">
        <v>1968</v>
      </c>
      <c r="B142" s="96" t="n">
        <v>5</v>
      </c>
      <c r="C142" s="12" t="n">
        <f aca="false">C48*IF(C30=1,0,輸入與假設!$C$432)+C135*IF(C30=1,1,1-輸入與假設!$C$432)</f>
        <v>145.658914115603</v>
      </c>
      <c r="D142" s="12" t="n">
        <f aca="false">C48*IF(C30=1,0,輸入與假設!$C$432)+D135*IF(C30=1,1,1-輸入與假設!$C$432)</f>
        <v>145.307530602115</v>
      </c>
      <c r="E142" s="12" t="n">
        <f aca="false">C48*IF(C30=1,0,輸入與假設!$C$432)+E135*IF(C30=1,1,1-輸入與假設!$C$432)</f>
        <v>143.986680668302</v>
      </c>
      <c r="F142" s="12" t="n">
        <f aca="false">C48*IF(C30=1,0,輸入與假設!$C$432)+F135*IF(C30=1,1,1-輸入與假設!$C$432)</f>
        <v>137.568772266753</v>
      </c>
    </row>
    <row r="143" customFormat="false" ht="15" hidden="false" customHeight="false" outlineLevel="1" collapsed="false">
      <c r="A143" s="3" t="s">
        <v>1969</v>
      </c>
      <c r="B143" s="96" t="n">
        <v>6</v>
      </c>
      <c r="C143" s="12" t="n">
        <f aca="false">C48*IF(C30=1,0,輸入與假設!$C$432)+C136*IF(C30=1,1,1-輸入與假設!$C$432)</f>
        <v>146.536542542588</v>
      </c>
      <c r="D143" s="12" t="n">
        <f aca="false">C48*IF(C30=1,0,輸入與假設!$C$432)+D136*IF(C30=1,1,1-輸入與假設!$C$432)</f>
        <v>146.637842415242</v>
      </c>
      <c r="E143" s="12" t="n">
        <f aca="false">C48*IF(C30=1,0,輸入與假設!$C$432)+E136*IF(C30=1,1,1-輸入與假設!$C$432)</f>
        <v>145.847691260205</v>
      </c>
      <c r="F143" s="12" t="n">
        <f aca="false">C48*IF(C30=1,0,輸入與假設!$C$432)+F136*IF(C30=1,1,1-輸入與假設!$C$432)</f>
        <v>139.821507721837</v>
      </c>
    </row>
    <row r="144" customFormat="false" ht="15" hidden="false" customHeight="false" outlineLevel="1" collapsed="false">
      <c r="A144" s="3" t="s">
        <v>1970</v>
      </c>
      <c r="B144" s="96" t="n">
        <v>7</v>
      </c>
      <c r="C144" s="12" t="n">
        <f aca="false">C48*IF(C30=1,0,輸入與假設!$C$432)+C137*IF(C30=1,1,1-輸入與假設!$C$432)</f>
        <v>147.414170969573</v>
      </c>
      <c r="D144" s="12" t="n">
        <f aca="false">C48*IF(C30=1,0,輸入與假設!$C$432)+D137*IF(C30=1,1,1-輸入與假設!$C$432)</f>
        <v>147.968154228368</v>
      </c>
      <c r="E144" s="12" t="n">
        <f aca="false">C48*IF(C30=1,0,輸入與假設!$C$432)+E137*IF(C30=1,1,1-輸入與假設!$C$432)</f>
        <v>147.708701852107</v>
      </c>
      <c r="F144" s="12" t="n">
        <f aca="false">C48*IF(C30=1,0,輸入與假設!$C$432)+F137*IF(C30=1,1,1-輸入與假設!$C$432)</f>
        <v>142.07424317692</v>
      </c>
    </row>
  </sheetData>
  <conditionalFormatting sqref="C133:F137">
    <cfRule type="cellIs" priority="2" operator="greaterThanOrEqual" aboveAverage="0" equalAverage="0" bottom="0" percent="0" rank="0" text="" dxfId="0">
      <formula>輸入與假設!$C$366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輸入與假設!$C$366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1971</v>
      </c>
    </row>
    <row r="2" customFormat="false" ht="15" hidden="false" customHeight="false" outlineLevel="0" collapsed="false">
      <c r="A2" s="6" t="s">
        <v>1972</v>
      </c>
    </row>
    <row r="4" customFormat="false" ht="15" hidden="false" customHeight="false" outlineLevel="0" collapsed="false">
      <c r="A4" s="52" t="s">
        <v>1973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1860</v>
      </c>
      <c r="B5" s="97" t="n">
        <f aca="false">輸入與假設!$C$366</f>
        <v>350.5</v>
      </c>
    </row>
    <row r="6" customFormat="false" ht="15" hidden="false" customHeight="false" outlineLevel="1" collapsed="false">
      <c r="A6" s="3" t="s">
        <v>1974</v>
      </c>
      <c r="B6" s="97" t="n">
        <f aca="false">評價_DCF與目標價!C26</f>
        <v>96.6478212185986</v>
      </c>
    </row>
    <row r="7" customFormat="false" ht="15" hidden="false" customHeight="false" outlineLevel="1" collapsed="false">
      <c r="A7" s="2" t="s">
        <v>1975</v>
      </c>
      <c r="B7" s="91" t="n">
        <f aca="false">B6-B5</f>
        <v>-253.852178781401</v>
      </c>
    </row>
    <row r="8" customFormat="false" ht="15" hidden="false" customHeight="false" outlineLevel="1" collapsed="false">
      <c r="A8" s="3" t="s">
        <v>1976</v>
      </c>
      <c r="B8" s="98" t="n">
        <f aca="false">輸入與假設!$C$32</f>
        <v>1</v>
      </c>
      <c r="C8" s="98" t="n">
        <f aca="false">輸入與假設!$C$269</f>
        <v>1</v>
      </c>
    </row>
    <row r="10" customFormat="false" ht="15" hidden="false" customHeight="false" outlineLevel="0" collapsed="false">
      <c r="A10" s="52" t="s">
        <v>1977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1978</v>
      </c>
    </row>
    <row r="12" customFormat="false" ht="15" hidden="false" customHeight="false" outlineLevel="1" collapsed="false">
      <c r="A12" s="6" t="s">
        <v>1979</v>
      </c>
    </row>
    <row r="13" customFormat="false" ht="15" hidden="false" customHeight="false" outlineLevel="1" collapsed="false">
      <c r="A13" s="6" t="s">
        <v>1980</v>
      </c>
    </row>
    <row r="14" customFormat="false" ht="15" hidden="false" customHeight="false" outlineLevel="1" collapsed="false">
      <c r="A14" s="6" t="s">
        <v>1981</v>
      </c>
    </row>
    <row r="16" customFormat="false" ht="15" hidden="false" customHeight="false" outlineLevel="0" collapsed="false">
      <c r="A16" s="52" t="s">
        <v>1982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1983</v>
      </c>
      <c r="B17" s="14" t="s">
        <v>1984</v>
      </c>
      <c r="C17" s="14" t="s">
        <v>1985</v>
      </c>
      <c r="D17" s="14" t="s">
        <v>1986</v>
      </c>
      <c r="G17" s="14" t="s">
        <v>1987</v>
      </c>
    </row>
    <row r="18" customFormat="false" ht="15" hidden="false" customHeight="false" outlineLevel="1" collapsed="false">
      <c r="A18" s="4" t="s">
        <v>1988</v>
      </c>
      <c r="B18" s="99" t="n">
        <v>13.1035</v>
      </c>
      <c r="C18" s="100" t="s">
        <v>1989</v>
      </c>
      <c r="D18" s="62" t="s">
        <v>1989</v>
      </c>
      <c r="G18" s="11" t="s">
        <v>1990</v>
      </c>
    </row>
    <row r="19" customFormat="false" ht="15" hidden="false" customHeight="false" outlineLevel="1" collapsed="false">
      <c r="A19" s="3" t="s">
        <v>1991</v>
      </c>
      <c r="B19" s="99" t="n">
        <v>48.3559</v>
      </c>
      <c r="C19" s="100" t="s">
        <v>1989</v>
      </c>
      <c r="D19" s="62" t="s">
        <v>1989</v>
      </c>
      <c r="G19" s="11" t="s">
        <v>1992</v>
      </c>
    </row>
    <row r="20" customFormat="false" ht="15" hidden="false" customHeight="false" outlineLevel="1" collapsed="false">
      <c r="A20" s="3" t="s">
        <v>528</v>
      </c>
      <c r="B20" s="60" t="n">
        <v>0.765</v>
      </c>
      <c r="C20" s="62" t="s">
        <v>1989</v>
      </c>
      <c r="D20" s="62" t="s">
        <v>1989</v>
      </c>
      <c r="G20" s="11" t="s">
        <v>1993</v>
      </c>
    </row>
    <row r="21" customFormat="false" ht="15" hidden="false" customHeight="false" outlineLevel="1" collapsed="false">
      <c r="A21" s="3" t="s">
        <v>1994</v>
      </c>
      <c r="B21" s="99" t="n">
        <v>13.1035</v>
      </c>
      <c r="C21" s="100" t="s">
        <v>1989</v>
      </c>
      <c r="D21" s="62" t="s">
        <v>1989</v>
      </c>
      <c r="G21" s="6" t="s">
        <v>1995</v>
      </c>
    </row>
    <row r="23" customFormat="false" ht="15" hidden="false" customHeight="false" outlineLevel="0" collapsed="false">
      <c r="A23" s="52" t="s">
        <v>1996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1997</v>
      </c>
      <c r="B24" s="101" t="n">
        <v>0.35</v>
      </c>
      <c r="C24" s="101" t="n">
        <v>0.47</v>
      </c>
      <c r="D24" s="101" t="n">
        <v>0.59</v>
      </c>
      <c r="E24" s="101" t="n">
        <v>0.7</v>
      </c>
      <c r="I24" s="6" t="s">
        <v>1998</v>
      </c>
    </row>
    <row r="25" customFormat="false" ht="15" hidden="false" customHeight="false" outlineLevel="1" collapsed="false">
      <c r="A25" s="4" t="s">
        <v>1999</v>
      </c>
      <c r="B25" s="99" t="s">
        <v>1542</v>
      </c>
      <c r="C25" s="99" t="s">
        <v>1542</v>
      </c>
      <c r="D25" s="99" t="s">
        <v>1542</v>
      </c>
      <c r="E25" s="99" t="s">
        <v>1542</v>
      </c>
    </row>
    <row r="26" customFormat="false" ht="15" hidden="false" customHeight="false" outlineLevel="1" collapsed="false">
      <c r="A26" s="4" t="s">
        <v>2000</v>
      </c>
      <c r="B26" s="99" t="s">
        <v>1542</v>
      </c>
      <c r="C26" s="99" t="s">
        <v>1542</v>
      </c>
      <c r="D26" s="99" t="s">
        <v>1542</v>
      </c>
      <c r="E26" s="99" t="s">
        <v>1542</v>
      </c>
    </row>
    <row r="27" customFormat="false" ht="15" hidden="false" customHeight="false" outlineLevel="1" collapsed="false">
      <c r="A27" s="4" t="s">
        <v>2001</v>
      </c>
      <c r="B27" s="99" t="s">
        <v>1542</v>
      </c>
      <c r="C27" s="99" t="s">
        <v>1542</v>
      </c>
      <c r="D27" s="99" t="s">
        <v>1542</v>
      </c>
      <c r="E27" s="99" t="s">
        <v>1542</v>
      </c>
    </row>
    <row r="28" customFormat="false" ht="15" hidden="false" customHeight="false" outlineLevel="1" collapsed="false">
      <c r="A28" s="4" t="s">
        <v>2002</v>
      </c>
      <c r="B28" s="99" t="s">
        <v>1542</v>
      </c>
      <c r="C28" s="99" t="s">
        <v>1542</v>
      </c>
      <c r="D28" s="99" t="s">
        <v>1542</v>
      </c>
      <c r="E28" s="99" t="s">
        <v>1542</v>
      </c>
    </row>
    <row r="29" customFormat="false" ht="15" hidden="false" customHeight="false" outlineLevel="1" collapsed="false">
      <c r="A29" s="4" t="s">
        <v>2003</v>
      </c>
      <c r="B29" s="99" t="s">
        <v>1542</v>
      </c>
      <c r="C29" s="99" t="s">
        <v>1542</v>
      </c>
      <c r="D29" s="99" t="s">
        <v>1542</v>
      </c>
      <c r="E29" s="99" t="s">
        <v>1542</v>
      </c>
    </row>
    <row r="30" customFormat="false" ht="15" hidden="false" customHeight="false" outlineLevel="1" collapsed="false">
      <c r="A30" s="6" t="s">
        <v>2004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2005</v>
      </c>
    </row>
    <row r="2" customFormat="false" ht="15" hidden="false" customHeight="false" outlineLevel="0" collapsed="false">
      <c r="A2" s="11" t="s">
        <v>2006</v>
      </c>
    </row>
    <row r="4" customFormat="false" ht="17.15" hidden="false" customHeight="false" outlineLevel="0" collapsed="false">
      <c r="A4" s="14" t="s">
        <v>2007</v>
      </c>
      <c r="B4" s="14" t="s">
        <v>2008</v>
      </c>
      <c r="C4" s="14" t="s">
        <v>2009</v>
      </c>
      <c r="D4" s="15" t="s">
        <v>2010</v>
      </c>
      <c r="E4" s="15" t="s">
        <v>2011</v>
      </c>
      <c r="F4" s="102" t="s">
        <v>2012</v>
      </c>
      <c r="G4" s="14" t="s">
        <v>2013</v>
      </c>
      <c r="H4" s="15" t="s">
        <v>2014</v>
      </c>
      <c r="I4" s="15" t="s">
        <v>2015</v>
      </c>
      <c r="J4" s="14" t="s">
        <v>2016</v>
      </c>
      <c r="K4" s="14" t="s">
        <v>979</v>
      </c>
    </row>
    <row r="5" customFormat="false" ht="15" hidden="false" customHeight="false" outlineLevel="0" collapsed="false">
      <c r="A5" s="4" t="s">
        <v>2017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3" t="n">
        <f aca="false">D5/E5</f>
        <v>12.5349143610013</v>
      </c>
      <c r="G5" s="104" t="n">
        <f aca="false">(D5+16.54)/E5</f>
        <v>14.7140974967062</v>
      </c>
      <c r="H5" s="24" t="n">
        <f aca="false">-0.231+3.991</f>
        <v>3.76</v>
      </c>
      <c r="I5" s="104" t="n">
        <f aca="false">IF(H5&gt;0,D5/H5,"n/m")</f>
        <v>25.3031914893617</v>
      </c>
      <c r="J5" s="11" t="s">
        <v>2018</v>
      </c>
      <c r="K5" s="6" t="s">
        <v>2019</v>
      </c>
    </row>
    <row r="6" customFormat="false" ht="15" hidden="false" customHeight="false" outlineLevel="0" collapsed="false">
      <c r="A6" s="4" t="s">
        <v>2020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3" t="n">
        <f aca="false">D6/E6</f>
        <v>51.9411764705882</v>
      </c>
      <c r="G6" s="104" t="n">
        <f aca="false">(D6+1.6253)/E6</f>
        <v>53.13625</v>
      </c>
      <c r="H6" s="24" t="n">
        <f aca="false">-0.612+0.418</f>
        <v>-0.194</v>
      </c>
      <c r="I6" s="104" t="str">
        <f aca="false">IF(H6&gt;0,D6/H6,"n/m")</f>
        <v>n/m</v>
      </c>
      <c r="J6" s="6" t="s">
        <v>2021</v>
      </c>
      <c r="K6" s="6" t="s">
        <v>2022</v>
      </c>
    </row>
    <row r="7" customFormat="false" ht="15" hidden="false" customHeight="false" outlineLevel="0" collapsed="false">
      <c r="A7" s="4" t="s">
        <v>2023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3" t="n">
        <f aca="false">D7/E7</f>
        <v>28.7270155586987</v>
      </c>
      <c r="G7" s="104" t="n">
        <f aca="false">(D7+0.003)/E7</f>
        <v>28.7312588401697</v>
      </c>
      <c r="H7" s="24" t="n">
        <f aca="false">-1.047+0.418</f>
        <v>-0.629</v>
      </c>
      <c r="I7" s="104" t="str">
        <f aca="false">IF(H7&gt;0,D7/H7,"n/m")</f>
        <v>n/m</v>
      </c>
      <c r="J7" s="11" t="s">
        <v>2024</v>
      </c>
      <c r="K7" s="6" t="s">
        <v>2025</v>
      </c>
    </row>
    <row r="8" customFormat="false" ht="15" hidden="false" customHeight="false" outlineLevel="0" collapsed="false">
      <c r="A8" s="4" t="s">
        <v>2026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3" t="n">
        <f aca="false">D8/E8</f>
        <v>18.9595943072141</v>
      </c>
      <c r="G8" s="104" t="n">
        <f aca="false">(D8+0.066)/E8</f>
        <v>19.0675609357108</v>
      </c>
      <c r="H8" s="24" t="n">
        <f aca="false">-0.236+0.067</f>
        <v>-0.169</v>
      </c>
      <c r="I8" s="104" t="str">
        <f aca="false">IF(H8&gt;0,D8/H8,"n/m")</f>
        <v>n/m</v>
      </c>
      <c r="J8" s="11" t="s">
        <v>2027</v>
      </c>
      <c r="K8" s="6" t="s">
        <v>2028</v>
      </c>
    </row>
    <row r="9" customFormat="false" ht="15" hidden="false" customHeight="false" outlineLevel="0" collapsed="false">
      <c r="A9" s="4" t="s">
        <v>2029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3" t="n">
        <f aca="false">D9/E9</f>
        <v>19.1460367930956</v>
      </c>
      <c r="G9" s="104" t="n">
        <f aca="false">(D9+0.109)/E9</f>
        <v>19.3935952759482</v>
      </c>
      <c r="H9" s="24" t="n">
        <f aca="false">-0.561+0.063</f>
        <v>-0.498</v>
      </c>
      <c r="I9" s="104" t="str">
        <f aca="false">IF(H9&gt;0,D9/H9,"n/m")</f>
        <v>n/m</v>
      </c>
      <c r="J9" s="11" t="s">
        <v>2030</v>
      </c>
      <c r="K9" s="6" t="s">
        <v>2031</v>
      </c>
    </row>
    <row r="10" customFormat="false" ht="15" hidden="false" customHeight="false" outlineLevel="0" collapsed="false">
      <c r="A10" s="2" t="s">
        <v>2032</v>
      </c>
      <c r="F10" s="83" t="n">
        <f aca="false">MEDIAN(F5:F9)</f>
        <v>19.1460367930956</v>
      </c>
      <c r="G10" s="105" t="n">
        <f aca="false">MEDIAN(G5:G9)</f>
        <v>19.3935952759482</v>
      </c>
    </row>
    <row r="11" customFormat="false" ht="15" hidden="false" customHeight="false" outlineLevel="0" collapsed="false">
      <c r="A11" s="84" t="s">
        <v>2033</v>
      </c>
      <c r="B11" s="81" t="n">
        <v>4286.615</v>
      </c>
      <c r="C11" s="82" t="n">
        <f aca="false">輸入與假設!$C$368+SUMPRODUCT(資產負債_既有債務!$C$27:$C$27*(1-資產負債_既有債務!$H$23:$H$23))+輸入與假設!$C$382</f>
        <v>-227.559</v>
      </c>
      <c r="D11" s="57" t="n">
        <f aca="false">B11+C11</f>
        <v>4059.056</v>
      </c>
      <c r="E11" s="81" t="n">
        <v>445.866</v>
      </c>
      <c r="F11" s="83" t="n">
        <f aca="false">D11/E11</f>
        <v>9.10375763121655</v>
      </c>
      <c r="G11" s="105" t="n">
        <f aca="false">(D11+18.037)/E11</f>
        <v>9.14421148955067</v>
      </c>
      <c r="H11" s="81" t="n">
        <f aca="false">147.628+25.237</f>
        <v>172.865</v>
      </c>
      <c r="I11" s="105" t="n">
        <f aca="false">IF(H11&gt;0,D11/H11,"n/m")</f>
        <v>23.4810748271773</v>
      </c>
      <c r="J11" s="11" t="s">
        <v>2034</v>
      </c>
      <c r="K11" s="11" t="s">
        <v>2035</v>
      </c>
    </row>
    <row r="12" customFormat="false" ht="15" hidden="false" customHeight="false" outlineLevel="0" collapsed="false">
      <c r="A12" s="4" t="s">
        <v>2036</v>
      </c>
      <c r="B12" s="57" t="n">
        <f aca="false">輸入與假設!$C$366*評價_DCF與目標價!$C$90</f>
        <v>4333.44202269117</v>
      </c>
      <c r="C12" s="57" t="n">
        <f aca="false">評價_DCF與目標價!$C$91</f>
        <v>-227.559</v>
      </c>
      <c r="D12" s="57" t="n">
        <f aca="false">B12+C12</f>
        <v>4105.88302269117</v>
      </c>
      <c r="E12" s="82" t="n">
        <f aca="false">損益!D9</f>
        <v>599.075955158032</v>
      </c>
      <c r="F12" s="105" t="n">
        <f aca="false">D12/E12</f>
        <v>6.85369357147387</v>
      </c>
      <c r="G12" s="105" t="n">
        <f aca="false">(D12+18.037)/E12</f>
        <v>6.88380160676506</v>
      </c>
      <c r="H12" s="82" t="n">
        <f aca="false">損益!D22</f>
        <v>220.640841830285</v>
      </c>
      <c r="I12" s="105" t="n">
        <f aca="false">D12/H12</f>
        <v>18.6088984642716</v>
      </c>
      <c r="K12" s="6" t="s">
        <v>2037</v>
      </c>
    </row>
    <row r="14" customFormat="false" ht="15" hidden="false" customHeight="false" outlineLevel="0" collapsed="false">
      <c r="A14" s="6" t="s">
        <v>2038</v>
      </c>
    </row>
    <row r="15" customFormat="false" ht="15" hidden="false" customHeight="false" outlineLevel="0" collapsed="false">
      <c r="A15" s="11" t="s">
        <v>2039</v>
      </c>
    </row>
    <row r="16" customFormat="false" ht="15" hidden="false" customHeight="false" outlineLevel="0" collapsed="false">
      <c r="A16" s="6" t="s">
        <v>2040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2041</v>
      </c>
    </row>
    <row r="2" customFormat="false" ht="15" hidden="false" customHeight="false" outlineLevel="0" collapsed="false">
      <c r="A2" s="6" t="s">
        <v>2042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1088</v>
      </c>
    </row>
    <row r="5" customFormat="false" ht="15" hidden="false" customHeight="false" outlineLevel="0" collapsed="false">
      <c r="A5" s="3" t="s">
        <v>2043</v>
      </c>
      <c r="B5" s="11" t="s">
        <v>65</v>
      </c>
      <c r="C5" s="39" t="n">
        <f aca="false">運營_產能與收入!C26/輸入與假設!C$34</f>
        <v>25.4455038106485</v>
      </c>
      <c r="D5" s="39" t="n">
        <f aca="false">運營_產能與收入!D26/輸入與假設!D$34</f>
        <v>38.1014017385733</v>
      </c>
      <c r="E5" s="39" t="n">
        <f aca="false">運營_產能與收入!E26/輸入與假設!E$34</f>
        <v>55.3706129164472</v>
      </c>
      <c r="F5" s="39" t="n">
        <f aca="false">運營_產能與收入!F26/輸入與假設!F$34</f>
        <v>72.7630334432111</v>
      </c>
      <c r="G5" s="39" t="n">
        <f aca="false">運營_產能與收入!G26/輸入與假設!G$34</f>
        <v>90.2173199645169</v>
      </c>
    </row>
    <row r="6" customFormat="false" ht="15" hidden="false" customHeight="false" outlineLevel="0" collapsed="false">
      <c r="A6" s="4" t="s">
        <v>2044</v>
      </c>
      <c r="B6" s="11" t="s">
        <v>42</v>
      </c>
      <c r="C6" s="53" t="n">
        <f aca="false">輸入與假設!C$250</f>
        <v>0.834234376204762</v>
      </c>
      <c r="D6" s="53" t="n">
        <f aca="false">輸入與假設!D$250</f>
        <v>0.838943805381426</v>
      </c>
      <c r="E6" s="53" t="n">
        <f aca="false">輸入與假設!E$250</f>
        <v>0.842466054282288</v>
      </c>
      <c r="F6" s="53" t="n">
        <f aca="false">輸入與假設!F$250</f>
        <v>0.844455705006196</v>
      </c>
      <c r="G6" s="53" t="n">
        <f aca="false">輸入與假設!G$250</f>
        <v>0.845734314352038</v>
      </c>
      <c r="I6" s="11" t="s">
        <v>2045</v>
      </c>
    </row>
    <row r="7" customFormat="false" ht="15" hidden="false" customHeight="false" outlineLevel="0" collapsed="false">
      <c r="A7" s="4" t="s">
        <v>2046</v>
      </c>
      <c r="B7" s="11" t="s">
        <v>65</v>
      </c>
      <c r="C7" s="66" t="n">
        <f aca="false">C5*C6</f>
        <v>21.2275139986922</v>
      </c>
      <c r="D7" s="66" t="n">
        <f aca="false">D5*D6</f>
        <v>31.9649349649252</v>
      </c>
      <c r="E7" s="66" t="n">
        <f aca="false">E5*E6</f>
        <v>46.6478617869112</v>
      </c>
      <c r="F7" s="66" t="n">
        <f aca="false">F5*F6</f>
        <v>61.4451587046762</v>
      </c>
      <c r="G7" s="66" t="n">
        <f aca="false">G5*G6</f>
        <v>76.2998832428691</v>
      </c>
    </row>
    <row r="8" customFormat="false" ht="15" hidden="false" customHeight="false" outlineLevel="0" collapsed="false">
      <c r="A8" s="4" t="s">
        <v>2047</v>
      </c>
      <c r="B8" s="11" t="s">
        <v>65</v>
      </c>
      <c r="C8" s="66" t="n">
        <f aca="false">C5-C7</f>
        <v>4.21798981195625</v>
      </c>
      <c r="D8" s="66" t="n">
        <f aca="false">D5-D7</f>
        <v>6.13646677364814</v>
      </c>
      <c r="E8" s="66" t="n">
        <f aca="false">E5-E7</f>
        <v>8.72275112953604</v>
      </c>
      <c r="F8" s="66" t="n">
        <f aca="false">F5-F7</f>
        <v>11.3178747385349</v>
      </c>
      <c r="G8" s="66" t="n">
        <f aca="false">G5-G7</f>
        <v>13.9174367216477</v>
      </c>
    </row>
    <row r="9" customFormat="false" ht="15" hidden="false" customHeight="false" outlineLevel="0" collapsed="false">
      <c r="A9" s="4" t="s">
        <v>2048</v>
      </c>
      <c r="B9" s="11" t="s">
        <v>65</v>
      </c>
      <c r="C9" s="39" t="n">
        <f aca="false">輸入與假設!C$319/輸入與假設!C$34</f>
        <v>39.1911791784602</v>
      </c>
      <c r="D9" s="39" t="n">
        <f aca="false">輸入與假設!D$319/輸入與假設!D$34</f>
        <v>59.2790537406149</v>
      </c>
      <c r="E9" s="39" t="n">
        <f aca="false">輸入與假設!E$319/輸入與假設!E$34</f>
        <v>86.6133614236704</v>
      </c>
      <c r="F9" s="39" t="n">
        <f aca="false">輸入與假設!F$319/輸入與假設!F$34</f>
        <v>114.873439717948</v>
      </c>
      <c r="G9" s="39" t="n">
        <f aca="false">輸入與假設!G$319/輸入與假設!G$34</f>
        <v>143.133518012226</v>
      </c>
      <c r="I9" s="11" t="s">
        <v>2049</v>
      </c>
    </row>
    <row r="10" customFormat="false" ht="15" hidden="false" customHeight="false" outlineLevel="0" collapsed="false">
      <c r="A10" s="3" t="s">
        <v>2050</v>
      </c>
      <c r="B10" s="11" t="s">
        <v>157</v>
      </c>
      <c r="C10" s="68" t="n">
        <f aca="false">C5/MAX(0.000000000001,輸入與假設!C120*輸入與假設!$C$58/1000)</f>
        <v>2212.5</v>
      </c>
      <c r="D10" s="68" t="n">
        <f aca="false">D5/MAX(0.000000000001,輸入與假設!D120*輸入與假設!$C$58/1000)</f>
        <v>3147</v>
      </c>
      <c r="E10" s="68" t="n">
        <f aca="false">E5/MAX(0.000000000001,輸入與假設!E120*輸入與假設!$C$58/1000)</f>
        <v>4393</v>
      </c>
      <c r="F10" s="68" t="n">
        <f aca="false">F5/MAX(0.000000000001,輸入與假設!F120*輸入與假設!$C$58/1000)</f>
        <v>5639</v>
      </c>
      <c r="G10" s="68" t="n">
        <f aca="false">G5/MAX(0.000000000001,輸入與假設!G120*輸入與假設!$C$58/1000)</f>
        <v>6885</v>
      </c>
    </row>
    <row r="11" customFormat="false" ht="15" hidden="false" customHeight="false" outlineLevel="0" collapsed="false">
      <c r="A11" s="3" t="s">
        <v>2051</v>
      </c>
      <c r="B11" s="11" t="s">
        <v>157</v>
      </c>
      <c r="C11" s="26" t="n">
        <f aca="false">(輸入與假設!$C$292+輸入與假設!C$293)/2</f>
        <v>0</v>
      </c>
      <c r="D11" s="26" t="n">
        <f aca="false">(輸入與假設!C$293+輸入與假設!D$293)/2</f>
        <v>0</v>
      </c>
      <c r="E11" s="26" t="n">
        <f aca="false">(輸入與假設!D$293+輸入與假設!E$293)/2</f>
        <v>0</v>
      </c>
      <c r="F11" s="26" t="n">
        <f aca="false">(輸入與假設!E$293+輸入與假設!F$293)/2</f>
        <v>0</v>
      </c>
      <c r="G11" s="26" t="n">
        <f aca="false">(輸入與假設!F$293+輸入與假設!G$293)/2</f>
        <v>0</v>
      </c>
      <c r="I11" s="11" t="s">
        <v>2052</v>
      </c>
    </row>
    <row r="12" customFormat="false" ht="15" hidden="false" customHeight="false" outlineLevel="0" collapsed="false">
      <c r="A12" s="3" t="s">
        <v>2053</v>
      </c>
      <c r="B12" s="11" t="s">
        <v>42</v>
      </c>
      <c r="C12" s="67" t="n">
        <f aca="false">MAX(0,C10-C11)/MAX(0.000000001,C10/輸入與假設!$C$263-C11)</f>
        <v>0.3</v>
      </c>
      <c r="D12" s="67" t="n">
        <f aca="false">MAX(0,D10-D11)/MAX(0.000000001,D10/輸入與假設!$C$263-D11)</f>
        <v>0.3</v>
      </c>
      <c r="E12" s="67" t="n">
        <f aca="false">MAX(0,E10-E11)/MAX(0.000000001,E10/輸入與假設!$C$263-E11)</f>
        <v>0.3</v>
      </c>
      <c r="F12" s="67" t="n">
        <f aca="false">MAX(0,F10-F11)/MAX(0.000000001,F10/輸入與假設!$C$263-F11)</f>
        <v>0.3</v>
      </c>
      <c r="G12" s="67" t="n">
        <f aca="false">MAX(0,G10-G11)/MAX(0.000000001,G10/輸入與假設!$C$263-G11)</f>
        <v>0.3</v>
      </c>
      <c r="I12" s="6" t="s">
        <v>2054</v>
      </c>
    </row>
    <row r="13" customFormat="false" ht="15" hidden="false" customHeight="false" outlineLevel="0" collapsed="false">
      <c r="A13" s="3" t="s">
        <v>2055</v>
      </c>
      <c r="B13" s="11" t="s">
        <v>218</v>
      </c>
      <c r="C13" s="30" t="n">
        <f aca="false">(輸入與假設!C69*TK_CapexFacility_H100+輸入與假設!C76*TK_CapexFacility_H100+輸入與假設!C83*TK_CapexFacility_GB200+輸入與假設!C90*TK_CapexFacility_GB200+輸入與假設!C97*TK_CapexFacility_GB300+輸入與假設!C104*TK_CapexFacility_GB300+輸入與假設!C111*TK_CapexFacility_VR200+輸入與假設!C118*TK_CapexFacility_VR200)/MAX(0.000000001,輸入與假設!C119)/1000*0.1/(1-(1+0.1)^(-輸入與假設!$C$310))</f>
        <v>0.00148893043681599</v>
      </c>
      <c r="D13" s="30" t="n">
        <f aca="false">(輸入與假設!D69*TK_CapexFacility_H100+輸入與假設!D76*TK_CapexFacility_H100+輸入與假設!D83*TK_CapexFacility_GB200+輸入與假設!D90*TK_CapexFacility_GB200+輸入與假設!D97*TK_CapexFacility_GB300+輸入與假設!D104*TK_CapexFacility_GB300+輸入與假設!D111*TK_CapexFacility_VR200+輸入與假設!D118*TK_CapexFacility_VR200)/MAX(0.000000001,輸入與假設!D119)/1000*0.1/(1-(1+0.1)^(-輸入與假設!$C$310))</f>
        <v>0.00148893043681599</v>
      </c>
      <c r="E13" s="30" t="n">
        <f aca="false">(輸入與假設!E69*TK_CapexFacility_H100+輸入與假設!E76*TK_CapexFacility_H100+輸入與假設!E83*TK_CapexFacility_GB200+輸入與假設!E90*TK_CapexFacility_GB200+輸入與假設!E97*TK_CapexFacility_GB300+輸入與假設!E104*TK_CapexFacility_GB300+輸入與假設!E111*TK_CapexFacility_VR200+輸入與假設!E118*TK_CapexFacility_VR200)/MAX(0.000000001,輸入與假設!E119)/1000*0.1/(1-(1+0.1)^(-輸入與假設!$C$310))</f>
        <v>0.00148893043681599</v>
      </c>
      <c r="F13" s="30" t="n">
        <f aca="false">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*0.1/(1-(1+0.1)^(-輸入與假設!$C$310))</f>
        <v>0.00148893043681599</v>
      </c>
      <c r="G13" s="30" t="n">
        <f aca="false">(輸入與假設!G69*TK_CapexFacility_H100+輸入與假設!G76*TK_CapexFacility_H100+輸入與假設!G83*TK_CapexFacility_GB200+輸入與假設!G90*TK_CapexFacility_GB200+輸入與假設!G97*TK_CapexFacility_GB300+輸入與假設!G104*TK_CapexFacility_GB300+輸入與假設!G111*TK_CapexFacility_VR200+輸入與假設!G118*TK_CapexFacility_VR200)/MAX(0.000000001,輸入與假設!G119)/1000*0.1/(1-(1+0.1)^(-輸入與假設!$C$310))</f>
        <v>0.00148893043681599</v>
      </c>
      <c r="I13" s="6" t="s">
        <v>2056</v>
      </c>
    </row>
    <row r="14" customFormat="false" ht="15" hidden="false" customHeight="false" outlineLevel="0" collapsed="false">
      <c r="A14" s="3" t="s">
        <v>2057</v>
      </c>
      <c r="B14" s="11" t="s">
        <v>65</v>
      </c>
      <c r="C14" s="66" t="n">
        <f aca="false">(1-輸入與假設!$C$264)*MAX(0,C10-C11)*C13</f>
        <v>0.494138788718305</v>
      </c>
      <c r="D14" s="66" t="n">
        <f aca="false">(1-輸入與假設!$C$264)*MAX(0,D10-D11)*D13</f>
        <v>0.702849612698986</v>
      </c>
      <c r="E14" s="66" t="n">
        <f aca="false">(1-輸入與假設!$C$264)*MAX(0,E10-E11)*E13</f>
        <v>0.981130711339894</v>
      </c>
      <c r="F14" s="66" t="n">
        <f aca="false">(1-輸入與假設!$C$264)*MAX(0,F10-F11)*F13</f>
        <v>1.2594118099808</v>
      </c>
      <c r="G14" s="66" t="n">
        <f aca="false">(1-輸入與假設!$C$264)*MAX(0,G10-G11)*G13</f>
        <v>1.53769290862171</v>
      </c>
      <c r="I14" s="6" t="s">
        <v>2058</v>
      </c>
    </row>
    <row r="15" customFormat="false" ht="15" hidden="false" customHeight="false" outlineLevel="0" collapsed="false">
      <c r="A15" s="3" t="s">
        <v>2059</v>
      </c>
      <c r="B15" s="11" t="s">
        <v>65</v>
      </c>
      <c r="C15" s="66" t="n">
        <f aca="false">C11*0/1000</f>
        <v>0</v>
      </c>
      <c r="D15" s="66" t="n">
        <f aca="false">D11*0/1000</f>
        <v>0</v>
      </c>
      <c r="E15" s="66" t="n">
        <f aca="false">E11*0/1000</f>
        <v>0</v>
      </c>
      <c r="F15" s="66" t="n">
        <f aca="false">F11*0/1000</f>
        <v>0</v>
      </c>
      <c r="G15" s="66" t="n">
        <f aca="false">G11*0/1000</f>
        <v>0</v>
      </c>
      <c r="I15" s="6" t="s">
        <v>2060</v>
      </c>
    </row>
    <row r="16" customFormat="false" ht="15" hidden="false" customHeight="false" outlineLevel="0" collapsed="false">
      <c r="A16" s="3" t="s">
        <v>2061</v>
      </c>
      <c r="B16" s="11" t="s">
        <v>65</v>
      </c>
      <c r="C16" s="66" t="n">
        <f aca="false">C7-C14-C15</f>
        <v>20.7333752099739</v>
      </c>
      <c r="D16" s="66" t="n">
        <f aca="false">D7-D14-D15</f>
        <v>31.2620853522262</v>
      </c>
      <c r="E16" s="66" t="n">
        <f aca="false">E7-E14-E15</f>
        <v>45.6667310755713</v>
      </c>
      <c r="F16" s="66" t="n">
        <f aca="false">F7-F14-F15</f>
        <v>60.1857468946954</v>
      </c>
      <c r="G16" s="66" t="n">
        <f aca="false">G7-G14-G15</f>
        <v>74.7621903342474</v>
      </c>
    </row>
    <row r="17" customFormat="false" ht="15" hidden="false" customHeight="false" outlineLevel="0" collapsed="false">
      <c r="A17" s="3" t="s">
        <v>2062</v>
      </c>
      <c r="B17" s="11" t="s">
        <v>65</v>
      </c>
      <c r="C17" s="66" t="n">
        <f aca="false">C9*C12</f>
        <v>11.7573537535381</v>
      </c>
      <c r="D17" s="66" t="n">
        <f aca="false">D9*D12</f>
        <v>17.7837161221845</v>
      </c>
      <c r="E17" s="66" t="n">
        <f aca="false">E9*E12</f>
        <v>25.9840084271011</v>
      </c>
      <c r="F17" s="66" t="n">
        <f aca="false">F9*F12</f>
        <v>34.4620319153845</v>
      </c>
      <c r="G17" s="66" t="n">
        <f aca="false">G9*G12</f>
        <v>42.9400554036678</v>
      </c>
    </row>
    <row r="18" customFormat="false" ht="15" hidden="false" customHeight="false" outlineLevel="0" collapsed="false">
      <c r="A18" s="3" t="s">
        <v>2063</v>
      </c>
      <c r="B18" s="11" t="s">
        <v>65</v>
      </c>
      <c r="C18" s="66" t="n">
        <f aca="false">(C16-C17)*(1-輸入與假設!$C$383)</f>
        <v>7.46804985175462</v>
      </c>
      <c r="D18" s="66" t="n">
        <f aca="false">(D16-D17)*(1-輸入與假設!$C$383)</f>
        <v>11.2140031993947</v>
      </c>
      <c r="E18" s="66" t="n">
        <f aca="false">(E16-E17)*(1-輸入與假設!$C$383)</f>
        <v>16.3760252435272</v>
      </c>
      <c r="F18" s="66" t="n">
        <f aca="false">(F16-F17)*(1-輸入與假設!$C$383)</f>
        <v>21.4021308627867</v>
      </c>
      <c r="G18" s="66" t="n">
        <f aca="false">(G16-G17)*(1-輸入與假設!$C$383)</f>
        <v>26.4760162622422</v>
      </c>
      <c r="I18" s="6" t="s">
        <v>2064</v>
      </c>
    </row>
    <row r="19" customFormat="false" ht="15" hidden="false" customHeight="false" outlineLevel="0" collapsed="false">
      <c r="A19" s="4" t="s">
        <v>2065</v>
      </c>
      <c r="B19" s="11" t="s">
        <v>65</v>
      </c>
      <c r="C19" s="66" t="n">
        <f aca="false">(輸入與假設!$C$308+輸入與假設!$C$309)*輸入與假設!$C$313</f>
        <v>181.1892953725</v>
      </c>
      <c r="D19" s="66" t="n">
        <f aca="false">C21</f>
        <v>261.740895783736</v>
      </c>
      <c r="E19" s="66" t="n">
        <f aca="false">D21</f>
        <v>392.206685299121</v>
      </c>
      <c r="F19" s="66" t="n">
        <f aca="false">E21</f>
        <v>506.447414466118</v>
      </c>
      <c r="G19" s="66" t="n">
        <f aca="false">F21</f>
        <v>616.358042778836</v>
      </c>
      <c r="I19" s="11" t="s">
        <v>2066</v>
      </c>
    </row>
    <row r="20" customFormat="false" ht="15" hidden="false" customHeight="false" outlineLevel="0" collapsed="false">
      <c r="A20" s="4" t="s">
        <v>2067</v>
      </c>
      <c r="B20" s="11" t="s">
        <v>65</v>
      </c>
      <c r="C20" s="39" t="n">
        <f aca="false">輸入與假設!C$300+輸入與假設!C$304</f>
        <v>100.147190000466</v>
      </c>
      <c r="D20" s="39" t="n">
        <f aca="false">輸入與假設!D$300+輸入與假設!D$304</f>
        <v>189.744843256</v>
      </c>
      <c r="E20" s="39" t="n">
        <f aca="false">輸入與假設!E$300+輸入與假設!E$304</f>
        <v>200.854090590667</v>
      </c>
      <c r="F20" s="39" t="n">
        <f aca="false">輸入與假設!F$300+輸入與假設!F$304</f>
        <v>224.784068030667</v>
      </c>
      <c r="G20" s="39" t="n">
        <f aca="false">輸入與假設!G$300+輸入與假設!G$304</f>
        <v>344.630239513333</v>
      </c>
    </row>
    <row r="21" customFormat="false" ht="15" hidden="false" customHeight="false" outlineLevel="0" collapsed="false">
      <c r="A21" s="4" t="s">
        <v>2068</v>
      </c>
      <c r="B21" s="11" t="s">
        <v>65</v>
      </c>
      <c r="C21" s="66" t="n">
        <f aca="false">C19+C20-輸入與假設!C$319</f>
        <v>261.740895783736</v>
      </c>
      <c r="D21" s="66" t="n">
        <f aca="false">D19+D20-輸入與假設!D$319</f>
        <v>392.206685299121</v>
      </c>
      <c r="E21" s="66" t="n">
        <f aca="false">E19+E20-輸入與假設!E$319</f>
        <v>506.447414466118</v>
      </c>
      <c r="F21" s="66" t="n">
        <f aca="false">F19+F20-輸入與假設!F$319</f>
        <v>616.358042778836</v>
      </c>
      <c r="G21" s="66" t="n">
        <f aca="false">G19+G20-輸入與假設!G$319</f>
        <v>817.854764279943</v>
      </c>
      <c r="I21" s="6" t="s">
        <v>2069</v>
      </c>
    </row>
    <row r="22" customFormat="false" ht="15" hidden="false" customHeight="false" outlineLevel="0" collapsed="false">
      <c r="A22" s="3" t="s">
        <v>2070</v>
      </c>
      <c r="B22" s="11" t="s">
        <v>65</v>
      </c>
      <c r="C22" s="66" t="n">
        <f aca="false">(C19+C21)/2*C12</f>
        <v>66.4395286734354</v>
      </c>
      <c r="D22" s="66" t="n">
        <f aca="false">(D19+D21)/2*D12</f>
        <v>98.0921371624286</v>
      </c>
      <c r="E22" s="66" t="n">
        <f aca="false">(E19+E21)/2*E12</f>
        <v>134.798114964786</v>
      </c>
      <c r="F22" s="66" t="n">
        <f aca="false">(F19+F21)/2*F12</f>
        <v>168.420818586743</v>
      </c>
      <c r="G22" s="66" t="n">
        <f aca="false">(G19+G21)/2*G12</f>
        <v>215.131921058817</v>
      </c>
    </row>
    <row r="23" customFormat="false" ht="15" hidden="false" customHeight="false" outlineLevel="0" collapsed="false">
      <c r="A23" s="2" t="s">
        <v>2071</v>
      </c>
      <c r="B23" s="11" t="s">
        <v>42</v>
      </c>
      <c r="C23" s="67" t="n">
        <f aca="false">C18/MAX(0.000000001,C22)</f>
        <v>0.11240371509048</v>
      </c>
      <c r="D23" s="67" t="n">
        <f aca="false">D18/MAX(0.000000001,D22)</f>
        <v>0.114321122199894</v>
      </c>
      <c r="E23" s="67" t="n">
        <f aca="false">E18/MAX(0.000000001,E22)</f>
        <v>0.121485565638697</v>
      </c>
      <c r="F23" s="67" t="n">
        <f aca="false">F18/MAX(0.000000001,F22)</f>
        <v>0.12707532858691</v>
      </c>
      <c r="G23" s="67" t="n">
        <f aca="false">G18/MAX(0.000000001,G22)</f>
        <v>0.12306874838441</v>
      </c>
      <c r="I23" s="6" t="s">
        <v>2072</v>
      </c>
    </row>
    <row r="24" customFormat="false" ht="15" hidden="false" customHeight="false" outlineLevel="0" collapsed="false">
      <c r="A24" s="4" t="s">
        <v>786</v>
      </c>
      <c r="B24" s="11" t="s">
        <v>42</v>
      </c>
      <c r="C24" s="53" t="n">
        <f aca="false">輸入與假設!$C$393</f>
        <v>0.115772981601272</v>
      </c>
      <c r="D24" s="53" t="n">
        <f aca="false">輸入與假設!$C$393</f>
        <v>0.115772981601272</v>
      </c>
      <c r="E24" s="53" t="n">
        <f aca="false">輸入與假設!$C$393</f>
        <v>0.115772981601272</v>
      </c>
      <c r="F24" s="53" t="n">
        <f aca="false">輸入與假設!$C$393</f>
        <v>0.115772981601272</v>
      </c>
      <c r="G24" s="53" t="n">
        <f aca="false">輸入與假設!$C$393</f>
        <v>0.115772981601272</v>
      </c>
    </row>
    <row r="25" customFormat="false" ht="15" hidden="false" customHeight="false" outlineLevel="0" collapsed="false">
      <c r="A25" s="2" t="s">
        <v>2073</v>
      </c>
      <c r="B25" s="11" t="s">
        <v>42</v>
      </c>
      <c r="C25" s="67" t="n">
        <f aca="false">C23-C24</f>
        <v>-0.00336926651079163</v>
      </c>
      <c r="D25" s="67" t="n">
        <f aca="false">D23-D24</f>
        <v>-0.00145185940137822</v>
      </c>
      <c r="E25" s="67" t="n">
        <f aca="false">E23-E24</f>
        <v>0.00571258403742554</v>
      </c>
      <c r="F25" s="67" t="n">
        <f aca="false">F23-F24</f>
        <v>0.011302346985638</v>
      </c>
      <c r="G25" s="67" t="n">
        <f aca="false">G23-G24</f>
        <v>0.00729576678313799</v>
      </c>
      <c r="I25" s="6" t="s">
        <v>2074</v>
      </c>
    </row>
    <row r="26" customFormat="false" ht="15" hidden="false" customHeight="false" outlineLevel="0" collapsed="false">
      <c r="A26" s="3" t="s">
        <v>2075</v>
      </c>
      <c r="B26" s="11" t="s">
        <v>65</v>
      </c>
      <c r="C26" s="66" t="n">
        <f aca="false">C5*(1/輸入與假設!$C$263-1)</f>
        <v>59.3728422248464</v>
      </c>
      <c r="D26" s="66" t="n">
        <f aca="false">D5*(1/輸入與假設!$C$263-1)</f>
        <v>88.9032707233377</v>
      </c>
      <c r="E26" s="66" t="n">
        <f aca="false">E5*(1/輸入與假設!$C$263-1)</f>
        <v>129.198096805043</v>
      </c>
      <c r="F26" s="66" t="n">
        <f aca="false">F5*(1/輸入與假設!$C$263-1)</f>
        <v>169.780411367493</v>
      </c>
      <c r="G26" s="66" t="n">
        <f aca="false">G5*(1/輸入與假設!$C$263-1)</f>
        <v>210.507079917206</v>
      </c>
      <c r="I26" s="6" t="s">
        <v>2076</v>
      </c>
    </row>
    <row r="27" customFormat="false" ht="15" hidden="false" customHeight="false" outlineLevel="0" collapsed="false">
      <c r="A27" s="3" t="s">
        <v>2077</v>
      </c>
      <c r="B27" s="11" t="s">
        <v>42</v>
      </c>
      <c r="C27" s="67" t="n">
        <f aca="false">(C7+C26*C6-(1-輸入與假設!$C$264)*MAX(0.000000001,C10/輸入與假設!$C$263-C11)*C13-C15-C9)*(1-輸入與假設!$C$383)/MAX(0.000000001,(C19+C21)/2)</f>
        <v>0.11240371509048</v>
      </c>
      <c r="D27" s="67" t="n">
        <f aca="false">(D7+D26*D6-(1-輸入與假設!$C$264)*MAX(0.000000001,D10/輸入與假設!$C$263-D11)*D13-D15-D9)*(1-輸入與假設!$C$383)/MAX(0.000000001,(D19+D21)/2)</f>
        <v>0.114321122199894</v>
      </c>
      <c r="E27" s="67" t="n">
        <f aca="false">(E7+E26*E6-(1-輸入與假設!$C$264)*MAX(0.000000001,E10/輸入與假設!$C$263-E11)*E13-E15-E9)*(1-輸入與假設!$C$383)/MAX(0.000000001,(E19+E21)/2)</f>
        <v>0.121485565638697</v>
      </c>
      <c r="F27" s="67" t="n">
        <f aca="false">(F7+F26*F6-(1-輸入與假設!$C$264)*MAX(0.000000001,F10/輸入與假設!$C$263-F11)*F13-F15-F9)*(1-輸入與假設!$C$383)/MAX(0.000000001,(F19+F21)/2)</f>
        <v>0.12707532858691</v>
      </c>
      <c r="G27" s="67" t="n">
        <f aca="false">(G7+G26*G6-(1-輸入與假設!$C$264)*MAX(0.000000001,G10/輸入與假設!$C$263-G11)*G13-G15-G9)*(1-輸入與假設!$C$383)/MAX(0.000000001,(G19+G21)/2)</f>
        <v>0.12306874838441</v>
      </c>
      <c r="I27" s="6" t="s">
        <v>2078</v>
      </c>
    </row>
    <row r="29" customFormat="false" ht="15" hidden="false" customHeight="false" outlineLevel="0" collapsed="false">
      <c r="A29" s="2" t="s">
        <v>2079</v>
      </c>
      <c r="C29" s="106" t="n">
        <f aca="false">輸入與假設!$C$58*(輸入與假設!$C$393*F22/(1-輸入與假設!$C$383)+F8+F14+F15+F17)/MAX(0.000000001,F5)</f>
        <v>1.11771425064794</v>
      </c>
      <c r="I29" s="6" t="s">
        <v>2080</v>
      </c>
    </row>
    <row r="30" customFormat="false" ht="15" hidden="false" customHeight="false" outlineLevel="0" collapsed="false">
      <c r="A30" s="3" t="s">
        <v>2081</v>
      </c>
      <c r="C30" s="107" t="n">
        <f aca="false">輸入與假設!$C$58</f>
        <v>1.154</v>
      </c>
    </row>
    <row r="32" customFormat="false" ht="15" hidden="false" customHeight="false" outlineLevel="0" collapsed="false">
      <c r="A32" s="84" t="s">
        <v>2082</v>
      </c>
    </row>
    <row r="33" customFormat="false" ht="15" hidden="false" customHeight="false" outlineLevel="0" collapsed="false">
      <c r="A33" s="4" t="s">
        <v>2083</v>
      </c>
      <c r="C33" s="23" t="n">
        <v>0.1</v>
      </c>
      <c r="I33" s="11" t="s">
        <v>2084</v>
      </c>
    </row>
    <row r="34" customFormat="false" ht="15" hidden="false" customHeight="false" outlineLevel="0" collapsed="false">
      <c r="A34" s="3" t="s">
        <v>2085</v>
      </c>
      <c r="C34" s="68" t="n">
        <f aca="false">F10</f>
        <v>5639</v>
      </c>
    </row>
    <row r="35" customFormat="false" ht="15" hidden="false" customHeight="false" outlineLevel="0" collapsed="false">
      <c r="A35" s="3" t="s">
        <v>2086</v>
      </c>
      <c r="C35" s="68" t="n">
        <f aca="false">MAX(0,C34-F11)</f>
        <v>5639</v>
      </c>
    </row>
    <row r="36" customFormat="false" ht="15" hidden="false" customHeight="false" outlineLevel="0" collapsed="false">
      <c r="A36" s="4" t="s">
        <v>2087</v>
      </c>
      <c r="C36" s="66" t="n">
        <f aca="false">C34*(輸入與假設!F69*TK_HoldEcon_H100+輸入與假設!F76*TK_HoldEcon_H100+輸入與假設!F83*TK_HoldEcon_GB200+輸入與假設!F90*TK_HoldEcon_GB200+輸入與假設!F97*TK_HoldEcon_GB300+輸入與假設!F104*TK_HoldEcon_GB300+輸入與假設!F111*TK_HoldEcon_VR200+輸入與假設!F118*TK_HoldEcon_VR200)/MAX(0.000000001,輸入與假設!F119)/1000</f>
        <v>63.0528885989697</v>
      </c>
    </row>
    <row r="37" customFormat="false" ht="15" hidden="false" customHeight="false" outlineLevel="0" collapsed="false">
      <c r="A37" s="4" t="s">
        <v>2088</v>
      </c>
      <c r="C37" s="66" t="n">
        <f aca="false">C34*(輸入與假設!F69*TK_OpexGW_H100+輸入與假設!F76*TK_OpexGW_H100+輸入與假設!F83*TK_OpexGW_GB200+輸入與假設!F90*TK_OpexGW_GB200+輸入與假設!F97*TK_OpexGW_GB300+輸入與假設!F104*TK_OpexGW_GB300+輸入與假設!F111*TK_OpexGW_VR200+輸入與假設!F118*TK_OpexGW_VR200)/MAX(0.000000001,輸入與假設!F119)/1000</f>
        <v>11.3178747385349</v>
      </c>
    </row>
    <row r="38" customFormat="false" ht="15" hidden="false" customHeight="false" outlineLevel="0" collapsed="false">
      <c r="A38" s="3" t="s">
        <v>2089</v>
      </c>
      <c r="C38" s="66" t="n">
        <f aca="false">F12*(輸入與假設!C$304+輸入與假設!D$304+輸入與假設!E$304+輸入與假設!F$304/2)</f>
        <v>3.589496616</v>
      </c>
    </row>
    <row r="39" customFormat="false" ht="15" hidden="false" customHeight="false" outlineLevel="0" collapsed="false">
      <c r="A39" s="3" t="s">
        <v>2090</v>
      </c>
      <c r="C39" s="66" t="n">
        <f aca="false">C35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+輸入與假設!$C$264*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1000)*0.5</f>
        <v>124.581872211942</v>
      </c>
    </row>
    <row r="40" customFormat="false" ht="15" hidden="false" customHeight="false" outlineLevel="0" collapsed="false">
      <c r="A40" s="3" t="s">
        <v>2091</v>
      </c>
      <c r="C40" s="66" t="n">
        <f aca="false">C35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/輸入與假設!$C$262+輸入與假設!$C$264*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/輸入與假設!$C$310)</f>
        <v>34.4466098998139</v>
      </c>
    </row>
    <row r="41" customFormat="false" ht="15" hidden="false" customHeight="false" outlineLevel="0" collapsed="false">
      <c r="A41" s="3" t="s">
        <v>2092</v>
      </c>
      <c r="C41" s="66" t="n">
        <f aca="false">C34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+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1000)*0.5</f>
        <v>129.940331961942</v>
      </c>
    </row>
    <row r="42" customFormat="false" ht="15" hidden="false" customHeight="false" outlineLevel="0" collapsed="false">
      <c r="A42" s="3" t="s">
        <v>2093</v>
      </c>
      <c r="C42" s="66" t="n">
        <f aca="false">C34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/輸入與假設!$C$262+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/輸入與假設!$C$310)</f>
        <v>34.9832312373139</v>
      </c>
    </row>
    <row r="43" customFormat="false" ht="15" hidden="false" customHeight="false" outlineLevel="0" collapsed="false">
      <c r="A43" s="3" t="s">
        <v>2094</v>
      </c>
      <c r="C43" s="67" t="n">
        <f aca="false">F23</f>
        <v>0.12707532858691</v>
      </c>
    </row>
    <row r="44" customFormat="false" ht="15" hidden="false" customHeight="false" outlineLevel="0" collapsed="false">
      <c r="A44" s="3" t="s">
        <v>2095</v>
      </c>
      <c r="C44" s="67" t="n">
        <f aca="false">(F16-F17)/MAX(0.000000001,F22)</f>
        <v>0.15273476993619</v>
      </c>
    </row>
    <row r="45" customFormat="false" ht="15" hidden="false" customHeight="false" outlineLevel="0" collapsed="false">
      <c r="A45" s="3" t="s">
        <v>2096</v>
      </c>
      <c r="C45" s="67" t="n">
        <f aca="false">(C36-F8-(F14+F15)-F17)/MAX(0.000000001,F22)</f>
        <v>0.0950807048050416</v>
      </c>
    </row>
    <row r="46" customFormat="false" ht="15" hidden="false" customHeight="false" outlineLevel="0" collapsed="false">
      <c r="A46" s="3" t="s">
        <v>2097</v>
      </c>
      <c r="C46" s="67" t="n">
        <f aca="false">(C36-C37-(F14+F15)-F17)/MAX(0.000000001,F22)</f>
        <v>0.0950807048050416</v>
      </c>
    </row>
    <row r="47" customFormat="false" ht="15" hidden="false" customHeight="false" outlineLevel="0" collapsed="false">
      <c r="A47" s="3" t="s">
        <v>2098</v>
      </c>
      <c r="C47" s="67" t="n">
        <f aca="false">(C36-C37-(F14+F15)-(F17-C38/輸入與假設!$C$262))/MAX(0.000000001,F22-C38)</f>
        <v>0.100780721603496</v>
      </c>
    </row>
    <row r="48" customFormat="false" ht="15" hidden="false" customHeight="false" outlineLevel="0" collapsed="false">
      <c r="A48" s="3" t="s">
        <v>2099</v>
      </c>
      <c r="C48" s="67" t="n">
        <f aca="false">(C36-C37-(F14+F15)-C40)/MAX(0.000000001,C39)</f>
        <v>0.12866231552028</v>
      </c>
    </row>
    <row r="49" customFormat="false" ht="15" hidden="false" customHeight="false" outlineLevel="0" collapsed="false">
      <c r="A49" s="2" t="s">
        <v>2100</v>
      </c>
      <c r="C49" s="67" t="n">
        <f aca="false">(C36-C37-C42)/MAX(0.000000001,C41)</f>
        <v>0.128919038224616</v>
      </c>
      <c r="I49" s="11" t="s">
        <v>2101</v>
      </c>
    </row>
    <row r="50" customFormat="false" ht="15" hidden="false" customHeight="false" outlineLevel="0" collapsed="false">
      <c r="A50" s="3" t="s">
        <v>2102</v>
      </c>
      <c r="C50" s="67" t="n">
        <f aca="false">C44-C43</f>
        <v>0.0256594413492799</v>
      </c>
    </row>
    <row r="51" customFormat="false" ht="15" hidden="false" customHeight="false" outlineLevel="0" collapsed="false">
      <c r="A51" s="3" t="s">
        <v>2103</v>
      </c>
      <c r="C51" s="67" t="n">
        <f aca="false">C45-C44</f>
        <v>-0.057654065131148</v>
      </c>
    </row>
    <row r="52" customFormat="false" ht="15" hidden="false" customHeight="false" outlineLevel="0" collapsed="false">
      <c r="A52" s="3" t="s">
        <v>2104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2105</v>
      </c>
      <c r="C53" s="67" t="n">
        <f aca="false">C47-C46</f>
        <v>0.00570001679845388</v>
      </c>
    </row>
    <row r="54" customFormat="false" ht="15" hidden="false" customHeight="false" outlineLevel="0" collapsed="false">
      <c r="A54" s="3" t="s">
        <v>2106</v>
      </c>
      <c r="C54" s="67" t="n">
        <f aca="false">C48-C47</f>
        <v>0.027881593916785</v>
      </c>
    </row>
    <row r="55" customFormat="false" ht="15" hidden="false" customHeight="false" outlineLevel="0" collapsed="false">
      <c r="A55" s="3" t="s">
        <v>2107</v>
      </c>
      <c r="C55" s="67" t="n">
        <f aca="false">C49-C48</f>
        <v>0.000256722704335993</v>
      </c>
    </row>
    <row r="56" customFormat="false" ht="15" hidden="false" customHeight="false" outlineLevel="0" collapsed="false">
      <c r="A56" s="3" t="s">
        <v>2108</v>
      </c>
      <c r="C56" s="67" t="n">
        <f aca="false">C33-C49</f>
        <v>-0.0289190382246164</v>
      </c>
    </row>
    <row r="57" customFormat="false" ht="15" hidden="false" customHeight="false" outlineLevel="0" collapsed="false">
      <c r="A57" s="2" t="s">
        <v>2109</v>
      </c>
      <c r="C57" s="67" t="n">
        <f aca="false">C33-C43</f>
        <v>-0.0270753285869098</v>
      </c>
      <c r="I57" s="6" t="s">
        <v>2110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2111</v>
      </c>
    </row>
    <row r="3" customFormat="false" ht="15" hidden="false" customHeight="false" outlineLevel="0" collapsed="false">
      <c r="A3" s="14" t="s">
        <v>2112</v>
      </c>
      <c r="B3" s="14" t="s">
        <v>2113</v>
      </c>
      <c r="C3" s="14" t="s">
        <v>2114</v>
      </c>
      <c r="D3" s="14" t="s">
        <v>2115</v>
      </c>
      <c r="E3" s="14" t="s">
        <v>1066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0.725</v>
      </c>
      <c r="C4" s="108" t="n">
        <f aca="false">輸入與假設!$C$27</f>
        <v>0.725</v>
      </c>
      <c r="D4" s="2" t="str">
        <f aca="false">IF(ABS(B4-C4)&lt;0.0001,"通過","不一致")</f>
        <v>通過</v>
      </c>
      <c r="E4" s="6" t="s">
        <v>2116</v>
      </c>
    </row>
    <row r="5" customFormat="false" ht="15" hidden="false" customHeight="false" outlineLevel="0" collapsed="false">
      <c r="A5" s="3" t="s">
        <v>2117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2118</v>
      </c>
    </row>
    <row r="6" customFormat="false" ht="15" hidden="false" customHeight="false" outlineLevel="0" collapsed="false">
      <c r="A6" s="4" t="s">
        <v>2119</v>
      </c>
      <c r="B6" s="9" t="n">
        <f aca="false">運營_產能與收入!G9-運營_產能與收入!G10</f>
        <v>0.450000000000728</v>
      </c>
      <c r="C6" s="11" t="s">
        <v>2120</v>
      </c>
      <c r="D6" s="2" t="str">
        <f aca="false">IF(B6&gt;=0,"通過","不一致")</f>
        <v>通過</v>
      </c>
      <c r="E6" s="6" t="s">
        <v>2121</v>
      </c>
    </row>
    <row r="7" customFormat="false" ht="15" hidden="false" customHeight="false" outlineLevel="0" collapsed="false">
      <c r="A7" s="4" t="s">
        <v>2122</v>
      </c>
      <c r="B7" s="10" t="n">
        <f aca="false">各期收支!C120</f>
        <v>200.004790442699</v>
      </c>
      <c r="C7" s="11" t="s">
        <v>2123</v>
      </c>
      <c r="D7" s="2" t="str">
        <f aca="false">IF(AND(B7&gt;=195,B7&lt;=205),"通過","觀察")</f>
        <v>通過</v>
      </c>
      <c r="E7" s="11" t="s">
        <v>2124</v>
      </c>
    </row>
    <row r="8" customFormat="false" ht="15" hidden="false" customHeight="false" outlineLevel="0" collapsed="false">
      <c r="A8" s="4" t="s">
        <v>2125</v>
      </c>
      <c r="B8" s="10" t="n">
        <f aca="false">各期收支!C119</f>
        <v>492.268310257</v>
      </c>
      <c r="C8" s="6" t="s">
        <v>2126</v>
      </c>
      <c r="D8" s="2" t="str">
        <f aca="false">"不適用"</f>
        <v>不適用</v>
      </c>
      <c r="E8" s="11" t="s">
        <v>2127</v>
      </c>
    </row>
    <row r="9" customFormat="false" ht="15" hidden="false" customHeight="false" outlineLevel="0" collapsed="false">
      <c r="A9" s="3" t="s">
        <v>2128</v>
      </c>
      <c r="B9" s="13" t="n">
        <f aca="false">MAX(輸入與假設!C123:G123)</f>
        <v>0.574762766746752</v>
      </c>
      <c r="C9" s="11" t="s">
        <v>2129</v>
      </c>
      <c r="D9" s="2" t="str">
        <f aca="false">IF(B9&lt;=0.5,"通過","示警")</f>
        <v>示警</v>
      </c>
      <c r="E9" s="6" t="s">
        <v>2130</v>
      </c>
    </row>
    <row r="10" customFormat="false" ht="15" hidden="false" customHeight="false" outlineLevel="0" collapsed="false">
      <c r="A10" s="3" t="s">
        <v>2131</v>
      </c>
      <c r="B10" s="13" t="n">
        <f aca="false">MAX(輸入與假設!C125:G125)</f>
        <v>0.782594946817438</v>
      </c>
      <c r="C10" s="11" t="s">
        <v>2132</v>
      </c>
      <c r="D10" s="2" t="str">
        <f aca="false">IF(B10&lt;=1,"通過","超過硬上限")</f>
        <v>通過</v>
      </c>
      <c r="E10" s="11" t="s">
        <v>2133</v>
      </c>
    </row>
    <row r="11" customFormat="false" ht="15" hidden="false" customHeight="false" outlineLevel="0" collapsed="false">
      <c r="A11" s="3" t="s">
        <v>2134</v>
      </c>
      <c r="B11" s="9" t="n">
        <f aca="false">輸入與假設!G119-輸入與假設!G36</f>
        <v>0</v>
      </c>
      <c r="C11" s="6" t="n">
        <f aca="false">0</f>
        <v>0</v>
      </c>
      <c r="D11" s="2" t="str">
        <f aca="false">IF(ABS(B11)&lt;0.5,"通過","不一致")</f>
        <v>通過</v>
      </c>
      <c r="E11" s="6" t="s">
        <v>2135</v>
      </c>
    </row>
    <row r="12" customFormat="false" ht="15" hidden="false" customHeight="false" outlineLevel="0" collapsed="false">
      <c r="A12" s="4" t="s">
        <v>2136</v>
      </c>
      <c r="B12" s="10" t="n">
        <f aca="false">輸入與假設!C206</f>
        <v>39.0634690926758</v>
      </c>
      <c r="C12" s="6" t="s">
        <v>2137</v>
      </c>
      <c r="D12" s="2" t="str">
        <f aca="false">IF(AND(B12&gt;0,輸入與假設!$C$197&gt;=0,輸入與假設!$C$197&lt;=輸入與假設!$C$188),"通過","示警")</f>
        <v>通過</v>
      </c>
      <c r="E12" s="6" t="s">
        <v>2138</v>
      </c>
    </row>
    <row r="13" customFormat="false" ht="15" hidden="false" customHeight="false" outlineLevel="0" collapsed="false">
      <c r="A13" s="4" t="s">
        <v>2139</v>
      </c>
      <c r="B13" s="9" t="n">
        <f aca="false">((195+205)/2-輸入與假設!C297-輸入與假設!C304)/(輸入與假設!C271*輸入與假設!$C$269/1000)</f>
        <v>3754.78027844051</v>
      </c>
      <c r="C13" s="11" t="s">
        <v>2140</v>
      </c>
      <c r="D13" s="2" t="str">
        <f aca="false">IF(ABS(B13/((輸入與假設!C290*(1-輸入與假設!$C$259)+輸入與假設!C291*輸入與假設!$C$259)/輸入與假設!$C$263-(輸入與假設!C294*(1-輸入與假設!$C$259)+輸入與假設!C295*輸入與假設!$C$259))-1)&lt;=0.2,"通過","觀察")</f>
        <v>通過</v>
      </c>
      <c r="E13" s="6" t="str">
        <f aca="false">"MW 路徑（AI 總 MW 當量）"&amp;TEXT((輸入與假設!C290*(1-輸入與假設!$C$259)+輸入與假設!C291*輸入與假設!$C$259)/輸入與假設!$C$263-(輸入與假設!C294*(1-輸入與假設!$C$259)+輸入與假設!C295*輸入與假設!$C$259),"#,##0")&amp;"；落差＝指引含 MW 路徑以外的支出或路徑偏低（首期以指引為準）"</f>
        <v>MW 路徑（AI 總 MW 當量）3,755；落差＝指引含 MW 路徑以外的支出或路徑偏低（首期以指引為準）</v>
      </c>
    </row>
    <row r="14" customFormat="false" ht="15" hidden="false" customHeight="false" outlineLevel="0" collapsed="false">
      <c r="A14" s="4" t="s">
        <v>2141</v>
      </c>
      <c r="B14" s="13" t="n">
        <f aca="false">AI增量報酬!C49</f>
        <v>0.128919038224616</v>
      </c>
      <c r="C14" s="11" t="s">
        <v>2142</v>
      </c>
      <c r="D14" s="2" t="str">
        <f aca="false">IF(ABS(B14-AI增量報酬!C33)&lt;=0.05,"通過","觀察")</f>
        <v>通過</v>
      </c>
      <c r="E14" s="6" t="str">
        <f aca="false">"模型稅後 "&amp;TEXT(AI增量報酬!F23*100,"0.0")&amp;"%；差距與逐項拆解見「AI增量報酬」C15 區（各項加總＝總差距）"</f>
        <v>模型稅後 12.7%；差距與逐項拆解見「AI增量報酬」C15 區（各項加總＝總差距）</v>
      </c>
    </row>
    <row r="15" customFormat="false" ht="15" hidden="false" customHeight="false" outlineLevel="0" collapsed="false">
      <c r="A15" s="4" t="s">
        <v>2143</v>
      </c>
      <c r="B15" s="10" t="n">
        <f aca="false">輸入與假設!$C$315</f>
        <v>-11.8542004358889</v>
      </c>
      <c r="C15" s="11" t="s">
        <v>2144</v>
      </c>
      <c r="D15" s="2" t="str">
        <f aca="false">IF(ABS(B15)&lt;=0.1*輸入與假設!$C$265,"通過","觀察")</f>
        <v>觀察</v>
      </c>
      <c r="E15" s="6" t="str">
        <f aca="false">"分部 D&amp;A 年化 "&amp;TEXT(輸入與假設!$C$265,"0.0")&amp;"；AI 期初 "&amp;TEXT(輸入與假設!$C$311,"0.0")&amp;"＋非 AI "&amp;TEXT(輸入與假設!$C$312/輸入與假設!$C$314,"0.0")&amp;"（年限 "&amp;TEXT(輸入與假設!$C$314,"0")&amp;" 年）；殘差不回填（C17）"</f>
        <v>分部 D&amp;A 年化 28.4；AI 期初 32.3＋非 AI 8.0（年限 10 年）；殘差不回填（C17）</v>
      </c>
    </row>
    <row r="16" customFormat="false" ht="15" hidden="false" customHeight="false" outlineLevel="0" collapsed="false">
      <c r="A16" s="4" t="s">
        <v>2145</v>
      </c>
      <c r="B16" s="50" t="n">
        <f aca="false">SUM(各期收支!C6:G6)/((運營_產能與收入!G9-輸入與假設!$C$29)/1000)/1000*1000</f>
        <v>248.616371869461</v>
      </c>
      <c r="C16" s="11" t="s">
        <v>2146</v>
      </c>
      <c r="D16" s="2" t="str">
        <f aca="false">IF(AND(B16&gt;=28,B16&lt;=51),"通過","觀察")</f>
        <v>觀察</v>
      </c>
      <c r="E16" s="11" t="s">
        <v>2147</v>
      </c>
    </row>
    <row r="17" customFormat="false" ht="15" hidden="false" customHeight="false" outlineLevel="0" collapsed="false">
      <c r="A17" s="3" t="s">
        <v>2148</v>
      </c>
      <c r="B17" s="16" t="n">
        <f aca="false">資產負債_租賃承諾!C23</f>
        <v>1</v>
      </c>
      <c r="C17" s="11" t="s">
        <v>2149</v>
      </c>
      <c r="D17" s="2" t="str">
        <f aca="false">IF(B17&gt;=0.8,"通過","不一致")</f>
        <v>通過</v>
      </c>
      <c r="E17" s="6" t="s">
        <v>2150</v>
      </c>
    </row>
    <row r="18" customFormat="false" ht="15" hidden="false" customHeight="false" outlineLevel="0" collapsed="false">
      <c r="A18" s="4" t="s">
        <v>2151</v>
      </c>
      <c r="B18" s="10" t="n">
        <f aca="false">各期收支!C121</f>
        <v>3.82368256759658</v>
      </c>
      <c r="C18" s="11" t="s">
        <v>2152</v>
      </c>
      <c r="D18" s="2" t="str">
        <f aca="false">IF(B18&gt;=1.8,"通過","觀察")</f>
        <v>通過</v>
      </c>
      <c r="E18" s="6" t="str">
        <f aca="false">"1H 實際 1.811＋2H 模型 "&amp;TEXT(各期收支!C17,"0.0")&amp;"；公司未提供季度利息指引（不適用）"</f>
        <v>1H 實際 1.811＋2H 模型 2.0；公司未提供季度利息指引（不適用）</v>
      </c>
    </row>
    <row r="19" customFormat="false" ht="15" hidden="false" customHeight="false" outlineLevel="0" collapsed="false">
      <c r="A19" s="4" t="s">
        <v>2153</v>
      </c>
      <c r="B19" s="29" t="n">
        <f aca="false">SUM(運營_產能與收入!E24:G24)/SUM(運營_產能與收入!E26:G26)</f>
        <v>1</v>
      </c>
      <c r="C19" s="11" t="s">
        <v>2154</v>
      </c>
      <c r="D19" s="2" t="str">
        <f aca="false">IF(B19&lt;0.5,"通過","觀察")</f>
        <v>觀察</v>
      </c>
      <c r="E19" s="11" t="s">
        <v>2155</v>
      </c>
    </row>
    <row r="20" customFormat="false" ht="15" hidden="false" customHeight="false" outlineLevel="0" collapsed="false">
      <c r="A20" s="3" t="s">
        <v>2156</v>
      </c>
      <c r="B20" s="57" t="n">
        <f aca="false">損益!D6-運營_產能與收入!D26</f>
        <v>0</v>
      </c>
      <c r="C20" s="6" t="n">
        <f aca="false">0</f>
        <v>0</v>
      </c>
      <c r="D20" s="2" t="str">
        <f aca="false">IF(ABS(B20)&lt;0.001,"通過","不一致")</f>
        <v>通過</v>
      </c>
      <c r="E20" s="11" t="s">
        <v>2157</v>
      </c>
    </row>
    <row r="21" customFormat="false" ht="15" hidden="false" customHeight="false" outlineLevel="0" collapsed="false">
      <c r="A21" s="3" t="s">
        <v>1825</v>
      </c>
      <c r="B21" s="13" t="n">
        <f aca="false">評價_DCF與目標價!C27</f>
        <v>1.15667702583402</v>
      </c>
      <c r="C21" s="6" t="str">
        <f aca="false">"&lt;"&amp;IF(ROUND(ABS(輸入與假設!$C$463)*100,4)=INT(ROUND(ABS(輸入與假設!$C$463)*100,4)),TEXT(ROUND(ABS(輸入與假設!$C$463)*100,4),"0"),TEXT(ROUND(ABS(輸入與假設!$C$463)*100,4),"0.0"))&amp;"%"</f>
        <v>&lt;85%</v>
      </c>
      <c r="D21" s="2" t="str">
        <f aca="false">IF(B21&lt;輸入與假設!$C$463,"通過","觀察")</f>
        <v>觀察</v>
      </c>
      <c r="E21" s="6" t="s">
        <v>2158</v>
      </c>
    </row>
    <row r="22" customFormat="false" ht="15" hidden="false" customHeight="false" outlineLevel="0" collapsed="false">
      <c r="A22" s="4" t="s">
        <v>2159</v>
      </c>
      <c r="B22" s="109" t="n">
        <f aca="false">(損益!D22+損益!D11-輸入與假設!D241-輸入與假設!D48)/(損益!D6+損益!D7)-輸入與假設!D250</f>
        <v>0</v>
      </c>
      <c r="C22" s="6" t="n">
        <f aca="false">0</f>
        <v>0</v>
      </c>
      <c r="D22" s="2" t="str">
        <f aca="false">IF(ABS(B22)&lt;0.0001,"通過","不一致")</f>
        <v>通過</v>
      </c>
      <c r="E22" s="6" t="s">
        <v>2160</v>
      </c>
    </row>
    <row r="23" customFormat="false" ht="15" hidden="false" customHeight="false" outlineLevel="0" collapsed="false">
      <c r="A23" s="3" t="s">
        <v>2161</v>
      </c>
      <c r="B23" s="57" t="n">
        <f aca="false">(運營_產能與收入!D40+運營_產能與收入!D41+輸入與假設!D251+輸入與假設!D48+輸入與假設!D241-運營_產能與收入!D62-各期收支!D16)+(運營_產能與收入!D35+運營_產能與收入!D24*輸入與假設!D41*(1-輸入與假設!D42))*運營_產能與收入!D39+各期收支!D16-損益!D22</f>
        <v>0</v>
      </c>
      <c r="C23" s="6" t="n">
        <f aca="false">0</f>
        <v>0</v>
      </c>
      <c r="D23" s="2" t="str">
        <f aca="false">IF(ABS(B23)&lt;0.001,"通過","不一致")</f>
        <v>通過</v>
      </c>
      <c r="E23" s="6" t="s">
        <v>2162</v>
      </c>
    </row>
    <row r="24" customFormat="false" ht="15" hidden="false" customHeight="false" outlineLevel="0" collapsed="false">
      <c r="A24" s="4" t="s">
        <v>2163</v>
      </c>
      <c r="B24" s="50" t="n">
        <f aca="false">評價_DCF與目標價!C30</f>
        <v>0</v>
      </c>
      <c r="C24" s="11" t="s">
        <v>2164</v>
      </c>
      <c r="D24" s="2" t="str">
        <f aca="false">IF(B24=0,"通過","觀察")</f>
        <v>通過</v>
      </c>
      <c r="E24" s="6" t="s">
        <v>2165</v>
      </c>
    </row>
    <row r="25" customFormat="false" ht="15" hidden="false" customHeight="false" outlineLevel="0" collapsed="false">
      <c r="A25" s="3" t="s">
        <v>2166</v>
      </c>
      <c r="B25" s="57" t="n">
        <f aca="false">MIN(各期收支!C56:G56)</f>
        <v>50</v>
      </c>
      <c r="C25" s="11" t="s">
        <v>2167</v>
      </c>
      <c r="D25" s="2" t="str">
        <f aca="false">IF(B25&gt;=49.999,"通過","不一致")</f>
        <v>通過</v>
      </c>
      <c r="E25" s="6" t="s">
        <v>2168</v>
      </c>
    </row>
    <row r="26" customFormat="false" ht="15" hidden="false" customHeight="false" outlineLevel="0" collapsed="false">
      <c r="A26" s="3" t="s">
        <v>2169</v>
      </c>
      <c r="B26" s="105" t="n">
        <f aca="false">SUM(各期收支!C92:G92)/(輸入與假設!$C$366*輸入與假設!$C$367)</f>
        <v>0</v>
      </c>
      <c r="C26" s="6" t="str">
        <f aca="false">"≤"&amp;IF(輸入與假設!$C$460=INT(輸入與假設!$C$460),TEXT(輸入與假設!$C$460,"0"),TEXT(輸入與假設!$C$460,"0.0"))&amp;"x"</f>
        <v>≤1.5x</v>
      </c>
      <c r="D26" s="2" t="str">
        <f aca="false">IF(B26&lt;=輸入與假設!$C$460,"通過","觀察")</f>
        <v>通過</v>
      </c>
      <c r="E26" s="6" t="str">
        <f aca="false">"超過 "&amp;IF(輸入與假設!$C$460=INT(輸入與假設!$C$460),TEXT(輸入與假設!$C$460,"0"),TEXT(輸入與假設!$C$460,"0.0"))&amp;" 倍：市場吸收能力存疑，結論不得為買進"</f>
        <v>超過 1.5 倍：市場吸收能力存疑，結論不得為買進</v>
      </c>
    </row>
    <row r="27" customFormat="false" ht="15" hidden="false" customHeight="false" outlineLevel="0" collapsed="false">
      <c r="A27" s="3" t="s">
        <v>2170</v>
      </c>
      <c r="B27" s="57" t="n">
        <f aca="false">資產負債_既有債務!E16+SUMPRODUCT(資產負債_既有債務!$C$27:$C$27*(1-資產負債_既有債務!$H$23:$H$23))</f>
        <v>101.085</v>
      </c>
      <c r="C27" s="11" t="s">
        <v>2171</v>
      </c>
      <c r="D27" s="2" t="str">
        <f aca="false">IF(ABS(B27-101.085)&lt;0.01,"通過","不一致")</f>
        <v>通過</v>
      </c>
      <c r="E27" s="6" t="s">
        <v>2172</v>
      </c>
    </row>
    <row r="28" customFormat="false" ht="15" hidden="false" customHeight="false" outlineLevel="0" collapsed="false">
      <c r="A28" s="4" t="s">
        <v>2173</v>
      </c>
      <c r="B28" s="57" t="n">
        <f aca="false">輸入與假設!C296+輸入與假設!C297</f>
        <v>200.004790442699</v>
      </c>
      <c r="C28" s="11" t="s">
        <v>2123</v>
      </c>
      <c r="D28" s="2" t="str">
        <f aca="false">IF(AND(B28&gt;=195,B28&lt;=205),"通過","觀察")</f>
        <v>通過</v>
      </c>
      <c r="E28" s="6" t="s">
        <v>2174</v>
      </c>
    </row>
    <row r="29" customFormat="false" ht="15" hidden="false" customHeight="false" outlineLevel="0" collapsed="false">
      <c r="A29" s="4" t="s">
        <v>2175</v>
      </c>
      <c r="B29" s="57" t="n">
        <f aca="false">SUM(輸入與假設!C285:G285)</f>
        <v>19.999998</v>
      </c>
      <c r="C29" s="6" t="n">
        <f aca="false">20</f>
        <v>20</v>
      </c>
      <c r="D29" s="2" t="str">
        <f aca="false">IF(ABS(B29-20)&lt;0.01,"通過","不一致")</f>
        <v>通過</v>
      </c>
      <c r="E29" s="6" t="s">
        <v>591</v>
      </c>
    </row>
    <row r="30" customFormat="false" ht="15" hidden="false" customHeight="false" outlineLevel="0" collapsed="false">
      <c r="A30" s="3" t="s">
        <v>2176</v>
      </c>
      <c r="B30" s="57" t="n">
        <f aca="false">運營_站點!G22</f>
        <v>0.119078432625556</v>
      </c>
      <c r="C30" s="6" t="s">
        <v>2177</v>
      </c>
      <c r="D30" s="2" t="str">
        <f aca="false">IF(B30&gt;=運營_站點!$H$6*運營_站點!$C$23*0.8,"通過","觀察")</f>
        <v>通過</v>
      </c>
      <c r="E30" s="6" t="s">
        <v>2178</v>
      </c>
    </row>
    <row r="31" customFormat="false" ht="15" hidden="false" customHeight="false" outlineLevel="0" collapsed="false">
      <c r="A31" s="3" t="s">
        <v>2179</v>
      </c>
      <c r="B31" s="57" t="n">
        <f aca="false">運營_站點!$C$26</f>
        <v>-2.99688411272727</v>
      </c>
      <c r="C31" s="11" t="s">
        <v>2180</v>
      </c>
      <c r="D31" s="2" t="str">
        <f aca="false">IF(B31&lt;10,"通過","觀察")</f>
        <v>通過</v>
      </c>
      <c r="E31" s="6" t="s">
        <v>2181</v>
      </c>
    </row>
    <row r="32" customFormat="false" ht="15" hidden="false" customHeight="false" outlineLevel="0" collapsed="false">
      <c r="A32" s="3" t="s">
        <v>2182</v>
      </c>
      <c r="B32" s="10" t="n">
        <f aca="false">519.5*0.59-SUM(運營_產能與收入!C29:G29)</f>
        <v>163.92871671805</v>
      </c>
      <c r="C32" s="6" t="s">
        <v>2183</v>
      </c>
      <c r="D32" s="2" t="str">
        <f aca="false">"對照"</f>
        <v>對照</v>
      </c>
      <c r="E32" s="11" t="s">
        <v>2184</v>
      </c>
    </row>
    <row r="33" customFormat="false" ht="15" hidden="false" customHeight="false" outlineLevel="0" collapsed="false">
      <c r="A33" s="3" t="s">
        <v>2185</v>
      </c>
      <c r="B33" s="10" t="n">
        <f aca="false">輸入與假設!$C$244</f>
        <v>0</v>
      </c>
      <c r="C33" s="6" t="n">
        <f aca="false">0</f>
        <v>0</v>
      </c>
      <c r="D33" s="2" t="str">
        <f aca="false">IF(ABS(B33)&lt;0.000001,"通過","不一致")</f>
        <v>通過</v>
      </c>
      <c r="E33" s="6" t="s">
        <v>2186</v>
      </c>
    </row>
    <row r="34" customFormat="false" ht="15" hidden="false" customHeight="false" outlineLevel="0" collapsed="false">
      <c r="A34" s="3" t="s">
        <v>2187</v>
      </c>
      <c r="B34" s="10" t="n">
        <f aca="false">SUM(運營_產能與收入!C27:G27)</f>
        <v>0</v>
      </c>
      <c r="C34" s="6" t="n">
        <f aca="false">0</f>
        <v>0</v>
      </c>
      <c r="D34" s="2" t="str">
        <f aca="false">IF(ABS(B34)&lt;0.000001,"通過","不一致")</f>
        <v>通過</v>
      </c>
      <c r="E34" s="11" t="s">
        <v>2188</v>
      </c>
    </row>
    <row r="36" customFormat="false" ht="15" hidden="false" customHeight="false" outlineLevel="0" collapsed="false">
      <c r="A36" s="2" t="s">
        <v>2189</v>
      </c>
    </row>
    <row r="37" customFormat="false" ht="15" hidden="false" customHeight="false" outlineLevel="0" collapsed="false">
      <c r="A37" s="14" t="s">
        <v>59</v>
      </c>
      <c r="B37" s="14" t="s">
        <v>60</v>
      </c>
      <c r="C37" s="15" t="s">
        <v>61</v>
      </c>
      <c r="D37" s="15" t="s">
        <v>62</v>
      </c>
      <c r="E37" s="15" t="s">
        <v>63</v>
      </c>
      <c r="F37" s="15" t="s">
        <v>153</v>
      </c>
      <c r="G37" s="15" t="s">
        <v>154</v>
      </c>
    </row>
    <row r="38" customFormat="false" ht="15" hidden="false" customHeight="false" outlineLevel="0" collapsed="false">
      <c r="A38" s="3" t="s">
        <v>2190</v>
      </c>
      <c r="C38" s="24" t="n">
        <v>15.15</v>
      </c>
      <c r="D38" s="24" t="n">
        <v>15.15</v>
      </c>
      <c r="E38" s="24" t="n">
        <v>15.15</v>
      </c>
      <c r="F38" s="24" t="n">
        <v>15.15</v>
      </c>
      <c r="G38" s="24" t="n">
        <v>15.15</v>
      </c>
      <c r="I38" s="11" t="s">
        <v>2191</v>
      </c>
    </row>
    <row r="39" customFormat="false" ht="15" hidden="false" customHeight="false" outlineLevel="0" collapsed="false">
      <c r="A39" s="2" t="s">
        <v>2192</v>
      </c>
      <c r="C39" s="59" t="n">
        <f aca="false">C38</f>
        <v>15.15</v>
      </c>
      <c r="D39" s="59" t="n">
        <f aca="false">D38</f>
        <v>15.15</v>
      </c>
      <c r="E39" s="59" t="n">
        <f aca="false">E38</f>
        <v>15.15</v>
      </c>
      <c r="F39" s="59" t="n">
        <f aca="false">F38</f>
        <v>15.15</v>
      </c>
      <c r="G39" s="59" t="n">
        <f aca="false">G38</f>
        <v>15.15</v>
      </c>
    </row>
    <row r="40" customFormat="false" ht="15" hidden="false" customHeight="false" outlineLevel="0" collapsed="false">
      <c r="A40" s="3" t="s">
        <v>2193</v>
      </c>
      <c r="C40" s="39" t="n">
        <f aca="false">運營_產能與收入!C26/輸入與假設!C34</f>
        <v>25.4455038106485</v>
      </c>
      <c r="D40" s="39" t="n">
        <f aca="false">運營_產能與收入!D26/輸入與假設!D34</f>
        <v>38.1014017385733</v>
      </c>
      <c r="E40" s="39" t="n">
        <f aca="false">運營_產能與收入!E26/輸入與假設!E34</f>
        <v>55.3706129164472</v>
      </c>
      <c r="F40" s="39" t="n">
        <f aca="false">運營_產能與收入!F26/輸入與假設!F34</f>
        <v>72.7630334432111</v>
      </c>
      <c r="G40" s="39" t="n">
        <f aca="false">運營_產能與收入!G26/輸入與假設!G34</f>
        <v>90.2173199645169</v>
      </c>
    </row>
    <row r="41" customFormat="false" ht="15" hidden="false" customHeight="false" outlineLevel="0" collapsed="false">
      <c r="A41" s="2" t="s">
        <v>2194</v>
      </c>
      <c r="C41" s="60" t="n">
        <f aca="false">C39/MAX(0.000000001,C40)</f>
        <v>0.595390058406311</v>
      </c>
      <c r="D41" s="60" t="n">
        <f aca="false">D39/MAX(0.000000001,D40)</f>
        <v>0.397623166306303</v>
      </c>
      <c r="E41" s="60" t="n">
        <f aca="false">E39/MAX(0.000000001,E40)</f>
        <v>0.273610841600416</v>
      </c>
      <c r="F41" s="60" t="n">
        <f aca="false">F39/MAX(0.000000001,F40)</f>
        <v>0.208210121033836</v>
      </c>
      <c r="G41" s="60" t="n">
        <f aca="false">G39/MAX(0.000000001,G40)</f>
        <v>0.167927843633114</v>
      </c>
      <c r="I41" s="11" t="s">
        <v>2195</v>
      </c>
    </row>
    <row r="42" customFormat="false" ht="15" hidden="false" customHeight="false" outlineLevel="0" collapsed="false">
      <c r="A42" s="3" t="s">
        <v>2196</v>
      </c>
      <c r="C42" s="24" t="n">
        <v>7.407</v>
      </c>
      <c r="D42" s="24" t="n">
        <v>14.81</v>
      </c>
      <c r="E42" s="24" t="n">
        <v>14.81</v>
      </c>
      <c r="F42" s="24" t="n">
        <v>14.81</v>
      </c>
      <c r="G42" s="24" t="n">
        <v>14.81</v>
      </c>
      <c r="I42" s="11" t="s">
        <v>2197</v>
      </c>
    </row>
    <row r="43" customFormat="false" ht="15" hidden="false" customHeight="false" outlineLevel="0" collapsed="false">
      <c r="A43" s="3" t="s">
        <v>2198</v>
      </c>
      <c r="C43" s="24" t="n">
        <v>0</v>
      </c>
      <c r="D43" s="24" t="n">
        <v>13.91</v>
      </c>
      <c r="E43" s="24" t="n">
        <v>27.82</v>
      </c>
      <c r="F43" s="24" t="n">
        <v>27.82</v>
      </c>
      <c r="G43" s="24" t="n">
        <v>27.82</v>
      </c>
      <c r="I43" s="11" t="s">
        <v>2199</v>
      </c>
    </row>
    <row r="45" customFormat="false" ht="15" hidden="false" customHeight="false" outlineLevel="0" collapsed="false">
      <c r="A45" s="2" t="s">
        <v>2200</v>
      </c>
    </row>
    <row r="46" customFormat="false" ht="15" hidden="false" customHeight="false" outlineLevel="0" collapsed="false">
      <c r="A46" s="3" t="s">
        <v>2201</v>
      </c>
      <c r="B46" s="10" t="n">
        <f aca="false">SUM(運營_產能與收入!C18:G18)</f>
        <v>0</v>
      </c>
    </row>
    <row r="47" customFormat="false" ht="15" hidden="false" customHeight="false" outlineLevel="0" collapsed="false">
      <c r="A47" s="3" t="s">
        <v>2202</v>
      </c>
      <c r="B47" s="10" t="n">
        <f aca="false">SUM(運營_產能與收入!C20:G20)</f>
        <v>0</v>
      </c>
    </row>
    <row r="48" customFormat="false" ht="15" hidden="false" customHeight="false" outlineLevel="0" collapsed="false">
      <c r="A48" s="3" t="s">
        <v>2203</v>
      </c>
      <c r="B48" s="10" t="n">
        <f aca="false">SUM(運營_產能與收入!C24:G24)</f>
        <v>269.175119968073</v>
      </c>
    </row>
    <row r="49" customFormat="false" ht="15" hidden="false" customHeight="false" outlineLevel="0" collapsed="false">
      <c r="A49" s="3" t="s">
        <v>2204</v>
      </c>
      <c r="B49" s="10" t="n">
        <f aca="false">SUM(輸入與假設!C323:G323)</f>
        <v>1313.50587443941</v>
      </c>
    </row>
    <row r="50" customFormat="false" ht="15" hidden="false" customHeight="false" outlineLevel="0" collapsed="false">
      <c r="A50" s="3" t="s">
        <v>2205</v>
      </c>
      <c r="B50" s="10" t="n">
        <f aca="false">SUM(各期收支!C16:G16)</f>
        <v>2.99688411272727</v>
      </c>
    </row>
    <row r="51" customFormat="false" ht="15" hidden="false" customHeight="false" outlineLevel="0" collapsed="false">
      <c r="A51" s="3" t="s">
        <v>2206</v>
      </c>
      <c r="B51" s="10" t="n">
        <f aca="false">SUM(各期收支!C21:G21)</f>
        <v>21.5828034168371</v>
      </c>
    </row>
    <row r="52" customFormat="false" ht="15" hidden="false" customHeight="false" outlineLevel="0" collapsed="false">
      <c r="A52" s="3" t="s">
        <v>2207</v>
      </c>
      <c r="B52" s="10" t="n">
        <f aca="false">SUM(輸入與假設!C361:G361)*輸入與假設!$C$332+SUM(資產負債_既有債務!C38:G38)</f>
        <v>14.626</v>
      </c>
    </row>
    <row r="53" customFormat="false" ht="15" hidden="false" customHeight="false" outlineLevel="0" collapsed="false">
      <c r="A53" s="3" t="s">
        <v>2208</v>
      </c>
      <c r="B53" s="10" t="n">
        <f aca="false">SUM(各期收支!C54:G54)-(輸入與假設!$C$467-輸入與假設!$C$468-輸入與假設!$C$470-輸入與假設!$C$485)</f>
        <v>-176.591075100139</v>
      </c>
    </row>
    <row r="54" customFormat="false" ht="15" hidden="false" customHeight="false" outlineLevel="0" collapsed="false">
      <c r="A54" s="4" t="s">
        <v>2209</v>
      </c>
      <c r="B54" s="10" t="n">
        <f aca="false">SUM(各期收支!C54:G54)</f>
        <v>-233.001075100139</v>
      </c>
    </row>
    <row r="55" customFormat="false" ht="15" hidden="false" customHeight="false" outlineLevel="0" collapsed="false">
      <c r="A55" s="3" t="s">
        <v>1673</v>
      </c>
      <c r="B55" s="10" t="n">
        <f aca="false">各期收支!G56</f>
        <v>50</v>
      </c>
    </row>
    <row r="56" customFormat="false" ht="15" hidden="false" customHeight="false" outlineLevel="0" collapsed="false">
      <c r="A56" s="4" t="s">
        <v>2210</v>
      </c>
      <c r="B56" s="12" t="n">
        <f aca="false">評價_DCF與目標價!C26</f>
        <v>96.6478212185986</v>
      </c>
    </row>
    <row r="57" customFormat="false" ht="15" hidden="false" customHeight="false" outlineLevel="0" collapsed="false">
      <c r="A57" s="3" t="s">
        <v>1854</v>
      </c>
      <c r="B57" s="12" t="n">
        <f aca="false">評價_DCF與目標價!C51</f>
        <v>145.847691260205</v>
      </c>
    </row>
  </sheetData>
  <conditionalFormatting sqref="D4:D75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2211</v>
      </c>
    </row>
    <row r="2" customFormat="false" ht="15" hidden="false" customHeight="false" outlineLevel="0" collapsed="false">
      <c r="A2" s="11" t="s">
        <v>2212</v>
      </c>
    </row>
    <row r="4" customFormat="false" ht="15" hidden="false" customHeight="false" outlineLevel="0" collapsed="false">
      <c r="A4" s="14" t="s">
        <v>2213</v>
      </c>
      <c r="B4" s="14" t="s">
        <v>2214</v>
      </c>
      <c r="C4" s="14" t="s">
        <v>2215</v>
      </c>
      <c r="D4" s="14" t="s">
        <v>2216</v>
      </c>
      <c r="E4" s="14" t="s">
        <v>2217</v>
      </c>
    </row>
    <row r="5" customFormat="false" ht="69.4" hidden="false" customHeight="false" outlineLevel="0" collapsed="false">
      <c r="A5" s="110" t="s">
        <v>2218</v>
      </c>
      <c r="B5" s="110" t="s">
        <v>2219</v>
      </c>
      <c r="C5" s="111" t="s">
        <v>2220</v>
      </c>
      <c r="D5" s="112" t="s">
        <v>2221</v>
      </c>
      <c r="E5" s="113" t="s">
        <v>2222</v>
      </c>
    </row>
    <row r="6" customFormat="false" ht="114.9" hidden="false" customHeight="false" outlineLevel="0" collapsed="false">
      <c r="A6" s="110" t="s">
        <v>2223</v>
      </c>
      <c r="B6" s="110" t="s">
        <v>2224</v>
      </c>
      <c r="C6" s="111" t="s">
        <v>2225</v>
      </c>
      <c r="D6" s="112" t="s">
        <v>2226</v>
      </c>
      <c r="E6" s="111" t="s">
        <v>2227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2228</v>
      </c>
    </row>
    <row r="3" customFormat="false" ht="15" hidden="false" customHeight="false" outlineLevel="0" collapsed="false">
      <c r="A3" s="14" t="s">
        <v>2229</v>
      </c>
      <c r="B3" s="14" t="s">
        <v>2230</v>
      </c>
    </row>
    <row r="4" customFormat="false" ht="45.75" hidden="false" customHeight="true" outlineLevel="0" collapsed="false">
      <c r="A4" s="84" t="s">
        <v>986</v>
      </c>
      <c r="B4" s="113" t="s">
        <v>2231</v>
      </c>
    </row>
    <row r="5" customFormat="false" ht="45.75" hidden="false" customHeight="true" outlineLevel="0" collapsed="false">
      <c r="A5" s="84" t="s">
        <v>986</v>
      </c>
      <c r="B5" s="111" t="s">
        <v>2232</v>
      </c>
    </row>
    <row r="6" customFormat="false" ht="45.75" hidden="false" customHeight="true" outlineLevel="0" collapsed="false">
      <c r="A6" s="84" t="s">
        <v>986</v>
      </c>
      <c r="B6" s="111" t="s">
        <v>2233</v>
      </c>
    </row>
    <row r="7" customFormat="false" ht="45.75" hidden="false" customHeight="true" outlineLevel="0" collapsed="false">
      <c r="A7" s="84" t="s">
        <v>986</v>
      </c>
      <c r="B7" s="113" t="s">
        <v>2234</v>
      </c>
    </row>
    <row r="8" customFormat="false" ht="45.75" hidden="false" customHeight="true" outlineLevel="0" collapsed="false">
      <c r="A8" s="84" t="s">
        <v>981</v>
      </c>
      <c r="B8" s="113" t="s">
        <v>2235</v>
      </c>
    </row>
    <row r="9" customFormat="false" ht="45.75" hidden="false" customHeight="true" outlineLevel="0" collapsed="false">
      <c r="A9" s="84" t="s">
        <v>981</v>
      </c>
      <c r="B9" s="111" t="s">
        <v>2236</v>
      </c>
    </row>
    <row r="10" customFormat="false" ht="45.75" hidden="false" customHeight="true" outlineLevel="0" collapsed="false">
      <c r="A10" s="84" t="s">
        <v>986</v>
      </c>
      <c r="B10" s="111" t="s">
        <v>2237</v>
      </c>
    </row>
    <row r="11" customFormat="false" ht="45.75" hidden="false" customHeight="true" outlineLevel="0" collapsed="false">
      <c r="A11" s="2" t="s">
        <v>2238</v>
      </c>
      <c r="B11" s="111" t="s">
        <v>2239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2240</v>
      </c>
    </row>
    <row r="2" customFormat="false" ht="15" hidden="false" customHeight="false" outlineLevel="0" collapsed="false">
      <c r="A2" s="6" t="s">
        <v>2241</v>
      </c>
    </row>
    <row r="3" customFormat="false" ht="15" hidden="false" customHeight="false" outlineLevel="0" collapsed="false">
      <c r="A3" s="6" t="s">
        <v>2242</v>
      </c>
    </row>
    <row r="4" customFormat="false" ht="17.15" hidden="false" customHeight="false" outlineLevel="0" collapsed="false">
      <c r="A4" s="14" t="s">
        <v>2243</v>
      </c>
      <c r="B4" s="14" t="s">
        <v>2244</v>
      </c>
      <c r="C4" s="14" t="s">
        <v>2245</v>
      </c>
      <c r="D4" s="14" t="s">
        <v>60</v>
      </c>
      <c r="E4" s="14" t="s">
        <v>2246</v>
      </c>
      <c r="F4" s="14" t="s">
        <v>2247</v>
      </c>
      <c r="G4" s="14" t="s">
        <v>248</v>
      </c>
      <c r="H4" s="14" t="s">
        <v>2248</v>
      </c>
      <c r="I4" s="15" t="s">
        <v>2249</v>
      </c>
      <c r="J4" s="14" t="s">
        <v>2250</v>
      </c>
    </row>
    <row r="5" customFormat="false" ht="15" hidden="false" customHeight="false" outlineLevel="0" collapsed="false">
      <c r="A5" s="4" t="s">
        <v>2251</v>
      </c>
      <c r="B5" s="4" t="s">
        <v>2252</v>
      </c>
      <c r="C5" s="3" t="s">
        <v>2253</v>
      </c>
      <c r="D5" s="11" t="s">
        <v>2254</v>
      </c>
      <c r="E5" s="4" t="s">
        <v>2255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2256</v>
      </c>
      <c r="J5" s="11" t="s">
        <v>2257</v>
      </c>
    </row>
    <row r="6" customFormat="false" ht="15" hidden="false" customHeight="false" outlineLevel="0" collapsed="false">
      <c r="A6" s="4" t="s">
        <v>2258</v>
      </c>
      <c r="B6" s="4" t="s">
        <v>2252</v>
      </c>
      <c r="C6" s="3" t="s">
        <v>2253</v>
      </c>
      <c r="D6" s="11" t="s">
        <v>2254</v>
      </c>
      <c r="E6" s="4" t="s">
        <v>2259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2260</v>
      </c>
      <c r="J6" s="11" t="s">
        <v>2257</v>
      </c>
    </row>
    <row r="7" customFormat="false" ht="15" hidden="false" customHeight="false" outlineLevel="0" collapsed="false">
      <c r="A7" s="4" t="s">
        <v>2261</v>
      </c>
      <c r="B7" s="4" t="s">
        <v>2252</v>
      </c>
      <c r="C7" s="3" t="s">
        <v>2253</v>
      </c>
      <c r="D7" s="11" t="s">
        <v>2254</v>
      </c>
      <c r="E7" s="4" t="s">
        <v>2262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2263</v>
      </c>
      <c r="J7" s="11" t="s">
        <v>2257</v>
      </c>
    </row>
    <row r="8" customFormat="false" ht="15" hidden="false" customHeight="false" outlineLevel="0" collapsed="false">
      <c r="A8" s="4" t="s">
        <v>2264</v>
      </c>
      <c r="B8" s="4" t="s">
        <v>2252</v>
      </c>
      <c r="C8" s="3" t="s">
        <v>2253</v>
      </c>
      <c r="D8" s="11" t="s">
        <v>2254</v>
      </c>
      <c r="E8" s="4" t="s">
        <v>2265</v>
      </c>
      <c r="F8" s="114" t="n">
        <v>9.51207691858967</v>
      </c>
      <c r="G8" s="114" t="n">
        <v>12.2254710045841</v>
      </c>
      <c r="H8" s="114" t="n">
        <v>19.7506269894487</v>
      </c>
      <c r="I8" s="11" t="s">
        <v>2266</v>
      </c>
      <c r="J8" s="11" t="s">
        <v>2257</v>
      </c>
    </row>
    <row r="9" customFormat="false" ht="15" hidden="false" customHeight="false" outlineLevel="0" collapsed="false">
      <c r="A9" s="4" t="s">
        <v>2267</v>
      </c>
      <c r="B9" s="4" t="s">
        <v>2252</v>
      </c>
      <c r="C9" s="3" t="s">
        <v>2253</v>
      </c>
      <c r="D9" s="11" t="s">
        <v>2254</v>
      </c>
      <c r="E9" s="4" t="s">
        <v>2268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2269</v>
      </c>
      <c r="J9" s="11" t="s">
        <v>2257</v>
      </c>
    </row>
    <row r="10" customFormat="false" ht="15" hidden="false" customHeight="false" outlineLevel="0" collapsed="false">
      <c r="A10" s="4" t="s">
        <v>2270</v>
      </c>
      <c r="B10" s="4" t="s">
        <v>2271</v>
      </c>
      <c r="C10" s="3" t="s">
        <v>2272</v>
      </c>
      <c r="D10" s="11" t="s">
        <v>2254</v>
      </c>
      <c r="E10" s="4" t="s">
        <v>2255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2273</v>
      </c>
      <c r="J10" s="11" t="s">
        <v>2257</v>
      </c>
    </row>
    <row r="11" customFormat="false" ht="15" hidden="false" customHeight="false" outlineLevel="0" collapsed="false">
      <c r="A11" s="4" t="s">
        <v>2274</v>
      </c>
      <c r="B11" s="4" t="s">
        <v>2271</v>
      </c>
      <c r="C11" s="3" t="s">
        <v>2272</v>
      </c>
      <c r="D11" s="11" t="s">
        <v>2254</v>
      </c>
      <c r="E11" s="4" t="s">
        <v>2259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2275</v>
      </c>
      <c r="J11" s="11" t="s">
        <v>2257</v>
      </c>
    </row>
    <row r="12" customFormat="false" ht="15" hidden="false" customHeight="false" outlineLevel="0" collapsed="false">
      <c r="A12" s="4" t="s">
        <v>2276</v>
      </c>
      <c r="B12" s="4" t="s">
        <v>2271</v>
      </c>
      <c r="C12" s="3" t="s">
        <v>2272</v>
      </c>
      <c r="D12" s="11" t="s">
        <v>2254</v>
      </c>
      <c r="E12" s="4" t="s">
        <v>2262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2277</v>
      </c>
      <c r="J12" s="11" t="s">
        <v>2257</v>
      </c>
    </row>
    <row r="13" customFormat="false" ht="15" hidden="false" customHeight="false" outlineLevel="0" collapsed="false">
      <c r="A13" s="4" t="s">
        <v>2278</v>
      </c>
      <c r="B13" s="4" t="s">
        <v>2271</v>
      </c>
      <c r="C13" s="3" t="s">
        <v>2272</v>
      </c>
      <c r="D13" s="11" t="s">
        <v>2254</v>
      </c>
      <c r="E13" s="4" t="s">
        <v>2265</v>
      </c>
      <c r="F13" s="114" t="n">
        <v>7.32251312176997</v>
      </c>
      <c r="G13" s="114" t="n">
        <v>8.9923042149807</v>
      </c>
      <c r="H13" s="114" t="n">
        <v>14.5598263108425</v>
      </c>
      <c r="I13" s="11" t="s">
        <v>2279</v>
      </c>
      <c r="J13" s="11" t="s">
        <v>2257</v>
      </c>
    </row>
    <row r="14" customFormat="false" ht="15" hidden="false" customHeight="false" outlineLevel="0" collapsed="false">
      <c r="A14" s="4" t="s">
        <v>2280</v>
      </c>
      <c r="B14" s="4" t="s">
        <v>2271</v>
      </c>
      <c r="C14" s="3" t="s">
        <v>2272</v>
      </c>
      <c r="D14" s="11" t="s">
        <v>2254</v>
      </c>
      <c r="E14" s="4" t="s">
        <v>2268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2281</v>
      </c>
      <c r="J14" s="11" t="s">
        <v>2257</v>
      </c>
    </row>
    <row r="15" customFormat="false" ht="15" hidden="false" customHeight="false" outlineLevel="0" collapsed="false">
      <c r="A15" s="4" t="s">
        <v>2282</v>
      </c>
      <c r="B15" s="4" t="s">
        <v>2283</v>
      </c>
      <c r="C15" s="3" t="s">
        <v>2284</v>
      </c>
      <c r="D15" s="11" t="s">
        <v>2285</v>
      </c>
      <c r="E15" s="4" t="s">
        <v>2255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2286</v>
      </c>
      <c r="J15" s="11" t="s">
        <v>2257</v>
      </c>
    </row>
    <row r="16" customFormat="false" ht="15" hidden="false" customHeight="false" outlineLevel="0" collapsed="false">
      <c r="A16" s="4" t="s">
        <v>2287</v>
      </c>
      <c r="B16" s="4" t="s">
        <v>2283</v>
      </c>
      <c r="C16" s="3" t="s">
        <v>2284</v>
      </c>
      <c r="D16" s="11" t="s">
        <v>2285</v>
      </c>
      <c r="E16" s="4" t="s">
        <v>2259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2288</v>
      </c>
      <c r="J16" s="11" t="s">
        <v>2257</v>
      </c>
    </row>
    <row r="17" customFormat="false" ht="15" hidden="false" customHeight="false" outlineLevel="0" collapsed="false">
      <c r="A17" s="4" t="s">
        <v>2289</v>
      </c>
      <c r="B17" s="4" t="s">
        <v>2283</v>
      </c>
      <c r="C17" s="3" t="s">
        <v>2284</v>
      </c>
      <c r="D17" s="11" t="s">
        <v>2285</v>
      </c>
      <c r="E17" s="4" t="s">
        <v>2262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2290</v>
      </c>
      <c r="J17" s="11" t="s">
        <v>2257</v>
      </c>
    </row>
    <row r="18" customFormat="false" ht="15" hidden="false" customHeight="false" outlineLevel="0" collapsed="false">
      <c r="A18" s="4" t="s">
        <v>2291</v>
      </c>
      <c r="B18" s="4" t="s">
        <v>2283</v>
      </c>
      <c r="C18" s="3" t="s">
        <v>2284</v>
      </c>
      <c r="D18" s="11" t="s">
        <v>2285</v>
      </c>
      <c r="E18" s="4" t="s">
        <v>2265</v>
      </c>
      <c r="F18" s="114" t="n">
        <v>3.72193954123947</v>
      </c>
      <c r="G18" s="114" t="n">
        <v>4.78365180724219</v>
      </c>
      <c r="H18" s="114" t="n">
        <v>7.72813762813851</v>
      </c>
      <c r="I18" s="11" t="s">
        <v>2292</v>
      </c>
      <c r="J18" s="11" t="s">
        <v>2257</v>
      </c>
    </row>
    <row r="19" customFormat="false" ht="15" hidden="false" customHeight="false" outlineLevel="0" collapsed="false">
      <c r="A19" s="4" t="s">
        <v>2293</v>
      </c>
      <c r="B19" s="4" t="s">
        <v>2283</v>
      </c>
      <c r="C19" s="3" t="s">
        <v>2284</v>
      </c>
      <c r="D19" s="11" t="s">
        <v>2285</v>
      </c>
      <c r="E19" s="4" t="s">
        <v>2268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2294</v>
      </c>
      <c r="J19" s="11" t="s">
        <v>2257</v>
      </c>
    </row>
    <row r="20" customFormat="false" ht="15" hidden="false" customHeight="false" outlineLevel="0" collapsed="false">
      <c r="A20" s="4" t="s">
        <v>2295</v>
      </c>
      <c r="B20" s="4" t="s">
        <v>2296</v>
      </c>
      <c r="C20" s="3" t="s">
        <v>2297</v>
      </c>
      <c r="D20" s="11" t="s">
        <v>2298</v>
      </c>
      <c r="E20" s="4" t="s">
        <v>2255</v>
      </c>
      <c r="F20" s="114" t="n">
        <v>21.4202694</v>
      </c>
      <c r="G20" s="114" t="n">
        <v>27.510214</v>
      </c>
      <c r="H20" s="114" t="n">
        <v>34.1207434</v>
      </c>
      <c r="I20" s="11" t="s">
        <v>2299</v>
      </c>
      <c r="J20" s="11" t="s">
        <v>2257</v>
      </c>
    </row>
    <row r="21" customFormat="false" ht="15" hidden="false" customHeight="false" outlineLevel="0" collapsed="false">
      <c r="A21" s="4" t="s">
        <v>2300</v>
      </c>
      <c r="B21" s="4" t="s">
        <v>2296</v>
      </c>
      <c r="C21" s="3" t="s">
        <v>2297</v>
      </c>
      <c r="D21" s="11" t="s">
        <v>2298</v>
      </c>
      <c r="E21" s="4" t="s">
        <v>2259</v>
      </c>
      <c r="F21" s="114" t="n">
        <v>20.6393904</v>
      </c>
      <c r="G21" s="114" t="n">
        <v>24.015174</v>
      </c>
      <c r="H21" s="114" t="n">
        <v>27.6502044</v>
      </c>
      <c r="I21" s="11" t="s">
        <v>2301</v>
      </c>
      <c r="J21" s="11" t="s">
        <v>2257</v>
      </c>
    </row>
    <row r="22" customFormat="false" ht="15" hidden="false" customHeight="false" outlineLevel="0" collapsed="false">
      <c r="A22" s="4" t="s">
        <v>2302</v>
      </c>
      <c r="B22" s="4" t="s">
        <v>2296</v>
      </c>
      <c r="C22" s="3" t="s">
        <v>2297</v>
      </c>
      <c r="D22" s="11" t="s">
        <v>2298</v>
      </c>
      <c r="E22" s="4" t="s">
        <v>2262</v>
      </c>
      <c r="F22" s="114" t="n">
        <v>28.5549024</v>
      </c>
      <c r="G22" s="114" t="n">
        <v>32.237224</v>
      </c>
      <c r="H22" s="114" t="n">
        <v>39.2826064</v>
      </c>
      <c r="I22" s="11" t="s">
        <v>2303</v>
      </c>
      <c r="J22" s="11" t="s">
        <v>2257</v>
      </c>
    </row>
    <row r="23" customFormat="false" ht="15" hidden="false" customHeight="false" outlineLevel="0" collapsed="false">
      <c r="A23" s="4" t="s">
        <v>2304</v>
      </c>
      <c r="B23" s="4" t="s">
        <v>2296</v>
      </c>
      <c r="C23" s="3" t="s">
        <v>2297</v>
      </c>
      <c r="D23" s="11" t="s">
        <v>2298</v>
      </c>
      <c r="E23" s="4" t="s">
        <v>2265</v>
      </c>
      <c r="F23" s="114" t="n">
        <v>33.2734032</v>
      </c>
      <c r="G23" s="114" t="n">
        <v>37.586352</v>
      </c>
      <c r="H23" s="114" t="n">
        <v>42.6375752</v>
      </c>
      <c r="I23" s="11" t="s">
        <v>2305</v>
      </c>
      <c r="J23" s="11" t="s">
        <v>2257</v>
      </c>
    </row>
    <row r="24" customFormat="false" ht="15" hidden="false" customHeight="false" outlineLevel="0" collapsed="false">
      <c r="A24" s="4" t="s">
        <v>2306</v>
      </c>
      <c r="B24" s="4" t="s">
        <v>2296</v>
      </c>
      <c r="C24" s="3" t="s">
        <v>2297</v>
      </c>
      <c r="D24" s="11" t="s">
        <v>2298</v>
      </c>
      <c r="E24" s="4" t="s">
        <v>2268</v>
      </c>
      <c r="F24" s="114" t="n">
        <v>35.845578</v>
      </c>
      <c r="G24" s="114" t="n">
        <v>50.08578</v>
      </c>
      <c r="H24" s="114" t="n">
        <v>65.481558</v>
      </c>
      <c r="I24" s="11" t="s">
        <v>2307</v>
      </c>
      <c r="J24" s="11" t="s">
        <v>2257</v>
      </c>
    </row>
    <row r="25" customFormat="false" ht="15" hidden="false" customHeight="false" outlineLevel="0" collapsed="false">
      <c r="A25" s="4" t="s">
        <v>2308</v>
      </c>
      <c r="B25" s="4" t="s">
        <v>2309</v>
      </c>
      <c r="C25" s="3" t="s">
        <v>2310</v>
      </c>
      <c r="D25" s="11" t="s">
        <v>2298</v>
      </c>
      <c r="E25" s="4" t="s">
        <v>2255</v>
      </c>
      <c r="F25" s="114" t="n">
        <v>10.212</v>
      </c>
      <c r="G25" s="114" t="n">
        <v>12.67</v>
      </c>
      <c r="H25" s="114" t="n">
        <v>16.186</v>
      </c>
      <c r="I25" s="11" t="s">
        <v>2311</v>
      </c>
      <c r="J25" s="11" t="s">
        <v>2257</v>
      </c>
    </row>
    <row r="26" customFormat="false" ht="15" hidden="false" customHeight="false" outlineLevel="0" collapsed="false">
      <c r="A26" s="4" t="s">
        <v>2312</v>
      </c>
      <c r="B26" s="4" t="s">
        <v>2309</v>
      </c>
      <c r="C26" s="3" t="s">
        <v>2310</v>
      </c>
      <c r="D26" s="11" t="s">
        <v>2298</v>
      </c>
      <c r="E26" s="4" t="s">
        <v>2259</v>
      </c>
      <c r="F26" s="114" t="n">
        <v>10.212</v>
      </c>
      <c r="G26" s="114" t="n">
        <v>12.67</v>
      </c>
      <c r="H26" s="114" t="n">
        <v>16.186</v>
      </c>
      <c r="I26" s="11" t="s">
        <v>2313</v>
      </c>
      <c r="J26" s="11" t="s">
        <v>2257</v>
      </c>
    </row>
    <row r="27" customFormat="false" ht="15" hidden="false" customHeight="false" outlineLevel="0" collapsed="false">
      <c r="A27" s="4" t="s">
        <v>2314</v>
      </c>
      <c r="B27" s="4" t="s">
        <v>2309</v>
      </c>
      <c r="C27" s="3" t="s">
        <v>2310</v>
      </c>
      <c r="D27" s="11" t="s">
        <v>2298</v>
      </c>
      <c r="E27" s="4" t="s">
        <v>2262</v>
      </c>
      <c r="F27" s="114" t="n">
        <v>10.212</v>
      </c>
      <c r="G27" s="114" t="n">
        <v>12.67</v>
      </c>
      <c r="H27" s="114" t="n">
        <v>16.186</v>
      </c>
      <c r="I27" s="11" t="s">
        <v>2315</v>
      </c>
      <c r="J27" s="11" t="s">
        <v>2257</v>
      </c>
    </row>
    <row r="28" customFormat="false" ht="15" hidden="false" customHeight="false" outlineLevel="0" collapsed="false">
      <c r="A28" s="4" t="s">
        <v>2316</v>
      </c>
      <c r="B28" s="4" t="s">
        <v>2309</v>
      </c>
      <c r="C28" s="3" t="s">
        <v>2310</v>
      </c>
      <c r="D28" s="11" t="s">
        <v>2298</v>
      </c>
      <c r="E28" s="4" t="s">
        <v>2265</v>
      </c>
      <c r="F28" s="114" t="n">
        <v>10.212</v>
      </c>
      <c r="G28" s="114" t="n">
        <v>12.67</v>
      </c>
      <c r="H28" s="114" t="n">
        <v>16.186</v>
      </c>
      <c r="I28" s="11" t="s">
        <v>2317</v>
      </c>
      <c r="J28" s="11" t="s">
        <v>2257</v>
      </c>
    </row>
    <row r="29" customFormat="false" ht="15" hidden="false" customHeight="false" outlineLevel="0" collapsed="false">
      <c r="A29" s="4" t="s">
        <v>2318</v>
      </c>
      <c r="B29" s="4" t="s">
        <v>2309</v>
      </c>
      <c r="C29" s="3" t="s">
        <v>2310</v>
      </c>
      <c r="D29" s="11" t="s">
        <v>2298</v>
      </c>
      <c r="E29" s="4" t="s">
        <v>2268</v>
      </c>
      <c r="F29" s="114" t="n">
        <v>10.212</v>
      </c>
      <c r="G29" s="114" t="n">
        <v>12.67</v>
      </c>
      <c r="H29" s="114" t="n">
        <v>16.186</v>
      </c>
      <c r="I29" s="11" t="s">
        <v>2319</v>
      </c>
      <c r="J29" s="11" t="s">
        <v>2257</v>
      </c>
    </row>
    <row r="30" customFormat="false" ht="15" hidden="false" customHeight="false" outlineLevel="0" collapsed="false">
      <c r="A30" s="4" t="s">
        <v>2320</v>
      </c>
      <c r="B30" s="4" t="s">
        <v>2321</v>
      </c>
      <c r="C30" s="3" t="s">
        <v>2322</v>
      </c>
      <c r="D30" s="11" t="s">
        <v>2298</v>
      </c>
      <c r="E30" s="4" t="s">
        <v>2255</v>
      </c>
      <c r="F30" s="114" t="n">
        <v>31.6322694</v>
      </c>
      <c r="G30" s="114" t="n">
        <v>40.180214</v>
      </c>
      <c r="H30" s="114" t="n">
        <v>50.3067434</v>
      </c>
      <c r="I30" s="11" t="s">
        <v>2323</v>
      </c>
      <c r="J30" s="11" t="s">
        <v>2257</v>
      </c>
    </row>
    <row r="31" customFormat="false" ht="15" hidden="false" customHeight="false" outlineLevel="0" collapsed="false">
      <c r="A31" s="4" t="s">
        <v>2324</v>
      </c>
      <c r="B31" s="4" t="s">
        <v>2321</v>
      </c>
      <c r="C31" s="3" t="s">
        <v>2322</v>
      </c>
      <c r="D31" s="11" t="s">
        <v>2298</v>
      </c>
      <c r="E31" s="4" t="s">
        <v>2259</v>
      </c>
      <c r="F31" s="114" t="n">
        <v>30.8513904</v>
      </c>
      <c r="G31" s="114" t="n">
        <v>36.685174</v>
      </c>
      <c r="H31" s="114" t="n">
        <v>43.8362044</v>
      </c>
      <c r="I31" s="11" t="s">
        <v>2325</v>
      </c>
      <c r="J31" s="11" t="s">
        <v>2257</v>
      </c>
    </row>
    <row r="32" customFormat="false" ht="15" hidden="false" customHeight="false" outlineLevel="0" collapsed="false">
      <c r="A32" s="4" t="s">
        <v>2326</v>
      </c>
      <c r="B32" s="4" t="s">
        <v>2321</v>
      </c>
      <c r="C32" s="3" t="s">
        <v>2322</v>
      </c>
      <c r="D32" s="11" t="s">
        <v>2298</v>
      </c>
      <c r="E32" s="4" t="s">
        <v>2262</v>
      </c>
      <c r="F32" s="114" t="n">
        <v>38.7669024</v>
      </c>
      <c r="G32" s="114" t="n">
        <v>44.907224</v>
      </c>
      <c r="H32" s="114" t="n">
        <v>55.4686064</v>
      </c>
      <c r="I32" s="11" t="s">
        <v>2327</v>
      </c>
      <c r="J32" s="11" t="s">
        <v>2257</v>
      </c>
    </row>
    <row r="33" customFormat="false" ht="15" hidden="false" customHeight="false" outlineLevel="0" collapsed="false">
      <c r="A33" s="4" t="s">
        <v>2328</v>
      </c>
      <c r="B33" s="4" t="s">
        <v>2321</v>
      </c>
      <c r="C33" s="3" t="s">
        <v>2322</v>
      </c>
      <c r="D33" s="11" t="s">
        <v>2298</v>
      </c>
      <c r="E33" s="4" t="s">
        <v>2265</v>
      </c>
      <c r="F33" s="114" t="n">
        <v>43.4854032</v>
      </c>
      <c r="G33" s="114" t="n">
        <v>50.256352</v>
      </c>
      <c r="H33" s="114" t="n">
        <v>58.8235752</v>
      </c>
      <c r="I33" s="11" t="s">
        <v>2329</v>
      </c>
      <c r="J33" s="11" t="s">
        <v>2257</v>
      </c>
    </row>
    <row r="34" customFormat="false" ht="15" hidden="false" customHeight="false" outlineLevel="0" collapsed="false">
      <c r="A34" s="4" t="s">
        <v>2330</v>
      </c>
      <c r="B34" s="4" t="s">
        <v>2321</v>
      </c>
      <c r="C34" s="3" t="s">
        <v>2322</v>
      </c>
      <c r="D34" s="11" t="s">
        <v>2298</v>
      </c>
      <c r="E34" s="4" t="s">
        <v>2268</v>
      </c>
      <c r="F34" s="114" t="n">
        <v>46.057578</v>
      </c>
      <c r="G34" s="114" t="n">
        <v>62.75578</v>
      </c>
      <c r="H34" s="114" t="n">
        <v>81.667558</v>
      </c>
      <c r="I34" s="11" t="s">
        <v>2331</v>
      </c>
      <c r="J34" s="11" t="s">
        <v>2257</v>
      </c>
    </row>
    <row r="35" customFormat="false" ht="15" hidden="false" customHeight="false" outlineLevel="0" collapsed="false">
      <c r="A35" s="4" t="s">
        <v>2332</v>
      </c>
      <c r="B35" s="4" t="s">
        <v>2333</v>
      </c>
      <c r="C35" s="3" t="s">
        <v>2334</v>
      </c>
      <c r="D35" s="11" t="s">
        <v>2335</v>
      </c>
      <c r="E35" s="4" t="s">
        <v>1542</v>
      </c>
      <c r="F35" s="114" t="n">
        <v>10.212</v>
      </c>
      <c r="G35" s="114" t="n">
        <v>12.67</v>
      </c>
      <c r="H35" s="114" t="n">
        <v>16.186</v>
      </c>
      <c r="I35" s="11" t="s">
        <v>2336</v>
      </c>
      <c r="J35" s="11" t="s">
        <v>2257</v>
      </c>
    </row>
    <row r="36" customFormat="false" ht="15" hidden="false" customHeight="false" outlineLevel="0" collapsed="false">
      <c r="A36" s="4" t="s">
        <v>2337</v>
      </c>
      <c r="B36" s="4" t="s">
        <v>2338</v>
      </c>
      <c r="C36" s="4" t="s">
        <v>2339</v>
      </c>
      <c r="D36" s="6" t="s">
        <v>184</v>
      </c>
      <c r="E36" s="4" t="s">
        <v>2255</v>
      </c>
      <c r="F36" s="114" t="n">
        <v>6</v>
      </c>
      <c r="G36" s="114" t="n">
        <v>6</v>
      </c>
      <c r="H36" s="114" t="n">
        <v>4</v>
      </c>
      <c r="I36" s="11" t="s">
        <v>2340</v>
      </c>
      <c r="J36" s="11" t="s">
        <v>2257</v>
      </c>
    </row>
    <row r="37" customFormat="false" ht="15" hidden="false" customHeight="false" outlineLevel="0" collapsed="false">
      <c r="A37" s="4" t="s">
        <v>2341</v>
      </c>
      <c r="B37" s="4" t="s">
        <v>2338</v>
      </c>
      <c r="C37" s="4" t="s">
        <v>2339</v>
      </c>
      <c r="D37" s="6" t="s">
        <v>184</v>
      </c>
      <c r="E37" s="4" t="s">
        <v>2259</v>
      </c>
      <c r="F37" s="114" t="n">
        <v>6</v>
      </c>
      <c r="G37" s="114" t="n">
        <v>6</v>
      </c>
      <c r="H37" s="114" t="n">
        <v>4</v>
      </c>
      <c r="I37" s="11" t="s">
        <v>2342</v>
      </c>
      <c r="J37" s="11" t="s">
        <v>2257</v>
      </c>
    </row>
    <row r="38" customFormat="false" ht="15" hidden="false" customHeight="false" outlineLevel="0" collapsed="false">
      <c r="A38" s="4" t="s">
        <v>2343</v>
      </c>
      <c r="B38" s="4" t="s">
        <v>2338</v>
      </c>
      <c r="C38" s="4" t="s">
        <v>2339</v>
      </c>
      <c r="D38" s="6" t="s">
        <v>184</v>
      </c>
      <c r="E38" s="4" t="s">
        <v>2262</v>
      </c>
      <c r="F38" s="114" t="n">
        <v>6</v>
      </c>
      <c r="G38" s="114" t="n">
        <v>6</v>
      </c>
      <c r="H38" s="114" t="n">
        <v>4</v>
      </c>
      <c r="I38" s="11" t="s">
        <v>2344</v>
      </c>
      <c r="J38" s="11" t="s">
        <v>2257</v>
      </c>
    </row>
    <row r="39" customFormat="false" ht="15" hidden="false" customHeight="false" outlineLevel="0" collapsed="false">
      <c r="A39" s="4" t="s">
        <v>2345</v>
      </c>
      <c r="B39" s="4" t="s">
        <v>2338</v>
      </c>
      <c r="C39" s="4" t="s">
        <v>2339</v>
      </c>
      <c r="D39" s="6" t="s">
        <v>184</v>
      </c>
      <c r="E39" s="4" t="s">
        <v>2265</v>
      </c>
      <c r="F39" s="114" t="n">
        <v>6</v>
      </c>
      <c r="G39" s="114" t="n">
        <v>6</v>
      </c>
      <c r="H39" s="114" t="n">
        <v>4</v>
      </c>
      <c r="I39" s="11" t="s">
        <v>2346</v>
      </c>
      <c r="J39" s="11" t="s">
        <v>2257</v>
      </c>
    </row>
    <row r="40" customFormat="false" ht="15" hidden="false" customHeight="false" outlineLevel="0" collapsed="false">
      <c r="A40" s="4" t="s">
        <v>2347</v>
      </c>
      <c r="B40" s="4" t="s">
        <v>2338</v>
      </c>
      <c r="C40" s="4" t="s">
        <v>2339</v>
      </c>
      <c r="D40" s="6" t="s">
        <v>184</v>
      </c>
      <c r="E40" s="4" t="s">
        <v>2268</v>
      </c>
      <c r="F40" s="114" t="n">
        <v>6</v>
      </c>
      <c r="G40" s="114" t="n">
        <v>6</v>
      </c>
      <c r="H40" s="114" t="n">
        <v>4</v>
      </c>
      <c r="I40" s="11" t="s">
        <v>2348</v>
      </c>
      <c r="J40" s="11" t="s">
        <v>2257</v>
      </c>
    </row>
    <row r="41" customFormat="false" ht="15" hidden="false" customHeight="false" outlineLevel="0" collapsed="false">
      <c r="A41" s="4" t="s">
        <v>2349</v>
      </c>
      <c r="B41" s="4" t="s">
        <v>2350</v>
      </c>
      <c r="C41" s="3" t="s">
        <v>2351</v>
      </c>
      <c r="D41" s="11" t="s">
        <v>2254</v>
      </c>
      <c r="E41" s="4" t="s">
        <v>2255</v>
      </c>
      <c r="F41" s="114" t="n">
        <v>3.5700449</v>
      </c>
      <c r="G41" s="114" t="n">
        <v>4.58503566666667</v>
      </c>
      <c r="H41" s="114" t="n">
        <v>8.53018585</v>
      </c>
      <c r="I41" s="11" t="s">
        <v>2352</v>
      </c>
      <c r="J41" s="11" t="s">
        <v>2257</v>
      </c>
    </row>
    <row r="42" customFormat="false" ht="15" hidden="false" customHeight="false" outlineLevel="0" collapsed="false">
      <c r="A42" s="4" t="s">
        <v>2353</v>
      </c>
      <c r="B42" s="4" t="s">
        <v>2350</v>
      </c>
      <c r="C42" s="3" t="s">
        <v>2351</v>
      </c>
      <c r="D42" s="11" t="s">
        <v>2254</v>
      </c>
      <c r="E42" s="4" t="s">
        <v>2259</v>
      </c>
      <c r="F42" s="114" t="n">
        <v>3.4398984</v>
      </c>
      <c r="G42" s="114" t="n">
        <v>4.002529</v>
      </c>
      <c r="H42" s="114" t="n">
        <v>6.9125511</v>
      </c>
      <c r="I42" s="11" t="s">
        <v>2354</v>
      </c>
      <c r="J42" s="11" t="s">
        <v>2257</v>
      </c>
    </row>
    <row r="43" customFormat="false" ht="15" hidden="false" customHeight="false" outlineLevel="0" collapsed="false">
      <c r="A43" s="4" t="s">
        <v>2355</v>
      </c>
      <c r="B43" s="4" t="s">
        <v>2350</v>
      </c>
      <c r="C43" s="3" t="s">
        <v>2351</v>
      </c>
      <c r="D43" s="11" t="s">
        <v>2254</v>
      </c>
      <c r="E43" s="4" t="s">
        <v>2262</v>
      </c>
      <c r="F43" s="114" t="n">
        <v>4.7591504</v>
      </c>
      <c r="G43" s="114" t="n">
        <v>5.37287066666667</v>
      </c>
      <c r="H43" s="114" t="n">
        <v>9.8206516</v>
      </c>
      <c r="I43" s="11" t="s">
        <v>2356</v>
      </c>
      <c r="J43" s="11" t="s">
        <v>2257</v>
      </c>
    </row>
    <row r="44" customFormat="false" ht="15" hidden="false" customHeight="false" outlineLevel="0" collapsed="false">
      <c r="A44" s="4" t="s">
        <v>2357</v>
      </c>
      <c r="B44" s="4" t="s">
        <v>2350</v>
      </c>
      <c r="C44" s="3" t="s">
        <v>2351</v>
      </c>
      <c r="D44" s="11" t="s">
        <v>2254</v>
      </c>
      <c r="E44" s="4" t="s">
        <v>2265</v>
      </c>
      <c r="F44" s="114" t="n">
        <v>5.5455672</v>
      </c>
      <c r="G44" s="114" t="n">
        <v>6.264392</v>
      </c>
      <c r="H44" s="114" t="n">
        <v>10.6593938</v>
      </c>
      <c r="I44" s="11" t="s">
        <v>2358</v>
      </c>
      <c r="J44" s="11" t="s">
        <v>2257</v>
      </c>
    </row>
    <row r="45" customFormat="false" ht="15" hidden="false" customHeight="false" outlineLevel="0" collapsed="false">
      <c r="A45" s="4" t="s">
        <v>2359</v>
      </c>
      <c r="B45" s="4" t="s">
        <v>2350</v>
      </c>
      <c r="C45" s="3" t="s">
        <v>2351</v>
      </c>
      <c r="D45" s="11" t="s">
        <v>2254</v>
      </c>
      <c r="E45" s="4" t="s">
        <v>2268</v>
      </c>
      <c r="F45" s="114" t="n">
        <v>5.974263</v>
      </c>
      <c r="G45" s="114" t="n">
        <v>8.34763</v>
      </c>
      <c r="H45" s="114" t="n">
        <v>16.3703895</v>
      </c>
      <c r="I45" s="11" t="s">
        <v>2360</v>
      </c>
      <c r="J45" s="11" t="s">
        <v>2257</v>
      </c>
    </row>
    <row r="46" customFormat="false" ht="15" hidden="false" customHeight="false" outlineLevel="0" collapsed="false">
      <c r="A46" s="4" t="s">
        <v>2361</v>
      </c>
      <c r="B46" s="4" t="s">
        <v>2362</v>
      </c>
      <c r="C46" s="3" t="s">
        <v>2363</v>
      </c>
      <c r="D46" s="11" t="s">
        <v>2254</v>
      </c>
      <c r="E46" s="4" t="s">
        <v>2255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2364</v>
      </c>
      <c r="J46" s="11" t="s">
        <v>2257</v>
      </c>
    </row>
    <row r="47" customFormat="false" ht="15" hidden="false" customHeight="false" outlineLevel="0" collapsed="false">
      <c r="A47" s="4" t="s">
        <v>2365</v>
      </c>
      <c r="B47" s="4" t="s">
        <v>2362</v>
      </c>
      <c r="C47" s="3" t="s">
        <v>2363</v>
      </c>
      <c r="D47" s="11" t="s">
        <v>2254</v>
      </c>
      <c r="E47" s="4" t="s">
        <v>2259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2366</v>
      </c>
      <c r="J47" s="11" t="s">
        <v>2257</v>
      </c>
    </row>
    <row r="48" customFormat="false" ht="15" hidden="false" customHeight="false" outlineLevel="0" collapsed="false">
      <c r="A48" s="4" t="s">
        <v>2367</v>
      </c>
      <c r="B48" s="4" t="s">
        <v>2362</v>
      </c>
      <c r="C48" s="3" t="s">
        <v>2363</v>
      </c>
      <c r="D48" s="11" t="s">
        <v>2254</v>
      </c>
      <c r="E48" s="4" t="s">
        <v>2262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2368</v>
      </c>
      <c r="J48" s="11" t="s">
        <v>2257</v>
      </c>
    </row>
    <row r="49" customFormat="false" ht="15" hidden="false" customHeight="false" outlineLevel="0" collapsed="false">
      <c r="A49" s="4" t="s">
        <v>2369</v>
      </c>
      <c r="B49" s="4" t="s">
        <v>2362</v>
      </c>
      <c r="C49" s="3" t="s">
        <v>2363</v>
      </c>
      <c r="D49" s="11" t="s">
        <v>2254</v>
      </c>
      <c r="E49" s="4" t="s">
        <v>2265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2370</v>
      </c>
      <c r="J49" s="11" t="s">
        <v>2257</v>
      </c>
    </row>
    <row r="50" customFormat="false" ht="15" hidden="false" customHeight="false" outlineLevel="0" collapsed="false">
      <c r="A50" s="4" t="s">
        <v>2371</v>
      </c>
      <c r="B50" s="4" t="s">
        <v>2362</v>
      </c>
      <c r="C50" s="3" t="s">
        <v>2363</v>
      </c>
      <c r="D50" s="11" t="s">
        <v>2254</v>
      </c>
      <c r="E50" s="4" t="s">
        <v>2268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2372</v>
      </c>
      <c r="J50" s="11" t="s">
        <v>2257</v>
      </c>
    </row>
    <row r="51" customFormat="false" ht="15" hidden="false" customHeight="false" outlineLevel="0" collapsed="false">
      <c r="A51" s="4" t="s">
        <v>2373</v>
      </c>
      <c r="B51" s="4" t="s">
        <v>2374</v>
      </c>
      <c r="C51" s="3" t="s">
        <v>2375</v>
      </c>
      <c r="D51" s="11" t="s">
        <v>2254</v>
      </c>
      <c r="E51" s="4" t="s">
        <v>2255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2376</v>
      </c>
      <c r="J51" s="11" t="s">
        <v>2257</v>
      </c>
    </row>
    <row r="52" customFormat="false" ht="15" hidden="false" customHeight="false" outlineLevel="0" collapsed="false">
      <c r="A52" s="4" t="s">
        <v>2377</v>
      </c>
      <c r="B52" s="4" t="s">
        <v>2374</v>
      </c>
      <c r="C52" s="3" t="s">
        <v>2375</v>
      </c>
      <c r="D52" s="11" t="s">
        <v>2254</v>
      </c>
      <c r="E52" s="4" t="s">
        <v>2259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2378</v>
      </c>
      <c r="J52" s="11" t="s">
        <v>2257</v>
      </c>
    </row>
    <row r="53" customFormat="false" ht="15" hidden="false" customHeight="false" outlineLevel="0" collapsed="false">
      <c r="A53" s="4" t="s">
        <v>2379</v>
      </c>
      <c r="B53" s="4" t="s">
        <v>2374</v>
      </c>
      <c r="C53" s="3" t="s">
        <v>2375</v>
      </c>
      <c r="D53" s="11" t="s">
        <v>2254</v>
      </c>
      <c r="E53" s="4" t="s">
        <v>2262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2380</v>
      </c>
      <c r="J53" s="11" t="s">
        <v>2257</v>
      </c>
    </row>
    <row r="54" customFormat="false" ht="15" hidden="false" customHeight="false" outlineLevel="0" collapsed="false">
      <c r="A54" s="4" t="s">
        <v>2381</v>
      </c>
      <c r="B54" s="4" t="s">
        <v>2374</v>
      </c>
      <c r="C54" s="3" t="s">
        <v>2375</v>
      </c>
      <c r="D54" s="11" t="s">
        <v>2254</v>
      </c>
      <c r="E54" s="4" t="s">
        <v>2265</v>
      </c>
      <c r="F54" s="114" t="n">
        <v>1.26921258843664</v>
      </c>
      <c r="G54" s="114" t="n">
        <v>2.09349554831403</v>
      </c>
      <c r="H54" s="114" t="n">
        <v>3.08819917750912</v>
      </c>
      <c r="I54" s="11" t="s">
        <v>2382</v>
      </c>
      <c r="J54" s="11" t="s">
        <v>2257</v>
      </c>
    </row>
    <row r="55" customFormat="false" ht="15" hidden="false" customHeight="false" outlineLevel="0" collapsed="false">
      <c r="A55" s="4" t="s">
        <v>2383</v>
      </c>
      <c r="B55" s="4" t="s">
        <v>2374</v>
      </c>
      <c r="C55" s="3" t="s">
        <v>2375</v>
      </c>
      <c r="D55" s="11" t="s">
        <v>2254</v>
      </c>
      <c r="E55" s="4" t="s">
        <v>2268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2384</v>
      </c>
      <c r="J55" s="11" t="s">
        <v>2257</v>
      </c>
    </row>
    <row r="56" customFormat="false" ht="15" hidden="false" customHeight="false" outlineLevel="0" collapsed="false">
      <c r="A56" s="4" t="s">
        <v>2385</v>
      </c>
      <c r="B56" s="4" t="s">
        <v>2386</v>
      </c>
      <c r="C56" s="3" t="s">
        <v>537</v>
      </c>
      <c r="D56" s="11" t="s">
        <v>2387</v>
      </c>
      <c r="E56" s="4" t="s">
        <v>2255</v>
      </c>
      <c r="F56" s="114" t="n">
        <v>0.06</v>
      </c>
      <c r="G56" s="114" t="n">
        <v>0.08</v>
      </c>
      <c r="H56" s="114" t="n">
        <v>0.1</v>
      </c>
      <c r="I56" s="11" t="s">
        <v>2388</v>
      </c>
      <c r="J56" s="11" t="s">
        <v>2257</v>
      </c>
    </row>
    <row r="57" customFormat="false" ht="15" hidden="false" customHeight="false" outlineLevel="0" collapsed="false">
      <c r="A57" s="4" t="s">
        <v>2389</v>
      </c>
      <c r="B57" s="4" t="s">
        <v>2386</v>
      </c>
      <c r="C57" s="3" t="s">
        <v>537</v>
      </c>
      <c r="D57" s="11" t="s">
        <v>2387</v>
      </c>
      <c r="E57" s="4" t="s">
        <v>2259</v>
      </c>
      <c r="F57" s="114" t="n">
        <v>0.06</v>
      </c>
      <c r="G57" s="114" t="n">
        <v>0.08</v>
      </c>
      <c r="H57" s="114" t="n">
        <v>0.1</v>
      </c>
      <c r="I57" s="11" t="s">
        <v>2390</v>
      </c>
      <c r="J57" s="11" t="s">
        <v>2257</v>
      </c>
    </row>
    <row r="58" customFormat="false" ht="15" hidden="false" customHeight="false" outlineLevel="0" collapsed="false">
      <c r="A58" s="4" t="s">
        <v>2391</v>
      </c>
      <c r="B58" s="4" t="s">
        <v>2386</v>
      </c>
      <c r="C58" s="3" t="s">
        <v>537</v>
      </c>
      <c r="D58" s="11" t="s">
        <v>2387</v>
      </c>
      <c r="E58" s="4" t="s">
        <v>2262</v>
      </c>
      <c r="F58" s="114" t="n">
        <v>0.06</v>
      </c>
      <c r="G58" s="114" t="n">
        <v>0.08</v>
      </c>
      <c r="H58" s="114" t="n">
        <v>0.1</v>
      </c>
      <c r="I58" s="11" t="s">
        <v>2392</v>
      </c>
      <c r="J58" s="11" t="s">
        <v>2257</v>
      </c>
    </row>
    <row r="59" customFormat="false" ht="15" hidden="false" customHeight="false" outlineLevel="0" collapsed="false">
      <c r="A59" s="4" t="s">
        <v>2393</v>
      </c>
      <c r="B59" s="4" t="s">
        <v>2386</v>
      </c>
      <c r="C59" s="3" t="s">
        <v>537</v>
      </c>
      <c r="D59" s="11" t="s">
        <v>2387</v>
      </c>
      <c r="E59" s="4" t="s">
        <v>2265</v>
      </c>
      <c r="F59" s="114" t="n">
        <v>0.06</v>
      </c>
      <c r="G59" s="114" t="n">
        <v>0.08</v>
      </c>
      <c r="H59" s="114" t="n">
        <v>0.1</v>
      </c>
      <c r="I59" s="11" t="s">
        <v>2394</v>
      </c>
      <c r="J59" s="11" t="s">
        <v>2257</v>
      </c>
    </row>
    <row r="60" customFormat="false" ht="15" hidden="false" customHeight="false" outlineLevel="0" collapsed="false">
      <c r="A60" s="4" t="s">
        <v>2395</v>
      </c>
      <c r="B60" s="4" t="s">
        <v>2386</v>
      </c>
      <c r="C60" s="3" t="s">
        <v>537</v>
      </c>
      <c r="D60" s="11" t="s">
        <v>2387</v>
      </c>
      <c r="E60" s="4" t="s">
        <v>2268</v>
      </c>
      <c r="F60" s="114" t="n">
        <v>0.06</v>
      </c>
      <c r="G60" s="114" t="n">
        <v>0.08</v>
      </c>
      <c r="H60" s="114" t="n">
        <v>0.1</v>
      </c>
      <c r="I60" s="11" t="s">
        <v>2396</v>
      </c>
      <c r="J60" s="11" t="s">
        <v>2257</v>
      </c>
    </row>
    <row r="61" customFormat="false" ht="15" hidden="false" customHeight="false" outlineLevel="0" collapsed="false">
      <c r="A61" s="4" t="s">
        <v>2397</v>
      </c>
      <c r="B61" s="4" t="s">
        <v>2398</v>
      </c>
      <c r="C61" s="3" t="s">
        <v>2399</v>
      </c>
      <c r="D61" s="11" t="s">
        <v>2254</v>
      </c>
      <c r="E61" s="4" t="s">
        <v>2255</v>
      </c>
      <c r="F61" s="114" t="n">
        <v>0.404712</v>
      </c>
      <c r="G61" s="114" t="n">
        <v>0.672768</v>
      </c>
      <c r="H61" s="114" t="n">
        <v>1.02492</v>
      </c>
      <c r="I61" s="11" t="s">
        <v>2400</v>
      </c>
      <c r="J61" s="11" t="s">
        <v>2257</v>
      </c>
    </row>
    <row r="62" customFormat="false" ht="15" hidden="false" customHeight="false" outlineLevel="0" collapsed="false">
      <c r="A62" s="4" t="s">
        <v>2401</v>
      </c>
      <c r="B62" s="4" t="s">
        <v>2398</v>
      </c>
      <c r="C62" s="3" t="s">
        <v>2399</v>
      </c>
      <c r="D62" s="11" t="s">
        <v>2254</v>
      </c>
      <c r="E62" s="4" t="s">
        <v>2259</v>
      </c>
      <c r="F62" s="114" t="n">
        <v>0.404712</v>
      </c>
      <c r="G62" s="114" t="n">
        <v>0.672768</v>
      </c>
      <c r="H62" s="114" t="n">
        <v>1.02492</v>
      </c>
      <c r="I62" s="11" t="s">
        <v>2402</v>
      </c>
      <c r="J62" s="11" t="s">
        <v>2257</v>
      </c>
    </row>
    <row r="63" customFormat="false" ht="15" hidden="false" customHeight="false" outlineLevel="0" collapsed="false">
      <c r="A63" s="4" t="s">
        <v>2403</v>
      </c>
      <c r="B63" s="4" t="s">
        <v>2398</v>
      </c>
      <c r="C63" s="3" t="s">
        <v>2399</v>
      </c>
      <c r="D63" s="11" t="s">
        <v>2254</v>
      </c>
      <c r="E63" s="4" t="s">
        <v>2262</v>
      </c>
      <c r="F63" s="114" t="n">
        <v>0.404712</v>
      </c>
      <c r="G63" s="114" t="n">
        <v>0.672768</v>
      </c>
      <c r="H63" s="114" t="n">
        <v>1.02492</v>
      </c>
      <c r="I63" s="11" t="s">
        <v>2404</v>
      </c>
      <c r="J63" s="11" t="s">
        <v>2257</v>
      </c>
    </row>
    <row r="64" customFormat="false" ht="15" hidden="false" customHeight="false" outlineLevel="0" collapsed="false">
      <c r="A64" s="4" t="s">
        <v>2405</v>
      </c>
      <c r="B64" s="4" t="s">
        <v>2398</v>
      </c>
      <c r="C64" s="3" t="s">
        <v>2399</v>
      </c>
      <c r="D64" s="11" t="s">
        <v>2254</v>
      </c>
      <c r="E64" s="4" t="s">
        <v>2265</v>
      </c>
      <c r="F64" s="114" t="n">
        <v>0.404712</v>
      </c>
      <c r="G64" s="114" t="n">
        <v>0.672768</v>
      </c>
      <c r="H64" s="114" t="n">
        <v>1.02492</v>
      </c>
      <c r="I64" s="11" t="s">
        <v>2406</v>
      </c>
      <c r="J64" s="11" t="s">
        <v>2257</v>
      </c>
    </row>
    <row r="65" customFormat="false" ht="15" hidden="false" customHeight="false" outlineLevel="0" collapsed="false">
      <c r="A65" s="4" t="s">
        <v>2407</v>
      </c>
      <c r="B65" s="4" t="s">
        <v>2398</v>
      </c>
      <c r="C65" s="3" t="s">
        <v>2399</v>
      </c>
      <c r="D65" s="11" t="s">
        <v>2254</v>
      </c>
      <c r="E65" s="4" t="s">
        <v>2268</v>
      </c>
      <c r="F65" s="114" t="n">
        <v>0.404712</v>
      </c>
      <c r="G65" s="114" t="n">
        <v>0.672768</v>
      </c>
      <c r="H65" s="114" t="n">
        <v>1.02492</v>
      </c>
      <c r="I65" s="11" t="s">
        <v>2408</v>
      </c>
      <c r="J65" s="11" t="s">
        <v>2257</v>
      </c>
    </row>
    <row r="66" customFormat="false" ht="15" hidden="false" customHeight="false" outlineLevel="0" collapsed="false">
      <c r="A66" s="4" t="s">
        <v>2409</v>
      </c>
      <c r="B66" s="4" t="s">
        <v>2410</v>
      </c>
      <c r="C66" s="3" t="s">
        <v>2411</v>
      </c>
      <c r="D66" s="11" t="s">
        <v>2254</v>
      </c>
      <c r="E66" s="4" t="s">
        <v>2255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2412</v>
      </c>
      <c r="J66" s="11" t="s">
        <v>2257</v>
      </c>
    </row>
    <row r="67" customFormat="false" ht="15" hidden="false" customHeight="false" outlineLevel="0" collapsed="false">
      <c r="A67" s="4" t="s">
        <v>2413</v>
      </c>
      <c r="B67" s="4" t="s">
        <v>2410</v>
      </c>
      <c r="C67" s="3" t="s">
        <v>2411</v>
      </c>
      <c r="D67" s="11" t="s">
        <v>2254</v>
      </c>
      <c r="E67" s="4" t="s">
        <v>2259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2414</v>
      </c>
      <c r="J67" s="11" t="s">
        <v>2257</v>
      </c>
    </row>
    <row r="68" customFormat="false" ht="15" hidden="false" customHeight="false" outlineLevel="0" collapsed="false">
      <c r="A68" s="4" t="s">
        <v>2415</v>
      </c>
      <c r="B68" s="4" t="s">
        <v>2410</v>
      </c>
      <c r="C68" s="3" t="s">
        <v>2411</v>
      </c>
      <c r="D68" s="11" t="s">
        <v>2254</v>
      </c>
      <c r="E68" s="4" t="s">
        <v>2262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2416</v>
      </c>
      <c r="J68" s="11" t="s">
        <v>2257</v>
      </c>
    </row>
    <row r="69" customFormat="false" ht="15" hidden="false" customHeight="false" outlineLevel="0" collapsed="false">
      <c r="A69" s="4" t="s">
        <v>2417</v>
      </c>
      <c r="B69" s="4" t="s">
        <v>2410</v>
      </c>
      <c r="C69" s="3" t="s">
        <v>2411</v>
      </c>
      <c r="D69" s="11" t="s">
        <v>2254</v>
      </c>
      <c r="E69" s="4" t="s">
        <v>2265</v>
      </c>
      <c r="F69" s="114" t="n">
        <v>0.340864378836638</v>
      </c>
      <c r="G69" s="114" t="n">
        <v>0.591045788314028</v>
      </c>
      <c r="H69" s="114" t="n">
        <v>0.778040575909124</v>
      </c>
      <c r="I69" s="11" t="s">
        <v>2418</v>
      </c>
      <c r="J69" s="11" t="s">
        <v>2257</v>
      </c>
    </row>
    <row r="70" customFormat="false" ht="15" hidden="false" customHeight="false" outlineLevel="0" collapsed="false">
      <c r="A70" s="4" t="s">
        <v>2419</v>
      </c>
      <c r="B70" s="4" t="s">
        <v>2410</v>
      </c>
      <c r="C70" s="3" t="s">
        <v>2411</v>
      </c>
      <c r="D70" s="11" t="s">
        <v>2254</v>
      </c>
      <c r="E70" s="4" t="s">
        <v>2268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2420</v>
      </c>
      <c r="J70" s="11" t="s">
        <v>2257</v>
      </c>
    </row>
    <row r="71" customFormat="false" ht="15" hidden="false" customHeight="false" outlineLevel="0" collapsed="false">
      <c r="A71" s="4" t="s">
        <v>2421</v>
      </c>
      <c r="B71" s="4" t="s">
        <v>2422</v>
      </c>
      <c r="C71" s="3" t="s">
        <v>2423</v>
      </c>
      <c r="D71" s="11" t="s">
        <v>2254</v>
      </c>
      <c r="E71" s="4" t="s">
        <v>2255</v>
      </c>
      <c r="F71" s="114" t="n">
        <v>0.15318</v>
      </c>
      <c r="G71" s="114" t="n">
        <v>0.2534</v>
      </c>
      <c r="H71" s="114" t="n">
        <v>0.40465</v>
      </c>
      <c r="I71" s="11" t="s">
        <v>2424</v>
      </c>
      <c r="J71" s="11" t="s">
        <v>2257</v>
      </c>
    </row>
    <row r="72" customFormat="false" ht="15" hidden="false" customHeight="false" outlineLevel="0" collapsed="false">
      <c r="A72" s="4" t="s">
        <v>2425</v>
      </c>
      <c r="B72" s="4" t="s">
        <v>2422</v>
      </c>
      <c r="C72" s="3" t="s">
        <v>2423</v>
      </c>
      <c r="D72" s="11" t="s">
        <v>2254</v>
      </c>
      <c r="E72" s="4" t="s">
        <v>2259</v>
      </c>
      <c r="F72" s="114" t="n">
        <v>0.15318</v>
      </c>
      <c r="G72" s="114" t="n">
        <v>0.2534</v>
      </c>
      <c r="H72" s="114" t="n">
        <v>0.40465</v>
      </c>
      <c r="I72" s="11" t="s">
        <v>2426</v>
      </c>
      <c r="J72" s="11" t="s">
        <v>2257</v>
      </c>
    </row>
    <row r="73" customFormat="false" ht="15" hidden="false" customHeight="false" outlineLevel="0" collapsed="false">
      <c r="A73" s="4" t="s">
        <v>2427</v>
      </c>
      <c r="B73" s="4" t="s">
        <v>2422</v>
      </c>
      <c r="C73" s="3" t="s">
        <v>2423</v>
      </c>
      <c r="D73" s="11" t="s">
        <v>2254</v>
      </c>
      <c r="E73" s="4" t="s">
        <v>2262</v>
      </c>
      <c r="F73" s="114" t="n">
        <v>0.15318</v>
      </c>
      <c r="G73" s="114" t="n">
        <v>0.2534</v>
      </c>
      <c r="H73" s="114" t="n">
        <v>0.40465</v>
      </c>
      <c r="I73" s="11" t="s">
        <v>2428</v>
      </c>
      <c r="J73" s="11" t="s">
        <v>2257</v>
      </c>
    </row>
    <row r="74" customFormat="false" ht="15" hidden="false" customHeight="false" outlineLevel="0" collapsed="false">
      <c r="A74" s="4" t="s">
        <v>2429</v>
      </c>
      <c r="B74" s="4" t="s">
        <v>2422</v>
      </c>
      <c r="C74" s="3" t="s">
        <v>2423</v>
      </c>
      <c r="D74" s="11" t="s">
        <v>2254</v>
      </c>
      <c r="E74" s="4" t="s">
        <v>2265</v>
      </c>
      <c r="F74" s="114" t="n">
        <v>0.15318</v>
      </c>
      <c r="G74" s="114" t="n">
        <v>0.2534</v>
      </c>
      <c r="H74" s="114" t="n">
        <v>0.40465</v>
      </c>
      <c r="I74" s="11" t="s">
        <v>2430</v>
      </c>
      <c r="J74" s="11" t="s">
        <v>2257</v>
      </c>
    </row>
    <row r="75" customFormat="false" ht="15" hidden="false" customHeight="false" outlineLevel="0" collapsed="false">
      <c r="A75" s="4" t="s">
        <v>2431</v>
      </c>
      <c r="B75" s="4" t="s">
        <v>2422</v>
      </c>
      <c r="C75" s="3" t="s">
        <v>2423</v>
      </c>
      <c r="D75" s="11" t="s">
        <v>2254</v>
      </c>
      <c r="E75" s="4" t="s">
        <v>2268</v>
      </c>
      <c r="F75" s="114" t="n">
        <v>0.15318</v>
      </c>
      <c r="G75" s="114" t="n">
        <v>0.2534</v>
      </c>
      <c r="H75" s="114" t="n">
        <v>0.40465</v>
      </c>
      <c r="I75" s="11" t="s">
        <v>2432</v>
      </c>
      <c r="J75" s="11" t="s">
        <v>2257</v>
      </c>
    </row>
    <row r="76" customFormat="false" ht="15" hidden="false" customHeight="false" outlineLevel="0" collapsed="false">
      <c r="A76" s="4" t="s">
        <v>2433</v>
      </c>
      <c r="B76" s="4" t="s">
        <v>2434</v>
      </c>
      <c r="C76" s="3" t="s">
        <v>2435</v>
      </c>
      <c r="D76" s="11" t="s">
        <v>2254</v>
      </c>
      <c r="E76" s="4" t="s">
        <v>2255</v>
      </c>
      <c r="F76" s="114" t="n">
        <v>0.24</v>
      </c>
      <c r="G76" s="114" t="n">
        <v>0.325</v>
      </c>
      <c r="H76" s="114" t="n">
        <v>0.41</v>
      </c>
      <c r="I76" s="11" t="s">
        <v>2436</v>
      </c>
      <c r="J76" s="11" t="s">
        <v>2257</v>
      </c>
    </row>
    <row r="77" customFormat="false" ht="15" hidden="false" customHeight="false" outlineLevel="0" collapsed="false">
      <c r="A77" s="4" t="s">
        <v>2437</v>
      </c>
      <c r="B77" s="4" t="s">
        <v>2434</v>
      </c>
      <c r="C77" s="3" t="s">
        <v>2435</v>
      </c>
      <c r="D77" s="11" t="s">
        <v>2254</v>
      </c>
      <c r="E77" s="4" t="s">
        <v>2259</v>
      </c>
      <c r="F77" s="114" t="n">
        <v>0.24</v>
      </c>
      <c r="G77" s="114" t="n">
        <v>0.325</v>
      </c>
      <c r="H77" s="114" t="n">
        <v>0.41</v>
      </c>
      <c r="I77" s="11" t="s">
        <v>2438</v>
      </c>
      <c r="J77" s="11" t="s">
        <v>2257</v>
      </c>
    </row>
    <row r="78" customFormat="false" ht="15" hidden="false" customHeight="false" outlineLevel="0" collapsed="false">
      <c r="A78" s="4" t="s">
        <v>2439</v>
      </c>
      <c r="B78" s="4" t="s">
        <v>2434</v>
      </c>
      <c r="C78" s="3" t="s">
        <v>2435</v>
      </c>
      <c r="D78" s="11" t="s">
        <v>2254</v>
      </c>
      <c r="E78" s="4" t="s">
        <v>2262</v>
      </c>
      <c r="F78" s="114" t="n">
        <v>0.24</v>
      </c>
      <c r="G78" s="114" t="n">
        <v>0.325</v>
      </c>
      <c r="H78" s="114" t="n">
        <v>0.41</v>
      </c>
      <c r="I78" s="11" t="s">
        <v>2440</v>
      </c>
      <c r="J78" s="11" t="s">
        <v>2257</v>
      </c>
    </row>
    <row r="79" customFormat="false" ht="15" hidden="false" customHeight="false" outlineLevel="0" collapsed="false">
      <c r="A79" s="4" t="s">
        <v>2441</v>
      </c>
      <c r="B79" s="4" t="s">
        <v>2434</v>
      </c>
      <c r="C79" s="3" t="s">
        <v>2435</v>
      </c>
      <c r="D79" s="11" t="s">
        <v>2254</v>
      </c>
      <c r="E79" s="4" t="s">
        <v>2265</v>
      </c>
      <c r="F79" s="114" t="n">
        <v>0.24</v>
      </c>
      <c r="G79" s="114" t="n">
        <v>0.325</v>
      </c>
      <c r="H79" s="114" t="n">
        <v>0.41</v>
      </c>
      <c r="I79" s="11" t="s">
        <v>2442</v>
      </c>
      <c r="J79" s="11" t="s">
        <v>2257</v>
      </c>
    </row>
    <row r="80" customFormat="false" ht="15" hidden="false" customHeight="false" outlineLevel="0" collapsed="false">
      <c r="A80" s="4" t="s">
        <v>2443</v>
      </c>
      <c r="B80" s="4" t="s">
        <v>2434</v>
      </c>
      <c r="C80" s="3" t="s">
        <v>2435</v>
      </c>
      <c r="D80" s="11" t="s">
        <v>2254</v>
      </c>
      <c r="E80" s="4" t="s">
        <v>2268</v>
      </c>
      <c r="F80" s="114" t="n">
        <v>0.24</v>
      </c>
      <c r="G80" s="114" t="n">
        <v>0.325</v>
      </c>
      <c r="H80" s="114" t="n">
        <v>0.41</v>
      </c>
      <c r="I80" s="11" t="s">
        <v>2444</v>
      </c>
      <c r="J80" s="11" t="s">
        <v>2257</v>
      </c>
    </row>
    <row r="81" customFormat="false" ht="15" hidden="false" customHeight="false" outlineLevel="0" collapsed="false">
      <c r="A81" s="4" t="s">
        <v>2445</v>
      </c>
      <c r="B81" s="4" t="s">
        <v>2446</v>
      </c>
      <c r="C81" s="3" t="s">
        <v>2447</v>
      </c>
      <c r="D81" s="11" t="s">
        <v>2254</v>
      </c>
      <c r="E81" s="4" t="s">
        <v>2255</v>
      </c>
      <c r="F81" s="114" t="n">
        <v>0.0948968082</v>
      </c>
      <c r="G81" s="114" t="n">
        <v>0.20090107</v>
      </c>
      <c r="H81" s="114" t="n">
        <v>0.4024539472</v>
      </c>
      <c r="I81" s="11" t="s">
        <v>2448</v>
      </c>
      <c r="J81" s="11" t="s">
        <v>2257</v>
      </c>
    </row>
    <row r="82" customFormat="false" ht="15" hidden="false" customHeight="false" outlineLevel="0" collapsed="false">
      <c r="A82" s="4" t="s">
        <v>2449</v>
      </c>
      <c r="B82" s="4" t="s">
        <v>2446</v>
      </c>
      <c r="C82" s="3" t="s">
        <v>2447</v>
      </c>
      <c r="D82" s="11" t="s">
        <v>2254</v>
      </c>
      <c r="E82" s="4" t="s">
        <v>2259</v>
      </c>
      <c r="F82" s="114" t="n">
        <v>0.0925541712</v>
      </c>
      <c r="G82" s="114" t="n">
        <v>0.18342587</v>
      </c>
      <c r="H82" s="114" t="n">
        <v>0.3506896352</v>
      </c>
      <c r="I82" s="11" t="s">
        <v>2450</v>
      </c>
      <c r="J82" s="11" t="s">
        <v>2257</v>
      </c>
    </row>
    <row r="83" customFormat="false" ht="15" hidden="false" customHeight="false" outlineLevel="0" collapsed="false">
      <c r="A83" s="4" t="s">
        <v>2451</v>
      </c>
      <c r="B83" s="4" t="s">
        <v>2446</v>
      </c>
      <c r="C83" s="3" t="s">
        <v>2447</v>
      </c>
      <c r="D83" s="11" t="s">
        <v>2254</v>
      </c>
      <c r="E83" s="4" t="s">
        <v>2262</v>
      </c>
      <c r="F83" s="114" t="n">
        <v>0.1163007072</v>
      </c>
      <c r="G83" s="114" t="n">
        <v>0.22453612</v>
      </c>
      <c r="H83" s="114" t="n">
        <v>0.4437488512</v>
      </c>
      <c r="I83" s="11" t="s">
        <v>2452</v>
      </c>
      <c r="J83" s="11" t="s">
        <v>2257</v>
      </c>
    </row>
    <row r="84" customFormat="false" ht="15" hidden="false" customHeight="false" outlineLevel="0" collapsed="false">
      <c r="A84" s="4" t="s">
        <v>2453</v>
      </c>
      <c r="B84" s="4" t="s">
        <v>2446</v>
      </c>
      <c r="C84" s="3" t="s">
        <v>2447</v>
      </c>
      <c r="D84" s="11" t="s">
        <v>2254</v>
      </c>
      <c r="E84" s="4" t="s">
        <v>2265</v>
      </c>
      <c r="F84" s="114" t="n">
        <v>0.1304562096</v>
      </c>
      <c r="G84" s="114" t="n">
        <v>0.25128176</v>
      </c>
      <c r="H84" s="114" t="n">
        <v>0.4705886016</v>
      </c>
      <c r="I84" s="11" t="s">
        <v>2454</v>
      </c>
      <c r="J84" s="11" t="s">
        <v>2257</v>
      </c>
    </row>
    <row r="85" customFormat="false" ht="15" hidden="false" customHeight="false" outlineLevel="0" collapsed="false">
      <c r="A85" s="4" t="s">
        <v>2455</v>
      </c>
      <c r="B85" s="4" t="s">
        <v>2446</v>
      </c>
      <c r="C85" s="3" t="s">
        <v>2447</v>
      </c>
      <c r="D85" s="11" t="s">
        <v>2254</v>
      </c>
      <c r="E85" s="4" t="s">
        <v>2268</v>
      </c>
      <c r="F85" s="114" t="n">
        <v>0.138172734</v>
      </c>
      <c r="G85" s="114" t="n">
        <v>0.3137789</v>
      </c>
      <c r="H85" s="114" t="n">
        <v>0.653340464</v>
      </c>
      <c r="I85" s="11" t="s">
        <v>2456</v>
      </c>
      <c r="J85" s="11" t="s">
        <v>2257</v>
      </c>
    </row>
    <row r="86" customFormat="false" ht="15" hidden="false" customHeight="false" outlineLevel="0" collapsed="false">
      <c r="A86" s="4" t="s">
        <v>2457</v>
      </c>
      <c r="B86" s="4" t="s">
        <v>2458</v>
      </c>
      <c r="C86" s="3" t="s">
        <v>2459</v>
      </c>
      <c r="D86" s="11" t="s">
        <v>42</v>
      </c>
      <c r="E86" s="4" t="s">
        <v>2255</v>
      </c>
      <c r="F86" s="23" t="n">
        <v>0.7</v>
      </c>
      <c r="G86" s="23" t="n">
        <v>0.8</v>
      </c>
      <c r="H86" s="23" t="n">
        <v>0.9</v>
      </c>
      <c r="I86" s="11" t="s">
        <v>2460</v>
      </c>
      <c r="J86" s="11" t="s">
        <v>2257</v>
      </c>
    </row>
    <row r="87" customFormat="false" ht="15" hidden="false" customHeight="false" outlineLevel="0" collapsed="false">
      <c r="A87" s="4" t="s">
        <v>2461</v>
      </c>
      <c r="B87" s="4" t="s">
        <v>2458</v>
      </c>
      <c r="C87" s="3" t="s">
        <v>2459</v>
      </c>
      <c r="D87" s="11" t="s">
        <v>42</v>
      </c>
      <c r="E87" s="4" t="s">
        <v>2259</v>
      </c>
      <c r="F87" s="23" t="n">
        <v>0.7</v>
      </c>
      <c r="G87" s="23" t="n">
        <v>0.8</v>
      </c>
      <c r="H87" s="23" t="n">
        <v>0.9</v>
      </c>
      <c r="I87" s="11" t="s">
        <v>2462</v>
      </c>
      <c r="J87" s="11" t="s">
        <v>2257</v>
      </c>
    </row>
    <row r="88" customFormat="false" ht="15" hidden="false" customHeight="false" outlineLevel="0" collapsed="false">
      <c r="A88" s="4" t="s">
        <v>2463</v>
      </c>
      <c r="B88" s="4" t="s">
        <v>2458</v>
      </c>
      <c r="C88" s="3" t="s">
        <v>2459</v>
      </c>
      <c r="D88" s="11" t="s">
        <v>42</v>
      </c>
      <c r="E88" s="4" t="s">
        <v>2262</v>
      </c>
      <c r="F88" s="23" t="n">
        <v>0.7</v>
      </c>
      <c r="G88" s="23" t="n">
        <v>0.8</v>
      </c>
      <c r="H88" s="23" t="n">
        <v>0.9</v>
      </c>
      <c r="I88" s="11" t="s">
        <v>2464</v>
      </c>
      <c r="J88" s="11" t="s">
        <v>2257</v>
      </c>
    </row>
    <row r="89" customFormat="false" ht="15" hidden="false" customHeight="false" outlineLevel="0" collapsed="false">
      <c r="A89" s="4" t="s">
        <v>2465</v>
      </c>
      <c r="B89" s="4" t="s">
        <v>2458</v>
      </c>
      <c r="C89" s="3" t="s">
        <v>2459</v>
      </c>
      <c r="D89" s="11" t="s">
        <v>42</v>
      </c>
      <c r="E89" s="4" t="s">
        <v>2265</v>
      </c>
      <c r="F89" s="23" t="n">
        <v>0.7</v>
      </c>
      <c r="G89" s="23" t="n">
        <v>0.8</v>
      </c>
      <c r="H89" s="23" t="n">
        <v>0.9</v>
      </c>
      <c r="I89" s="11" t="s">
        <v>2466</v>
      </c>
      <c r="J89" s="11" t="s">
        <v>2257</v>
      </c>
    </row>
    <row r="90" customFormat="false" ht="15" hidden="false" customHeight="false" outlineLevel="0" collapsed="false">
      <c r="A90" s="4" t="s">
        <v>2467</v>
      </c>
      <c r="B90" s="4" t="s">
        <v>2458</v>
      </c>
      <c r="C90" s="3" t="s">
        <v>2459</v>
      </c>
      <c r="D90" s="11" t="s">
        <v>42</v>
      </c>
      <c r="E90" s="4" t="s">
        <v>2268</v>
      </c>
      <c r="F90" s="23" t="n">
        <v>0.7</v>
      </c>
      <c r="G90" s="23" t="n">
        <v>0.8</v>
      </c>
      <c r="H90" s="23" t="n">
        <v>0.9</v>
      </c>
      <c r="I90" s="11" t="s">
        <v>2468</v>
      </c>
      <c r="J90" s="11" t="s">
        <v>2257</v>
      </c>
    </row>
    <row r="91" customFormat="false" ht="15" hidden="false" customHeight="false" outlineLevel="0" collapsed="false">
      <c r="A91" s="4" t="s">
        <v>2469</v>
      </c>
      <c r="B91" s="4" t="s">
        <v>2470</v>
      </c>
      <c r="C91" s="3" t="s">
        <v>2471</v>
      </c>
      <c r="D91" s="11" t="s">
        <v>2472</v>
      </c>
      <c r="E91" s="4" t="s">
        <v>2255</v>
      </c>
      <c r="F91" s="114" t="n">
        <v>1.1</v>
      </c>
      <c r="G91" s="114" t="n">
        <v>1.2</v>
      </c>
      <c r="H91" s="114" t="n">
        <v>1.3</v>
      </c>
      <c r="I91" s="11" t="s">
        <v>2473</v>
      </c>
      <c r="J91" s="11" t="s">
        <v>2257</v>
      </c>
    </row>
    <row r="92" customFormat="false" ht="15" hidden="false" customHeight="false" outlineLevel="0" collapsed="false">
      <c r="A92" s="4" t="s">
        <v>2474</v>
      </c>
      <c r="B92" s="4" t="s">
        <v>2470</v>
      </c>
      <c r="C92" s="3" t="s">
        <v>2471</v>
      </c>
      <c r="D92" s="11" t="s">
        <v>2472</v>
      </c>
      <c r="E92" s="4" t="s">
        <v>2259</v>
      </c>
      <c r="F92" s="114" t="n">
        <v>1.1</v>
      </c>
      <c r="G92" s="114" t="n">
        <v>1.2</v>
      </c>
      <c r="H92" s="114" t="n">
        <v>1.3</v>
      </c>
      <c r="I92" s="11" t="s">
        <v>2475</v>
      </c>
      <c r="J92" s="11" t="s">
        <v>2257</v>
      </c>
    </row>
    <row r="93" customFormat="false" ht="15" hidden="false" customHeight="false" outlineLevel="0" collapsed="false">
      <c r="A93" s="4" t="s">
        <v>2476</v>
      </c>
      <c r="B93" s="4" t="s">
        <v>2470</v>
      </c>
      <c r="C93" s="3" t="s">
        <v>2471</v>
      </c>
      <c r="D93" s="11" t="s">
        <v>2472</v>
      </c>
      <c r="E93" s="4" t="s">
        <v>2262</v>
      </c>
      <c r="F93" s="114" t="n">
        <v>1.1</v>
      </c>
      <c r="G93" s="114" t="n">
        <v>1.2</v>
      </c>
      <c r="H93" s="114" t="n">
        <v>1.3</v>
      </c>
      <c r="I93" s="11" t="s">
        <v>2477</v>
      </c>
      <c r="J93" s="11" t="s">
        <v>2257</v>
      </c>
    </row>
    <row r="94" customFormat="false" ht="15" hidden="false" customHeight="false" outlineLevel="0" collapsed="false">
      <c r="A94" s="4" t="s">
        <v>2478</v>
      </c>
      <c r="B94" s="4" t="s">
        <v>2470</v>
      </c>
      <c r="C94" s="3" t="s">
        <v>2471</v>
      </c>
      <c r="D94" s="11" t="s">
        <v>2472</v>
      </c>
      <c r="E94" s="4" t="s">
        <v>2265</v>
      </c>
      <c r="F94" s="114" t="n">
        <v>1.1</v>
      </c>
      <c r="G94" s="114" t="n">
        <v>1.2</v>
      </c>
      <c r="H94" s="114" t="n">
        <v>1.3</v>
      </c>
      <c r="I94" s="11" t="s">
        <v>2479</v>
      </c>
      <c r="J94" s="11" t="s">
        <v>2257</v>
      </c>
    </row>
    <row r="95" customFormat="false" ht="15" hidden="false" customHeight="false" outlineLevel="0" collapsed="false">
      <c r="A95" s="4" t="s">
        <v>2480</v>
      </c>
      <c r="B95" s="4" t="s">
        <v>2470</v>
      </c>
      <c r="C95" s="3" t="s">
        <v>2471</v>
      </c>
      <c r="D95" s="11" t="s">
        <v>2472</v>
      </c>
      <c r="E95" s="4" t="s">
        <v>2268</v>
      </c>
      <c r="F95" s="114" t="n">
        <v>1.1</v>
      </c>
      <c r="G95" s="114" t="n">
        <v>1.2</v>
      </c>
      <c r="H95" s="114" t="n">
        <v>1.3</v>
      </c>
      <c r="I95" s="11" t="s">
        <v>2481</v>
      </c>
      <c r="J95" s="11" t="s">
        <v>2257</v>
      </c>
    </row>
    <row r="96" customFormat="false" ht="15" hidden="false" customHeight="false" outlineLevel="0" collapsed="false">
      <c r="A96" s="4" t="s">
        <v>2482</v>
      </c>
      <c r="B96" s="4" t="s">
        <v>2483</v>
      </c>
      <c r="C96" s="3" t="s">
        <v>2484</v>
      </c>
      <c r="D96" s="6" t="s">
        <v>2485</v>
      </c>
      <c r="E96" s="4" t="s">
        <v>2255</v>
      </c>
      <c r="F96" s="21" t="n">
        <v>718048</v>
      </c>
      <c r="G96" s="21" t="n">
        <v>718048</v>
      </c>
      <c r="H96" s="21" t="n">
        <v>718048</v>
      </c>
      <c r="I96" s="11" t="s">
        <v>2486</v>
      </c>
      <c r="J96" s="11" t="s">
        <v>2257</v>
      </c>
    </row>
    <row r="97" customFormat="false" ht="15" hidden="false" customHeight="false" outlineLevel="0" collapsed="false">
      <c r="A97" s="4" t="s">
        <v>2487</v>
      </c>
      <c r="B97" s="4" t="s">
        <v>2483</v>
      </c>
      <c r="C97" s="3" t="s">
        <v>2484</v>
      </c>
      <c r="D97" s="6" t="s">
        <v>2485</v>
      </c>
      <c r="E97" s="4" t="s">
        <v>2259</v>
      </c>
      <c r="F97" s="21" t="n">
        <v>501768</v>
      </c>
      <c r="G97" s="21" t="n">
        <v>501768</v>
      </c>
      <c r="H97" s="21" t="n">
        <v>501768</v>
      </c>
      <c r="I97" s="11" t="s">
        <v>2488</v>
      </c>
      <c r="J97" s="11" t="s">
        <v>2257</v>
      </c>
    </row>
    <row r="98" customFormat="false" ht="15" hidden="false" customHeight="false" outlineLevel="0" collapsed="false">
      <c r="A98" s="4" t="s">
        <v>2489</v>
      </c>
      <c r="B98" s="4" t="s">
        <v>2483</v>
      </c>
      <c r="C98" s="3" t="s">
        <v>2484</v>
      </c>
      <c r="D98" s="6" t="s">
        <v>2485</v>
      </c>
      <c r="E98" s="4" t="s">
        <v>2262</v>
      </c>
      <c r="F98" s="21" t="n">
        <v>487008</v>
      </c>
      <c r="G98" s="21" t="n">
        <v>487008</v>
      </c>
      <c r="H98" s="21" t="n">
        <v>487008</v>
      </c>
      <c r="I98" s="11" t="s">
        <v>2490</v>
      </c>
      <c r="J98" s="11" t="s">
        <v>2257</v>
      </c>
    </row>
    <row r="99" customFormat="false" ht="15" hidden="false" customHeight="false" outlineLevel="0" collapsed="false">
      <c r="A99" s="4" t="s">
        <v>2491</v>
      </c>
      <c r="B99" s="4" t="s">
        <v>2483</v>
      </c>
      <c r="C99" s="3" t="s">
        <v>2484</v>
      </c>
      <c r="D99" s="6" t="s">
        <v>2485</v>
      </c>
      <c r="E99" s="4" t="s">
        <v>2265</v>
      </c>
      <c r="F99" s="21" t="n">
        <v>291744</v>
      </c>
      <c r="G99" s="21" t="n">
        <v>291744</v>
      </c>
      <c r="H99" s="21" t="n">
        <v>291744</v>
      </c>
      <c r="I99" s="11" t="s">
        <v>2492</v>
      </c>
      <c r="J99" s="11" t="s">
        <v>2257</v>
      </c>
    </row>
    <row r="100" customFormat="false" ht="15" hidden="false" customHeight="false" outlineLevel="0" collapsed="false">
      <c r="A100" s="4" t="s">
        <v>2493</v>
      </c>
      <c r="B100" s="4" t="s">
        <v>2483</v>
      </c>
      <c r="C100" s="3" t="s">
        <v>2484</v>
      </c>
      <c r="D100" s="6" t="s">
        <v>2485</v>
      </c>
      <c r="E100" s="4" t="s">
        <v>2268</v>
      </c>
      <c r="F100" s="21" t="n">
        <v>194760</v>
      </c>
      <c r="G100" s="21" t="n">
        <v>194760</v>
      </c>
      <c r="H100" s="21" t="n">
        <v>194760</v>
      </c>
      <c r="I100" s="11" t="s">
        <v>2494</v>
      </c>
      <c r="J100" s="11" t="s">
        <v>2257</v>
      </c>
    </row>
    <row r="101" customFormat="false" ht="15" hidden="false" customHeight="false" outlineLevel="0" collapsed="false">
      <c r="A101" s="4" t="s">
        <v>2495</v>
      </c>
      <c r="B101" s="4" t="s">
        <v>2496</v>
      </c>
      <c r="C101" s="3" t="s">
        <v>2497</v>
      </c>
      <c r="D101" s="6" t="s">
        <v>2498</v>
      </c>
      <c r="E101" s="4" t="s">
        <v>2255</v>
      </c>
      <c r="F101" s="21" t="n">
        <v>22439</v>
      </c>
      <c r="G101" s="21" t="n">
        <v>22439</v>
      </c>
      <c r="H101" s="21" t="n">
        <v>22439</v>
      </c>
      <c r="I101" s="11" t="s">
        <v>2499</v>
      </c>
      <c r="J101" s="11" t="s">
        <v>2257</v>
      </c>
    </row>
    <row r="102" customFormat="false" ht="15" hidden="false" customHeight="false" outlineLevel="0" collapsed="false">
      <c r="A102" s="4" t="s">
        <v>2500</v>
      </c>
      <c r="B102" s="4" t="s">
        <v>2496</v>
      </c>
      <c r="C102" s="3" t="s">
        <v>2497</v>
      </c>
      <c r="D102" s="6" t="s">
        <v>2498</v>
      </c>
      <c r="E102" s="4" t="s">
        <v>2259</v>
      </c>
      <c r="F102" s="21" t="n">
        <v>6969</v>
      </c>
      <c r="G102" s="21" t="n">
        <v>6969</v>
      </c>
      <c r="H102" s="21" t="n">
        <v>6969</v>
      </c>
      <c r="I102" s="11" t="s">
        <v>2501</v>
      </c>
      <c r="J102" s="11" t="s">
        <v>2257</v>
      </c>
    </row>
    <row r="103" customFormat="false" ht="15" hidden="false" customHeight="false" outlineLevel="0" collapsed="false">
      <c r="A103" s="4" t="s">
        <v>2502</v>
      </c>
      <c r="B103" s="4" t="s">
        <v>2496</v>
      </c>
      <c r="C103" s="3" t="s">
        <v>2497</v>
      </c>
      <c r="D103" s="6" t="s">
        <v>2498</v>
      </c>
      <c r="E103" s="4" t="s">
        <v>2262</v>
      </c>
      <c r="F103" s="21" t="n">
        <v>6764</v>
      </c>
      <c r="G103" s="21" t="n">
        <v>6764</v>
      </c>
      <c r="H103" s="21" t="n">
        <v>6764</v>
      </c>
      <c r="I103" s="11" t="s">
        <v>2503</v>
      </c>
      <c r="J103" s="11" t="s">
        <v>2257</v>
      </c>
    </row>
    <row r="104" customFormat="false" ht="15" hidden="false" customHeight="false" outlineLevel="0" collapsed="false">
      <c r="A104" s="4" t="s">
        <v>2504</v>
      </c>
      <c r="B104" s="4" t="s">
        <v>2496</v>
      </c>
      <c r="C104" s="3" t="s">
        <v>2497</v>
      </c>
      <c r="D104" s="6" t="s">
        <v>2498</v>
      </c>
      <c r="E104" s="4" t="s">
        <v>2265</v>
      </c>
      <c r="F104" s="21" t="n">
        <v>4052</v>
      </c>
      <c r="G104" s="21" t="n">
        <v>4052</v>
      </c>
      <c r="H104" s="21" t="n">
        <v>4052</v>
      </c>
      <c r="I104" s="11" t="s">
        <v>2505</v>
      </c>
      <c r="J104" s="11" t="s">
        <v>2257</v>
      </c>
    </row>
    <row r="105" customFormat="false" ht="15" hidden="false" customHeight="false" outlineLevel="0" collapsed="false">
      <c r="A105" s="4" t="s">
        <v>2506</v>
      </c>
      <c r="B105" s="4" t="s">
        <v>2496</v>
      </c>
      <c r="C105" s="3" t="s">
        <v>2497</v>
      </c>
      <c r="D105" s="6" t="s">
        <v>2498</v>
      </c>
      <c r="E105" s="4" t="s">
        <v>2268</v>
      </c>
      <c r="F105" s="21" t="n">
        <v>2705</v>
      </c>
      <c r="G105" s="21" t="n">
        <v>2705</v>
      </c>
      <c r="H105" s="21" t="n">
        <v>2705</v>
      </c>
      <c r="I105" s="11" t="s">
        <v>2507</v>
      </c>
      <c r="J105" s="11" t="s">
        <v>2257</v>
      </c>
    </row>
    <row r="106" customFormat="false" ht="15" hidden="false" customHeight="false" outlineLevel="0" collapsed="false">
      <c r="A106" s="4" t="s">
        <v>2508</v>
      </c>
      <c r="B106" s="4" t="s">
        <v>2509</v>
      </c>
      <c r="C106" s="3" t="s">
        <v>2510</v>
      </c>
      <c r="D106" s="11" t="s">
        <v>42</v>
      </c>
      <c r="E106" s="4" t="s">
        <v>1542</v>
      </c>
      <c r="F106" s="115"/>
      <c r="G106" s="23" t="n">
        <v>0.6</v>
      </c>
      <c r="H106" s="115"/>
      <c r="I106" s="11" t="s">
        <v>2511</v>
      </c>
      <c r="J106" s="11" t="s">
        <v>2257</v>
      </c>
    </row>
    <row r="107" customFormat="false" ht="15" hidden="false" customHeight="false" outlineLevel="0" collapsed="false">
      <c r="A107" s="4" t="s">
        <v>2512</v>
      </c>
      <c r="B107" s="4" t="s">
        <v>2513</v>
      </c>
      <c r="C107" s="3" t="s">
        <v>2514</v>
      </c>
      <c r="D107" s="11" t="s">
        <v>2254</v>
      </c>
      <c r="E107" s="4" t="s">
        <v>2255</v>
      </c>
      <c r="F107" s="114" t="n">
        <v>4.00488774987164</v>
      </c>
      <c r="G107" s="114" t="n">
        <v>4.00488774987164</v>
      </c>
      <c r="H107" s="114" t="n">
        <v>4.00488774987164</v>
      </c>
      <c r="I107" s="11" t="s">
        <v>2515</v>
      </c>
      <c r="J107" s="11" t="s">
        <v>2257</v>
      </c>
    </row>
    <row r="108" customFormat="false" ht="15" hidden="false" customHeight="false" outlineLevel="0" collapsed="false">
      <c r="A108" s="4" t="s">
        <v>2516</v>
      </c>
      <c r="B108" s="4" t="s">
        <v>2513</v>
      </c>
      <c r="C108" s="3" t="s">
        <v>2514</v>
      </c>
      <c r="D108" s="11" t="s">
        <v>2254</v>
      </c>
      <c r="E108" s="4" t="s">
        <v>2259</v>
      </c>
      <c r="F108" s="114" t="n">
        <v>20.1746158611128</v>
      </c>
      <c r="G108" s="114" t="n">
        <v>20.1746158611128</v>
      </c>
      <c r="H108" s="114" t="n">
        <v>20.1746158611128</v>
      </c>
      <c r="I108" s="11" t="s">
        <v>2517</v>
      </c>
      <c r="J108" s="11" t="s">
        <v>2257</v>
      </c>
    </row>
    <row r="109" customFormat="false" ht="15" hidden="false" customHeight="false" outlineLevel="0" collapsed="false">
      <c r="A109" s="4" t="s">
        <v>2518</v>
      </c>
      <c r="B109" s="4" t="s">
        <v>2513</v>
      </c>
      <c r="C109" s="3" t="s">
        <v>2514</v>
      </c>
      <c r="D109" s="11" t="s">
        <v>2254</v>
      </c>
      <c r="E109" s="4" t="s">
        <v>2262</v>
      </c>
      <c r="F109" s="114" t="n">
        <v>26.2652356996766</v>
      </c>
      <c r="G109" s="114" t="n">
        <v>26.2652356996766</v>
      </c>
      <c r="H109" s="114" t="n">
        <v>26.2652356996766</v>
      </c>
      <c r="I109" s="11" t="s">
        <v>2519</v>
      </c>
      <c r="J109" s="11" t="s">
        <v>2257</v>
      </c>
    </row>
    <row r="110" customFormat="false" ht="15" hidden="false" customHeight="false" outlineLevel="0" collapsed="false">
      <c r="A110" s="4" t="s">
        <v>2520</v>
      </c>
      <c r="B110" s="4" t="s">
        <v>2513</v>
      </c>
      <c r="C110" s="3" t="s">
        <v>2514</v>
      </c>
      <c r="D110" s="11" t="s">
        <v>2254</v>
      </c>
      <c r="E110" s="4" t="s">
        <v>2265</v>
      </c>
      <c r="F110" s="114" t="n">
        <v>48.7237019639935</v>
      </c>
      <c r="G110" s="114" t="n">
        <v>48.7237019639935</v>
      </c>
      <c r="H110" s="114" t="n">
        <v>48.7237019639935</v>
      </c>
      <c r="I110" s="11" t="s">
        <v>2521</v>
      </c>
      <c r="J110" s="11" t="s">
        <v>2257</v>
      </c>
    </row>
    <row r="111" customFormat="false" ht="15" hidden="false" customHeight="false" outlineLevel="0" collapsed="false">
      <c r="A111" s="4" t="s">
        <v>2522</v>
      </c>
      <c r="B111" s="4" t="s">
        <v>2513</v>
      </c>
      <c r="C111" s="3" t="s">
        <v>2514</v>
      </c>
      <c r="D111" s="11" t="s">
        <v>2254</v>
      </c>
      <c r="E111" s="4" t="s">
        <v>2268</v>
      </c>
      <c r="F111" s="114" t="n">
        <v>68.9276257152094</v>
      </c>
      <c r="G111" s="114" t="n">
        <v>68.9276257152094</v>
      </c>
      <c r="H111" s="114" t="n">
        <v>68.9276257152094</v>
      </c>
      <c r="I111" s="11" t="s">
        <v>2523</v>
      </c>
      <c r="J111" s="11" t="s">
        <v>2257</v>
      </c>
    </row>
    <row r="112" customFormat="false" ht="15" hidden="false" customHeight="false" outlineLevel="0" collapsed="false">
      <c r="A112" s="4" t="s">
        <v>2524</v>
      </c>
      <c r="B112" s="4" t="s">
        <v>2525</v>
      </c>
      <c r="C112" s="3" t="s">
        <v>2526</v>
      </c>
      <c r="D112" s="11" t="s">
        <v>2285</v>
      </c>
      <c r="E112" s="4" t="s">
        <v>1542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2527</v>
      </c>
      <c r="J112" s="11" t="s">
        <v>2257</v>
      </c>
    </row>
    <row r="113" customFormat="false" ht="15" hidden="false" customHeight="false" outlineLevel="0" collapsed="false">
      <c r="A113" s="4" t="s">
        <v>2528</v>
      </c>
      <c r="B113" s="4" t="s">
        <v>2529</v>
      </c>
      <c r="C113" s="3" t="s">
        <v>2530</v>
      </c>
      <c r="D113" s="11" t="s">
        <v>2285</v>
      </c>
      <c r="E113" s="4" t="s">
        <v>1542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2531</v>
      </c>
      <c r="J113" s="11" t="s">
        <v>2257</v>
      </c>
    </row>
    <row r="114" customFormat="false" ht="15" hidden="false" customHeight="false" outlineLevel="0" collapsed="false">
      <c r="A114" s="4" t="s">
        <v>2532</v>
      </c>
      <c r="B114" s="4" t="s">
        <v>2533</v>
      </c>
      <c r="C114" s="3" t="s">
        <v>2534</v>
      </c>
      <c r="D114" s="11" t="s">
        <v>2285</v>
      </c>
      <c r="E114" s="4" t="s">
        <v>1542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2535</v>
      </c>
      <c r="J114" s="11" t="s">
        <v>2257</v>
      </c>
    </row>
    <row r="115" customFormat="false" ht="15" hidden="false" customHeight="false" outlineLevel="0" collapsed="false">
      <c r="A115" s="4" t="s">
        <v>2536</v>
      </c>
      <c r="B115" s="4" t="s">
        <v>2537</v>
      </c>
      <c r="C115" s="3" t="s">
        <v>2538</v>
      </c>
      <c r="D115" s="11" t="s">
        <v>2285</v>
      </c>
      <c r="E115" s="4" t="s">
        <v>1542</v>
      </c>
      <c r="F115" s="114" t="n">
        <v>3.72193954123947</v>
      </c>
      <c r="G115" s="114" t="n">
        <v>4.78365180724219</v>
      </c>
      <c r="H115" s="114" t="n">
        <v>7.72813762813851</v>
      </c>
      <c r="I115" s="11" t="s">
        <v>2539</v>
      </c>
      <c r="J115" s="11" t="s">
        <v>2257</v>
      </c>
    </row>
    <row r="116" customFormat="false" ht="15" hidden="false" customHeight="false" outlineLevel="0" collapsed="false">
      <c r="A116" s="4" t="s">
        <v>2540</v>
      </c>
      <c r="B116" s="4" t="s">
        <v>2541</v>
      </c>
      <c r="C116" s="3" t="s">
        <v>2542</v>
      </c>
      <c r="D116" s="11" t="s">
        <v>2543</v>
      </c>
      <c r="E116" s="4" t="s">
        <v>1542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2544</v>
      </c>
      <c r="J116" s="11" t="s">
        <v>2257</v>
      </c>
    </row>
    <row r="117" customFormat="false" ht="15" hidden="false" customHeight="false" outlineLevel="0" collapsed="false">
      <c r="A117" s="4" t="s">
        <v>2545</v>
      </c>
      <c r="B117" s="4" t="s">
        <v>2546</v>
      </c>
      <c r="C117" s="3" t="s">
        <v>2547</v>
      </c>
      <c r="D117" s="11" t="s">
        <v>2543</v>
      </c>
      <c r="E117" s="4" t="s">
        <v>1542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2548</v>
      </c>
      <c r="J117" s="11" t="s">
        <v>2257</v>
      </c>
    </row>
    <row r="118" customFormat="false" ht="15" hidden="false" customHeight="false" outlineLevel="0" collapsed="false">
      <c r="A118" s="4" t="s">
        <v>2549</v>
      </c>
      <c r="B118" s="4" t="s">
        <v>2550</v>
      </c>
      <c r="C118" s="3" t="s">
        <v>2551</v>
      </c>
      <c r="D118" s="11" t="s">
        <v>2543</v>
      </c>
      <c r="E118" s="4" t="s">
        <v>1542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2552</v>
      </c>
      <c r="J118" s="11" t="s">
        <v>2257</v>
      </c>
    </row>
    <row r="119" customFormat="false" ht="15" hidden="false" customHeight="false" outlineLevel="0" collapsed="false">
      <c r="A119" s="4" t="s">
        <v>2553</v>
      </c>
      <c r="B119" s="4" t="s">
        <v>2554</v>
      </c>
      <c r="C119" s="3" t="s">
        <v>2555</v>
      </c>
      <c r="D119" s="11" t="s">
        <v>2543</v>
      </c>
      <c r="E119" s="4" t="s">
        <v>1542</v>
      </c>
      <c r="F119" s="114" t="n">
        <v>9.51207691858967</v>
      </c>
      <c r="G119" s="114" t="n">
        <v>12.2254710045841</v>
      </c>
      <c r="H119" s="114" t="n">
        <v>19.7506269894487</v>
      </c>
      <c r="I119" s="11" t="s">
        <v>2556</v>
      </c>
      <c r="J119" s="11" t="s">
        <v>2257</v>
      </c>
    </row>
    <row r="120" customFormat="false" ht="15" hidden="false" customHeight="false" outlineLevel="0" collapsed="false">
      <c r="A120" s="4" t="s">
        <v>2557</v>
      </c>
      <c r="B120" s="4" t="s">
        <v>2558</v>
      </c>
      <c r="C120" s="3" t="s">
        <v>2559</v>
      </c>
      <c r="D120" s="11" t="s">
        <v>2560</v>
      </c>
      <c r="E120" s="4" t="s">
        <v>1542</v>
      </c>
      <c r="F120" s="114" t="n">
        <v>31.6056</v>
      </c>
      <c r="G120" s="114" t="n">
        <v>34.0368</v>
      </c>
      <c r="H120" s="114" t="n">
        <v>36.8732</v>
      </c>
      <c r="I120" s="11" t="s">
        <v>2561</v>
      </c>
      <c r="J120" s="11" t="s">
        <v>2257</v>
      </c>
    </row>
    <row r="121" customFormat="false" ht="15" hidden="false" customHeight="false" outlineLevel="0" collapsed="false">
      <c r="A121" s="4" t="s">
        <v>2562</v>
      </c>
      <c r="B121" s="4" t="s">
        <v>2563</v>
      </c>
      <c r="C121" s="3" t="s">
        <v>2564</v>
      </c>
      <c r="D121" s="11" t="s">
        <v>2254</v>
      </c>
      <c r="E121" s="4" t="s">
        <v>2255</v>
      </c>
      <c r="F121" s="114" t="n">
        <v>6.67481291645273</v>
      </c>
      <c r="G121" s="114" t="n">
        <v>6.67481291645273</v>
      </c>
      <c r="H121" s="114" t="n">
        <v>6.67481291645273</v>
      </c>
      <c r="I121" s="11" t="s">
        <v>2565</v>
      </c>
      <c r="J121" s="11" t="s">
        <v>2257</v>
      </c>
    </row>
    <row r="122" customFormat="false" ht="15" hidden="false" customHeight="false" outlineLevel="0" collapsed="false">
      <c r="A122" s="4" t="s">
        <v>2566</v>
      </c>
      <c r="B122" s="4" t="s">
        <v>2563</v>
      </c>
      <c r="C122" s="3" t="s">
        <v>2564</v>
      </c>
      <c r="D122" s="11" t="s">
        <v>2254</v>
      </c>
      <c r="E122" s="4" t="s">
        <v>2259</v>
      </c>
      <c r="F122" s="114" t="n">
        <v>33.6243597685213</v>
      </c>
      <c r="G122" s="114" t="n">
        <v>33.6243597685213</v>
      </c>
      <c r="H122" s="114" t="n">
        <v>33.6243597685213</v>
      </c>
      <c r="I122" s="11" t="s">
        <v>2567</v>
      </c>
      <c r="J122" s="11" t="s">
        <v>2257</v>
      </c>
    </row>
    <row r="123" customFormat="false" ht="15" hidden="false" customHeight="false" outlineLevel="0" collapsed="false">
      <c r="A123" s="4" t="s">
        <v>2568</v>
      </c>
      <c r="B123" s="4" t="s">
        <v>2563</v>
      </c>
      <c r="C123" s="3" t="s">
        <v>2564</v>
      </c>
      <c r="D123" s="11" t="s">
        <v>2254</v>
      </c>
      <c r="E123" s="4" t="s">
        <v>2262</v>
      </c>
      <c r="F123" s="114" t="n">
        <v>43.7753928327944</v>
      </c>
      <c r="G123" s="114" t="n">
        <v>43.7753928327944</v>
      </c>
      <c r="H123" s="114" t="n">
        <v>43.7753928327944</v>
      </c>
      <c r="I123" s="11" t="s">
        <v>2569</v>
      </c>
      <c r="J123" s="11" t="s">
        <v>2257</v>
      </c>
    </row>
    <row r="124" customFormat="false" ht="15" hidden="false" customHeight="false" outlineLevel="0" collapsed="false">
      <c r="A124" s="4" t="s">
        <v>2570</v>
      </c>
      <c r="B124" s="4" t="s">
        <v>2563</v>
      </c>
      <c r="C124" s="3" t="s">
        <v>2564</v>
      </c>
      <c r="D124" s="11" t="s">
        <v>2254</v>
      </c>
      <c r="E124" s="4" t="s">
        <v>2265</v>
      </c>
      <c r="F124" s="114" t="n">
        <v>81.2061699399891</v>
      </c>
      <c r="G124" s="114" t="n">
        <v>81.2061699399891</v>
      </c>
      <c r="H124" s="114" t="n">
        <v>81.2061699399891</v>
      </c>
      <c r="I124" s="11" t="s">
        <v>2571</v>
      </c>
      <c r="J124" s="11" t="s">
        <v>2257</v>
      </c>
    </row>
    <row r="125" customFormat="false" ht="15" hidden="false" customHeight="false" outlineLevel="0" collapsed="false">
      <c r="A125" s="4" t="s">
        <v>2572</v>
      </c>
      <c r="B125" s="4" t="s">
        <v>2563</v>
      </c>
      <c r="C125" s="3" t="s">
        <v>2564</v>
      </c>
      <c r="D125" s="11" t="s">
        <v>2254</v>
      </c>
      <c r="E125" s="4" t="s">
        <v>2268</v>
      </c>
      <c r="F125" s="114" t="n">
        <v>114.879376192016</v>
      </c>
      <c r="G125" s="114" t="n">
        <v>114.879376192016</v>
      </c>
      <c r="H125" s="114" t="n">
        <v>114.879376192016</v>
      </c>
      <c r="I125" s="11" t="s">
        <v>2573</v>
      </c>
      <c r="J125" s="11" t="s">
        <v>2257</v>
      </c>
    </row>
    <row r="126" customFormat="false" ht="15" hidden="false" customHeight="false" outlineLevel="0" collapsed="false">
      <c r="A126" s="4" t="s">
        <v>2574</v>
      </c>
      <c r="B126" s="4" t="s">
        <v>2575</v>
      </c>
      <c r="C126" s="3" t="s">
        <v>2576</v>
      </c>
      <c r="D126" s="11" t="s">
        <v>2254</v>
      </c>
      <c r="E126" s="4" t="s">
        <v>2255</v>
      </c>
      <c r="F126" s="114" t="n">
        <v>4.00488774987164</v>
      </c>
      <c r="G126" s="114" t="n">
        <v>4.00488774987164</v>
      </c>
      <c r="H126" s="114" t="n">
        <v>4.00488774987164</v>
      </c>
      <c r="I126" s="11" t="s">
        <v>2577</v>
      </c>
      <c r="J126" s="11" t="s">
        <v>2257</v>
      </c>
    </row>
    <row r="127" customFormat="false" ht="15" hidden="false" customHeight="false" outlineLevel="0" collapsed="false">
      <c r="A127" s="4" t="s">
        <v>2578</v>
      </c>
      <c r="B127" s="4" t="s">
        <v>2575</v>
      </c>
      <c r="C127" s="3" t="s">
        <v>2576</v>
      </c>
      <c r="D127" s="11" t="s">
        <v>2254</v>
      </c>
      <c r="E127" s="4" t="s">
        <v>2259</v>
      </c>
      <c r="F127" s="114" t="n">
        <v>20.1746158611128</v>
      </c>
      <c r="G127" s="114" t="n">
        <v>20.1746158611128</v>
      </c>
      <c r="H127" s="114" t="n">
        <v>20.1746158611128</v>
      </c>
      <c r="I127" s="11" t="s">
        <v>2579</v>
      </c>
      <c r="J127" s="11" t="s">
        <v>2257</v>
      </c>
    </row>
    <row r="128" customFormat="false" ht="15" hidden="false" customHeight="false" outlineLevel="0" collapsed="false">
      <c r="A128" s="4" t="s">
        <v>2580</v>
      </c>
      <c r="B128" s="4" t="s">
        <v>2575</v>
      </c>
      <c r="C128" s="3" t="s">
        <v>2576</v>
      </c>
      <c r="D128" s="11" t="s">
        <v>2254</v>
      </c>
      <c r="E128" s="4" t="s">
        <v>2262</v>
      </c>
      <c r="F128" s="114" t="n">
        <v>26.2652356996766</v>
      </c>
      <c r="G128" s="114" t="n">
        <v>26.2652356996766</v>
      </c>
      <c r="H128" s="114" t="n">
        <v>26.2652356996766</v>
      </c>
      <c r="I128" s="11" t="s">
        <v>2581</v>
      </c>
      <c r="J128" s="11" t="s">
        <v>2257</v>
      </c>
    </row>
    <row r="129" customFormat="false" ht="15" hidden="false" customHeight="false" outlineLevel="0" collapsed="false">
      <c r="A129" s="4" t="s">
        <v>2582</v>
      </c>
      <c r="B129" s="4" t="s">
        <v>2575</v>
      </c>
      <c r="C129" s="3" t="s">
        <v>2576</v>
      </c>
      <c r="D129" s="11" t="s">
        <v>2254</v>
      </c>
      <c r="E129" s="4" t="s">
        <v>2265</v>
      </c>
      <c r="F129" s="114" t="n">
        <v>48.7237019639935</v>
      </c>
      <c r="G129" s="114" t="n">
        <v>48.7237019639935</v>
      </c>
      <c r="H129" s="114" t="n">
        <v>48.7237019639935</v>
      </c>
      <c r="I129" s="11" t="s">
        <v>2583</v>
      </c>
      <c r="J129" s="11" t="s">
        <v>2257</v>
      </c>
    </row>
    <row r="130" customFormat="false" ht="15" hidden="false" customHeight="false" outlineLevel="0" collapsed="false">
      <c r="A130" s="4" t="s">
        <v>2584</v>
      </c>
      <c r="B130" s="4" t="s">
        <v>2575</v>
      </c>
      <c r="C130" s="3" t="s">
        <v>2576</v>
      </c>
      <c r="D130" s="11" t="s">
        <v>2254</v>
      </c>
      <c r="E130" s="4" t="s">
        <v>2268</v>
      </c>
      <c r="F130" s="114" t="n">
        <v>68.9276257152094</v>
      </c>
      <c r="G130" s="114" t="n">
        <v>68.9276257152094</v>
      </c>
      <c r="H130" s="114" t="n">
        <v>68.9276257152094</v>
      </c>
      <c r="I130" s="11" t="s">
        <v>2585</v>
      </c>
      <c r="J130" s="11" t="s">
        <v>2257</v>
      </c>
    </row>
    <row r="131" customFormat="false" ht="15" hidden="false" customHeight="false" outlineLevel="0" collapsed="false">
      <c r="A131" s="4" t="s">
        <v>2586</v>
      </c>
      <c r="B131" s="4" t="s">
        <v>2587</v>
      </c>
      <c r="C131" s="3" t="s">
        <v>2588</v>
      </c>
      <c r="D131" s="11" t="s">
        <v>2254</v>
      </c>
      <c r="E131" s="4" t="s">
        <v>2255</v>
      </c>
      <c r="F131" s="114" t="n">
        <v>2.24296199760285</v>
      </c>
      <c r="G131" s="114" t="n">
        <v>2.24296199760285</v>
      </c>
      <c r="H131" s="114" t="n">
        <v>2.24296199760285</v>
      </c>
      <c r="I131" s="11" t="s">
        <v>2589</v>
      </c>
      <c r="J131" s="11" t="s">
        <v>2257</v>
      </c>
    </row>
    <row r="132" customFormat="false" ht="15" hidden="false" customHeight="false" outlineLevel="0" collapsed="false">
      <c r="A132" s="4" t="s">
        <v>2590</v>
      </c>
      <c r="B132" s="4" t="s">
        <v>2587</v>
      </c>
      <c r="C132" s="3" t="s">
        <v>2588</v>
      </c>
      <c r="D132" s="11" t="s">
        <v>2254</v>
      </c>
      <c r="E132" s="4" t="s">
        <v>2259</v>
      </c>
      <c r="F132" s="114" t="n">
        <v>15.2851605558118</v>
      </c>
      <c r="G132" s="114" t="n">
        <v>15.2851605558118</v>
      </c>
      <c r="H132" s="114" t="n">
        <v>15.2851605558118</v>
      </c>
      <c r="I132" s="11" t="s">
        <v>2591</v>
      </c>
      <c r="J132" s="11" t="s">
        <v>2257</v>
      </c>
    </row>
    <row r="133" customFormat="false" ht="15" hidden="false" customHeight="false" outlineLevel="0" collapsed="false">
      <c r="A133" s="4" t="s">
        <v>2592</v>
      </c>
      <c r="B133" s="4" t="s">
        <v>2587</v>
      </c>
      <c r="C133" s="3" t="s">
        <v>2588</v>
      </c>
      <c r="D133" s="11" t="s">
        <v>2254</v>
      </c>
      <c r="E133" s="4" t="s">
        <v>2262</v>
      </c>
      <c r="F133" s="114" t="n">
        <v>19.2324652424837</v>
      </c>
      <c r="G133" s="114" t="n">
        <v>19.2324652424837</v>
      </c>
      <c r="H133" s="114" t="n">
        <v>19.2324652424837</v>
      </c>
      <c r="I133" s="11" t="s">
        <v>2593</v>
      </c>
      <c r="J133" s="11" t="s">
        <v>2257</v>
      </c>
    </row>
    <row r="134" customFormat="false" ht="15" hidden="false" customHeight="false" outlineLevel="0" collapsed="false">
      <c r="A134" s="4" t="s">
        <v>2594</v>
      </c>
      <c r="B134" s="4" t="s">
        <v>2587</v>
      </c>
      <c r="C134" s="3" t="s">
        <v>2588</v>
      </c>
      <c r="D134" s="11" t="s">
        <v>2254</v>
      </c>
      <c r="E134" s="4" t="s">
        <v>2265</v>
      </c>
      <c r="F134" s="114" t="n">
        <v>38.1145472754025</v>
      </c>
      <c r="G134" s="114" t="n">
        <v>38.1145472754025</v>
      </c>
      <c r="H134" s="114" t="n">
        <v>38.1145472754025</v>
      </c>
      <c r="I134" s="11" t="s">
        <v>2595</v>
      </c>
      <c r="J134" s="11" t="s">
        <v>2257</v>
      </c>
    </row>
    <row r="135" customFormat="false" ht="15" hidden="false" customHeight="false" outlineLevel="0" collapsed="false">
      <c r="A135" s="4" t="s">
        <v>2596</v>
      </c>
      <c r="B135" s="4" t="s">
        <v>2587</v>
      </c>
      <c r="C135" s="3" t="s">
        <v>2588</v>
      </c>
      <c r="D135" s="11" t="s">
        <v>2254</v>
      </c>
      <c r="E135" s="4" t="s">
        <v>2268</v>
      </c>
      <c r="F135" s="114" t="n">
        <v>54.4181760054532</v>
      </c>
      <c r="G135" s="114" t="n">
        <v>54.4181760054532</v>
      </c>
      <c r="H135" s="114" t="n">
        <v>54.4181760054532</v>
      </c>
      <c r="I135" s="11" t="s">
        <v>2597</v>
      </c>
      <c r="J135" s="11" t="s">
        <v>2257</v>
      </c>
    </row>
    <row r="136" customFormat="false" ht="15" hidden="false" customHeight="false" outlineLevel="0" collapsed="false">
      <c r="A136" s="4" t="s">
        <v>2598</v>
      </c>
      <c r="B136" s="4" t="s">
        <v>2599</v>
      </c>
      <c r="C136" s="3" t="s">
        <v>2600</v>
      </c>
      <c r="D136" s="11" t="s">
        <v>2254</v>
      </c>
      <c r="E136" s="4" t="s">
        <v>2255</v>
      </c>
      <c r="F136" s="114" t="n">
        <v>2.24296199760285</v>
      </c>
      <c r="G136" s="114" t="n">
        <v>2.24296199760285</v>
      </c>
      <c r="H136" s="114" t="n">
        <v>2.24296199760285</v>
      </c>
      <c r="I136" s="11" t="s">
        <v>2601</v>
      </c>
      <c r="J136" s="11" t="s">
        <v>2257</v>
      </c>
    </row>
    <row r="137" customFormat="false" ht="15" hidden="false" customHeight="false" outlineLevel="0" collapsed="false">
      <c r="A137" s="4" t="s">
        <v>2602</v>
      </c>
      <c r="B137" s="4" t="s">
        <v>2599</v>
      </c>
      <c r="C137" s="3" t="s">
        <v>2600</v>
      </c>
      <c r="D137" s="11" t="s">
        <v>2254</v>
      </c>
      <c r="E137" s="4" t="s">
        <v>2259</v>
      </c>
      <c r="F137" s="114" t="n">
        <v>15.2851605558118</v>
      </c>
      <c r="G137" s="114" t="n">
        <v>15.2851605558118</v>
      </c>
      <c r="H137" s="114" t="n">
        <v>15.2851605558118</v>
      </c>
      <c r="I137" s="11" t="s">
        <v>2603</v>
      </c>
      <c r="J137" s="11" t="s">
        <v>2257</v>
      </c>
    </row>
    <row r="138" customFormat="false" ht="15" hidden="false" customHeight="false" outlineLevel="0" collapsed="false">
      <c r="A138" s="4" t="s">
        <v>2604</v>
      </c>
      <c r="B138" s="4" t="s">
        <v>2599</v>
      </c>
      <c r="C138" s="3" t="s">
        <v>2600</v>
      </c>
      <c r="D138" s="11" t="s">
        <v>2254</v>
      </c>
      <c r="E138" s="4" t="s">
        <v>2262</v>
      </c>
      <c r="F138" s="114" t="n">
        <v>19.2324652424837</v>
      </c>
      <c r="G138" s="114" t="n">
        <v>19.2324652424837</v>
      </c>
      <c r="H138" s="114" t="n">
        <v>19.2324652424837</v>
      </c>
      <c r="I138" s="11" t="s">
        <v>2605</v>
      </c>
      <c r="J138" s="11" t="s">
        <v>2257</v>
      </c>
    </row>
    <row r="139" customFormat="false" ht="15" hidden="false" customHeight="false" outlineLevel="0" collapsed="false">
      <c r="A139" s="4" t="s">
        <v>2606</v>
      </c>
      <c r="B139" s="4" t="s">
        <v>2599</v>
      </c>
      <c r="C139" s="3" t="s">
        <v>2600</v>
      </c>
      <c r="D139" s="11" t="s">
        <v>2254</v>
      </c>
      <c r="E139" s="4" t="s">
        <v>2265</v>
      </c>
      <c r="F139" s="114" t="n">
        <v>38.1145472754025</v>
      </c>
      <c r="G139" s="114" t="n">
        <v>38.1145472754025</v>
      </c>
      <c r="H139" s="114" t="n">
        <v>38.1145472754025</v>
      </c>
      <c r="I139" s="11" t="s">
        <v>2607</v>
      </c>
      <c r="J139" s="11" t="s">
        <v>2257</v>
      </c>
    </row>
    <row r="140" customFormat="false" ht="15" hidden="false" customHeight="false" outlineLevel="0" collapsed="false">
      <c r="A140" s="4" t="s">
        <v>2608</v>
      </c>
      <c r="B140" s="4" t="s">
        <v>2599</v>
      </c>
      <c r="C140" s="3" t="s">
        <v>2600</v>
      </c>
      <c r="D140" s="11" t="s">
        <v>2254</v>
      </c>
      <c r="E140" s="4" t="s">
        <v>2268</v>
      </c>
      <c r="F140" s="114" t="n">
        <v>54.4181760054532</v>
      </c>
      <c r="G140" s="114" t="n">
        <v>54.4181760054532</v>
      </c>
      <c r="H140" s="114" t="n">
        <v>54.4181760054532</v>
      </c>
      <c r="I140" s="11" t="s">
        <v>2609</v>
      </c>
      <c r="J140" s="11" t="s">
        <v>2257</v>
      </c>
    </row>
    <row r="141" customFormat="false" ht="15" hidden="false" customHeight="false" outlineLevel="0" collapsed="false">
      <c r="A141" s="4" t="s">
        <v>2610</v>
      </c>
      <c r="B141" s="4" t="s">
        <v>2252</v>
      </c>
      <c r="C141" s="4" t="s">
        <v>2611</v>
      </c>
      <c r="D141" s="6"/>
      <c r="E141" s="4" t="s">
        <v>1542</v>
      </c>
      <c r="F141" s="115"/>
      <c r="G141" s="116" t="s">
        <v>2612</v>
      </c>
      <c r="H141" s="116"/>
      <c r="I141" s="11" t="s">
        <v>2613</v>
      </c>
      <c r="J141" s="11" t="s">
        <v>2257</v>
      </c>
    </row>
    <row r="142" customFormat="false" ht="15" hidden="false" customHeight="false" outlineLevel="0" collapsed="false">
      <c r="A142" s="4" t="s">
        <v>2614</v>
      </c>
      <c r="B142" s="4" t="s">
        <v>2271</v>
      </c>
      <c r="C142" s="4" t="s">
        <v>2611</v>
      </c>
      <c r="D142" s="6"/>
      <c r="E142" s="4" t="s">
        <v>1542</v>
      </c>
      <c r="F142" s="116"/>
      <c r="G142" s="116" t="s">
        <v>2612</v>
      </c>
      <c r="H142" s="116"/>
      <c r="I142" s="11" t="s">
        <v>2613</v>
      </c>
      <c r="J142" s="11" t="s">
        <v>2257</v>
      </c>
    </row>
    <row r="143" customFormat="false" ht="15" hidden="false" customHeight="false" outlineLevel="0" collapsed="false">
      <c r="A143" s="4" t="s">
        <v>2615</v>
      </c>
      <c r="B143" s="4" t="s">
        <v>2283</v>
      </c>
      <c r="C143" s="4" t="s">
        <v>2611</v>
      </c>
      <c r="D143" s="6"/>
      <c r="E143" s="4" t="s">
        <v>1542</v>
      </c>
      <c r="F143" s="116"/>
      <c r="G143" s="116" t="s">
        <v>2612</v>
      </c>
      <c r="H143" s="116"/>
      <c r="I143" s="11" t="s">
        <v>2613</v>
      </c>
      <c r="J143" s="11" t="s">
        <v>2257</v>
      </c>
    </row>
    <row r="144" customFormat="false" ht="15" hidden="false" customHeight="false" outlineLevel="0" collapsed="false">
      <c r="A144" s="4" t="s">
        <v>2616</v>
      </c>
      <c r="B144" s="4" t="s">
        <v>2296</v>
      </c>
      <c r="C144" s="4" t="s">
        <v>2611</v>
      </c>
      <c r="D144" s="6"/>
      <c r="E144" s="4" t="s">
        <v>1542</v>
      </c>
      <c r="F144" s="116"/>
      <c r="G144" s="116" t="s">
        <v>2612</v>
      </c>
      <c r="H144" s="116"/>
      <c r="I144" s="11" t="s">
        <v>2613</v>
      </c>
      <c r="J144" s="11" t="s">
        <v>2257</v>
      </c>
    </row>
    <row r="145" customFormat="false" ht="15" hidden="false" customHeight="false" outlineLevel="0" collapsed="false">
      <c r="A145" s="4" t="s">
        <v>2617</v>
      </c>
      <c r="B145" s="4" t="s">
        <v>2309</v>
      </c>
      <c r="C145" s="4" t="s">
        <v>2611</v>
      </c>
      <c r="D145" s="6"/>
      <c r="E145" s="4" t="s">
        <v>1542</v>
      </c>
      <c r="F145" s="116"/>
      <c r="G145" s="116" t="s">
        <v>2618</v>
      </c>
      <c r="H145" s="116"/>
      <c r="I145" s="11" t="s">
        <v>2613</v>
      </c>
      <c r="J145" s="11" t="s">
        <v>2257</v>
      </c>
    </row>
    <row r="146" customFormat="false" ht="15" hidden="false" customHeight="false" outlineLevel="0" collapsed="false">
      <c r="A146" s="4" t="s">
        <v>2619</v>
      </c>
      <c r="B146" s="4" t="s">
        <v>2321</v>
      </c>
      <c r="C146" s="4" t="s">
        <v>2611</v>
      </c>
      <c r="D146" s="6"/>
      <c r="E146" s="4" t="s">
        <v>1542</v>
      </c>
      <c r="F146" s="116"/>
      <c r="G146" s="116" t="s">
        <v>2612</v>
      </c>
      <c r="H146" s="116"/>
      <c r="I146" s="11" t="s">
        <v>2613</v>
      </c>
      <c r="J146" s="11" t="s">
        <v>2257</v>
      </c>
    </row>
    <row r="147" customFormat="false" ht="15" hidden="false" customHeight="false" outlineLevel="0" collapsed="false">
      <c r="A147" s="4" t="s">
        <v>2620</v>
      </c>
      <c r="B147" s="4" t="s">
        <v>2338</v>
      </c>
      <c r="C147" s="4" t="s">
        <v>2611</v>
      </c>
      <c r="D147" s="6"/>
      <c r="E147" s="4" t="s">
        <v>1542</v>
      </c>
      <c r="F147" s="116"/>
      <c r="G147" s="116" t="s">
        <v>2612</v>
      </c>
      <c r="H147" s="116"/>
      <c r="I147" s="11" t="s">
        <v>2613</v>
      </c>
      <c r="J147" s="11" t="s">
        <v>2257</v>
      </c>
    </row>
    <row r="148" customFormat="false" ht="15" hidden="false" customHeight="false" outlineLevel="0" collapsed="false">
      <c r="A148" s="4" t="s">
        <v>2621</v>
      </c>
      <c r="B148" s="4" t="s">
        <v>2350</v>
      </c>
      <c r="C148" s="4" t="s">
        <v>2611</v>
      </c>
      <c r="D148" s="6"/>
      <c r="E148" s="4" t="s">
        <v>1542</v>
      </c>
      <c r="F148" s="116"/>
      <c r="G148" s="116" t="s">
        <v>2612</v>
      </c>
      <c r="H148" s="116"/>
      <c r="I148" s="11" t="s">
        <v>2613</v>
      </c>
      <c r="J148" s="11" t="s">
        <v>2257</v>
      </c>
    </row>
    <row r="149" customFormat="false" ht="15" hidden="false" customHeight="false" outlineLevel="0" collapsed="false">
      <c r="A149" s="4" t="s">
        <v>2622</v>
      </c>
      <c r="B149" s="4" t="s">
        <v>2362</v>
      </c>
      <c r="C149" s="4" t="s">
        <v>2611</v>
      </c>
      <c r="D149" s="6"/>
      <c r="E149" s="4" t="s">
        <v>1542</v>
      </c>
      <c r="F149" s="116"/>
      <c r="G149" s="116" t="s">
        <v>2618</v>
      </c>
      <c r="H149" s="116"/>
      <c r="I149" s="11" t="s">
        <v>2613</v>
      </c>
      <c r="J149" s="11" t="s">
        <v>2257</v>
      </c>
    </row>
    <row r="150" customFormat="false" ht="15" hidden="false" customHeight="false" outlineLevel="0" collapsed="false">
      <c r="A150" s="4" t="s">
        <v>2623</v>
      </c>
      <c r="B150" s="4" t="s">
        <v>2374</v>
      </c>
      <c r="C150" s="4" t="s">
        <v>2611</v>
      </c>
      <c r="D150" s="6"/>
      <c r="E150" s="4" t="s">
        <v>1542</v>
      </c>
      <c r="F150" s="116"/>
      <c r="G150" s="116" t="s">
        <v>2612</v>
      </c>
      <c r="H150" s="116"/>
      <c r="I150" s="11" t="s">
        <v>2613</v>
      </c>
      <c r="J150" s="11" t="s">
        <v>2257</v>
      </c>
    </row>
    <row r="151" customFormat="false" ht="15" hidden="false" customHeight="false" outlineLevel="0" collapsed="false">
      <c r="A151" s="4" t="s">
        <v>2624</v>
      </c>
      <c r="B151" s="4" t="s">
        <v>2386</v>
      </c>
      <c r="C151" s="4" t="s">
        <v>2611</v>
      </c>
      <c r="D151" s="6"/>
      <c r="E151" s="4" t="s">
        <v>1542</v>
      </c>
      <c r="F151" s="116"/>
      <c r="G151" s="116" t="s">
        <v>2618</v>
      </c>
      <c r="H151" s="116"/>
      <c r="I151" s="11" t="s">
        <v>2613</v>
      </c>
      <c r="J151" s="11" t="s">
        <v>2257</v>
      </c>
    </row>
    <row r="152" customFormat="false" ht="15" hidden="false" customHeight="false" outlineLevel="0" collapsed="false">
      <c r="A152" s="4" t="s">
        <v>2625</v>
      </c>
      <c r="B152" s="4" t="s">
        <v>2398</v>
      </c>
      <c r="C152" s="4" t="s">
        <v>2611</v>
      </c>
      <c r="D152" s="6"/>
      <c r="E152" s="4" t="s">
        <v>1542</v>
      </c>
      <c r="F152" s="116"/>
      <c r="G152" s="116" t="s">
        <v>2618</v>
      </c>
      <c r="H152" s="116"/>
      <c r="I152" s="11" t="s">
        <v>2613</v>
      </c>
      <c r="J152" s="11" t="s">
        <v>2257</v>
      </c>
    </row>
    <row r="153" customFormat="false" ht="15" hidden="false" customHeight="false" outlineLevel="0" collapsed="false">
      <c r="A153" s="4" t="s">
        <v>2626</v>
      </c>
      <c r="B153" s="4" t="s">
        <v>2410</v>
      </c>
      <c r="C153" s="4" t="s">
        <v>2611</v>
      </c>
      <c r="D153" s="6"/>
      <c r="E153" s="4" t="s">
        <v>1542</v>
      </c>
      <c r="F153" s="116"/>
      <c r="G153" s="116" t="s">
        <v>2612</v>
      </c>
      <c r="H153" s="116"/>
      <c r="I153" s="11" t="s">
        <v>2613</v>
      </c>
      <c r="J153" s="11" t="s">
        <v>2257</v>
      </c>
    </row>
    <row r="154" customFormat="false" ht="15" hidden="false" customHeight="false" outlineLevel="0" collapsed="false">
      <c r="A154" s="4" t="s">
        <v>2627</v>
      </c>
      <c r="B154" s="4" t="s">
        <v>2422</v>
      </c>
      <c r="C154" s="4" t="s">
        <v>2611</v>
      </c>
      <c r="D154" s="6"/>
      <c r="E154" s="4" t="s">
        <v>1542</v>
      </c>
      <c r="F154" s="116"/>
      <c r="G154" s="116" t="s">
        <v>2618</v>
      </c>
      <c r="H154" s="116"/>
      <c r="I154" s="11" t="s">
        <v>2613</v>
      </c>
      <c r="J154" s="11" t="s">
        <v>2257</v>
      </c>
    </row>
    <row r="155" customFormat="false" ht="15" hidden="false" customHeight="false" outlineLevel="0" collapsed="false">
      <c r="A155" s="4" t="s">
        <v>2628</v>
      </c>
      <c r="B155" s="4" t="s">
        <v>2434</v>
      </c>
      <c r="C155" s="4" t="s">
        <v>2611</v>
      </c>
      <c r="D155" s="6"/>
      <c r="E155" s="4" t="s">
        <v>1542</v>
      </c>
      <c r="F155" s="116"/>
      <c r="G155" s="116" t="s">
        <v>2618</v>
      </c>
      <c r="H155" s="116"/>
      <c r="I155" s="11" t="s">
        <v>2613</v>
      </c>
      <c r="J155" s="11" t="s">
        <v>2257</v>
      </c>
    </row>
    <row r="156" customFormat="false" ht="15" hidden="false" customHeight="false" outlineLevel="0" collapsed="false">
      <c r="A156" s="4" t="s">
        <v>2629</v>
      </c>
      <c r="B156" s="4" t="s">
        <v>2446</v>
      </c>
      <c r="C156" s="4" t="s">
        <v>2611</v>
      </c>
      <c r="D156" s="6"/>
      <c r="E156" s="4" t="s">
        <v>1542</v>
      </c>
      <c r="F156" s="116"/>
      <c r="G156" s="116" t="s">
        <v>2612</v>
      </c>
      <c r="H156" s="116"/>
      <c r="I156" s="11" t="s">
        <v>2613</v>
      </c>
      <c r="J156" s="11" t="s">
        <v>2257</v>
      </c>
    </row>
    <row r="157" customFormat="false" ht="15" hidden="false" customHeight="false" outlineLevel="0" collapsed="false">
      <c r="A157" s="4" t="s">
        <v>2630</v>
      </c>
      <c r="B157" s="4" t="s">
        <v>2458</v>
      </c>
      <c r="C157" s="4" t="s">
        <v>2611</v>
      </c>
      <c r="D157" s="6"/>
      <c r="E157" s="4" t="s">
        <v>1542</v>
      </c>
      <c r="F157" s="116"/>
      <c r="G157" s="116" t="s">
        <v>2618</v>
      </c>
      <c r="H157" s="116"/>
      <c r="I157" s="11" t="s">
        <v>2613</v>
      </c>
      <c r="J157" s="11" t="s">
        <v>2257</v>
      </c>
    </row>
    <row r="158" customFormat="false" ht="15" hidden="false" customHeight="false" outlineLevel="0" collapsed="false">
      <c r="A158" s="4" t="s">
        <v>2631</v>
      </c>
      <c r="B158" s="4" t="s">
        <v>2470</v>
      </c>
      <c r="C158" s="4" t="s">
        <v>2611</v>
      </c>
      <c r="D158" s="6"/>
      <c r="E158" s="4" t="s">
        <v>1542</v>
      </c>
      <c r="F158" s="116"/>
      <c r="G158" s="116" t="s">
        <v>2618</v>
      </c>
      <c r="H158" s="116"/>
      <c r="I158" s="11" t="s">
        <v>2613</v>
      </c>
      <c r="J158" s="11" t="s">
        <v>2257</v>
      </c>
    </row>
    <row r="159" customFormat="false" ht="15" hidden="false" customHeight="false" outlineLevel="0" collapsed="false">
      <c r="A159" s="4" t="s">
        <v>2632</v>
      </c>
      <c r="B159" s="4" t="s">
        <v>2483</v>
      </c>
      <c r="C159" s="4" t="s">
        <v>2611</v>
      </c>
      <c r="D159" s="6"/>
      <c r="E159" s="4" t="s">
        <v>1542</v>
      </c>
      <c r="F159" s="116"/>
      <c r="G159" s="116" t="s">
        <v>2612</v>
      </c>
      <c r="H159" s="116"/>
      <c r="I159" s="11" t="s">
        <v>2613</v>
      </c>
      <c r="J159" s="11" t="s">
        <v>2257</v>
      </c>
    </row>
    <row r="160" customFormat="false" ht="15" hidden="false" customHeight="false" outlineLevel="0" collapsed="false">
      <c r="A160" s="4" t="s">
        <v>2633</v>
      </c>
      <c r="B160" s="4" t="s">
        <v>2496</v>
      </c>
      <c r="C160" s="4" t="s">
        <v>2611</v>
      </c>
      <c r="D160" s="6"/>
      <c r="E160" s="4" t="s">
        <v>1542</v>
      </c>
      <c r="F160" s="116"/>
      <c r="G160" s="116" t="s">
        <v>2612</v>
      </c>
      <c r="H160" s="116"/>
      <c r="I160" s="11" t="s">
        <v>2613</v>
      </c>
      <c r="J160" s="11" t="s">
        <v>2257</v>
      </c>
    </row>
    <row r="161" customFormat="false" ht="15" hidden="false" customHeight="false" outlineLevel="0" collapsed="false">
      <c r="A161" s="4" t="s">
        <v>2634</v>
      </c>
      <c r="B161" s="4" t="s">
        <v>2509</v>
      </c>
      <c r="C161" s="4" t="s">
        <v>2611</v>
      </c>
      <c r="D161" s="6"/>
      <c r="E161" s="4" t="s">
        <v>1542</v>
      </c>
      <c r="F161" s="116"/>
      <c r="G161" s="116" t="s">
        <v>2612</v>
      </c>
      <c r="H161" s="116"/>
      <c r="I161" s="11" t="s">
        <v>2613</v>
      </c>
      <c r="J161" s="11" t="s">
        <v>2257</v>
      </c>
    </row>
    <row r="162" customFormat="false" ht="15" hidden="false" customHeight="false" outlineLevel="0" collapsed="false">
      <c r="A162" s="4" t="s">
        <v>2635</v>
      </c>
      <c r="B162" s="4" t="s">
        <v>2513</v>
      </c>
      <c r="C162" s="4" t="s">
        <v>2611</v>
      </c>
      <c r="D162" s="6"/>
      <c r="E162" s="4" t="s">
        <v>1542</v>
      </c>
      <c r="F162" s="116"/>
      <c r="G162" s="116" t="s">
        <v>2636</v>
      </c>
      <c r="H162" s="116"/>
      <c r="I162" s="11" t="s">
        <v>2613</v>
      </c>
      <c r="J162" s="11" t="s">
        <v>2257</v>
      </c>
    </row>
    <row r="163" customFormat="false" ht="15" hidden="false" customHeight="false" outlineLevel="0" collapsed="false">
      <c r="A163" s="4" t="s">
        <v>2637</v>
      </c>
      <c r="B163" s="4" t="s">
        <v>2563</v>
      </c>
      <c r="C163" s="4" t="s">
        <v>2611</v>
      </c>
      <c r="D163" s="6"/>
      <c r="E163" s="4" t="s">
        <v>1542</v>
      </c>
      <c r="F163" s="116"/>
      <c r="G163" s="116" t="s">
        <v>2636</v>
      </c>
      <c r="H163" s="116"/>
      <c r="I163" s="11" t="s">
        <v>2613</v>
      </c>
      <c r="J163" s="11" t="s">
        <v>2257</v>
      </c>
    </row>
    <row r="164" customFormat="false" ht="15" hidden="false" customHeight="false" outlineLevel="0" collapsed="false">
      <c r="A164" s="4" t="s">
        <v>2638</v>
      </c>
      <c r="B164" s="4" t="s">
        <v>2575</v>
      </c>
      <c r="C164" s="4" t="s">
        <v>2611</v>
      </c>
      <c r="D164" s="6"/>
      <c r="E164" s="4" t="s">
        <v>1542</v>
      </c>
      <c r="F164" s="116"/>
      <c r="G164" s="116" t="s">
        <v>2636</v>
      </c>
      <c r="H164" s="116"/>
      <c r="I164" s="11" t="s">
        <v>2613</v>
      </c>
      <c r="J164" s="11" t="s">
        <v>2257</v>
      </c>
    </row>
    <row r="165" customFormat="false" ht="15" hidden="false" customHeight="false" outlineLevel="0" collapsed="false">
      <c r="A165" s="4" t="s">
        <v>2639</v>
      </c>
      <c r="B165" s="4" t="s">
        <v>2587</v>
      </c>
      <c r="C165" s="4" t="s">
        <v>2611</v>
      </c>
      <c r="D165" s="6"/>
      <c r="E165" s="4" t="s">
        <v>1542</v>
      </c>
      <c r="F165" s="116"/>
      <c r="G165" s="116" t="s">
        <v>2636</v>
      </c>
      <c r="H165" s="116"/>
      <c r="I165" s="11" t="s">
        <v>2613</v>
      </c>
      <c r="J165" s="11" t="s">
        <v>2257</v>
      </c>
    </row>
    <row r="166" customFormat="false" ht="15" hidden="false" customHeight="false" outlineLevel="0" collapsed="false">
      <c r="A166" s="4" t="s">
        <v>2640</v>
      </c>
      <c r="B166" s="4" t="s">
        <v>2599</v>
      </c>
      <c r="C166" s="4" t="s">
        <v>2611</v>
      </c>
      <c r="D166" s="6"/>
      <c r="E166" s="4" t="s">
        <v>1542</v>
      </c>
      <c r="F166" s="116"/>
      <c r="G166" s="116" t="s">
        <v>2636</v>
      </c>
      <c r="H166" s="116"/>
      <c r="I166" s="11" t="s">
        <v>2613</v>
      </c>
      <c r="J166" s="11" t="s">
        <v>2257</v>
      </c>
    </row>
    <row r="167" customFormat="false" ht="15" hidden="false" customHeight="false" outlineLevel="0" collapsed="false">
      <c r="A167" s="4" t="s">
        <v>2641</v>
      </c>
      <c r="B167" s="4" t="s">
        <v>2642</v>
      </c>
      <c r="C167" s="3" t="s">
        <v>2643</v>
      </c>
      <c r="D167" s="6"/>
      <c r="E167" s="3"/>
      <c r="F167" s="116"/>
      <c r="G167" s="116"/>
      <c r="H167" s="116"/>
      <c r="I167" s="11" t="s">
        <v>2644</v>
      </c>
      <c r="J167" s="11" t="s">
        <v>2257</v>
      </c>
    </row>
    <row r="168" customFormat="false" ht="15" hidden="false" customHeight="false" outlineLevel="0" collapsed="false">
      <c r="A168" s="4" t="s">
        <v>2645</v>
      </c>
      <c r="B168" s="4" t="s">
        <v>2646</v>
      </c>
      <c r="C168" s="3" t="s">
        <v>2643</v>
      </c>
      <c r="D168" s="6"/>
      <c r="E168" s="3"/>
      <c r="F168" s="116"/>
      <c r="G168" s="116"/>
      <c r="H168" s="116"/>
      <c r="I168" s="11" t="s">
        <v>2644</v>
      </c>
      <c r="J168" s="11" t="s">
        <v>2257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2026-10-11T04:33:04Z</dcterms:created>
  <dc:creator>openpyxl</dc:creator>
  <dc:description/>
  <dc:language>en-US</dc:language>
  <cp:lastModifiedBy/>
  <dcterms:modified xsi:type="dcterms:W3CDTF">2026-10-11T04:33:04Z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