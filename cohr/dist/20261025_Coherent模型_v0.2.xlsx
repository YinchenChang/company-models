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feps" vbProcedure="false">In!$E$126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ons_tp" vbProcedure="false">In!$E$125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In!$E$118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<sst xmlns="http://schemas.openxmlformats.org/spreadsheetml/2006/main" count="2400" uniqueCount="843">
  <si>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</si>
  <si>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</si>
  <si>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</si>
  <si>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</si>
  <si>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</si>
  <si>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</si>
  <si>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</si>
  <si>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</si>
  <si>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</si>
  <si>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</si>
  <si>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</si>
  <si>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</si>
  <si>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</si>
  <si>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</si>
  <si>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</si>
  <si>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</si>
  <si>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</si>
  <si>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</si>
  <si>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</si>
  <si>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</si>
  <si>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</si>
  <si>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</si>
  <si>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</si>
  <si>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</si>
  <si>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</si>
  <si>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</si>
  <si>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</si>
  <si>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</si>
  <si>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</si>
  <si>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</si>
  <si>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</si>
  <si>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</si>
  <si>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</si>
  <si>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</si>
  <si>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</si>
  <si>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</si>
  <si>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</si>
  <si>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</si>
  <si>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</si>
  <si>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</si>
  <si>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</si>
  <si>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</si>
  <si>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</si>
  <si>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</si>
  <si>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</si>
  <si>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</si>
  <si>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</si>
  <si>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</si>
  <si>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</si>
  <si>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</si>
  <si>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</si>
  <si>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</si>
  <si>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</si>
  <si>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</si>
  <si>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</si>
  <si>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</si>
  <si>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</si>
  <si>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</si>
  <si>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</si>
  <si>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</si>
  <si>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</si>
  <si>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</si>
  <si>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</si>
  <si>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</si>
  <si>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</si>
  <si>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</si>
  <si>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</si>
  <si>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</si>
  <si>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</si>
  <si>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</si>
  <si>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</si>
  <si>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</si>
  <si>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</si>
  <si>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</si>
  <si>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</si>
  <si>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</si>
  <si>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</si>
  <si>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</si>
  <si>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</si>
  <si>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</si>
  <si>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</si>
  <si>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</si>
  <si>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</si>
  <si>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</si>
  <si>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</si>
  <si>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</si>
  <si>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</si>
  <si>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</si>
  <si>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</si>
  <si>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</si>
  <si>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</si>
  <si>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</si>
  <si>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</si>
  <si>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</si>
  <si>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</si>
  <si>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</si>
  <si>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</si>
  <si>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</si>
  <si>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</si>
  <si>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</si>
  <si>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</si>
  <si>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</si>
  <si>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</si>
  <si>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</si>
  <si>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</si>
  <si>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</si>
  <si>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</si>
  <si>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</si>
  <si>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</si>
  <si>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</si>
  <si>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</si>
  <si>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</si>
  <si>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</si>
  <si>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</si>
  <si>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</si>
  <si>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</si>
  <si>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</si>
  <si>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</si>
  <si>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</si>
  <si>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</si>
  <si>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</si>
  <si>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</si>
  <si>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</si>
  <si>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</si>
  <si>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</si>
  <si>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</si>
  <si>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</si>
  <si>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</si>
  <si>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</si>
  <si>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</si>
  <si>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</si>
  <si>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</si>
  <si>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</si>
  <si>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</si>
  <si>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</si>
  <si>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</si>
  <si>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</si>
  <si>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</si>
  <si>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</si>
  <si>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</si>
  <si>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</si>
  <si>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</si>
  <si>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</si>
  <si>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</si>
  <si>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</si>
  <si>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</si>
  <si>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</si>
  <si>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</si>
  <si>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</si>
  <si>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</si>
  <si>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</si>
  <si>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</si>
  <si>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</si>
  <si>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</si>
  <si>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</si>
  <si>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</si>
  <si>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</si>
  <si>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</si>
  <si>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</si>
  <si>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</si>
  <si>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</si>
  <si>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</si>
  <si>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</si>
  <si>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</si>
  <si>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</si>
  <si>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</si>
  <si>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</si>
  <si>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</si>
  <si>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</si>
  <si>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</si>
  <si>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</si>
  <si>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</si>
  <si>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</si>
  <si>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</si>
  <si>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</si>
  <si>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</si>
  <si>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</si>
  <si>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</si>
  <si>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</si>
  <si>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</si>
  <si>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</si>
  <si>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</si>
  <si>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</si>
  <si>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</si>
  <si>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</si>
  <si>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</si>
  <si>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</si>
  <si>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</si>
  <si>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</si>
  <si>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</si>
  <si>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</si>
  <si>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</si>
  <si>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</si>
  <si>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</si>
  <si>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</si>
  <si>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</si>
  <si>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</si>
  <si>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</si>
  <si>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</si>
  <si>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</si>
  <si>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</si>
  <si>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</si>
  <si>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</si>
  <si>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</si>
  <si>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</si>
  <si>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</si>
  <si>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</si>
  <si>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</si>
  <si>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</si>
  <si>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</si>
  <si>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</si>
  <si>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</si>
  <si>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</si>
  <si>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</si>
  <si>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</si>
  <si>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</si>
  <si>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</si>
  <si>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</si>
  <si>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</si>
  <si>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</si>
  <si>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</si>
  <si>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</si>
  <si>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</si>
  <si>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</si>
  <si>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</si>
  <si>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</si>
  <si>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</si>
  <si>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</si>
  <si>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</si>
  <si>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</si>
  <si>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</si>
  <si>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</si>
  <si>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</si>
  <si>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</si>
  <si>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</si>
  <si>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</si>
  <si>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</si>
  <si>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</si>
  <si>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</si>
  <si>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</si>
  <si>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</si>
  <si>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</si>
  <si>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</si>
  <si>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</si>
  <si>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</si>
  <si>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</si>
  <si>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</si>
  <si>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</si>
  <si>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</si>
  <si>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</si>
  <si>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</si>
  <si>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</si>
  <si>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</si>
  <si>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</si>
  <si>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</si>
  <si>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</si>
  <si>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</si>
  <si>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</si>
  <si>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</si>
  <si>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</si>
  <si>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</si>
  <si>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</si>
  <si>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</si>
  <si>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</si>
  <si>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</si>
  <si>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</si>
  <si>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</si>
  <si>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</si>
  <si>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</si>
  <si>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</si>
  <si>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</si>
  <si>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</si>
  <si>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</si>
  <si>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</si>
  <si>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</si>
  <si>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</si>
  <si>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</si>
  <si>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</si>
  <si>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</si>
  <si>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</si>
  <si>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</si>
  <si>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</si>
  <si>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</si>
  <si>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</si>
  <si>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</si>
  <si>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</si>
  <si>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</si>
  <si>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</si>
  <si>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</si>
  <si>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</si>
  <si>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</si>
  <si>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</si>
  <si>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</si>
  <si>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</si>
  <si>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</si>
  <si>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</si>
  <si>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</si>
  <si>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</si>
  <si>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</si>
  <si>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</si>
  <si>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</si>
  <si>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</si>
  <si>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</si>
  <si>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</si>
  <si>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</si>
  <si>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</si>
  <si>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</si>
  <si>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</si>
  <si>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</si>
  <si>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</si>
  <si>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</si>
  <si>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</si>
  <si>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</si>
  <si>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</si>
  <si>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</si>
  <si>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</si>
  <si>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</si>
  <si>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</si>
  <si>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</si>
  <si>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</si>
  <si>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</si>
  <si>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</si>
  <si>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</si>
  <si>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</si>
  <si>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</si>
  <si>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</si>
  <si>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</si>
  <si>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</si>
  <si>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</si>
  <si>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</si>
  <si>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</si>
  <si>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</si>
  <si>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</si>
  <si>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</si>
  <si>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</si>
  <si>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</si>
  <si>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</si>
  <si>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</si>
  <si>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</si>
  <si>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</si>
  <si>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</si>
  <si>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</si>
  <si>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</si>
  <si>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</si>
  <si>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</si>
  <si>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</si>
  <si>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</si>
  <si>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</si>
  <si>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</si>
  <si>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</si>
  <si>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</si>
  <si>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</si>
  <si>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</si>
  <si>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</si>
  <si>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</si>
  <si>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</si>
  <si>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</si>
  <si>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</si>
  <si>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</si>
  <si>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</si>
  <si>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</si>
  <si>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</si>
  <si>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</si>
  <si>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</si>
  <si>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</si>
  <si>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</si>
  <si>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</si>
  <si>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</si>
  <si>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</si>
  <si>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</si>
  <si>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</si>
  <si>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</si>
  <si>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</si>
  <si>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</si>
  <si>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</si>
  <si>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</si>
  <si>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</si>
  <si>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</si>
  <si>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</si>
  <si>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</si>
  <si>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7.98%</t>
    </r>
    <r>
      <rPr>
        <sz val="11"/>
        <color theme="1"/>
        <rFont val="Noto Sans CJK SC"/>
        <family val="2"/>
      </rPr>
      <t xml:space="preserve">（含併購攤銷與重組費用，與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</si>
  <si>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</si>
  <si>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</si>
  <si>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</si>
  <si>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</si>
  <si>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</si>
  <si>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</si>
  <si>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</si>
  <si>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</si>
  <si>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</si>
  <si>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</si>
  <si>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</si>
  <si>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</si>
  <si>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</si>
  <si>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</si>
  <si>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</si>
  <si>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</si>
  <si>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</si>
  <si>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</si>
  <si>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</si>
  <si>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</si>
  <si>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</si>
  <si>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</si>
  <si>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</si>
  <si>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</si>
  <si>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</si>
  <si>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</si>
  <si>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</si>
  <si>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</si>
  <si>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</si>
  <si>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</si>
  <si>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</si>
  <si>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</si>
  <si>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</si>
  <si>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</si>
  <si>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</si>
  <si>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</si>
  <si>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</si>
  <si>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</si>
  <si>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</si>
  <si>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</si>
  <si>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</si>
  <si>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</si>
  <si>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</si>
  <si>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</si>
  <si>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</si>
  <si>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</si>
  <si>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</si>
  <si>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</si>
  <si>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</si>
  <si>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</si>
  <si>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</si>
  <si>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</si>
  <si>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</si>
  <si>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</si>
  <si>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</si>
  <si>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</si>
  <si>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</si>
  <si>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</si>
  <si>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</si>
  <si>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</si>
  <si>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</si>
  <si>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</si>
  <si>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</si>
  <si>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</si>
  <si>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</si>
  <si>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</si>
  <si>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</si>
  <si>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</si>
  <si>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</si>
  <si>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</si>
  <si>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</si>
  <si>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</si>
  <si>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</si>
  <si>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</si>
  <si>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</si>
  <si>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</si>
  <si>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</si>
  <si>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</si>
  <si>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</si>
  <si>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</si>
  <si>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</si>
  <si>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</si>
  <si>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</si>
  <si>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</si>
  <si>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</si>
  <si>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</si>
  <si>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</si>
  <si>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</si>
  <si>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</si>
  <si>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</si>
  <si>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</si>
  <si>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</si>
  <si>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</si>
  <si>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</si>
  <si>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</si>
  <si>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</si>
  <si>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</si>
  <si>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</si>
  <si>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</si>
  <si>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</si>
  <si>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</si>
  <si>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</si>
  <si>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</si>
  <si>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</si>
  <si>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</si>
  <si>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</si>
  <si>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</si>
  <si>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</si>
  <si>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</si>
  <si>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</si>
  <si>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</si>
  <si>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</si>
  <si>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</si>
  <si>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</si>
  <si>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</si>
  <si>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</si>
  <si>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</si>
  <si>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</si>
  <si>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</si>
  <si>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</si>
  <si>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</si>
  <si>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</si>
  <si>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</si>
  <si>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</si>
  <si>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</si>
  <si>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</si>
  <si>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</si>
  <si>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</si>
  <si>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</si>
  <si>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</si>
  <si>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</si>
  <si>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</si>
  <si>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</si>
  <si>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</si>
  <si>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</si>
  <si>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</si>
  <si>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</si>
  <si>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</si>
  <si>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</si>
  <si>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</si>
  <si>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</si>
  <si>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</si>
  <si>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</si>
  <si>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</si>
  <si>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</si>
  <si>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</si>
  <si>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</si>
  <si>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</si>
  <si>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</si>
  <si>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</si>
  <si>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</si>
  <si>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</si>
  <si>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</si>
  <si>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</si>
  <si>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</si>
  <si>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</si>
  <si>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</si>
  <si>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</si>
  <si>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</si>
  <si>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</si>
  <si>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</si>
  <si>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</si>
  <si>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</si>
  <si>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</si>
  <si>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</si>
  <si>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</si>
  <si>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</si>
  <si>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</si>
  <si>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</si>
  <si>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</si>
  <si>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</si>
  <si>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</si>
  <si>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</si>
  <si>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</si>
  <si>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</si>
  <si>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</si>
  <si>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</si>
  <si>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</si>
  <si>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</si>
  <si>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</si>
  <si>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</si>
  <si>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</si>
  <si>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</si>
  <si>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</si>
  <si>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Lumentum</t>
  </si>
  <si>
    <t xml:space="preserve">LITE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</si>
  <si>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</si>
  <si>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</si>
  <si>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</si>
  <si>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</si>
  <si>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</si>
  <si>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</si>
  <si>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</si>
  <si>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</si>
  <si>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</si>
  <si>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</si>
  <si>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</si>
  <si>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</si>
  <si>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</si>
  <si>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</si>
  <si>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</si>
  <si>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</si>
  <si>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</si>
  <si>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</si>
  <si>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</si>
  <si>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</si>
  <si>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</si>
  <si>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</si>
  <si>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</si>
  <si>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</si>
  <si>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</si>
  <si>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</si>
  <si>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</si>
  <si>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</si>
  <si>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</si>
  <si>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</si>
  <si>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</si>
  <si>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</si>
  <si>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</si>
  <si>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</si>
  <si>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），比基準日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年底早半年，偏高估。情境對應：顆數情境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</si>
  <si>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</si>
  <si>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</si>
  <si>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</si>
  <si>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</si>
  <si>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</si>
  <si>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</si>
  <si>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</si>
  <si>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</si>
  <si>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</si>
  <si>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</si>
  <si>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之後（皆判中段），所以三個隱含價相同；情境差異見第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</si>
  <si>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</si>
  <si>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</si>
  <si>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</si>
  <si>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</si>
  <si>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</si>
  <si>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</si>
  <si>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</si>
  <si>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</si>
  <si>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</si>
  <si>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</si>
  <si>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</si>
  <si>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</si>
  <si>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</si>
  <si>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</si>
  <si>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</si>
  <si>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</si>
  <si>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</si>
  <si>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</si>
  <si>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</si>
  <si>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</si>
  <si>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</si>
  <si>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</si>
  <si>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</si>
  <si>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</si>
  <si>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</si>
  <si>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</si>
  <si>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</si>
  <si>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</si>
  <si>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</si>
  <si>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</si>
  <si>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</si>
  <si>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</si>
  <si>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</si>
  <si>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</si>
  <si>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</si>
  <si>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</si>
  <si>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</si>
  <si>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</si>
  <si>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</si>
  <si>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</si>
  <si>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</si>
  <si>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</si>
  <si>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</si>
  <si>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</si>
  <si>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</si>
  <si>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</si>
  <si>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</si>
  <si>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</si>
  <si>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</si>
  <si>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</si>
  <si>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</si>
  <si>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</si>
  <si>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</si>
  <si>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</si>
  <si>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</si>
  <si>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</si>
  <si>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</si>
  <si>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</si>
  <si>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</si>
  <si>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</si>
  <si>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</si>
  <si>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</si>
  <si>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</si>
  <si>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</si>
  <si>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</si>
  <si>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</si>
  <si>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</si>
  <si>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</si>
  <si>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</si>
  <si>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</si>
  <si>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</si>
  <si>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</si>
  <si>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</si>
  <si>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</si>
  <si>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</si>
  <si>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</si>
  <si>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</si>
  <si>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</si>
  <si>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</si>
  <si>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</si>
  <si>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</si>
  <si>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</si>
  <si>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</si>
  <si>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</si>
  <si>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</si>
  <si>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</si>
  <si>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</si>
  <si>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</si>
  <si>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</si>
  <si>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</si>
  <si>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</si>
  <si>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</si>
  <si>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</si>
  <si>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</si>
  <si>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</si>
  <si>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</si>
  <si>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</si>
  <si>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</si>
  <si>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</si>
  <si>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</si>
  <si>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</si>
  <si>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</si>
  <si>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</si>
  <si>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公司</t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</si>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</sst>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#,##0.0"/>
    <numFmt numFmtId="170" formatCode="#,##0.00"/>
    <numFmt numFmtId="171" formatCode="0.00%"/>
    <numFmt numFmtId="172" formatCode="0.0"/>
    <numFmt numFmtId="173" formatCode="@"/>
    <numFmt numFmtId="174" formatCode="0%"/>
    <numFmt numFmtId="17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29.753262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54.688309</v>
      </c>
      <c r="G6" s="8" t="s">
        <v>28</v>
      </c>
      <c r="H6" s="8" t="s">
        <v>29</v>
      </c>
      <c r="I6" s="5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61.21325</v>
      </c>
      <c r="G7" s="8" t="s">
        <v>28</v>
      </c>
      <c r="H7" s="8" t="s">
        <v>29</v>
      </c>
      <c r="I7" s="5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78.80848</v>
      </c>
      <c r="G8" s="8" t="s">
        <v>28</v>
      </c>
      <c r="H8" s="8" t="s">
        <v>29</v>
      </c>
      <c r="I8" s="5" t="s">
        <v>33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27</v>
      </c>
      <c r="E9" s="7" t="n">
        <v>0.300538</v>
      </c>
      <c r="G9" s="8" t="s">
        <v>28</v>
      </c>
      <c r="H9" s="8" t="s">
        <v>40</v>
      </c>
      <c r="I9" s="5" t="s">
        <v>41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27</v>
      </c>
      <c r="E10" s="7" t="n">
        <v>1.691391</v>
      </c>
      <c r="G10" s="8" t="s">
        <v>28</v>
      </c>
      <c r="H10" s="8" t="s">
        <v>40</v>
      </c>
      <c r="I10" s="5" t="s">
        <v>33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27</v>
      </c>
      <c r="E11" s="7" t="n">
        <v>3.22175</v>
      </c>
      <c r="G11" s="8" t="s">
        <v>28</v>
      </c>
      <c r="H11" s="8" t="s">
        <v>40</v>
      </c>
      <c r="I11" s="5" t="s">
        <v>33</v>
      </c>
    </row>
    <row r="12" customFormat="false" ht="17.15" hidden="false" customHeight="false" outlineLevel="0" collapsed="false">
      <c r="A12" s="0" t="s">
        <v>46</v>
      </c>
      <c r="B12" s="0" t="s">
        <v>47</v>
      </c>
      <c r="C12" s="0" t="s">
        <v>27</v>
      </c>
      <c r="E12" s="7" t="n">
        <v>5.87368</v>
      </c>
      <c r="G12" s="8" t="s">
        <v>28</v>
      </c>
      <c r="H12" s="8" t="s">
        <v>40</v>
      </c>
      <c r="I12" s="5" t="s">
        <v>33</v>
      </c>
    </row>
    <row r="13" customFormat="false" ht="17.15" hidden="false" customHeight="false" outlineLevel="0" collapsed="false">
      <c r="A13" s="0" t="s">
        <v>48</v>
      </c>
      <c r="B13" s="0" t="s">
        <v>49</v>
      </c>
      <c r="C13" s="0" t="s">
        <v>27</v>
      </c>
      <c r="E13" s="7" t="n">
        <v>781.872916666667</v>
      </c>
      <c r="G13" s="8" t="s">
        <v>28</v>
      </c>
      <c r="H13" s="8" t="s">
        <v>50</v>
      </c>
      <c r="I13" s="8" t="s">
        <v>51</v>
      </c>
    </row>
    <row r="14" customFormat="false" ht="17.15" hidden="false" customHeight="false" outlineLevel="0" collapsed="false">
      <c r="A14" s="0" t="s">
        <v>52</v>
      </c>
      <c r="B14" s="0" t="s">
        <v>53</v>
      </c>
      <c r="C14" s="0" t="s">
        <v>27</v>
      </c>
      <c r="E14" s="7" t="n">
        <v>1565.35</v>
      </c>
      <c r="G14" s="8" t="s">
        <v>28</v>
      </c>
      <c r="H14" s="8" t="s">
        <v>50</v>
      </c>
      <c r="I14" s="5" t="s">
        <v>33</v>
      </c>
    </row>
    <row r="15" customFormat="false" ht="17.15" hidden="false" customHeight="false" outlineLevel="0" collapsed="false">
      <c r="A15" s="0" t="s">
        <v>54</v>
      </c>
      <c r="B15" s="0" t="s">
        <v>55</v>
      </c>
      <c r="C15" s="0" t="s">
        <v>27</v>
      </c>
      <c r="E15" s="7" t="n">
        <v>1984.26388888889</v>
      </c>
      <c r="G15" s="8" t="s">
        <v>28</v>
      </c>
      <c r="H15" s="8" t="s">
        <v>50</v>
      </c>
      <c r="I15" s="5" t="s">
        <v>33</v>
      </c>
    </row>
    <row r="16" customFormat="false" ht="17.15" hidden="false" customHeight="false" outlineLevel="0" collapsed="false">
      <c r="A16" s="0" t="s">
        <v>56</v>
      </c>
      <c r="B16" s="0" t="s">
        <v>57</v>
      </c>
      <c r="C16" s="0" t="s">
        <v>27</v>
      </c>
      <c r="E16" s="7" t="n">
        <v>2260.39027777778</v>
      </c>
      <c r="G16" s="8" t="s">
        <v>28</v>
      </c>
      <c r="H16" s="8" t="s">
        <v>50</v>
      </c>
      <c r="I16" s="5" t="s">
        <v>33</v>
      </c>
    </row>
    <row r="17" customFormat="false" ht="17.15" hidden="false" customHeight="false" outlineLevel="0" collapsed="false">
      <c r="A17" s="0" t="s">
        <v>58</v>
      </c>
      <c r="B17" s="5" t="s">
        <v>59</v>
      </c>
      <c r="C17" s="0" t="s">
        <v>60</v>
      </c>
      <c r="E17" s="7" t="n">
        <v>0.421833385510356</v>
      </c>
      <c r="G17" s="8" t="s">
        <v>28</v>
      </c>
      <c r="H17" s="8" t="s">
        <v>61</v>
      </c>
      <c r="I17" s="5" t="s">
        <v>62</v>
      </c>
    </row>
    <row r="18" customFormat="false" ht="17.15" hidden="false" customHeight="false" outlineLevel="0" collapsed="false">
      <c r="A18" s="0" t="s">
        <v>63</v>
      </c>
      <c r="B18" s="5" t="s">
        <v>64</v>
      </c>
      <c r="C18" s="0" t="s">
        <v>60</v>
      </c>
      <c r="E18" s="7" t="n">
        <v>0.400741716234838</v>
      </c>
      <c r="G18" s="8" t="s">
        <v>28</v>
      </c>
      <c r="H18" s="8" t="s">
        <v>61</v>
      </c>
      <c r="I18" s="5" t="s">
        <v>33</v>
      </c>
    </row>
    <row r="19" customFormat="false" ht="17.15" hidden="false" customHeight="false" outlineLevel="0" collapsed="false">
      <c r="A19" s="0" t="s">
        <v>65</v>
      </c>
      <c r="B19" s="5" t="s">
        <v>66</v>
      </c>
      <c r="C19" s="0" t="s">
        <v>60</v>
      </c>
      <c r="E19" s="7" t="n">
        <v>0.37965004695932</v>
      </c>
      <c r="G19" s="8" t="s">
        <v>28</v>
      </c>
      <c r="H19" s="8" t="s">
        <v>61</v>
      </c>
      <c r="I19" s="5" t="s">
        <v>33</v>
      </c>
    </row>
    <row r="20" customFormat="false" ht="17.15" hidden="false" customHeight="false" outlineLevel="0" collapsed="false">
      <c r="A20" s="0" t="s">
        <v>67</v>
      </c>
      <c r="B20" s="5" t="s">
        <v>68</v>
      </c>
      <c r="C20" s="0" t="s">
        <v>60</v>
      </c>
      <c r="E20" s="7" t="n">
        <v>0.358558377683802</v>
      </c>
      <c r="G20" s="8" t="s">
        <v>28</v>
      </c>
      <c r="H20" s="8" t="s">
        <v>61</v>
      </c>
      <c r="I20" s="5" t="s">
        <v>33</v>
      </c>
    </row>
    <row r="21" customFormat="false" ht="17.15" hidden="false" customHeight="false" outlineLevel="0" collapsed="false">
      <c r="A21" s="0" t="s">
        <v>69</v>
      </c>
      <c r="B21" s="5" t="s">
        <v>70</v>
      </c>
      <c r="C21" s="0" t="s">
        <v>71</v>
      </c>
      <c r="E21" s="7" t="n">
        <v>1</v>
      </c>
      <c r="G21" s="8" t="s">
        <v>72</v>
      </c>
      <c r="H21" s="8" t="s">
        <v>73</v>
      </c>
      <c r="I21" s="8" t="s">
        <v>74</v>
      </c>
    </row>
    <row r="22" customFormat="false" ht="17.15" hidden="false" customHeight="false" outlineLevel="0" collapsed="false">
      <c r="A22" s="0" t="s">
        <v>75</v>
      </c>
      <c r="B22" s="5" t="s">
        <v>76</v>
      </c>
      <c r="C22" s="0" t="s">
        <v>71</v>
      </c>
      <c r="E22" s="7" t="n">
        <v>1</v>
      </c>
      <c r="G22" s="8" t="s">
        <v>72</v>
      </c>
      <c r="H22" s="8" t="s">
        <v>77</v>
      </c>
      <c r="I22" s="5" t="s">
        <v>33</v>
      </c>
    </row>
    <row r="23" customFormat="false" ht="17.15" hidden="false" customHeight="false" outlineLevel="0" collapsed="false">
      <c r="A23" s="0" t="s">
        <v>78</v>
      </c>
      <c r="B23" s="5" t="s">
        <v>79</v>
      </c>
      <c r="C23" s="0" t="s">
        <v>71</v>
      </c>
      <c r="E23" s="7" t="n">
        <v>0.8</v>
      </c>
      <c r="G23" s="8" t="s">
        <v>72</v>
      </c>
      <c r="H23" s="8" t="s">
        <v>80</v>
      </c>
      <c r="I23" s="8" t="s">
        <v>74</v>
      </c>
    </row>
    <row r="24" customFormat="false" ht="17.15" hidden="false" customHeight="false" outlineLevel="0" collapsed="false">
      <c r="A24" s="0" t="s">
        <v>81</v>
      </c>
      <c r="B24" s="5" t="s">
        <v>82</v>
      </c>
      <c r="C24" s="0" t="s">
        <v>71</v>
      </c>
      <c r="E24" s="7" t="n">
        <v>0.85</v>
      </c>
      <c r="G24" s="8" t="s">
        <v>72</v>
      </c>
      <c r="H24" s="8" t="s">
        <v>83</v>
      </c>
      <c r="I24" s="5" t="s">
        <v>33</v>
      </c>
    </row>
    <row r="25" customFormat="false" ht="17.15" hidden="false" customHeight="false" outlineLevel="0" collapsed="false">
      <c r="A25" s="0" t="s">
        <v>84</v>
      </c>
      <c r="B25" s="5" t="s">
        <v>85</v>
      </c>
      <c r="C25" s="0" t="s">
        <v>71</v>
      </c>
      <c r="E25" s="7" t="n">
        <v>0.6</v>
      </c>
      <c r="G25" s="8" t="s">
        <v>72</v>
      </c>
      <c r="H25" s="8" t="s">
        <v>86</v>
      </c>
      <c r="I25" s="8" t="s">
        <v>74</v>
      </c>
    </row>
    <row r="26" customFormat="false" ht="17.15" hidden="false" customHeight="false" outlineLevel="0" collapsed="false">
      <c r="A26" s="0" t="s">
        <v>87</v>
      </c>
      <c r="B26" s="5" t="s">
        <v>88</v>
      </c>
      <c r="C26" s="0" t="s">
        <v>71</v>
      </c>
      <c r="E26" s="7" t="n">
        <v>0.6</v>
      </c>
      <c r="G26" s="8" t="s">
        <v>72</v>
      </c>
      <c r="H26" s="8" t="s">
        <v>89</v>
      </c>
      <c r="I26" s="5" t="s">
        <v>33</v>
      </c>
    </row>
    <row r="27" customFormat="false" ht="17.15" hidden="false" customHeight="false" outlineLevel="0" collapsed="false">
      <c r="A27" s="1" t="s">
        <v>90</v>
      </c>
    </row>
    <row r="28" customFormat="false" ht="17.15" hidden="false" customHeight="false" outlineLevel="0" collapsed="false">
      <c r="A28" s="0" t="s">
        <v>91</v>
      </c>
      <c r="B28" s="5" t="s">
        <v>92</v>
      </c>
      <c r="C28" s="0" t="s">
        <v>71</v>
      </c>
      <c r="D28" s="7" t="n">
        <v>0.9</v>
      </c>
      <c r="E28" s="7" t="n">
        <v>1.1</v>
      </c>
      <c r="F28" s="7" t="n">
        <v>1.25</v>
      </c>
      <c r="G28" s="8" t="s">
        <v>72</v>
      </c>
      <c r="H28" s="8" t="s">
        <v>93</v>
      </c>
      <c r="I28" s="8" t="s">
        <v>94</v>
      </c>
    </row>
    <row r="29" customFormat="false" ht="17.15" hidden="false" customHeight="false" outlineLevel="0" collapsed="false">
      <c r="A29" s="0" t="s">
        <v>95</v>
      </c>
      <c r="B29" s="5" t="s">
        <v>96</v>
      </c>
      <c r="C29" s="0" t="s">
        <v>71</v>
      </c>
      <c r="D29" s="7" t="n">
        <v>0.85</v>
      </c>
      <c r="E29" s="7" t="n">
        <v>1.15</v>
      </c>
      <c r="F29" s="7" t="n">
        <v>1.35</v>
      </c>
      <c r="G29" s="8" t="s">
        <v>72</v>
      </c>
      <c r="H29" s="5" t="s">
        <v>97</v>
      </c>
      <c r="I29" s="5" t="s">
        <v>98</v>
      </c>
    </row>
    <row r="30" customFormat="false" ht="17.15" hidden="false" customHeight="false" outlineLevel="0" collapsed="false">
      <c r="A30" s="0" t="s">
        <v>99</v>
      </c>
      <c r="B30" s="5" t="s">
        <v>100</v>
      </c>
      <c r="C30" s="0" t="s">
        <v>71</v>
      </c>
      <c r="D30" s="7" t="n">
        <v>0.8</v>
      </c>
      <c r="E30" s="7" t="n">
        <v>1.15</v>
      </c>
      <c r="F30" s="7" t="n">
        <v>1.4</v>
      </c>
      <c r="G30" s="8" t="s">
        <v>72</v>
      </c>
      <c r="H30" s="5" t="s">
        <v>33</v>
      </c>
      <c r="I30" s="8" t="s">
        <v>101</v>
      </c>
    </row>
    <row r="31" customFormat="false" ht="17.15" hidden="false" customHeight="false" outlineLevel="0" collapsed="false">
      <c r="A31" s="0" t="s">
        <v>102</v>
      </c>
      <c r="B31" s="0" t="s">
        <v>103</v>
      </c>
      <c r="C31" s="0" t="s">
        <v>60</v>
      </c>
      <c r="D31" s="7" t="n">
        <v>0</v>
      </c>
      <c r="E31" s="7" t="n">
        <v>0.1</v>
      </c>
      <c r="F31" s="7" t="n">
        <v>0.25</v>
      </c>
      <c r="G31" s="8" t="s">
        <v>72</v>
      </c>
      <c r="H31" s="8" t="s">
        <v>104</v>
      </c>
      <c r="I31" s="8" t="s">
        <v>105</v>
      </c>
    </row>
    <row r="32" customFormat="false" ht="17.15" hidden="false" customHeight="false" outlineLevel="0" collapsed="false">
      <c r="A32" s="0" t="s">
        <v>106</v>
      </c>
      <c r="B32" s="0" t="s">
        <v>107</v>
      </c>
      <c r="C32" s="0" t="s">
        <v>60</v>
      </c>
      <c r="D32" s="7" t="n">
        <v>0</v>
      </c>
      <c r="E32" s="7" t="n">
        <v>0.15</v>
      </c>
      <c r="F32" s="7" t="n">
        <v>0.3</v>
      </c>
      <c r="G32" s="8" t="s">
        <v>72</v>
      </c>
      <c r="H32" s="5" t="s">
        <v>33</v>
      </c>
      <c r="I32" s="8" t="s">
        <v>101</v>
      </c>
    </row>
    <row r="33" customFormat="false" ht="17.15" hidden="false" customHeight="false" outlineLevel="0" collapsed="false">
      <c r="A33" s="0" t="s">
        <v>108</v>
      </c>
      <c r="B33" s="0" t="s">
        <v>109</v>
      </c>
      <c r="C33" s="0" t="s">
        <v>60</v>
      </c>
      <c r="D33" s="7" t="n">
        <v>0</v>
      </c>
      <c r="E33" s="7" t="n">
        <v>0.2</v>
      </c>
      <c r="F33" s="7" t="n">
        <v>0.35</v>
      </c>
      <c r="G33" s="8" t="s">
        <v>72</v>
      </c>
      <c r="H33" s="5" t="s">
        <v>33</v>
      </c>
      <c r="I33" s="8" t="s">
        <v>101</v>
      </c>
    </row>
    <row r="34" customFormat="false" ht="17.15" hidden="false" customHeight="false" outlineLevel="0" collapsed="false">
      <c r="A34" s="0" t="s">
        <v>110</v>
      </c>
      <c r="B34" s="5" t="s">
        <v>111</v>
      </c>
      <c r="C34" s="0" t="s">
        <v>71</v>
      </c>
      <c r="D34" s="7" t="n">
        <v>0.9</v>
      </c>
      <c r="E34" s="7" t="n">
        <v>1</v>
      </c>
      <c r="F34" s="7" t="n">
        <v>1.05</v>
      </c>
      <c r="G34" s="8" t="s">
        <v>72</v>
      </c>
      <c r="H34" s="5" t="s">
        <v>112</v>
      </c>
      <c r="I34" s="8" t="s">
        <v>113</v>
      </c>
    </row>
    <row r="35" customFormat="false" ht="17.15" hidden="false" customHeight="false" outlineLevel="0" collapsed="false">
      <c r="A35" s="0" t="s">
        <v>114</v>
      </c>
      <c r="B35" s="5" t="s">
        <v>115</v>
      </c>
      <c r="C35" s="0" t="s">
        <v>71</v>
      </c>
      <c r="D35" s="7" t="n">
        <v>0.8</v>
      </c>
      <c r="E35" s="7" t="n">
        <v>1</v>
      </c>
      <c r="F35" s="7" t="n">
        <v>1.05</v>
      </c>
      <c r="G35" s="8" t="s">
        <v>72</v>
      </c>
      <c r="H35" s="5" t="s">
        <v>116</v>
      </c>
      <c r="I35" s="8" t="s">
        <v>101</v>
      </c>
    </row>
    <row r="36" customFormat="false" ht="17.15" hidden="false" customHeight="false" outlineLevel="0" collapsed="false">
      <c r="A36" s="0" t="s">
        <v>117</v>
      </c>
      <c r="B36" s="5" t="s">
        <v>118</v>
      </c>
      <c r="C36" s="0" t="s">
        <v>71</v>
      </c>
      <c r="D36" s="7" t="n">
        <v>0.72</v>
      </c>
      <c r="E36" s="7" t="n">
        <v>1</v>
      </c>
      <c r="F36" s="7" t="n">
        <v>1.05</v>
      </c>
      <c r="G36" s="8" t="s">
        <v>72</v>
      </c>
      <c r="H36" s="5" t="s">
        <v>33</v>
      </c>
      <c r="I36" s="8" t="s">
        <v>101</v>
      </c>
    </row>
    <row r="37" customFormat="false" ht="17.15" hidden="false" customHeight="false" outlineLevel="0" collapsed="false">
      <c r="A37" s="0" t="s">
        <v>119</v>
      </c>
      <c r="B37" s="5" t="s">
        <v>120</v>
      </c>
      <c r="C37" s="0" t="s">
        <v>60</v>
      </c>
      <c r="D37" s="7" t="n">
        <v>0.42</v>
      </c>
      <c r="E37" s="7" t="n">
        <v>0.46</v>
      </c>
      <c r="F37" s="7" t="n">
        <v>0.5</v>
      </c>
      <c r="G37" s="8" t="s">
        <v>72</v>
      </c>
      <c r="H37" s="8" t="s">
        <v>121</v>
      </c>
      <c r="I37" s="8" t="s">
        <v>122</v>
      </c>
    </row>
    <row r="38" customFormat="false" ht="17.15" hidden="false" customHeight="false" outlineLevel="0" collapsed="false">
      <c r="A38" s="0" t="s">
        <v>123</v>
      </c>
      <c r="B38" s="0" t="s">
        <v>124</v>
      </c>
      <c r="C38" s="0" t="s">
        <v>60</v>
      </c>
      <c r="D38" s="7" t="n">
        <v>0.05</v>
      </c>
      <c r="E38" s="7" t="n">
        <v>0.12</v>
      </c>
      <c r="F38" s="7" t="n">
        <v>0.2</v>
      </c>
      <c r="G38" s="8" t="s">
        <v>72</v>
      </c>
      <c r="H38" s="8" t="s">
        <v>125</v>
      </c>
      <c r="I38" s="8" t="s">
        <v>126</v>
      </c>
    </row>
    <row r="39" customFormat="false" ht="17.15" hidden="false" customHeight="false" outlineLevel="0" collapsed="false">
      <c r="A39" s="1" t="s">
        <v>127</v>
      </c>
    </row>
    <row r="40" customFormat="false" ht="17.15" hidden="false" customHeight="false" outlineLevel="0" collapsed="false">
      <c r="A40" s="0" t="s">
        <v>128</v>
      </c>
      <c r="B40" s="0" t="s">
        <v>129</v>
      </c>
      <c r="C40" s="0" t="s">
        <v>27</v>
      </c>
      <c r="E40" s="7" t="n">
        <v>1.8056</v>
      </c>
      <c r="G40" s="8" t="s">
        <v>130</v>
      </c>
      <c r="H40" s="8" t="s">
        <v>131</v>
      </c>
      <c r="I40" s="8" t="s">
        <v>132</v>
      </c>
    </row>
    <row r="41" customFormat="false" ht="17.15" hidden="false" customHeight="false" outlineLevel="0" collapsed="false">
      <c r="A41" s="0" t="s">
        <v>133</v>
      </c>
      <c r="B41" s="0" t="s">
        <v>134</v>
      </c>
      <c r="C41" s="0" t="s">
        <v>27</v>
      </c>
      <c r="E41" s="7" t="n">
        <v>2.0455</v>
      </c>
      <c r="G41" s="8" t="s">
        <v>130</v>
      </c>
      <c r="H41" s="8" t="s">
        <v>135</v>
      </c>
      <c r="I41" s="8" t="s">
        <v>136</v>
      </c>
    </row>
    <row r="42" customFormat="false" ht="17.15" hidden="false" customHeight="false" outlineLevel="0" collapsed="false">
      <c r="A42" s="0" t="s">
        <v>137</v>
      </c>
      <c r="B42" s="0" t="s">
        <v>138</v>
      </c>
      <c r="C42" s="0" t="s">
        <v>27</v>
      </c>
      <c r="E42" s="7" t="n">
        <v>1.3616</v>
      </c>
      <c r="G42" s="8" t="s">
        <v>130</v>
      </c>
      <c r="H42" s="8" t="s">
        <v>139</v>
      </c>
      <c r="I42" s="8" t="s">
        <v>140</v>
      </c>
    </row>
    <row r="43" customFormat="false" ht="17.15" hidden="false" customHeight="false" outlineLevel="0" collapsed="false">
      <c r="A43" s="0" t="s">
        <v>141</v>
      </c>
      <c r="B43" s="0" t="s">
        <v>142</v>
      </c>
      <c r="C43" s="0" t="s">
        <v>27</v>
      </c>
      <c r="E43" s="7" t="n">
        <v>1.615</v>
      </c>
      <c r="G43" s="8" t="s">
        <v>130</v>
      </c>
      <c r="H43" s="8" t="s">
        <v>143</v>
      </c>
      <c r="I43" s="8" t="s">
        <v>144</v>
      </c>
    </row>
    <row r="44" customFormat="false" ht="17.15" hidden="false" customHeight="false" outlineLevel="0" collapsed="false">
      <c r="A44" s="0" t="s">
        <v>145</v>
      </c>
      <c r="B44" s="0" t="s">
        <v>146</v>
      </c>
      <c r="C44" s="0" t="s">
        <v>27</v>
      </c>
      <c r="E44" s="7" t="n">
        <v>1.0183</v>
      </c>
      <c r="G44" s="8" t="s">
        <v>130</v>
      </c>
      <c r="H44" s="8" t="s">
        <v>147</v>
      </c>
      <c r="I44" s="8" t="s">
        <v>101</v>
      </c>
    </row>
    <row r="45" customFormat="false" ht="17.15" hidden="false" customHeight="false" outlineLevel="0" collapsed="false">
      <c r="A45" s="0" t="s">
        <v>148</v>
      </c>
      <c r="B45" s="0" t="s">
        <v>149</v>
      </c>
      <c r="C45" s="0" t="s">
        <v>27</v>
      </c>
      <c r="E45" s="7" t="n">
        <v>0.444</v>
      </c>
      <c r="G45" s="8" t="s">
        <v>130</v>
      </c>
      <c r="H45" s="8" t="s">
        <v>150</v>
      </c>
      <c r="I45" s="8" t="s">
        <v>151</v>
      </c>
    </row>
    <row r="46" customFormat="false" ht="17.15" hidden="false" customHeight="false" outlineLevel="0" collapsed="false">
      <c r="A46" s="0" t="s">
        <v>152</v>
      </c>
      <c r="B46" s="0" t="s">
        <v>153</v>
      </c>
      <c r="C46" s="0" t="s">
        <v>27</v>
      </c>
      <c r="E46" s="7" t="n">
        <v>0.4305</v>
      </c>
      <c r="G46" s="8" t="s">
        <v>130</v>
      </c>
      <c r="H46" s="8" t="s">
        <v>154</v>
      </c>
      <c r="I46" s="8" t="s">
        <v>155</v>
      </c>
    </row>
    <row r="47" customFormat="false" ht="17.15" hidden="false" customHeight="false" outlineLevel="0" collapsed="false">
      <c r="A47" s="0" t="s">
        <v>156</v>
      </c>
      <c r="B47" s="0" t="s">
        <v>157</v>
      </c>
      <c r="C47" s="0" t="s">
        <v>60</v>
      </c>
      <c r="E47" s="7" t="n">
        <v>0.24</v>
      </c>
      <c r="G47" s="8" t="s">
        <v>158</v>
      </c>
      <c r="H47" s="8" t="s">
        <v>159</v>
      </c>
      <c r="I47" s="8" t="s">
        <v>160</v>
      </c>
    </row>
    <row r="48" customFormat="false" ht="17.15" hidden="false" customHeight="false" outlineLevel="0" collapsed="false">
      <c r="A48" s="0" t="s">
        <v>161</v>
      </c>
      <c r="B48" s="0" t="s">
        <v>162</v>
      </c>
      <c r="C48" s="0" t="s">
        <v>60</v>
      </c>
      <c r="E48" s="7" t="n">
        <v>0.11</v>
      </c>
      <c r="G48" s="8" t="s">
        <v>158</v>
      </c>
      <c r="H48" s="8" t="s">
        <v>163</v>
      </c>
      <c r="I48" s="8" t="s">
        <v>164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60</v>
      </c>
      <c r="E49" s="7" t="n">
        <v>0.66</v>
      </c>
      <c r="G49" s="8" t="s">
        <v>158</v>
      </c>
      <c r="H49" s="8" t="s">
        <v>167</v>
      </c>
      <c r="I49" s="8" t="s">
        <v>168</v>
      </c>
    </row>
    <row r="50" customFormat="false" ht="17.15" hidden="false" customHeight="false" outlineLevel="0" collapsed="false">
      <c r="A50" s="0" t="s">
        <v>169</v>
      </c>
      <c r="B50" s="0" t="s">
        <v>170</v>
      </c>
      <c r="C50" s="0" t="s">
        <v>60</v>
      </c>
      <c r="E50" s="7" t="n">
        <v>0.56</v>
      </c>
      <c r="G50" s="8" t="s">
        <v>158</v>
      </c>
      <c r="H50" s="8" t="s">
        <v>167</v>
      </c>
      <c r="I50" s="8" t="s">
        <v>168</v>
      </c>
    </row>
    <row r="51" customFormat="false" ht="17.15" hidden="false" customHeight="false" outlineLevel="0" collapsed="false">
      <c r="A51" s="0" t="s">
        <v>171</v>
      </c>
      <c r="B51" s="0" t="s">
        <v>172</v>
      </c>
      <c r="C51" s="0" t="s">
        <v>71</v>
      </c>
      <c r="D51" s="7" t="n">
        <v>0.72</v>
      </c>
      <c r="E51" s="7" t="n">
        <v>0.79</v>
      </c>
      <c r="F51" s="7" t="n">
        <v>0.86</v>
      </c>
      <c r="G51" s="8" t="s">
        <v>72</v>
      </c>
      <c r="H51" s="8" t="s">
        <v>173</v>
      </c>
      <c r="I51" s="8" t="s">
        <v>174</v>
      </c>
    </row>
    <row r="52" customFormat="false" ht="17.15" hidden="false" customHeight="false" outlineLevel="0" collapsed="false">
      <c r="A52" s="1" t="s">
        <v>175</v>
      </c>
    </row>
    <row r="53" customFormat="false" ht="17.15" hidden="false" customHeight="false" outlineLevel="0" collapsed="false">
      <c r="A53" s="0" t="s">
        <v>176</v>
      </c>
      <c r="B53" s="0" t="s">
        <v>177</v>
      </c>
      <c r="C53" s="0" t="s">
        <v>27</v>
      </c>
      <c r="D53" s="7" t="n">
        <v>2.2</v>
      </c>
      <c r="E53" s="7" t="n">
        <v>2.3</v>
      </c>
      <c r="F53" s="7" t="n">
        <v>2.4</v>
      </c>
      <c r="G53" s="8" t="s">
        <v>158</v>
      </c>
      <c r="H53" s="8" t="s">
        <v>178</v>
      </c>
      <c r="I53" s="8" t="s">
        <v>179</v>
      </c>
    </row>
    <row r="54" customFormat="false" ht="17.15" hidden="false" customHeight="false" outlineLevel="0" collapsed="false">
      <c r="A54" s="0" t="s">
        <v>180</v>
      </c>
      <c r="B54" s="0" t="s">
        <v>181</v>
      </c>
      <c r="C54" s="0" t="s">
        <v>60</v>
      </c>
      <c r="D54" s="7" t="n">
        <v>0.395</v>
      </c>
      <c r="E54" s="7" t="n">
        <v>0.405</v>
      </c>
      <c r="F54" s="7" t="n">
        <v>0.415</v>
      </c>
      <c r="G54" s="8" t="s">
        <v>158</v>
      </c>
      <c r="H54" s="8" t="s">
        <v>182</v>
      </c>
      <c r="I54" s="8" t="s">
        <v>101</v>
      </c>
    </row>
    <row r="55" customFormat="false" ht="17.15" hidden="false" customHeight="false" outlineLevel="0" collapsed="false">
      <c r="A55" s="0" t="s">
        <v>183</v>
      </c>
      <c r="B55" s="0" t="s">
        <v>184</v>
      </c>
      <c r="C55" s="0" t="s">
        <v>27</v>
      </c>
      <c r="D55" s="7" t="n">
        <v>0.4</v>
      </c>
      <c r="E55" s="7" t="n">
        <v>0.41</v>
      </c>
      <c r="F55" s="7" t="n">
        <v>0.42</v>
      </c>
      <c r="G55" s="8" t="s">
        <v>158</v>
      </c>
      <c r="H55" s="8" t="s">
        <v>185</v>
      </c>
      <c r="I55" s="8" t="s">
        <v>101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188</v>
      </c>
      <c r="D56" s="7" t="n">
        <v>1.85</v>
      </c>
      <c r="E56" s="7" t="n">
        <v>1.95</v>
      </c>
      <c r="F56" s="7" t="n">
        <v>2.05</v>
      </c>
      <c r="G56" s="8" t="s">
        <v>158</v>
      </c>
      <c r="H56" s="8" t="s">
        <v>189</v>
      </c>
      <c r="I56" s="8" t="s">
        <v>190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60</v>
      </c>
      <c r="D57" s="7" t="n">
        <v>0</v>
      </c>
      <c r="E57" s="7" t="n">
        <v>0.05</v>
      </c>
      <c r="F57" s="7" t="n">
        <v>0.1</v>
      </c>
      <c r="G57" s="8" t="s">
        <v>72</v>
      </c>
      <c r="H57" s="8" t="s">
        <v>193</v>
      </c>
      <c r="I57" s="8" t="s">
        <v>101</v>
      </c>
    </row>
    <row r="58" customFormat="false" ht="17.15" hidden="false" customHeight="false" outlineLevel="0" collapsed="false">
      <c r="A58" s="0" t="s">
        <v>194</v>
      </c>
      <c r="B58" s="5" t="s">
        <v>195</v>
      </c>
      <c r="C58" s="0" t="s">
        <v>60</v>
      </c>
      <c r="D58" s="7" t="n">
        <v>-0.03</v>
      </c>
      <c r="E58" s="7" t="n">
        <v>0</v>
      </c>
      <c r="F58" s="7" t="n">
        <v>0.03</v>
      </c>
      <c r="G58" s="8" t="s">
        <v>72</v>
      </c>
      <c r="H58" s="8" t="s">
        <v>196</v>
      </c>
      <c r="I58" s="8" t="s">
        <v>101</v>
      </c>
    </row>
    <row r="59" customFormat="false" ht="17.15" hidden="false" customHeight="false" outlineLevel="0" collapsed="false">
      <c r="A59" s="1" t="s">
        <v>197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60</v>
      </c>
      <c r="D60" s="7" t="n">
        <v>0.1</v>
      </c>
      <c r="E60" s="7" t="n">
        <v>0.2</v>
      </c>
      <c r="F60" s="7" t="n">
        <v>0.3</v>
      </c>
      <c r="G60" s="8" t="s">
        <v>72</v>
      </c>
      <c r="H60" s="8" t="s">
        <v>200</v>
      </c>
      <c r="I60" s="8" t="s">
        <v>201</v>
      </c>
    </row>
    <row r="61" customFormat="false" ht="17.15" hidden="false" customHeight="false" outlineLevel="0" collapsed="false">
      <c r="A61" s="0" t="s">
        <v>202</v>
      </c>
      <c r="B61" s="5" t="s">
        <v>203</v>
      </c>
      <c r="C61" s="0" t="s">
        <v>60</v>
      </c>
      <c r="D61" s="7" t="n">
        <v>0</v>
      </c>
      <c r="E61" s="7" t="n">
        <v>0.12</v>
      </c>
      <c r="F61" s="7" t="n">
        <v>0.2</v>
      </c>
      <c r="G61" s="8" t="s">
        <v>72</v>
      </c>
      <c r="H61" s="5" t="s">
        <v>33</v>
      </c>
      <c r="I61" s="8" t="s">
        <v>101</v>
      </c>
    </row>
    <row r="62" customFormat="false" ht="17.15" hidden="false" customHeight="false" outlineLevel="0" collapsed="false">
      <c r="A62" s="0" t="s">
        <v>204</v>
      </c>
      <c r="B62" s="5" t="s">
        <v>205</v>
      </c>
      <c r="C62" s="0" t="s">
        <v>60</v>
      </c>
      <c r="D62" s="7" t="n">
        <v>-0.05</v>
      </c>
      <c r="E62" s="7" t="n">
        <v>0.08</v>
      </c>
      <c r="F62" s="7" t="n">
        <v>0.15</v>
      </c>
      <c r="G62" s="8" t="s">
        <v>72</v>
      </c>
      <c r="H62" s="5" t="s">
        <v>33</v>
      </c>
      <c r="I62" s="8" t="s">
        <v>101</v>
      </c>
    </row>
    <row r="63" customFormat="false" ht="17.15" hidden="false" customHeight="false" outlineLevel="0" collapsed="false">
      <c r="A63" s="0" t="s">
        <v>206</v>
      </c>
      <c r="B63" s="5" t="s">
        <v>207</v>
      </c>
      <c r="C63" s="0" t="s">
        <v>27</v>
      </c>
      <c r="E63" s="0" t="n">
        <f aca="false">q4_ind*4</f>
        <v>1.722</v>
      </c>
      <c r="G63" s="0" t="s">
        <v>28</v>
      </c>
      <c r="H63" s="0" t="s">
        <v>208</v>
      </c>
      <c r="I63" s="0" t="s">
        <v>209</v>
      </c>
    </row>
    <row r="64" customFormat="false" ht="17.15" hidden="false" customHeight="false" outlineLevel="0" collapsed="false">
      <c r="A64" s="0" t="s">
        <v>210</v>
      </c>
      <c r="B64" s="5" t="s">
        <v>211</v>
      </c>
      <c r="C64" s="0" t="s">
        <v>60</v>
      </c>
      <c r="D64" s="7" t="n">
        <v>-0.05</v>
      </c>
      <c r="E64" s="7" t="n">
        <v>0.02</v>
      </c>
      <c r="F64" s="7" t="n">
        <v>0.08</v>
      </c>
      <c r="G64" s="8" t="s">
        <v>72</v>
      </c>
      <c r="H64" s="5" t="s">
        <v>212</v>
      </c>
      <c r="I64" s="5" t="s">
        <v>213</v>
      </c>
    </row>
    <row r="65" customFormat="false" ht="17.15" hidden="false" customHeight="false" outlineLevel="0" collapsed="false">
      <c r="A65" s="0" t="s">
        <v>214</v>
      </c>
      <c r="B65" s="5" t="s">
        <v>215</v>
      </c>
      <c r="C65" s="0" t="s">
        <v>60</v>
      </c>
      <c r="D65" s="7" t="n">
        <v>-0.05</v>
      </c>
      <c r="E65" s="7" t="n">
        <v>0.05</v>
      </c>
      <c r="F65" s="7" t="n">
        <v>0.1</v>
      </c>
      <c r="G65" s="8" t="s">
        <v>72</v>
      </c>
      <c r="H65" s="5" t="s">
        <v>33</v>
      </c>
      <c r="I65" s="8" t="s">
        <v>216</v>
      </c>
    </row>
    <row r="66" customFormat="false" ht="17.15" hidden="false" customHeight="false" outlineLevel="0" collapsed="false">
      <c r="A66" s="0" t="s">
        <v>217</v>
      </c>
      <c r="B66" s="5" t="s">
        <v>218</v>
      </c>
      <c r="C66" s="0" t="s">
        <v>60</v>
      </c>
      <c r="D66" s="7" t="n">
        <v>-0.05</v>
      </c>
      <c r="E66" s="7" t="n">
        <v>0.05</v>
      </c>
      <c r="F66" s="7" t="n">
        <v>0.1</v>
      </c>
      <c r="G66" s="8" t="s">
        <v>72</v>
      </c>
      <c r="H66" s="5" t="s">
        <v>33</v>
      </c>
      <c r="I66" s="8" t="s">
        <v>101</v>
      </c>
    </row>
    <row r="67" customFormat="false" ht="17.15" hidden="false" customHeight="false" outlineLevel="0" collapsed="false">
      <c r="A67" s="1" t="s">
        <v>219</v>
      </c>
    </row>
    <row r="68" customFormat="false" ht="17.15" hidden="false" customHeight="false" outlineLevel="0" collapsed="false">
      <c r="A68" s="0" t="s">
        <v>220</v>
      </c>
      <c r="B68" s="0" t="s">
        <v>221</v>
      </c>
      <c r="C68" s="0" t="s">
        <v>60</v>
      </c>
      <c r="D68" s="7" t="n">
        <v>0.385</v>
      </c>
      <c r="E68" s="7" t="n">
        <v>0.41</v>
      </c>
      <c r="F68" s="7" t="n">
        <v>0.425</v>
      </c>
      <c r="G68" s="8" t="s">
        <v>72</v>
      </c>
      <c r="H68" s="8" t="s">
        <v>222</v>
      </c>
      <c r="I68" s="8" t="s">
        <v>223</v>
      </c>
    </row>
    <row r="69" customFormat="false" ht="17.15" hidden="false" customHeight="false" outlineLevel="0" collapsed="false">
      <c r="A69" s="0" t="s">
        <v>224</v>
      </c>
      <c r="B69" s="0" t="s">
        <v>225</v>
      </c>
      <c r="C69" s="0" t="s">
        <v>60</v>
      </c>
      <c r="D69" s="7" t="n">
        <v>0.375</v>
      </c>
      <c r="E69" s="7" t="n">
        <v>0.42</v>
      </c>
      <c r="F69" s="7" t="n">
        <v>0.44</v>
      </c>
      <c r="G69" s="8" t="s">
        <v>72</v>
      </c>
      <c r="H69" s="8" t="s">
        <v>226</v>
      </c>
      <c r="I69" s="8" t="s">
        <v>227</v>
      </c>
    </row>
    <row r="70" customFormat="false" ht="17.15" hidden="false" customHeight="false" outlineLevel="0" collapsed="false">
      <c r="A70" s="0" t="s">
        <v>228</v>
      </c>
      <c r="B70" s="0" t="s">
        <v>229</v>
      </c>
      <c r="C70" s="0" t="s">
        <v>60</v>
      </c>
      <c r="D70" s="7" t="n">
        <v>0.365</v>
      </c>
      <c r="E70" s="7" t="n">
        <v>0.42</v>
      </c>
      <c r="F70" s="7" t="n">
        <v>0.45</v>
      </c>
      <c r="G70" s="8" t="s">
        <v>72</v>
      </c>
      <c r="H70" s="5" t="s">
        <v>33</v>
      </c>
      <c r="I70" s="8" t="s">
        <v>101</v>
      </c>
    </row>
    <row r="71" customFormat="false" ht="17.15" hidden="false" customHeight="false" outlineLevel="0" collapsed="false">
      <c r="A71" s="0" t="s">
        <v>230</v>
      </c>
      <c r="B71" s="5" t="s">
        <v>231</v>
      </c>
      <c r="C71" s="0" t="s">
        <v>71</v>
      </c>
      <c r="D71" s="7" t="n">
        <v>0.4</v>
      </c>
      <c r="E71" s="9" t="n">
        <f aca="false">Q!B24</f>
        <v>0.702473992932746</v>
      </c>
      <c r="F71" s="7" t="n">
        <v>0.9</v>
      </c>
      <c r="G71" s="8" t="s">
        <v>28</v>
      </c>
      <c r="H71" s="8" t="s">
        <v>232</v>
      </c>
      <c r="I71" s="8" t="s">
        <v>233</v>
      </c>
    </row>
    <row r="72" customFormat="false" ht="17.15" hidden="false" customHeight="false" outlineLevel="0" collapsed="false">
      <c r="A72" s="0" t="s">
        <v>234</v>
      </c>
      <c r="B72" s="5" t="s">
        <v>235</v>
      </c>
      <c r="C72" s="0" t="s">
        <v>236</v>
      </c>
      <c r="D72" s="7" t="n">
        <v>-0.01</v>
      </c>
      <c r="E72" s="7" t="n">
        <v>0</v>
      </c>
      <c r="F72" s="7" t="n">
        <v>0.02</v>
      </c>
      <c r="G72" s="8" t="s">
        <v>72</v>
      </c>
      <c r="H72" s="5" t="s">
        <v>237</v>
      </c>
      <c r="I72" s="8" t="s">
        <v>238</v>
      </c>
    </row>
    <row r="73" customFormat="false" ht="17.15" hidden="false" customHeight="false" outlineLevel="0" collapsed="false">
      <c r="A73" s="0" t="s">
        <v>239</v>
      </c>
      <c r="B73" s="0" t="s">
        <v>240</v>
      </c>
      <c r="C73" s="0" t="s">
        <v>27</v>
      </c>
      <c r="D73" s="7" t="n">
        <v>0.04</v>
      </c>
      <c r="E73" s="7" t="n">
        <v>0.08</v>
      </c>
      <c r="F73" s="7" t="n">
        <v>0.12</v>
      </c>
      <c r="G73" s="8" t="s">
        <v>72</v>
      </c>
      <c r="H73" s="8" t="s">
        <v>241</v>
      </c>
      <c r="I73" s="8" t="s">
        <v>242</v>
      </c>
    </row>
    <row r="74" customFormat="false" ht="17.15" hidden="false" customHeight="false" outlineLevel="0" collapsed="false">
      <c r="A74" s="0" t="s">
        <v>243</v>
      </c>
      <c r="B74" s="0" t="s">
        <v>244</v>
      </c>
      <c r="C74" s="0" t="s">
        <v>60</v>
      </c>
      <c r="D74" s="7" t="n">
        <v>0.18</v>
      </c>
      <c r="E74" s="7" t="n">
        <v>0.19</v>
      </c>
      <c r="F74" s="7" t="n">
        <v>0.2</v>
      </c>
      <c r="G74" s="8" t="s">
        <v>158</v>
      </c>
      <c r="H74" s="8" t="s">
        <v>245</v>
      </c>
      <c r="I74" s="8" t="s">
        <v>101</v>
      </c>
    </row>
    <row r="75" customFormat="false" ht="17.15" hidden="false" customHeight="false" outlineLevel="0" collapsed="false">
      <c r="A75" s="0" t="s">
        <v>246</v>
      </c>
      <c r="B75" s="5" t="s">
        <v>247</v>
      </c>
      <c r="C75" s="0" t="s">
        <v>27</v>
      </c>
      <c r="E75" s="10" t="n">
        <f aca="false">Q!C15</f>
        <v>0.0122</v>
      </c>
      <c r="G75" s="8" t="s">
        <v>28</v>
      </c>
      <c r="H75" s="8" t="s">
        <v>248</v>
      </c>
      <c r="I75" s="8" t="s">
        <v>101</v>
      </c>
    </row>
    <row r="76" customFormat="false" ht="17.15" hidden="false" customHeight="false" outlineLevel="0" collapsed="false">
      <c r="A76" s="0" t="s">
        <v>249</v>
      </c>
      <c r="B76" s="0" t="s">
        <v>250</v>
      </c>
      <c r="C76" s="5" t="s">
        <v>251</v>
      </c>
      <c r="E76" s="7" t="n">
        <v>0.2022</v>
      </c>
      <c r="G76" s="8" t="s">
        <v>130</v>
      </c>
      <c r="H76" s="8" t="s">
        <v>252</v>
      </c>
      <c r="I76" s="8" t="s">
        <v>253</v>
      </c>
    </row>
    <row r="77" customFormat="false" ht="17.15" hidden="false" customHeight="false" outlineLevel="0" collapsed="false">
      <c r="A77" s="0" t="s">
        <v>254</v>
      </c>
      <c r="B77" s="5" t="s">
        <v>255</v>
      </c>
      <c r="C77" s="0" t="s">
        <v>60</v>
      </c>
      <c r="D77" s="7" t="n">
        <v>0</v>
      </c>
      <c r="E77" s="7" t="n">
        <v>0.01</v>
      </c>
      <c r="F77" s="7" t="n">
        <v>0.03</v>
      </c>
      <c r="G77" s="8" t="s">
        <v>72</v>
      </c>
      <c r="H77" s="8" t="s">
        <v>256</v>
      </c>
      <c r="I77" s="5" t="s">
        <v>257</v>
      </c>
    </row>
    <row r="78" customFormat="false" ht="17.15" hidden="false" customHeight="false" outlineLevel="0" collapsed="false">
      <c r="A78" s="0" t="s">
        <v>258</v>
      </c>
      <c r="B78" s="0" t="s">
        <v>259</v>
      </c>
      <c r="C78" s="0" t="s">
        <v>71</v>
      </c>
      <c r="D78" s="7" t="n">
        <v>0.8</v>
      </c>
      <c r="E78" s="7" t="n">
        <v>1</v>
      </c>
      <c r="F78" s="7" t="n">
        <v>1.2</v>
      </c>
      <c r="G78" s="8" t="s">
        <v>72</v>
      </c>
      <c r="H78" s="5" t="s">
        <v>260</v>
      </c>
      <c r="I78" s="8" t="s">
        <v>261</v>
      </c>
    </row>
    <row r="79" customFormat="false" ht="17.15" hidden="false" customHeight="false" outlineLevel="0" collapsed="false">
      <c r="A79" s="1" t="s">
        <v>262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27</v>
      </c>
      <c r="E80" s="7" t="n">
        <v>5.8101</v>
      </c>
      <c r="G80" s="8" t="s">
        <v>130</v>
      </c>
      <c r="H80" s="8" t="s">
        <v>265</v>
      </c>
      <c r="I80" s="8" t="s">
        <v>101</v>
      </c>
    </row>
    <row r="81" customFormat="false" ht="17.15" hidden="false" customHeight="false" outlineLevel="0" collapsed="false">
      <c r="A81" s="0" t="s">
        <v>266</v>
      </c>
      <c r="B81" s="0" t="s">
        <v>267</v>
      </c>
      <c r="C81" s="0" t="s">
        <v>27</v>
      </c>
      <c r="E81" s="7" t="n">
        <v>7.1182</v>
      </c>
      <c r="G81" s="8" t="s">
        <v>130</v>
      </c>
      <c r="H81" s="8" t="s">
        <v>268</v>
      </c>
      <c r="I81" s="8" t="s">
        <v>269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27</v>
      </c>
      <c r="E82" s="7" t="n">
        <v>3.7552</v>
      </c>
      <c r="G82" s="8" t="s">
        <v>130</v>
      </c>
      <c r="H82" s="8" t="s">
        <v>272</v>
      </c>
      <c r="I82" s="8" t="s">
        <v>101</v>
      </c>
    </row>
    <row r="83" customFormat="false" ht="17.15" hidden="false" customHeight="false" outlineLevel="0" collapsed="false">
      <c r="A83" s="0" t="s">
        <v>273</v>
      </c>
      <c r="B83" s="0" t="s">
        <v>274</v>
      </c>
      <c r="C83" s="0" t="s">
        <v>27</v>
      </c>
      <c r="E83" s="7" t="n">
        <v>5.2746</v>
      </c>
      <c r="G83" s="8" t="s">
        <v>130</v>
      </c>
      <c r="H83" s="8" t="s">
        <v>275</v>
      </c>
      <c r="I83" s="8" t="s">
        <v>269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27</v>
      </c>
      <c r="E84" s="7" t="n">
        <v>2.0549</v>
      </c>
      <c r="G84" s="8" t="s">
        <v>130</v>
      </c>
      <c r="H84" s="8" t="s">
        <v>278</v>
      </c>
      <c r="I84" s="8" t="s">
        <v>101</v>
      </c>
    </row>
    <row r="85" customFormat="false" ht="17.15" hidden="false" customHeight="false" outlineLevel="0" collapsed="false">
      <c r="A85" s="0" t="s">
        <v>279</v>
      </c>
      <c r="B85" s="0" t="s">
        <v>280</v>
      </c>
      <c r="C85" s="0" t="s">
        <v>27</v>
      </c>
      <c r="E85" s="7" t="n">
        <v>1.8436</v>
      </c>
      <c r="G85" s="8" t="s">
        <v>130</v>
      </c>
      <c r="H85" s="8" t="s">
        <v>281</v>
      </c>
      <c r="I85" s="8" t="s">
        <v>101</v>
      </c>
    </row>
    <row r="86" customFormat="false" ht="17.15" hidden="false" customHeight="false" outlineLevel="0" collapsed="false">
      <c r="A86" s="0" t="s">
        <v>282</v>
      </c>
      <c r="B86" s="0" t="s">
        <v>283</v>
      </c>
      <c r="C86" s="0" t="s">
        <v>27</v>
      </c>
      <c r="E86" s="7" t="n">
        <v>2.2023</v>
      </c>
      <c r="G86" s="8" t="s">
        <v>130</v>
      </c>
      <c r="H86" s="8" t="s">
        <v>284</v>
      </c>
      <c r="I86" s="8" t="s">
        <v>101</v>
      </c>
    </row>
    <row r="87" customFormat="false" ht="17.15" hidden="false" customHeight="false" outlineLevel="0" collapsed="false">
      <c r="A87" s="0" t="s">
        <v>285</v>
      </c>
      <c r="B87" s="0" t="s">
        <v>286</v>
      </c>
      <c r="C87" s="0" t="s">
        <v>27</v>
      </c>
      <c r="E87" s="7" t="n">
        <v>2.8065</v>
      </c>
      <c r="G87" s="8" t="s">
        <v>130</v>
      </c>
      <c r="H87" s="8" t="s">
        <v>287</v>
      </c>
      <c r="I87" s="8" t="s">
        <v>101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27</v>
      </c>
      <c r="E88" s="0" t="n">
        <f aca="false">0.5543+0.611</f>
        <v>1.1653</v>
      </c>
      <c r="G88" s="0" t="s">
        <v>130</v>
      </c>
      <c r="H88" s="0" t="s">
        <v>290</v>
      </c>
      <c r="I88" s="0" t="s">
        <v>101</v>
      </c>
    </row>
    <row r="89" customFormat="false" ht="17.15" hidden="false" customHeight="false" outlineLevel="0" collapsed="false">
      <c r="A89" s="0" t="s">
        <v>291</v>
      </c>
      <c r="B89" s="0" t="s">
        <v>292</v>
      </c>
      <c r="C89" s="0" t="s">
        <v>27</v>
      </c>
      <c r="E89" s="0" t="n">
        <f aca="false">0.6933+0.6563</f>
        <v>1.3496</v>
      </c>
      <c r="G89" s="0" t="s">
        <v>130</v>
      </c>
      <c r="H89" s="0" t="s">
        <v>293</v>
      </c>
      <c r="I89" s="0" t="s">
        <v>101</v>
      </c>
    </row>
    <row r="90" customFormat="false" ht="17.15" hidden="false" customHeight="false" outlineLevel="0" collapsed="false">
      <c r="A90" s="0" t="s">
        <v>294</v>
      </c>
      <c r="B90" s="0" t="s">
        <v>295</v>
      </c>
      <c r="C90" s="0" t="s">
        <v>27</v>
      </c>
      <c r="E90" s="7" t="n">
        <v>0.1673</v>
      </c>
      <c r="G90" s="8" t="s">
        <v>130</v>
      </c>
      <c r="H90" s="8" t="s">
        <v>296</v>
      </c>
      <c r="I90" s="8" t="s">
        <v>101</v>
      </c>
    </row>
    <row r="91" customFormat="false" ht="17.15" hidden="false" customHeight="false" outlineLevel="0" collapsed="false">
      <c r="A91" s="0" t="s">
        <v>297</v>
      </c>
      <c r="B91" s="0" t="s">
        <v>298</v>
      </c>
      <c r="C91" s="0" t="s">
        <v>27</v>
      </c>
      <c r="E91" s="7" t="n">
        <v>0.1181</v>
      </c>
      <c r="G91" s="8" t="s">
        <v>130</v>
      </c>
      <c r="H91" s="8" t="s">
        <v>299</v>
      </c>
      <c r="I91" s="8" t="s">
        <v>101</v>
      </c>
    </row>
    <row r="92" customFormat="false" ht="17.15" hidden="false" customHeight="false" outlineLevel="0" collapsed="false">
      <c r="A92" s="0" t="s">
        <v>300</v>
      </c>
      <c r="B92" s="0" t="s">
        <v>301</v>
      </c>
      <c r="C92" s="0" t="s">
        <v>27</v>
      </c>
      <c r="E92" s="7" t="n">
        <v>0.184</v>
      </c>
      <c r="G92" s="8" t="s">
        <v>130</v>
      </c>
      <c r="H92" s="8" t="s">
        <v>302</v>
      </c>
      <c r="I92" s="8" t="s">
        <v>101</v>
      </c>
    </row>
    <row r="93" customFormat="false" ht="17.15" hidden="false" customHeight="false" outlineLevel="0" collapsed="false">
      <c r="A93" s="0" t="s">
        <v>303</v>
      </c>
      <c r="B93" s="0" t="s">
        <v>304</v>
      </c>
      <c r="C93" s="0" t="s">
        <v>27</v>
      </c>
      <c r="E93" s="7" t="n">
        <v>0.2544</v>
      </c>
      <c r="G93" s="8" t="s">
        <v>130</v>
      </c>
      <c r="H93" s="8" t="s">
        <v>305</v>
      </c>
      <c r="I93" s="8" t="s">
        <v>101</v>
      </c>
    </row>
    <row r="94" customFormat="false" ht="17.15" hidden="false" customHeight="false" outlineLevel="0" collapsed="false">
      <c r="A94" s="0" t="s">
        <v>306</v>
      </c>
      <c r="B94" s="0" t="s">
        <v>307</v>
      </c>
      <c r="C94" s="0" t="s">
        <v>27</v>
      </c>
      <c r="E94" s="7" t="n">
        <v>0.6926</v>
      </c>
      <c r="G94" s="8" t="s">
        <v>130</v>
      </c>
      <c r="H94" s="8" t="s">
        <v>308</v>
      </c>
      <c r="I94" s="8" t="s">
        <v>101</v>
      </c>
    </row>
    <row r="95" customFormat="false" ht="17.15" hidden="false" customHeight="false" outlineLevel="0" collapsed="false">
      <c r="A95" s="0" t="s">
        <v>309</v>
      </c>
      <c r="B95" s="0" t="s">
        <v>310</v>
      </c>
      <c r="C95" s="0" t="s">
        <v>27</v>
      </c>
      <c r="E95" s="7" t="n">
        <v>1.0966</v>
      </c>
      <c r="G95" s="8" t="s">
        <v>130</v>
      </c>
      <c r="H95" s="8" t="s">
        <v>311</v>
      </c>
      <c r="I95" s="8" t="s">
        <v>101</v>
      </c>
    </row>
    <row r="96" customFormat="false" ht="17.15" hidden="false" customHeight="false" outlineLevel="0" collapsed="false">
      <c r="A96" s="0" t="s">
        <v>312</v>
      </c>
      <c r="B96" s="0" t="s">
        <v>313</v>
      </c>
      <c r="C96" s="0" t="s">
        <v>188</v>
      </c>
      <c r="E96" s="7" t="n">
        <v>3.53</v>
      </c>
      <c r="G96" s="8" t="s">
        <v>130</v>
      </c>
      <c r="H96" s="8" t="s">
        <v>314</v>
      </c>
      <c r="I96" s="8" t="s">
        <v>315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188</v>
      </c>
      <c r="E97" s="7" t="n">
        <v>5.61</v>
      </c>
      <c r="G97" s="8" t="s">
        <v>130</v>
      </c>
      <c r="H97" s="8" t="s">
        <v>318</v>
      </c>
      <c r="I97" s="8" t="s">
        <v>269</v>
      </c>
    </row>
    <row r="98" customFormat="false" ht="17.15" hidden="false" customHeight="false" outlineLevel="0" collapsed="false">
      <c r="A98" s="0" t="s">
        <v>319</v>
      </c>
      <c r="B98" s="0" t="s">
        <v>320</v>
      </c>
      <c r="C98" s="5" t="s">
        <v>251</v>
      </c>
      <c r="E98" s="7" t="n">
        <v>0.1592</v>
      </c>
      <c r="G98" s="8" t="s">
        <v>130</v>
      </c>
      <c r="H98" s="8" t="s">
        <v>321</v>
      </c>
      <c r="I98" s="8" t="s">
        <v>101</v>
      </c>
    </row>
    <row r="99" customFormat="false" ht="17.15" hidden="false" customHeight="false" outlineLevel="0" collapsed="false">
      <c r="A99" s="0" t="s">
        <v>322</v>
      </c>
      <c r="B99" s="0" t="s">
        <v>323</v>
      </c>
      <c r="C99" s="5" t="s">
        <v>251</v>
      </c>
      <c r="E99" s="7" t="n">
        <v>0.1954</v>
      </c>
      <c r="G99" s="8" t="s">
        <v>130</v>
      </c>
      <c r="H99" s="8" t="s">
        <v>324</v>
      </c>
      <c r="I99" s="8" t="s">
        <v>101</v>
      </c>
    </row>
    <row r="100" customFormat="false" ht="17.15" hidden="false" customHeight="false" outlineLevel="0" collapsed="false">
      <c r="A100" s="1" t="s">
        <v>325</v>
      </c>
    </row>
    <row r="101" customFormat="false" ht="17.15" hidden="false" customHeight="false" outlineLevel="0" collapsed="false">
      <c r="A101" s="0" t="s">
        <v>326</v>
      </c>
      <c r="B101" s="5" t="s">
        <v>327</v>
      </c>
      <c r="C101" s="0" t="s">
        <v>27</v>
      </c>
      <c r="E101" s="7" t="n">
        <v>10.63</v>
      </c>
      <c r="G101" s="8" t="s">
        <v>158</v>
      </c>
      <c r="H101" s="8" t="s">
        <v>328</v>
      </c>
      <c r="I101" s="8" t="s">
        <v>329</v>
      </c>
    </row>
    <row r="102" customFormat="false" ht="17.15" hidden="false" customHeight="false" outlineLevel="0" collapsed="false">
      <c r="A102" s="0" t="s">
        <v>330</v>
      </c>
      <c r="B102" s="5" t="s">
        <v>331</v>
      </c>
      <c r="C102" s="0" t="s">
        <v>27</v>
      </c>
      <c r="E102" s="7" t="n">
        <v>14.76</v>
      </c>
      <c r="G102" s="8" t="s">
        <v>158</v>
      </c>
      <c r="H102" s="8" t="s">
        <v>332</v>
      </c>
      <c r="I102" s="8" t="s">
        <v>333</v>
      </c>
    </row>
    <row r="103" customFormat="false" ht="17.15" hidden="false" customHeight="false" outlineLevel="0" collapsed="false">
      <c r="A103" s="0" t="s">
        <v>334</v>
      </c>
      <c r="B103" s="5" t="s">
        <v>335</v>
      </c>
      <c r="C103" s="0" t="s">
        <v>188</v>
      </c>
      <c r="E103" s="7" t="n">
        <v>8.67</v>
      </c>
      <c r="G103" s="8" t="s">
        <v>158</v>
      </c>
      <c r="H103" s="8" t="s">
        <v>336</v>
      </c>
      <c r="I103" s="8" t="s">
        <v>337</v>
      </c>
    </row>
    <row r="104" customFormat="false" ht="17.15" hidden="false" customHeight="false" outlineLevel="0" collapsed="false">
      <c r="A104" s="0" t="s">
        <v>338</v>
      </c>
      <c r="B104" s="5" t="s">
        <v>339</v>
      </c>
      <c r="C104" s="0" t="s">
        <v>188</v>
      </c>
      <c r="E104" s="0" t="n">
        <f aca="false">1.93+2.16+2.26+2.5</f>
        <v>8.85</v>
      </c>
      <c r="G104" s="0" t="s">
        <v>158</v>
      </c>
      <c r="H104" s="0" t="s">
        <v>340</v>
      </c>
      <c r="I104" s="0" t="s">
        <v>101</v>
      </c>
    </row>
    <row r="105" customFormat="false" ht="17.15" hidden="false" customHeight="false" outlineLevel="0" collapsed="false">
      <c r="A105" s="0" t="s">
        <v>341</v>
      </c>
      <c r="B105" s="5" t="s">
        <v>342</v>
      </c>
      <c r="C105" s="0" t="s">
        <v>188</v>
      </c>
      <c r="E105" s="7" t="n">
        <v>13.07</v>
      </c>
      <c r="G105" s="8" t="s">
        <v>158</v>
      </c>
      <c r="H105" s="8" t="s">
        <v>343</v>
      </c>
      <c r="I105" s="5" t="s">
        <v>344</v>
      </c>
    </row>
    <row r="106" customFormat="false" ht="17.15" hidden="false" customHeight="false" outlineLevel="0" collapsed="false">
      <c r="A106" s="0" t="s">
        <v>345</v>
      </c>
      <c r="B106" s="5" t="s">
        <v>346</v>
      </c>
      <c r="C106" s="0" t="s">
        <v>188</v>
      </c>
      <c r="E106" s="7" t="n">
        <v>1.93</v>
      </c>
      <c r="G106" s="8" t="s">
        <v>158</v>
      </c>
      <c r="H106" s="8" t="s">
        <v>347</v>
      </c>
      <c r="I106" s="8" t="s">
        <v>101</v>
      </c>
    </row>
    <row r="107" customFormat="false" ht="17.15" hidden="false" customHeight="false" outlineLevel="0" collapsed="false">
      <c r="A107" s="0" t="s">
        <v>348</v>
      </c>
      <c r="B107" s="5" t="s">
        <v>349</v>
      </c>
      <c r="C107" s="0" t="s">
        <v>27</v>
      </c>
      <c r="E107" s="7" t="n">
        <v>3.5</v>
      </c>
      <c r="G107" s="8" t="s">
        <v>158</v>
      </c>
      <c r="H107" s="8" t="s">
        <v>350</v>
      </c>
      <c r="I107" s="8" t="s">
        <v>351</v>
      </c>
    </row>
    <row r="108" customFormat="false" ht="17.15" hidden="false" customHeight="false" outlineLevel="0" collapsed="false">
      <c r="A108" s="1" t="s">
        <v>352</v>
      </c>
    </row>
    <row r="109" customFormat="false" ht="17.15" hidden="false" customHeight="false" outlineLevel="0" collapsed="false">
      <c r="A109" s="0" t="s">
        <v>353</v>
      </c>
      <c r="B109" s="5" t="s">
        <v>354</v>
      </c>
      <c r="C109" s="0" t="s">
        <v>188</v>
      </c>
      <c r="E109" s="7" t="n">
        <v>209.17</v>
      </c>
      <c r="G109" s="8" t="s">
        <v>158</v>
      </c>
      <c r="H109" s="8" t="s">
        <v>355</v>
      </c>
      <c r="I109" s="8" t="s">
        <v>356</v>
      </c>
    </row>
    <row r="110" customFormat="false" ht="17.15" hidden="false" customHeight="false" outlineLevel="0" collapsed="false">
      <c r="A110" s="0" t="s">
        <v>357</v>
      </c>
      <c r="B110" s="0" t="s">
        <v>358</v>
      </c>
      <c r="C110" s="0" t="s">
        <v>188</v>
      </c>
      <c r="E110" s="7" t="n">
        <v>440</v>
      </c>
      <c r="G110" s="8" t="s">
        <v>158</v>
      </c>
      <c r="H110" s="8" t="s">
        <v>359</v>
      </c>
      <c r="I110" s="8" t="s">
        <v>360</v>
      </c>
    </row>
    <row r="111" customFormat="false" ht="17.15" hidden="false" customHeight="false" outlineLevel="0" collapsed="false">
      <c r="A111" s="11" t="s">
        <v>361</v>
      </c>
      <c r="B111" s="12" t="s">
        <v>362</v>
      </c>
      <c r="C111" s="11" t="s">
        <v>60</v>
      </c>
      <c r="D111" s="11"/>
      <c r="E111" s="13" t="n">
        <v>0.3</v>
      </c>
      <c r="F111" s="11"/>
      <c r="G111" s="11" t="s">
        <v>72</v>
      </c>
      <c r="H111" s="11" t="s">
        <v>363</v>
      </c>
      <c r="I111" s="12" t="s">
        <v>364</v>
      </c>
    </row>
    <row r="112" customFormat="false" ht="17.15" hidden="false" customHeight="false" outlineLevel="0" collapsed="false">
      <c r="A112" s="11" t="s">
        <v>365</v>
      </c>
      <c r="B112" s="12" t="s">
        <v>366</v>
      </c>
      <c r="C112" s="11" t="s">
        <v>60</v>
      </c>
      <c r="D112" s="11"/>
      <c r="E112" s="13" t="n">
        <v>0.5</v>
      </c>
      <c r="F112" s="11"/>
      <c r="G112" s="11" t="s">
        <v>72</v>
      </c>
      <c r="H112" s="11" t="s">
        <v>363</v>
      </c>
      <c r="I112" s="12" t="s">
        <v>364</v>
      </c>
    </row>
    <row r="113" customFormat="false" ht="17.15" hidden="false" customHeight="false" outlineLevel="0" collapsed="false">
      <c r="A113" s="11" t="s">
        <v>367</v>
      </c>
      <c r="B113" s="12" t="s">
        <v>368</v>
      </c>
      <c r="C113" s="11" t="s">
        <v>60</v>
      </c>
      <c r="D113" s="11"/>
      <c r="E113" s="13" t="n">
        <v>0.2</v>
      </c>
      <c r="F113" s="11"/>
      <c r="G113" s="11" t="s">
        <v>72</v>
      </c>
      <c r="H113" s="11" t="s">
        <v>363</v>
      </c>
      <c r="I113" s="12" t="s">
        <v>364</v>
      </c>
    </row>
    <row r="114" customFormat="false" ht="17.15" hidden="false" customHeight="false" outlineLevel="0" collapsed="false">
      <c r="A114" s="1" t="s">
        <v>369</v>
      </c>
    </row>
    <row r="115" customFormat="false" ht="17.15" hidden="false" customHeight="false" outlineLevel="0" collapsed="false">
      <c r="A115" s="11" t="s">
        <v>370</v>
      </c>
      <c r="B115" s="12" t="s">
        <v>371</v>
      </c>
      <c r="C115" s="11" t="s">
        <v>60</v>
      </c>
      <c r="D115" s="11"/>
      <c r="E115" s="13" t="n">
        <v>0.1</v>
      </c>
      <c r="F115" s="11"/>
      <c r="G115" s="11" t="s">
        <v>72</v>
      </c>
      <c r="H115" s="11" t="s">
        <v>372</v>
      </c>
      <c r="I115" s="11" t="s">
        <v>373</v>
      </c>
    </row>
    <row r="116" customFormat="false" ht="17.15" hidden="false" customHeight="false" outlineLevel="0" collapsed="false">
      <c r="A116" s="11" t="s">
        <v>374</v>
      </c>
      <c r="B116" s="12" t="s">
        <v>375</v>
      </c>
      <c r="C116" s="11" t="s">
        <v>60</v>
      </c>
      <c r="D116" s="11"/>
      <c r="E116" s="13" t="n">
        <v>0.04</v>
      </c>
      <c r="F116" s="11"/>
      <c r="G116" s="11" t="s">
        <v>72</v>
      </c>
      <c r="H116" s="11" t="s">
        <v>376</v>
      </c>
      <c r="I116" s="11" t="s">
        <v>101</v>
      </c>
    </row>
    <row r="117" customFormat="false" ht="17.15" hidden="false" customHeight="false" outlineLevel="0" collapsed="false">
      <c r="A117" s="11" t="s">
        <v>377</v>
      </c>
      <c r="B117" s="11" t="s">
        <v>378</v>
      </c>
      <c r="C117" s="11" t="s">
        <v>60</v>
      </c>
      <c r="D117" s="11"/>
      <c r="E117" s="13" t="n">
        <v>0.2</v>
      </c>
      <c r="F117" s="11"/>
      <c r="G117" s="11" t="s">
        <v>72</v>
      </c>
      <c r="H117" s="12" t="s">
        <v>379</v>
      </c>
      <c r="I117" s="12" t="s">
        <v>380</v>
      </c>
    </row>
    <row r="118" customFormat="false" ht="17.15" hidden="false" customHeight="false" outlineLevel="0" collapsed="false">
      <c r="A118" s="11" t="s">
        <v>381</v>
      </c>
      <c r="B118" s="12" t="s">
        <v>382</v>
      </c>
      <c r="C118" s="11" t="s">
        <v>60</v>
      </c>
      <c r="D118" s="11"/>
      <c r="E118" s="13" t="n">
        <v>0.5</v>
      </c>
      <c r="F118" s="11"/>
      <c r="G118" s="11" t="s">
        <v>72</v>
      </c>
      <c r="H118" s="11" t="s">
        <v>383</v>
      </c>
      <c r="I118" s="11" t="s">
        <v>101</v>
      </c>
    </row>
    <row r="119" customFormat="false" ht="17.15" hidden="false" customHeight="false" outlineLevel="0" collapsed="false">
      <c r="A119" s="11" t="s">
        <v>384</v>
      </c>
      <c r="B119" s="12" t="s">
        <v>385</v>
      </c>
      <c r="C119" s="11" t="s">
        <v>60</v>
      </c>
      <c r="D119" s="11"/>
      <c r="E119" s="11" t="n">
        <f aca="false">tp_g+0.02</f>
        <v>0.06</v>
      </c>
      <c r="F119" s="11"/>
      <c r="G119" s="11" t="s">
        <v>72</v>
      </c>
      <c r="H119" s="12" t="s">
        <v>386</v>
      </c>
      <c r="I119" s="11" t="s">
        <v>387</v>
      </c>
    </row>
    <row r="120" customFormat="false" ht="17.15" hidden="false" customHeight="false" outlineLevel="0" collapsed="false">
      <c r="A120" s="11" t="s">
        <v>388</v>
      </c>
      <c r="B120" s="12" t="s">
        <v>389</v>
      </c>
      <c r="C120" s="11" t="s">
        <v>60</v>
      </c>
      <c r="D120" s="11"/>
      <c r="E120" s="11" t="n">
        <f aca="false">tp_g</f>
        <v>0.04</v>
      </c>
      <c r="F120" s="11"/>
      <c r="G120" s="11" t="s">
        <v>72</v>
      </c>
      <c r="H120" s="12" t="s">
        <v>33</v>
      </c>
      <c r="I120" s="11" t="s">
        <v>101</v>
      </c>
    </row>
    <row r="121" customFormat="false" ht="17.15" hidden="false" customHeight="false" outlineLevel="0" collapsed="false">
      <c r="A121" s="11" t="s">
        <v>390</v>
      </c>
      <c r="B121" s="12" t="s">
        <v>391</v>
      </c>
      <c r="C121" s="11" t="s">
        <v>60</v>
      </c>
      <c r="D121" s="11"/>
      <c r="E121" s="11" t="n">
        <f aca="false">tp_g-0.02</f>
        <v>0.02</v>
      </c>
      <c r="F121" s="11"/>
      <c r="G121" s="11" t="s">
        <v>72</v>
      </c>
      <c r="H121" s="12" t="s">
        <v>33</v>
      </c>
      <c r="I121" s="11" t="s">
        <v>101</v>
      </c>
    </row>
    <row r="122" customFormat="false" ht="17.15" hidden="false" customHeight="false" outlineLevel="0" collapsed="false">
      <c r="A122" s="11" t="s">
        <v>392</v>
      </c>
      <c r="B122" s="12" t="s">
        <v>393</v>
      </c>
      <c r="C122" s="11" t="s">
        <v>60</v>
      </c>
      <c r="D122" s="11"/>
      <c r="E122" s="14" t="n">
        <f aca="false">PL!$G$88</f>
        <v>0.215985493737612</v>
      </c>
      <c r="F122" s="11"/>
      <c r="G122" s="11" t="s">
        <v>28</v>
      </c>
      <c r="H122" s="11" t="s">
        <v>394</v>
      </c>
      <c r="I122" s="11" t="s">
        <v>101</v>
      </c>
    </row>
    <row r="123" customFormat="false" ht="17.15" hidden="false" customHeight="false" outlineLevel="0" collapsed="false">
      <c r="A123" s="11" t="s">
        <v>395</v>
      </c>
      <c r="B123" s="12" t="s">
        <v>396</v>
      </c>
      <c r="C123" s="11" t="s">
        <v>60</v>
      </c>
      <c r="D123" s="11"/>
      <c r="E123" s="11" t="n">
        <f aca="false">(PL!$G$123+PL!$G$123*0.8)/2</f>
        <v>0.190222904073562</v>
      </c>
      <c r="F123" s="11"/>
      <c r="G123" s="11" t="s">
        <v>72</v>
      </c>
      <c r="H123" s="12" t="s">
        <v>397</v>
      </c>
      <c r="I123" s="11" t="s">
        <v>398</v>
      </c>
    </row>
    <row r="124" customFormat="false" ht="17.15" hidden="false" customHeight="false" outlineLevel="0" collapsed="false">
      <c r="A124" s="11" t="s">
        <v>399</v>
      </c>
      <c r="B124" s="12" t="s">
        <v>400</v>
      </c>
      <c r="C124" s="11" t="s">
        <v>60</v>
      </c>
      <c r="D124" s="11"/>
      <c r="E124" s="11" t="n">
        <f aca="false">PL!$G$158*0.8</f>
        <v>0.162445754579209</v>
      </c>
      <c r="F124" s="11"/>
      <c r="G124" s="11" t="s">
        <v>72</v>
      </c>
      <c r="H124" s="12" t="s">
        <v>401</v>
      </c>
      <c r="I124" s="11" t="s">
        <v>398</v>
      </c>
    </row>
    <row r="125" customFormat="false" ht="17.15" hidden="false" customHeight="false" outlineLevel="0" collapsed="false">
      <c r="A125" s="11" t="s">
        <v>402</v>
      </c>
      <c r="B125" s="12" t="s">
        <v>403</v>
      </c>
      <c r="C125" s="11" t="s">
        <v>188</v>
      </c>
      <c r="D125" s="11"/>
      <c r="E125" s="13" t="n">
        <v>394.79</v>
      </c>
      <c r="F125" s="11"/>
      <c r="G125" s="11" t="s">
        <v>158</v>
      </c>
      <c r="H125" s="11" t="s">
        <v>404</v>
      </c>
      <c r="I125" s="12" t="s">
        <v>405</v>
      </c>
    </row>
    <row r="126" customFormat="false" ht="17.15" hidden="false" customHeight="false" outlineLevel="0" collapsed="false">
      <c r="A126" s="11" t="s">
        <v>406</v>
      </c>
      <c r="B126" s="12" t="s">
        <v>407</v>
      </c>
      <c r="C126" s="11" t="s">
        <v>188</v>
      </c>
      <c r="D126" s="11"/>
      <c r="E126" s="11" t="n">
        <f aca="false">cons_eps28</f>
        <v>13.07</v>
      </c>
      <c r="F126" s="11"/>
      <c r="G126" s="11" t="s">
        <v>28</v>
      </c>
      <c r="H126" s="11" t="s">
        <v>408</v>
      </c>
      <c r="I126" s="12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410</v>
      </c>
    </row>
    <row r="2" customFormat="false" ht="17.15" hidden="false" customHeight="false" outlineLevel="0" collapsed="false">
      <c r="A2" s="5" t="s">
        <v>411</v>
      </c>
    </row>
    <row r="3" customFormat="false" ht="17.15" hidden="false" customHeight="false" outlineLevel="0" collapsed="false">
      <c r="A3" s="6" t="s">
        <v>16</v>
      </c>
      <c r="B3" s="15" t="s">
        <v>412</v>
      </c>
      <c r="C3" s="15" t="s">
        <v>413</v>
      </c>
      <c r="D3" s="15" t="s">
        <v>414</v>
      </c>
      <c r="E3" s="15" t="s">
        <v>415</v>
      </c>
      <c r="F3" s="15" t="s">
        <v>416</v>
      </c>
      <c r="G3" s="15" t="s">
        <v>417</v>
      </c>
      <c r="H3" s="6" t="s">
        <v>21</v>
      </c>
      <c r="I3" s="6" t="s">
        <v>418</v>
      </c>
    </row>
    <row r="4" customFormat="false" ht="17.15" hidden="false" customHeight="false" outlineLevel="0" collapsed="false">
      <c r="A4" s="5" t="s">
        <v>419</v>
      </c>
      <c r="B4" s="10" t="n">
        <f aca="false">a25_rev_in</f>
        <v>5.8101</v>
      </c>
      <c r="C4" s="10" t="n">
        <f aca="false">a26_rev_in</f>
        <v>7.1182</v>
      </c>
      <c r="D4" s="10" t="n">
        <f aca="false">q3_rev</f>
        <v>1.8056</v>
      </c>
      <c r="E4" s="10" t="n">
        <f aca="false">q4_rev</f>
        <v>2.0455</v>
      </c>
      <c r="F4" s="10" t="n">
        <f aca="false">q1_rev</f>
        <v>2.3</v>
      </c>
      <c r="G4" s="10" t="n">
        <f aca="false">G5+G8</f>
        <v>2.47828589507692</v>
      </c>
      <c r="H4" s="8" t="s">
        <v>420</v>
      </c>
    </row>
    <row r="5" customFormat="false" ht="17.15" hidden="false" customHeight="false" outlineLevel="0" collapsed="false">
      <c r="A5" s="5" t="s">
        <v>421</v>
      </c>
      <c r="B5" s="10" t="n">
        <f aca="false">a25_dcc_in</f>
        <v>3.7552</v>
      </c>
      <c r="C5" s="10" t="n">
        <f aca="false">a26_dcc_in</f>
        <v>5.2746</v>
      </c>
      <c r="D5" s="10" t="n">
        <f aca="false">q3_dcc</f>
        <v>1.3616</v>
      </c>
      <c r="E5" s="10" t="n">
        <f aca="false">q4_dcc</f>
        <v>1.615</v>
      </c>
      <c r="F5" s="10" t="n">
        <f aca="false">F6+F7</f>
        <v>1.8695</v>
      </c>
      <c r="G5" s="10" t="n">
        <f aca="false">G6+G7</f>
        <v>2.04778589507692</v>
      </c>
      <c r="H5" s="8" t="s">
        <v>130</v>
      </c>
    </row>
    <row r="6" customFormat="false" ht="17.15" hidden="false" customHeight="false" outlineLevel="0" collapsed="false">
      <c r="A6" s="5" t="s">
        <v>422</v>
      </c>
      <c r="B6" s="10" t="n">
        <f aca="false">B5*C6/C5</f>
        <v>2.27542010638806</v>
      </c>
      <c r="C6" s="10" t="n">
        <f aca="false">(D6+E6)*(1+h1r26)</f>
        <v>3.19608300307692</v>
      </c>
      <c r="D6" s="10" t="n">
        <f aca="false">E6/(1+q4_dg)</f>
        <v>0.797107692307693</v>
      </c>
      <c r="E6" s="10" t="n">
        <f aca="false">(D5-E5/(1+q4_cg))/(1/(1+q4_dg)-1/(1+q4_cg))</f>
        <v>0.988413538461539</v>
      </c>
      <c r="F6" s="10" t="n">
        <f aca="false">F4-F7-F8</f>
        <v>1.21158421538462</v>
      </c>
      <c r="G6" s="10" t="n">
        <f aca="false">F6*(1+q2_dg)</f>
        <v>1.35697432123077</v>
      </c>
      <c r="H6" s="8" t="s">
        <v>423</v>
      </c>
      <c r="I6" s="8" t="s">
        <v>424</v>
      </c>
    </row>
    <row r="7" customFormat="false" ht="17.15" hidden="false" customHeight="false" outlineLevel="0" collapsed="false">
      <c r="A7" s="5" t="s">
        <v>425</v>
      </c>
      <c r="B7" s="10" t="n">
        <f aca="false">B5-B6</f>
        <v>1.47977989361194</v>
      </c>
      <c r="C7" s="10" t="n">
        <f aca="false">C5-C6</f>
        <v>2.07851699692308</v>
      </c>
      <c r="D7" s="10" t="n">
        <f aca="false">D5-D6</f>
        <v>0.564492307692307</v>
      </c>
      <c r="E7" s="10" t="n">
        <f aca="false">E5-E6</f>
        <v>0.626586461538461</v>
      </c>
      <c r="F7" s="10" t="n">
        <f aca="false">E7*(1+q_cg)</f>
        <v>0.657915784615384</v>
      </c>
      <c r="G7" s="10" t="n">
        <f aca="false">F7*(1+q_cg)</f>
        <v>0.690811573846153</v>
      </c>
      <c r="H7" s="8" t="s">
        <v>28</v>
      </c>
    </row>
    <row r="8" customFormat="false" ht="17.15" hidden="false" customHeight="false" outlineLevel="0" collapsed="false">
      <c r="A8" s="5" t="s">
        <v>426</v>
      </c>
      <c r="B8" s="10" t="n">
        <f aca="false">a25_ind_in</f>
        <v>2.0549</v>
      </c>
      <c r="C8" s="10" t="n">
        <f aca="false">a26_ind_in</f>
        <v>1.8436</v>
      </c>
      <c r="D8" s="10" t="n">
        <f aca="false">q3_ind</f>
        <v>0.444</v>
      </c>
      <c r="E8" s="10" t="n">
        <f aca="false">q4_ind</f>
        <v>0.4305</v>
      </c>
      <c r="F8" s="10" t="n">
        <f aca="false">E8*(1+q_ig)</f>
        <v>0.4305</v>
      </c>
      <c r="G8" s="10" t="n">
        <f aca="false">F8*(1+q_ig)</f>
        <v>0.4305</v>
      </c>
      <c r="H8" s="8" t="s">
        <v>427</v>
      </c>
      <c r="I8" s="8" t="s">
        <v>428</v>
      </c>
    </row>
    <row r="9" customFormat="false" ht="17.15" hidden="false" customHeight="false" outlineLevel="0" collapsed="false">
      <c r="A9" s="0" t="s">
        <v>429</v>
      </c>
      <c r="B9" s="10" t="n">
        <f aca="false">a25_gp_in</f>
        <v>2.2023</v>
      </c>
      <c r="C9" s="10" t="n">
        <f aca="false">a26_gp_in</f>
        <v>2.8065</v>
      </c>
      <c r="F9" s="10" t="n">
        <f aca="false">F4*q1_gm</f>
        <v>0.9315</v>
      </c>
      <c r="H9" s="8" t="s">
        <v>130</v>
      </c>
    </row>
    <row r="10" customFormat="false" ht="17.15" hidden="false" customHeight="false" outlineLevel="0" collapsed="false">
      <c r="A10" s="0" t="s">
        <v>430</v>
      </c>
      <c r="B10" s="16" t="n">
        <f aca="false">B9/B4</f>
        <v>0.379046832240409</v>
      </c>
      <c r="C10" s="16" t="n">
        <f aca="false">C9/C4</f>
        <v>0.394271023573375</v>
      </c>
      <c r="F10" s="16" t="n">
        <f aca="false">F9/F4</f>
        <v>0.405</v>
      </c>
      <c r="H10" s="8" t="s">
        <v>28</v>
      </c>
    </row>
    <row r="11" customFormat="false" ht="17.15" hidden="false" customHeight="false" outlineLevel="0" collapsed="false">
      <c r="A11" s="0" t="s">
        <v>431</v>
      </c>
      <c r="B11" s="10" t="n">
        <f aca="false">a25_opx_in</f>
        <v>1.1653</v>
      </c>
      <c r="C11" s="10" t="n">
        <f aca="false">a26_opx_in</f>
        <v>1.3496</v>
      </c>
      <c r="F11" s="10" t="n">
        <f aca="false">q1_opx</f>
        <v>0.41</v>
      </c>
      <c r="H11" s="8" t="s">
        <v>130</v>
      </c>
    </row>
    <row r="12" customFormat="false" ht="17.15" hidden="false" customHeight="false" outlineLevel="0" collapsed="false">
      <c r="A12" s="0" t="s">
        <v>432</v>
      </c>
      <c r="B12" s="10" t="n">
        <f aca="false">B9-B11</f>
        <v>1.037</v>
      </c>
      <c r="C12" s="10" t="n">
        <f aca="false">C9-C11</f>
        <v>1.4569</v>
      </c>
      <c r="F12" s="10" t="n">
        <f aca="false">F9-F11</f>
        <v>0.5215</v>
      </c>
      <c r="H12" s="8" t="s">
        <v>28</v>
      </c>
      <c r="I12" s="8" t="s">
        <v>433</v>
      </c>
    </row>
    <row r="13" customFormat="false" ht="17.15" hidden="false" customHeight="false" outlineLevel="0" collapsed="false">
      <c r="A13" s="0" t="s">
        <v>434</v>
      </c>
      <c r="B13" s="10" t="n">
        <f aca="false">a25_int_in</f>
        <v>0.1673</v>
      </c>
      <c r="C13" s="10" t="n">
        <f aca="false">a26_int_in</f>
        <v>0.1181</v>
      </c>
      <c r="F13" s="10" t="n">
        <f aca="false">int_f/4</f>
        <v>0.02</v>
      </c>
      <c r="H13" s="8" t="s">
        <v>130</v>
      </c>
    </row>
    <row r="14" customFormat="false" ht="17.15" hidden="false" customHeight="false" outlineLevel="0" collapsed="false">
      <c r="A14" s="0" t="s">
        <v>244</v>
      </c>
      <c r="B14" s="16" t="n">
        <f aca="false">a25_tax_in/(B12-B13)</f>
        <v>0.211567207082902</v>
      </c>
      <c r="C14" s="16" t="n">
        <f aca="false">a26_tax_in/(C12-C13)</f>
        <v>0.190020914251569</v>
      </c>
      <c r="F14" s="16" t="n">
        <f aca="false">tx</f>
        <v>0.19</v>
      </c>
      <c r="H14" s="8" t="s">
        <v>28</v>
      </c>
    </row>
    <row r="15" customFormat="false" ht="17.15" hidden="false" customHeight="false" outlineLevel="0" collapsed="false">
      <c r="A15" s="5" t="s">
        <v>435</v>
      </c>
      <c r="B15" s="10" t="n">
        <f aca="false">a25_ni_in-(B12-B13)*(1-B14)</f>
        <v>0.0068999999999998</v>
      </c>
      <c r="C15" s="10" t="n">
        <f aca="false">a26_ni_in-(C12-C13)*(1-C14)</f>
        <v>0.0122</v>
      </c>
      <c r="F15" s="10" t="n">
        <f aca="false">nci/4</f>
        <v>0.00305</v>
      </c>
      <c r="H15" s="8" t="s">
        <v>28</v>
      </c>
    </row>
    <row r="16" customFormat="false" ht="17.15" hidden="false" customHeight="false" outlineLevel="0" collapsed="false">
      <c r="A16" s="0" t="s">
        <v>436</v>
      </c>
      <c r="B16" s="10" t="n">
        <f aca="false">a25_ni_in</f>
        <v>0.6926</v>
      </c>
      <c r="C16" s="10" t="n">
        <f aca="false">a26_ni_in</f>
        <v>1.0966</v>
      </c>
      <c r="F16" s="10" t="n">
        <f aca="false">(F12-F13)*(1-F14)+F15</f>
        <v>0.409265</v>
      </c>
      <c r="H16" s="8" t="s">
        <v>437</v>
      </c>
    </row>
    <row r="17" customFormat="false" ht="17.15" hidden="false" customHeight="false" outlineLevel="0" collapsed="false">
      <c r="A17" s="5" t="s">
        <v>438</v>
      </c>
      <c r="B17" s="10" t="n">
        <f aca="false">a25_ni_in-a25_eps_in*a25_sh_in</f>
        <v>0.130624</v>
      </c>
      <c r="C17" s="10" t="n">
        <f aca="false">0</f>
        <v>0</v>
      </c>
      <c r="F17" s="10" t="n">
        <f aca="false">0</f>
        <v>0</v>
      </c>
      <c r="H17" s="8" t="s">
        <v>28</v>
      </c>
      <c r="I17" s="8" t="s">
        <v>439</v>
      </c>
    </row>
    <row r="18" customFormat="false" ht="17.15" hidden="false" customHeight="false" outlineLevel="0" collapsed="false">
      <c r="A18" s="0" t="s">
        <v>440</v>
      </c>
      <c r="B18" s="17" t="n">
        <f aca="false">a25_sh_in</f>
        <v>0.1592</v>
      </c>
      <c r="C18" s="17" t="n">
        <f aca="false">a26_sh_in</f>
        <v>0.1954</v>
      </c>
      <c r="E18" s="17" t="n">
        <f aca="false">sh_q4</f>
        <v>0.2022</v>
      </c>
      <c r="F18" s="17" t="n">
        <f aca="false">sh_q4</f>
        <v>0.2022</v>
      </c>
      <c r="H18" s="8" t="s">
        <v>130</v>
      </c>
    </row>
    <row r="19" customFormat="false" ht="17.15" hidden="false" customHeight="false" outlineLevel="0" collapsed="false">
      <c r="A19" s="0" t="s">
        <v>441</v>
      </c>
      <c r="B19" s="9" t="n">
        <f aca="false">(B16-B17)/B18</f>
        <v>3.53</v>
      </c>
      <c r="C19" s="9" t="n">
        <f aca="false">(C16-C17)/C18</f>
        <v>5.61207778915046</v>
      </c>
      <c r="F19" s="9" t="n">
        <f aca="false">(F16-F17)/F18</f>
        <v>2.02406033630069</v>
      </c>
      <c r="H19" s="8" t="s">
        <v>28</v>
      </c>
      <c r="I19" s="8" t="s">
        <v>442</v>
      </c>
    </row>
    <row r="21" customFormat="false" ht="15" hidden="false" customHeight="false" outlineLevel="0" collapsed="false">
      <c r="A21" s="3" t="s">
        <v>443</v>
      </c>
    </row>
    <row r="22" customFormat="false" ht="17.15" hidden="false" customHeight="false" outlineLevel="0" collapsed="false">
      <c r="A22" s="0" t="s">
        <v>444</v>
      </c>
      <c r="B22" s="16" t="n">
        <f aca="false">C4/B4-1</f>
        <v>0.225142424398892</v>
      </c>
    </row>
    <row r="23" customFormat="false" ht="17.15" hidden="false" customHeight="false" outlineLevel="0" collapsed="false">
      <c r="A23" s="0" t="s">
        <v>445</v>
      </c>
      <c r="B23" s="16" t="n">
        <f aca="false">C11/B11-1</f>
        <v>0.158156697846048</v>
      </c>
    </row>
    <row r="24" customFormat="false" ht="17.15" hidden="false" customHeight="false" outlineLevel="0" collapsed="false">
      <c r="A24" s="5" t="s">
        <v>446</v>
      </c>
      <c r="B24" s="9" t="n">
        <f aca="false">B23/B22</f>
        <v>0.702473992932746</v>
      </c>
    </row>
    <row r="25" customFormat="false" ht="17.15" hidden="false" customHeight="false" outlineLevel="0" collapsed="false">
      <c r="A25" s="0" t="s">
        <v>447</v>
      </c>
      <c r="B25" s="10" t="n">
        <f aca="false">D6+E6+F6+G6</f>
        <v>4.35407976738462</v>
      </c>
    </row>
    <row r="26" customFormat="false" ht="17.15" hidden="false" customHeight="false" outlineLevel="0" collapsed="false">
      <c r="A26" s="0" t="s">
        <v>448</v>
      </c>
      <c r="B26" s="10" t="n">
        <f aca="false">F6+G6</f>
        <v>2.56855853661539</v>
      </c>
    </row>
    <row r="27" customFormat="false" ht="17.15" hidden="false" customHeight="false" outlineLevel="0" collapsed="false">
      <c r="A27" s="0" t="s">
        <v>449</v>
      </c>
      <c r="B27" s="16" t="n">
        <f aca="false">(D6+E6)/B25</f>
        <v>0.410080045878844</v>
      </c>
    </row>
    <row r="28" customFormat="false" ht="17.15" hidden="false" customHeight="false" outlineLevel="0" collapsed="false">
      <c r="A28" s="5" t="s">
        <v>450</v>
      </c>
      <c r="B28" s="16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451</v>
      </c>
      <c r="B29" s="16" t="n">
        <f aca="false">F19/q1_eps-1</f>
        <v>0.0379796596413808</v>
      </c>
    </row>
    <row r="30" customFormat="false" ht="17.15" hidden="false" customHeight="false" outlineLevel="0" collapsed="false">
      <c r="A30" s="0" t="s">
        <v>452</v>
      </c>
      <c r="B30" s="16" t="n">
        <f aca="false">C6/C5</f>
        <v>0.605938460371767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453</v>
      </c>
    </row>
    <row r="3" customFormat="false" ht="15" hidden="false" customHeight="false" outlineLevel="0" collapsed="false">
      <c r="A3" s="6" t="s">
        <v>16</v>
      </c>
      <c r="B3" s="6" t="s">
        <v>17</v>
      </c>
      <c r="C3" s="15" t="s">
        <v>454</v>
      </c>
      <c r="D3" s="15" t="s">
        <v>455</v>
      </c>
      <c r="E3" s="15" t="s">
        <v>456</v>
      </c>
      <c r="F3" s="15" t="s">
        <v>457</v>
      </c>
      <c r="G3" s="6" t="s">
        <v>418</v>
      </c>
    </row>
    <row r="4" customFormat="false" ht="17.15" hidden="false" customHeight="false" outlineLevel="0" collapsed="false">
      <c r="A4" s="0" t="s">
        <v>458</v>
      </c>
      <c r="B4" s="0" t="s">
        <v>27</v>
      </c>
      <c r="C4" s="18" t="n">
        <f aca="false">PL!D63</f>
        <v>29.753262</v>
      </c>
      <c r="D4" s="18" t="n">
        <f aca="false">PL!E63</f>
        <v>54.688309</v>
      </c>
      <c r="E4" s="18" t="n">
        <f aca="false">PL!F63</f>
        <v>61.21325</v>
      </c>
      <c r="F4" s="18" t="n">
        <f aca="false">PL!G63</f>
        <v>78.80848</v>
      </c>
      <c r="G4" s="8" t="s">
        <v>459</v>
      </c>
    </row>
    <row r="5" customFormat="false" ht="17.15" hidden="false" customHeight="false" outlineLevel="0" collapsed="false">
      <c r="A5" s="0" t="s">
        <v>460</v>
      </c>
      <c r="B5" s="0" t="s">
        <v>27</v>
      </c>
      <c r="C5" s="18" t="n">
        <f aca="false">PL!D64</f>
        <v>0.300538</v>
      </c>
      <c r="D5" s="18" t="n">
        <f aca="false">PL!E64</f>
        <v>1.691391</v>
      </c>
      <c r="E5" s="18" t="n">
        <f aca="false">PL!F64</f>
        <v>3.22175</v>
      </c>
      <c r="F5" s="18" t="n">
        <f aca="false">PL!G64</f>
        <v>5.87368</v>
      </c>
      <c r="G5" s="5" t="s">
        <v>33</v>
      </c>
    </row>
    <row r="6" customFormat="false" ht="17.15" hidden="false" customHeight="false" outlineLevel="0" collapsed="false">
      <c r="A6" s="0" t="s">
        <v>461</v>
      </c>
      <c r="B6" s="0" t="s">
        <v>60</v>
      </c>
      <c r="C6" s="16" t="n">
        <f aca="false">PL!D67</f>
        <v>0.146339576728919</v>
      </c>
      <c r="D6" s="16" t="n">
        <f aca="false">PL!E67</f>
        <v>0.16097353440181</v>
      </c>
      <c r="E6" s="16" t="n">
        <f aca="false">PL!F67</f>
        <v>0.168290513238256</v>
      </c>
      <c r="F6" s="16" t="n">
        <f aca="false">PL!G67</f>
        <v>0.168290513238256</v>
      </c>
      <c r="G6" s="8" t="s">
        <v>462</v>
      </c>
    </row>
    <row r="7" customFormat="false" ht="17.15" hidden="false" customHeight="false" outlineLevel="0" collapsed="false">
      <c r="A7" s="5" t="s">
        <v>463</v>
      </c>
      <c r="B7" s="0" t="s">
        <v>60</v>
      </c>
      <c r="C7" s="16" t="n">
        <f aca="false">inl_26</f>
        <v>0.421833385510356</v>
      </c>
      <c r="D7" s="16" t="n">
        <f aca="false">inl_27</f>
        <v>0.400741716234838</v>
      </c>
      <c r="E7" s="16" t="n">
        <f aca="false">inl_28</f>
        <v>0.37965004695932</v>
      </c>
      <c r="F7" s="16" t="n">
        <f aca="false">inl_29</f>
        <v>0.358558377683802</v>
      </c>
      <c r="G7" s="5" t="s">
        <v>464</v>
      </c>
    </row>
    <row r="8" customFormat="false" ht="17.15" hidden="false" customHeight="false" outlineLevel="0" collapsed="false">
      <c r="A8" s="5" t="s">
        <v>465</v>
      </c>
      <c r="B8" s="0" t="s">
        <v>60</v>
      </c>
      <c r="C8" s="16" t="n">
        <f aca="false">C6+C7</f>
        <v>0.568172962239275</v>
      </c>
      <c r="D8" s="16" t="n">
        <f aca="false">D6+D7</f>
        <v>0.561715250636648</v>
      </c>
      <c r="E8" s="16" t="n">
        <f aca="false">E6+E7</f>
        <v>0.547940560197576</v>
      </c>
      <c r="F8" s="16" t="n">
        <f aca="false">F6+F7</f>
        <v>0.526848890922058</v>
      </c>
      <c r="G8" s="5" t="s">
        <v>466</v>
      </c>
    </row>
    <row r="9" customFormat="false" ht="17.15" hidden="false" customHeight="false" outlineLevel="0" collapsed="false">
      <c r="A9" s="0" t="s">
        <v>467</v>
      </c>
      <c r="B9" s="0" t="s">
        <v>27</v>
      </c>
      <c r="C9" s="19" t="n">
        <f aca="false">PL!D70</f>
        <v>4.35407976738462</v>
      </c>
      <c r="D9" s="19" t="n">
        <f aca="false">PL!E70</f>
        <v>8.97250949018834</v>
      </c>
      <c r="E9" s="19" t="n">
        <f aca="false">PL!F70</f>
        <v>10.7848717594817</v>
      </c>
      <c r="F9" s="19" t="n">
        <f aca="false">PL!G70</f>
        <v>14.4374555467269</v>
      </c>
    </row>
    <row r="10" customFormat="false" ht="17.15" hidden="false" customHeight="false" outlineLevel="0" collapsed="false">
      <c r="A10" s="5" t="s">
        <v>468</v>
      </c>
      <c r="B10" s="0" t="s">
        <v>27</v>
      </c>
      <c r="C10" s="18" t="n">
        <f aca="false">C4+C5-C7*C4-C9</f>
        <v>13.1488009931788</v>
      </c>
      <c r="D10" s="18" t="n">
        <f aca="false">D4+D5-D7*D4-D9</f>
        <v>25.4913037031705</v>
      </c>
      <c r="E10" s="18" t="n">
        <f aca="false">E4+E5-E7*E4-E9</f>
        <v>30.4105150034857</v>
      </c>
      <c r="F10" s="18" t="n">
        <f aca="false">F4+F5-F7*F4-F9</f>
        <v>41.9872637167468</v>
      </c>
      <c r="G10" s="5" t="s">
        <v>469</v>
      </c>
    </row>
    <row r="11" customFormat="false" ht="17.15" hidden="false" customHeight="false" outlineLevel="0" collapsed="false">
      <c r="A11" s="0" t="s">
        <v>470</v>
      </c>
      <c r="B11" s="0" t="s">
        <v>60</v>
      </c>
      <c r="C11" s="20" t="n">
        <f aca="false">PL!D70/itc_26</f>
        <v>0.00556878192679601</v>
      </c>
      <c r="D11" s="20" t="n">
        <f aca="false">PL!E70/itc_27</f>
        <v>0.00573195099510547</v>
      </c>
      <c r="E11" s="20" t="n">
        <f aca="false">PL!F70/itc_28</f>
        <v>0.00543520033795545</v>
      </c>
      <c r="F11" s="20" t="n">
        <f aca="false">PL!G70/itc_29</f>
        <v>0.00638715167405538</v>
      </c>
      <c r="G11" s="8" t="s">
        <v>471</v>
      </c>
    </row>
    <row r="12" customFormat="false" ht="17.15" hidden="false" customHeight="false" outlineLevel="0" collapsed="false">
      <c r="A12" s="5" t="s">
        <v>472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474</v>
      </c>
    </row>
    <row r="2" customFormat="false" ht="17.15" hidden="false" customHeight="false" outlineLevel="0" collapsed="false">
      <c r="A2" s="5" t="s">
        <v>475</v>
      </c>
    </row>
    <row r="3" customFormat="false" ht="17.15" hidden="false" customHeight="false" outlineLevel="0" collapsed="false">
      <c r="A3" s="6" t="s">
        <v>476</v>
      </c>
      <c r="B3" s="6" t="s">
        <v>17</v>
      </c>
      <c r="C3" s="15" t="s">
        <v>412</v>
      </c>
      <c r="D3" s="15" t="s">
        <v>477</v>
      </c>
      <c r="E3" s="15" t="s">
        <v>478</v>
      </c>
      <c r="F3" s="15" t="s">
        <v>479</v>
      </c>
      <c r="G3" s="15" t="s">
        <v>480</v>
      </c>
      <c r="H3" s="15" t="s">
        <v>481</v>
      </c>
      <c r="I3" s="15" t="s">
        <v>482</v>
      </c>
      <c r="J3" s="15" t="s">
        <v>483</v>
      </c>
      <c r="K3" s="6" t="s">
        <v>418</v>
      </c>
    </row>
    <row r="4" customFormat="false" ht="17.15" hidden="false" customHeight="false" outlineLevel="0" collapsed="false">
      <c r="A4" s="3" t="s">
        <v>484</v>
      </c>
    </row>
    <row r="5" customFormat="false" ht="15" hidden="false" customHeight="false" outlineLevel="0" collapsed="false">
      <c r="A5" s="5" t="s">
        <v>419</v>
      </c>
      <c r="B5" s="0" t="s">
        <v>27</v>
      </c>
      <c r="C5" s="19" t="n">
        <f aca="false">C75</f>
        <v>5.8101</v>
      </c>
      <c r="D5" s="19" t="n">
        <f aca="false">D75</f>
        <v>7.1182</v>
      </c>
      <c r="E5" s="19" t="n">
        <f aca="false">E75</f>
        <v>10.9465732984097</v>
      </c>
      <c r="F5" s="19" t="n">
        <f aca="false">F75</f>
        <v>14.4439849779279</v>
      </c>
      <c r="G5" s="19" t="n">
        <f aca="false">G75</f>
        <v>17.4185443929883</v>
      </c>
      <c r="H5" s="21" t="n">
        <f aca="false">H75</f>
        <v>20.1583372833857</v>
      </c>
      <c r="I5" s="21" t="n">
        <f aca="false">I75</f>
        <v>22.3484572216951</v>
      </c>
      <c r="J5" s="21" t="n">
        <f aca="false">J75</f>
        <v>23.6893646549968</v>
      </c>
    </row>
    <row r="6" customFormat="false" ht="15" hidden="false" customHeight="false" outlineLevel="0" collapsed="false">
      <c r="A6" s="5" t="s">
        <v>485</v>
      </c>
      <c r="B6" s="0" t="s">
        <v>60</v>
      </c>
      <c r="D6" s="16" t="n">
        <f aca="false">D76</f>
        <v>0.225142424398892</v>
      </c>
      <c r="E6" s="16" t="n">
        <f aca="false">E76</f>
        <v>0.537828846957055</v>
      </c>
      <c r="F6" s="16" t="n">
        <f aca="false">F76</f>
        <v>0.319498310948713</v>
      </c>
      <c r="G6" s="16" t="n">
        <f aca="false">G76</f>
        <v>0.205937587141348</v>
      </c>
      <c r="H6" s="22" t="n">
        <f aca="false">H76</f>
        <v>0.157291724760899</v>
      </c>
      <c r="I6" s="22" t="n">
        <f aca="false">I76</f>
        <v>0.108645862380449</v>
      </c>
      <c r="J6" s="22" t="n">
        <f aca="false">J76</f>
        <v>0.06</v>
      </c>
    </row>
    <row r="7" customFormat="false" ht="15" hidden="false" customHeight="false" outlineLevel="0" collapsed="false">
      <c r="A7" s="5" t="s">
        <v>486</v>
      </c>
      <c r="B7" s="0" t="s">
        <v>27</v>
      </c>
      <c r="C7" s="19" t="n">
        <f aca="false">C72</f>
        <v>2.27542010638806</v>
      </c>
      <c r="D7" s="19" t="n">
        <f aca="false">D72</f>
        <v>3.19608300307692</v>
      </c>
      <c r="E7" s="19" t="n">
        <f aca="false">E72</f>
        <v>6.69591290210202</v>
      </c>
      <c r="F7" s="19" t="n">
        <f aca="false">F72</f>
        <v>9.80619613406329</v>
      </c>
      <c r="G7" s="19" t="n">
        <f aca="false">G72</f>
        <v>12.4650603016145</v>
      </c>
    </row>
    <row r="8" customFormat="false" ht="15" hidden="false" customHeight="false" outlineLevel="0" collapsed="false">
      <c r="A8" s="5" t="s">
        <v>487</v>
      </c>
      <c r="B8" s="0" t="s">
        <v>27</v>
      </c>
      <c r="C8" s="19" t="n">
        <f aca="false">C73</f>
        <v>1.47977989361194</v>
      </c>
      <c r="D8" s="19" t="n">
        <f aca="false">D73</f>
        <v>2.07851699692308</v>
      </c>
      <c r="E8" s="19" t="n">
        <f aca="false">E73</f>
        <v>2.49422039630769</v>
      </c>
      <c r="F8" s="19" t="n">
        <f aca="false">F73</f>
        <v>2.79352684386461</v>
      </c>
      <c r="G8" s="19" t="n">
        <f aca="false">G73</f>
        <v>3.01700899137378</v>
      </c>
    </row>
    <row r="9" customFormat="false" ht="15" hidden="false" customHeight="false" outlineLevel="0" collapsed="false">
      <c r="A9" s="5" t="s">
        <v>488</v>
      </c>
      <c r="B9" s="0" t="s">
        <v>27</v>
      </c>
      <c r="C9" s="19" t="n">
        <f aca="false">C74</f>
        <v>2.0549</v>
      </c>
      <c r="D9" s="19" t="n">
        <f aca="false">D74</f>
        <v>1.8436</v>
      </c>
      <c r="E9" s="19" t="n">
        <f aca="false">E74</f>
        <v>1.75644</v>
      </c>
      <c r="F9" s="19" t="n">
        <f aca="false">F74</f>
        <v>1.844262</v>
      </c>
      <c r="G9" s="19" t="n">
        <f aca="false">G74</f>
        <v>1.9364751</v>
      </c>
    </row>
    <row r="10" customFormat="false" ht="17.15" hidden="false" customHeight="false" outlineLevel="0" collapsed="false">
      <c r="A10" s="5" t="s">
        <v>489</v>
      </c>
      <c r="B10" s="0" t="s">
        <v>60</v>
      </c>
      <c r="C10" s="16" t="n">
        <f aca="false">C77</f>
        <v>0.391631831876914</v>
      </c>
      <c r="D10" s="16" t="n">
        <f aca="false">D77</f>
        <v>0.449001573863747</v>
      </c>
      <c r="E10" s="16" t="n">
        <f aca="false">E77</f>
        <v>0.611690318017127</v>
      </c>
      <c r="F10" s="16" t="n">
        <f aca="false">F77</f>
        <v>0.678912097253514</v>
      </c>
      <c r="G10" s="16" t="n">
        <f aca="false">G77</f>
        <v>0.715620089737936</v>
      </c>
    </row>
    <row r="11" customFormat="false" ht="15" hidden="false" customHeight="false" outlineLevel="0" collapsed="false">
      <c r="A11" s="5" t="s">
        <v>490</v>
      </c>
      <c r="B11" s="0" t="s">
        <v>60</v>
      </c>
      <c r="C11" s="16" t="n">
        <f aca="false">C79</f>
        <v>0.379046832240409</v>
      </c>
      <c r="D11" s="16" t="n">
        <f aca="false">D79</f>
        <v>0.394271023573375</v>
      </c>
      <c r="E11" s="16" t="n">
        <f aca="false">E79</f>
        <v>0.41</v>
      </c>
      <c r="F11" s="16" t="n">
        <f aca="false">F79</f>
        <v>0.42</v>
      </c>
      <c r="G11" s="16" t="n">
        <f aca="false">G79</f>
        <v>0.42</v>
      </c>
    </row>
    <row r="12" customFormat="false" ht="15" hidden="false" customHeight="false" outlineLevel="0" collapsed="false">
      <c r="A12" s="5" t="s">
        <v>491</v>
      </c>
      <c r="B12" s="0" t="s">
        <v>60</v>
      </c>
      <c r="C12" s="16" t="n">
        <f aca="false">C84</f>
        <v>0.178482298067159</v>
      </c>
      <c r="D12" s="16" t="n">
        <f aca="false">D84</f>
        <v>0.204672529572083</v>
      </c>
      <c r="E12" s="16" t="n">
        <f aca="false">E84</f>
        <v>0.240130089589941</v>
      </c>
      <c r="F12" s="16" t="n">
        <f aca="false">F84</f>
        <v>0.262367826701785</v>
      </c>
      <c r="G12" s="16" t="n">
        <f aca="false">G84</f>
        <v>0.270376868967681</v>
      </c>
    </row>
    <row r="13" customFormat="false" ht="15" hidden="false" customHeight="false" outlineLevel="0" collapsed="false">
      <c r="A13" s="5" t="s">
        <v>492</v>
      </c>
      <c r="B13" s="0" t="s">
        <v>27</v>
      </c>
      <c r="C13" s="19" t="n">
        <f aca="false">C87</f>
        <v>0.6926</v>
      </c>
      <c r="D13" s="19" t="n">
        <f aca="false">D87</f>
        <v>1.0966</v>
      </c>
      <c r="E13" s="19" t="n">
        <f aca="false">E87</f>
        <v>2.07656731774848</v>
      </c>
      <c r="F13" s="19" t="n">
        <f aca="false">F87</f>
        <v>3.01700592753346</v>
      </c>
      <c r="G13" s="19" t="n">
        <f aca="false">G87</f>
        <v>3.76215291091008</v>
      </c>
      <c r="H13" s="21" t="n">
        <f aca="false">H87</f>
        <v>4.35390843108136</v>
      </c>
      <c r="I13" s="21" t="n">
        <f aca="false">I87</f>
        <v>4.8269425673017</v>
      </c>
      <c r="J13" s="21" t="n">
        <f aca="false">J87</f>
        <v>5.11655912133981</v>
      </c>
    </row>
    <row r="14" customFormat="false" ht="15" hidden="false" customHeight="false" outlineLevel="0" collapsed="false">
      <c r="A14" s="0" t="s">
        <v>493</v>
      </c>
      <c r="B14" s="0" t="s">
        <v>188</v>
      </c>
      <c r="C14" s="9" t="n">
        <f aca="false">C91</f>
        <v>3.53</v>
      </c>
      <c r="D14" s="9" t="n">
        <f aca="false">D91</f>
        <v>5.61207778915046</v>
      </c>
      <c r="E14" s="9" t="n">
        <f aca="false">E91</f>
        <v>10.168186178514</v>
      </c>
      <c r="F14" s="9" t="n">
        <f aca="false">F91</f>
        <v>14.62689906923</v>
      </c>
      <c r="G14" s="9" t="n">
        <f aca="false">G91</f>
        <v>18.058894907649</v>
      </c>
      <c r="H14" s="23" t="n">
        <f aca="false">H91</f>
        <v>20.6924847870782</v>
      </c>
      <c r="I14" s="23" t="n">
        <f aca="false">I91</f>
        <v>22.7135026154105</v>
      </c>
      <c r="J14" s="23" t="n">
        <f aca="false">J91</f>
        <v>23.8379334379556</v>
      </c>
    </row>
    <row r="15" customFormat="false" ht="17.15" hidden="false" customHeight="false" outlineLevel="0" collapsed="false">
      <c r="A15" s="0" t="s">
        <v>494</v>
      </c>
      <c r="B15" s="0" t="s">
        <v>60</v>
      </c>
      <c r="D15" s="16" t="n">
        <f aca="false">D92</f>
        <v>0.589823736303247</v>
      </c>
      <c r="E15" s="16" t="n">
        <f aca="false">E92</f>
        <v>0.811839849791751</v>
      </c>
      <c r="F15" s="16" t="n">
        <f aca="false">F92</f>
        <v>0.438496385927471</v>
      </c>
      <c r="G15" s="16" t="n">
        <f aca="false">G92</f>
        <v>0.234635914432384</v>
      </c>
      <c r="H15" s="22" t="n">
        <f aca="false">H92</f>
        <v>0.145833390852375</v>
      </c>
      <c r="I15" s="22" t="n">
        <f aca="false">I92</f>
        <v>0.0976691706737123</v>
      </c>
      <c r="J15" s="22" t="n">
        <f aca="false">J92</f>
        <v>0.0495049504950496</v>
      </c>
    </row>
    <row r="17" customFormat="false" ht="17.15" hidden="false" customHeight="false" outlineLevel="0" collapsed="false">
      <c r="A17" s="3" t="s">
        <v>495</v>
      </c>
    </row>
    <row r="18" customFormat="false" ht="15" hidden="false" customHeight="false" outlineLevel="0" collapsed="false">
      <c r="A18" s="5" t="s">
        <v>419</v>
      </c>
      <c r="B18" s="0" t="s">
        <v>27</v>
      </c>
      <c r="C18" s="19" t="n">
        <f aca="false">C110</f>
        <v>5.8101</v>
      </c>
      <c r="D18" s="19" t="n">
        <f aca="false">D110</f>
        <v>7.1182</v>
      </c>
      <c r="E18" s="19" t="n">
        <f aca="false">E110</f>
        <v>10.9465732984097</v>
      </c>
      <c r="F18" s="19" t="n">
        <f aca="false">F110</f>
        <v>13.4517767760556</v>
      </c>
      <c r="G18" s="19" t="n">
        <f aca="false">G110</f>
        <v>15.2575938102401</v>
      </c>
      <c r="H18" s="21" t="n">
        <f aca="false">H110</f>
        <v>16.8265195242544</v>
      </c>
      <c r="I18" s="21" t="n">
        <f aca="false">I110</f>
        <v>18.0281784365529</v>
      </c>
      <c r="J18" s="21" t="n">
        <f aca="false">J110</f>
        <v>18.7493055740151</v>
      </c>
    </row>
    <row r="19" customFormat="false" ht="15" hidden="false" customHeight="false" outlineLevel="0" collapsed="false">
      <c r="A19" s="5" t="s">
        <v>485</v>
      </c>
      <c r="B19" s="0" t="s">
        <v>60</v>
      </c>
      <c r="D19" s="16" t="n">
        <f aca="false">D111</f>
        <v>0.225142424398892</v>
      </c>
      <c r="E19" s="16" t="n">
        <f aca="false">E111</f>
        <v>0.537828846957055</v>
      </c>
      <c r="F19" s="16" t="n">
        <f aca="false">F111</f>
        <v>0.228857324511756</v>
      </c>
      <c r="G19" s="16" t="n">
        <f aca="false">G111</f>
        <v>0.134243755620364</v>
      </c>
      <c r="H19" s="22" t="n">
        <f aca="false">H111</f>
        <v>0.102829170413576</v>
      </c>
      <c r="I19" s="22" t="n">
        <f aca="false">I111</f>
        <v>0.0714145852067881</v>
      </c>
      <c r="J19" s="22" t="n">
        <f aca="false">J111</f>
        <v>0.04</v>
      </c>
    </row>
    <row r="20" customFormat="false" ht="15" hidden="false" customHeight="false" outlineLevel="0" collapsed="false">
      <c r="A20" s="5" t="s">
        <v>486</v>
      </c>
      <c r="B20" s="0" t="s">
        <v>27</v>
      </c>
      <c r="C20" s="19" t="n">
        <f aca="false">C107</f>
        <v>2.27542010638806</v>
      </c>
      <c r="D20" s="19" t="n">
        <f aca="false">D107</f>
        <v>3.19608300307692</v>
      </c>
      <c r="E20" s="19" t="n">
        <f aca="false">E107</f>
        <v>6.69591290210202</v>
      </c>
      <c r="F20" s="19" t="n">
        <f aca="false">F107</f>
        <v>8.81398793219097</v>
      </c>
      <c r="G20" s="19" t="n">
        <f aca="false">G107</f>
        <v>10.3041097188663</v>
      </c>
    </row>
    <row r="21" customFormat="false" ht="15" hidden="false" customHeight="false" outlineLevel="0" collapsed="false">
      <c r="A21" s="5" t="s">
        <v>487</v>
      </c>
      <c r="B21" s="0" t="s">
        <v>27</v>
      </c>
      <c r="C21" s="19" t="n">
        <f aca="false">C108</f>
        <v>1.47977989361194</v>
      </c>
      <c r="D21" s="19" t="n">
        <f aca="false">D108</f>
        <v>2.07851699692308</v>
      </c>
      <c r="E21" s="19" t="n">
        <f aca="false">E108</f>
        <v>2.49422039630769</v>
      </c>
      <c r="F21" s="19" t="n">
        <f aca="false">F108</f>
        <v>2.79352684386461</v>
      </c>
      <c r="G21" s="19" t="n">
        <f aca="false">G108</f>
        <v>3.01700899137378</v>
      </c>
    </row>
    <row r="22" customFormat="false" ht="15" hidden="false" customHeight="false" outlineLevel="0" collapsed="false">
      <c r="A22" s="5" t="s">
        <v>488</v>
      </c>
      <c r="B22" s="0" t="s">
        <v>27</v>
      </c>
      <c r="C22" s="19" t="n">
        <f aca="false">C109</f>
        <v>2.0549</v>
      </c>
      <c r="D22" s="19" t="n">
        <f aca="false">D109</f>
        <v>1.8436</v>
      </c>
      <c r="E22" s="19" t="n">
        <f aca="false">E109</f>
        <v>1.75644</v>
      </c>
      <c r="F22" s="19" t="n">
        <f aca="false">F109</f>
        <v>1.844262</v>
      </c>
      <c r="G22" s="19" t="n">
        <f aca="false">G109</f>
        <v>1.9364751</v>
      </c>
    </row>
    <row r="23" customFormat="false" ht="17.15" hidden="false" customHeight="false" outlineLevel="0" collapsed="false">
      <c r="A23" s="5" t="s">
        <v>489</v>
      </c>
      <c r="B23" s="0" t="s">
        <v>60</v>
      </c>
      <c r="C23" s="16" t="n">
        <f aca="false">C112</f>
        <v>0.391631831876914</v>
      </c>
      <c r="D23" s="16" t="n">
        <f aca="false">D112</f>
        <v>0.449001573863747</v>
      </c>
      <c r="E23" s="16" t="n">
        <f aca="false">E112</f>
        <v>0.611690318017127</v>
      </c>
      <c r="F23" s="16" t="n">
        <f aca="false">F112</f>
        <v>0.655228530693435</v>
      </c>
      <c r="G23" s="16" t="n">
        <f aca="false">G112</f>
        <v>0.675343035541471</v>
      </c>
    </row>
    <row r="24" customFormat="false" ht="15" hidden="false" customHeight="false" outlineLevel="0" collapsed="false">
      <c r="A24" s="5" t="s">
        <v>490</v>
      </c>
      <c r="B24" s="0" t="s">
        <v>60</v>
      </c>
      <c r="C24" s="16" t="n">
        <f aca="false">C114</f>
        <v>0.379046832240409</v>
      </c>
      <c r="D24" s="16" t="n">
        <f aca="false">D114</f>
        <v>0.394271023573375</v>
      </c>
      <c r="E24" s="16" t="n">
        <f aca="false">E114</f>
        <v>0.41</v>
      </c>
      <c r="F24" s="16" t="n">
        <f aca="false">F114</f>
        <v>0.42</v>
      </c>
      <c r="G24" s="16" t="n">
        <f aca="false">G114</f>
        <v>0.42</v>
      </c>
    </row>
    <row r="25" customFormat="false" ht="15" hidden="false" customHeight="false" outlineLevel="0" collapsed="false">
      <c r="A25" s="5" t="s">
        <v>491</v>
      </c>
      <c r="B25" s="0" t="s">
        <v>60</v>
      </c>
      <c r="C25" s="16" t="n">
        <f aca="false">C119</f>
        <v>0.178482298067159</v>
      </c>
      <c r="D25" s="16" t="n">
        <f aca="false">D119</f>
        <v>0.204672529572083</v>
      </c>
      <c r="E25" s="16" t="n">
        <f aca="false">E119</f>
        <v>0.240130089589941</v>
      </c>
      <c r="F25" s="16" t="n">
        <f aca="false">F119</f>
        <v>0.259542584311463</v>
      </c>
      <c r="G25" s="16" t="n">
        <f aca="false">G119</f>
        <v>0.265192896235629</v>
      </c>
    </row>
    <row r="26" customFormat="false" ht="15" hidden="false" customHeight="false" outlineLevel="0" collapsed="false">
      <c r="A26" s="5" t="s">
        <v>492</v>
      </c>
      <c r="B26" s="0" t="s">
        <v>27</v>
      </c>
      <c r="C26" s="19" t="n">
        <f aca="false">C122</f>
        <v>0.6926</v>
      </c>
      <c r="D26" s="19" t="n">
        <f aca="false">D122</f>
        <v>1.0966</v>
      </c>
      <c r="E26" s="19" t="n">
        <f aca="false">E122</f>
        <v>2.07656731774848</v>
      </c>
      <c r="F26" s="19" t="n">
        <f aca="false">F122</f>
        <v>2.77536021551109</v>
      </c>
      <c r="G26" s="19" t="n">
        <f aca="false">G122</f>
        <v>3.22482644862074</v>
      </c>
      <c r="H26" s="21" t="n">
        <f aca="false">H122</f>
        <v>3.43788492115816</v>
      </c>
      <c r="I26" s="21" t="n">
        <f aca="false">I122</f>
        <v>3.5563862520744</v>
      </c>
      <c r="J26" s="21" t="n">
        <f aca="false">J122</f>
        <v>3.56654735565176</v>
      </c>
    </row>
    <row r="27" customFormat="false" ht="15" hidden="false" customHeight="false" outlineLevel="0" collapsed="false">
      <c r="A27" s="0" t="s">
        <v>493</v>
      </c>
      <c r="B27" s="0" t="s">
        <v>188</v>
      </c>
      <c r="C27" s="9" t="n">
        <f aca="false">C126</f>
        <v>3.53</v>
      </c>
      <c r="D27" s="9" t="n">
        <f aca="false">D126</f>
        <v>5.61207778915046</v>
      </c>
      <c r="E27" s="9" t="n">
        <f aca="false">E126</f>
        <v>10.168186178514</v>
      </c>
      <c r="F27" s="9" t="n">
        <f aca="false">F126</f>
        <v>13.4553642677877</v>
      </c>
      <c r="G27" s="9" t="n">
        <f aca="false">G126</f>
        <v>15.4796477735301</v>
      </c>
      <c r="H27" s="23" t="n">
        <f aca="false">H126</f>
        <v>16.3389705035947</v>
      </c>
      <c r="I27" s="23" t="n">
        <f aca="false">I126</f>
        <v>16.7348144941897</v>
      </c>
      <c r="J27" s="23" t="n">
        <f aca="false">J126</f>
        <v>16.6164636137499</v>
      </c>
    </row>
    <row r="28" customFormat="false" ht="17.15" hidden="false" customHeight="false" outlineLevel="0" collapsed="false">
      <c r="A28" s="0" t="s">
        <v>494</v>
      </c>
      <c r="B28" s="0" t="s">
        <v>60</v>
      </c>
      <c r="D28" s="16" t="n">
        <f aca="false">D127</f>
        <v>0.589823736303247</v>
      </c>
      <c r="E28" s="16" t="n">
        <f aca="false">E127</f>
        <v>0.811839849791751</v>
      </c>
      <c r="F28" s="16" t="n">
        <f aca="false">F127</f>
        <v>0.323280674799177</v>
      </c>
      <c r="G28" s="16" t="n">
        <f aca="false">G127</f>
        <v>0.150444348102013</v>
      </c>
      <c r="H28" s="22" t="n">
        <f aca="false">H127</f>
        <v>0.0555130673925317</v>
      </c>
      <c r="I28" s="22" t="n">
        <f aca="false">I127</f>
        <v>0.0242269848340755</v>
      </c>
      <c r="J28" s="22" t="n">
        <f aca="false">J127</f>
        <v>-0.00707213578500698</v>
      </c>
    </row>
    <row r="30" customFormat="false" ht="17.15" hidden="false" customHeight="false" outlineLevel="0" collapsed="false">
      <c r="A30" s="3" t="s">
        <v>496</v>
      </c>
    </row>
    <row r="31" customFormat="false" ht="15" hidden="false" customHeight="false" outlineLevel="0" collapsed="false">
      <c r="A31" s="5" t="s">
        <v>419</v>
      </c>
      <c r="B31" s="0" t="s">
        <v>27</v>
      </c>
      <c r="C31" s="19" t="n">
        <f aca="false">C145</f>
        <v>5.8101</v>
      </c>
      <c r="D31" s="19" t="n">
        <f aca="false">D145</f>
        <v>7.1182</v>
      </c>
      <c r="E31" s="19" t="n">
        <f aca="false">E145</f>
        <v>10.9465732984097</v>
      </c>
      <c r="F31" s="19" t="n">
        <f aca="false">F145</f>
        <v>12.4595685741833</v>
      </c>
      <c r="G31" s="19" t="n">
        <f aca="false">G145</f>
        <v>12.4325202723425</v>
      </c>
      <c r="H31" s="21" t="n">
        <f aca="false">H145</f>
        <v>12.4974106854491</v>
      </c>
      <c r="I31" s="21" t="n">
        <f aca="false">I145</f>
        <v>12.6549993436728</v>
      </c>
      <c r="J31" s="21" t="n">
        <f aca="false">J145</f>
        <v>12.9080993305462</v>
      </c>
    </row>
    <row r="32" customFormat="false" ht="15" hidden="false" customHeight="false" outlineLevel="0" collapsed="false">
      <c r="A32" s="5" t="s">
        <v>485</v>
      </c>
      <c r="B32" s="0" t="s">
        <v>60</v>
      </c>
      <c r="D32" s="16" t="n">
        <f aca="false">D146</f>
        <v>0.225142424398892</v>
      </c>
      <c r="E32" s="16" t="n">
        <f aca="false">E146</f>
        <v>0.537828846957055</v>
      </c>
      <c r="F32" s="16" t="n">
        <f aca="false">F146</f>
        <v>0.138216338074798</v>
      </c>
      <c r="G32" s="16" t="n">
        <f aca="false">G146</f>
        <v>-0.00217088590826842</v>
      </c>
      <c r="H32" s="22" t="n">
        <f aca="false">H146</f>
        <v>0.00521940939448772</v>
      </c>
      <c r="I32" s="22" t="n">
        <f aca="false">I146</f>
        <v>0.0126097046972439</v>
      </c>
      <c r="J32" s="22" t="n">
        <f aca="false">J146</f>
        <v>0.02</v>
      </c>
    </row>
    <row r="33" customFormat="false" ht="15" hidden="false" customHeight="false" outlineLevel="0" collapsed="false">
      <c r="A33" s="5" t="s">
        <v>486</v>
      </c>
      <c r="B33" s="0" t="s">
        <v>27</v>
      </c>
      <c r="C33" s="19" t="n">
        <f aca="false">C142</f>
        <v>2.27542010638806</v>
      </c>
      <c r="D33" s="19" t="n">
        <f aca="false">D142</f>
        <v>3.19608300307692</v>
      </c>
      <c r="E33" s="19" t="n">
        <f aca="false">E142</f>
        <v>6.69591290210202</v>
      </c>
      <c r="F33" s="19" t="n">
        <f aca="false">F142</f>
        <v>7.82177973031865</v>
      </c>
      <c r="G33" s="19" t="n">
        <f aca="false">G142</f>
        <v>7.47903618096868</v>
      </c>
    </row>
    <row r="34" customFormat="false" ht="15" hidden="false" customHeight="false" outlineLevel="0" collapsed="false">
      <c r="A34" s="5" t="s">
        <v>487</v>
      </c>
      <c r="B34" s="0" t="s">
        <v>27</v>
      </c>
      <c r="C34" s="19" t="n">
        <f aca="false">C143</f>
        <v>1.47977989361194</v>
      </c>
      <c r="D34" s="19" t="n">
        <f aca="false">D143</f>
        <v>2.07851699692308</v>
      </c>
      <c r="E34" s="19" t="n">
        <f aca="false">E143</f>
        <v>2.49422039630769</v>
      </c>
      <c r="F34" s="19" t="n">
        <f aca="false">F143</f>
        <v>2.79352684386461</v>
      </c>
      <c r="G34" s="19" t="n">
        <f aca="false">G143</f>
        <v>3.01700899137378</v>
      </c>
    </row>
    <row r="35" customFormat="false" ht="15" hidden="false" customHeight="false" outlineLevel="0" collapsed="false">
      <c r="A35" s="5" t="s">
        <v>488</v>
      </c>
      <c r="B35" s="0" t="s">
        <v>27</v>
      </c>
      <c r="C35" s="19" t="n">
        <f aca="false">C144</f>
        <v>2.0549</v>
      </c>
      <c r="D35" s="19" t="n">
        <f aca="false">D144</f>
        <v>1.8436</v>
      </c>
      <c r="E35" s="19" t="n">
        <f aca="false">E144</f>
        <v>1.75644</v>
      </c>
      <c r="F35" s="19" t="n">
        <f aca="false">F144</f>
        <v>1.844262</v>
      </c>
      <c r="G35" s="19" t="n">
        <f aca="false">G144</f>
        <v>1.9364751</v>
      </c>
    </row>
    <row r="36" customFormat="false" ht="17.15" hidden="false" customHeight="false" outlineLevel="0" collapsed="false">
      <c r="A36" s="5" t="s">
        <v>489</v>
      </c>
      <c r="B36" s="0" t="s">
        <v>60</v>
      </c>
      <c r="C36" s="16" t="n">
        <f aca="false">C147</f>
        <v>0.391631831876914</v>
      </c>
      <c r="D36" s="16" t="n">
        <f aca="false">D147</f>
        <v>0.449001573863747</v>
      </c>
      <c r="E36" s="16" t="n">
        <f aca="false">E147</f>
        <v>0.611690318017127</v>
      </c>
      <c r="F36" s="16" t="n">
        <f aca="false">F147</f>
        <v>0.627772918761064</v>
      </c>
      <c r="G36" s="16" t="n">
        <f aca="false">G147</f>
        <v>0.601570399012872</v>
      </c>
    </row>
    <row r="37" customFormat="false" ht="15" hidden="false" customHeight="false" outlineLevel="0" collapsed="false">
      <c r="A37" s="5" t="s">
        <v>490</v>
      </c>
      <c r="B37" s="0" t="s">
        <v>60</v>
      </c>
      <c r="C37" s="16" t="n">
        <f aca="false">C149</f>
        <v>0.379046832240409</v>
      </c>
      <c r="D37" s="16" t="n">
        <f aca="false">D149</f>
        <v>0.394271023573375</v>
      </c>
      <c r="E37" s="16" t="n">
        <f aca="false">E149</f>
        <v>0.41</v>
      </c>
      <c r="F37" s="16" t="n">
        <f aca="false">F149</f>
        <v>0.42</v>
      </c>
      <c r="G37" s="16" t="n">
        <f aca="false">G149</f>
        <v>0.42</v>
      </c>
    </row>
    <row r="38" customFormat="false" ht="15" hidden="false" customHeight="false" outlineLevel="0" collapsed="false">
      <c r="A38" s="5" t="s">
        <v>491</v>
      </c>
      <c r="B38" s="0" t="s">
        <v>60</v>
      </c>
      <c r="C38" s="16" t="n">
        <f aca="false">C154</f>
        <v>0.178482298067159</v>
      </c>
      <c r="D38" s="16" t="n">
        <f aca="false">D154</f>
        <v>0.204672529572083</v>
      </c>
      <c r="E38" s="16" t="n">
        <f aca="false">E154</f>
        <v>0.240130089589941</v>
      </c>
      <c r="F38" s="16" t="n">
        <f aca="false">F154</f>
        <v>0.256267369892773</v>
      </c>
      <c r="G38" s="16" t="n">
        <f aca="false">G154</f>
        <v>0.255911151724348</v>
      </c>
    </row>
    <row r="39" customFormat="false" ht="15" hidden="false" customHeight="false" outlineLevel="0" collapsed="false">
      <c r="A39" s="5" t="s">
        <v>492</v>
      </c>
      <c r="B39" s="0" t="s">
        <v>27</v>
      </c>
      <c r="C39" s="19" t="n">
        <f aca="false">C157</f>
        <v>0.6926</v>
      </c>
      <c r="D39" s="19" t="n">
        <f aca="false">D157</f>
        <v>1.0966</v>
      </c>
      <c r="E39" s="19" t="n">
        <f aca="false">E157</f>
        <v>2.07656731774848</v>
      </c>
      <c r="F39" s="19" t="n">
        <f aca="false">F157</f>
        <v>2.53371450348873</v>
      </c>
      <c r="G39" s="19" t="n">
        <f aca="false">G157</f>
        <v>2.52451267120249</v>
      </c>
      <c r="H39" s="21" t="n">
        <f aca="false">H157</f>
        <v>2.36850986059806</v>
      </c>
      <c r="I39" s="21" t="n">
        <f aca="false">I157</f>
        <v>2.22706349404752</v>
      </c>
      <c r="J39" s="21" t="n">
        <f aca="false">J157</f>
        <v>2.09686593593397</v>
      </c>
    </row>
    <row r="40" customFormat="false" ht="15" hidden="false" customHeight="false" outlineLevel="0" collapsed="false">
      <c r="A40" s="0" t="s">
        <v>493</v>
      </c>
      <c r="B40" s="0" t="s">
        <v>188</v>
      </c>
      <c r="C40" s="9" t="n">
        <f aca="false">C161</f>
        <v>3.53</v>
      </c>
      <c r="D40" s="9" t="n">
        <f aca="false">D161</f>
        <v>5.61207778915046</v>
      </c>
      <c r="E40" s="9" t="n">
        <f aca="false">E161</f>
        <v>10.168186178514</v>
      </c>
      <c r="F40" s="9" t="n">
        <f aca="false">F161</f>
        <v>12.2838294663453</v>
      </c>
      <c r="G40" s="9" t="n">
        <f aca="false">G161</f>
        <v>12.1180372254581</v>
      </c>
      <c r="H40" s="23" t="n">
        <f aca="false">H161</f>
        <v>11.2566341332763</v>
      </c>
      <c r="I40" s="23" t="n">
        <f aca="false">I161</f>
        <v>10.4795969273383</v>
      </c>
      <c r="J40" s="23" t="n">
        <f aca="false">J161</f>
        <v>9.76925105793001</v>
      </c>
    </row>
    <row r="41" customFormat="false" ht="17.15" hidden="false" customHeight="false" outlineLevel="0" collapsed="false">
      <c r="A41" s="0" t="s">
        <v>494</v>
      </c>
      <c r="B41" s="0" t="s">
        <v>60</v>
      </c>
      <c r="D41" s="16" t="n">
        <f aca="false">D162</f>
        <v>0.589823736303247</v>
      </c>
      <c r="E41" s="16" t="n">
        <f aca="false">E162</f>
        <v>0.811839849791751</v>
      </c>
      <c r="F41" s="16" t="n">
        <f aca="false">F162</f>
        <v>0.208064963670883</v>
      </c>
      <c r="G41" s="16" t="n">
        <f aca="false">G162</f>
        <v>-0.0134967878983817</v>
      </c>
      <c r="H41" s="22" t="n">
        <f aca="false">H162</f>
        <v>-0.0710843741569091</v>
      </c>
      <c r="I41" s="22" t="n">
        <f aca="false">I162</f>
        <v>-0.0690292672514733</v>
      </c>
      <c r="J41" s="22" t="n">
        <f aca="false">J162</f>
        <v>-0.0677837014470677</v>
      </c>
    </row>
    <row r="43" customFormat="false" ht="17.15" hidden="false" customHeight="false" outlineLevel="0" collapsed="false">
      <c r="A43" s="3" t="s">
        <v>497</v>
      </c>
    </row>
    <row r="44" customFormat="false" ht="17.15" hidden="false" customHeight="false" outlineLevel="0" collapsed="false">
      <c r="A44" s="5" t="s">
        <v>498</v>
      </c>
      <c r="D44" s="17" t="n">
        <f aca="false">D75-a26_rev_in</f>
        <v>0</v>
      </c>
    </row>
    <row r="45" customFormat="false" ht="17.15" hidden="false" customHeight="false" outlineLevel="0" collapsed="false">
      <c r="A45" s="5" t="s">
        <v>499</v>
      </c>
      <c r="D45" s="17" t="n">
        <f aca="false">D83-1.4569</f>
        <v>0</v>
      </c>
    </row>
    <row r="46" customFormat="false" ht="17.15" hidden="false" customHeight="false" outlineLevel="0" collapsed="false">
      <c r="A46" s="5" t="s">
        <v>500</v>
      </c>
      <c r="D46" s="17" t="n">
        <f aca="false">D91-a26_eps_in</f>
        <v>0.00207778915046042</v>
      </c>
    </row>
    <row r="47" customFormat="false" ht="17.15" hidden="false" customHeight="false" outlineLevel="0" collapsed="false">
      <c r="A47" s="5" t="s">
        <v>501</v>
      </c>
      <c r="D47" s="17" t="n">
        <f aca="false">D70-D63*D67</f>
        <v>0</v>
      </c>
    </row>
    <row r="60" customFormat="false" ht="17.15" hidden="false" customHeight="false" outlineLevel="0" collapsed="false">
      <c r="A60" s="3" t="s">
        <v>502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15" t="s">
        <v>412</v>
      </c>
      <c r="D61" s="15" t="s">
        <v>477</v>
      </c>
      <c r="E61" s="15" t="s">
        <v>478</v>
      </c>
      <c r="F61" s="15" t="s">
        <v>479</v>
      </c>
      <c r="G61" s="15" t="s">
        <v>480</v>
      </c>
      <c r="H61" s="15" t="s">
        <v>481</v>
      </c>
      <c r="I61" s="15" t="s">
        <v>482</v>
      </c>
      <c r="J61" s="15" t="s">
        <v>483</v>
      </c>
      <c r="K61" s="6" t="s">
        <v>418</v>
      </c>
    </row>
    <row r="62" customFormat="false" ht="17.15" hidden="false" customHeight="false" outlineLevel="0" collapsed="false">
      <c r="A62" s="1" t="s">
        <v>503</v>
      </c>
    </row>
    <row r="63" customFormat="false" ht="17.15" hidden="false" customHeight="false" outlineLevel="0" collapsed="false">
      <c r="A63" s="0" t="s">
        <v>504</v>
      </c>
      <c r="B63" s="0" t="s">
        <v>27</v>
      </c>
      <c r="D63" s="19" t="n">
        <f aca="false">mpl_26*1</f>
        <v>29.753262</v>
      </c>
      <c r="E63" s="19" t="n">
        <f aca="false">mpl_27*1*1</f>
        <v>54.688309</v>
      </c>
      <c r="F63" s="19" t="n">
        <f aca="false">mpl_28*um28_A*1</f>
        <v>61.21325</v>
      </c>
      <c r="G63" s="19" t="n">
        <f aca="false">mpl_29*um29_A*1</f>
        <v>78.80848</v>
      </c>
      <c r="H63" s="2"/>
      <c r="K63" s="5" t="s">
        <v>505</v>
      </c>
    </row>
    <row r="64" customFormat="false" ht="17.15" hidden="false" customHeight="false" outlineLevel="0" collapsed="false">
      <c r="A64" s="0" t="s">
        <v>506</v>
      </c>
      <c r="B64" s="0" t="s">
        <v>27</v>
      </c>
      <c r="D64" s="19" t="n">
        <f aca="false">mcp_26*1</f>
        <v>0.300538</v>
      </c>
      <c r="E64" s="19" t="n">
        <f aca="false">mcp_27*1</f>
        <v>1.691391</v>
      </c>
      <c r="F64" s="19" t="n">
        <f aca="false">mcp_28*um28_A</f>
        <v>3.22175</v>
      </c>
      <c r="G64" s="19" t="n">
        <f aca="false">mcp_29*um29_A</f>
        <v>5.87368</v>
      </c>
      <c r="H64" s="2"/>
    </row>
    <row r="65" customFormat="false" ht="17.15" hidden="false" customHeight="false" outlineLevel="0" collapsed="false">
      <c r="A65" s="0" t="s">
        <v>507</v>
      </c>
      <c r="B65" s="0" t="s">
        <v>60</v>
      </c>
      <c r="D65" s="16" t="n">
        <f aca="false">dc_cy26/D63</f>
        <v>0.146339576728919</v>
      </c>
      <c r="H65" s="2"/>
      <c r="K65" s="8" t="s">
        <v>508</v>
      </c>
    </row>
    <row r="66" customFormat="false" ht="17.15" hidden="false" customHeight="false" outlineLevel="0" collapsed="false">
      <c r="A66" s="5" t="s">
        <v>509</v>
      </c>
      <c r="B66" s="0" t="s">
        <v>71</v>
      </c>
      <c r="D66" s="9" t="n">
        <f aca="false">1</f>
        <v>1</v>
      </c>
      <c r="E66" s="9" t="n">
        <f aca="false">rel_27</f>
        <v>1.1</v>
      </c>
      <c r="F66" s="9" t="n">
        <f aca="false">rel_28</f>
        <v>1.15</v>
      </c>
      <c r="G66" s="9" t="n">
        <f aca="false">rel_29</f>
        <v>1.15</v>
      </c>
      <c r="H66" s="2"/>
    </row>
    <row r="67" customFormat="false" ht="15" hidden="false" customHeight="false" outlineLevel="0" collapsed="false">
      <c r="A67" s="5" t="s">
        <v>510</v>
      </c>
      <c r="B67" s="0" t="s">
        <v>60</v>
      </c>
      <c r="D67" s="16" t="n">
        <f aca="false">$D$65*D66</f>
        <v>0.146339576728919</v>
      </c>
      <c r="E67" s="16" t="n">
        <f aca="false">$D$65*E66</f>
        <v>0.16097353440181</v>
      </c>
      <c r="F67" s="16" t="n">
        <f aca="false">$D$65*F66</f>
        <v>0.168290513238256</v>
      </c>
      <c r="G67" s="16" t="n">
        <f aca="false">$D$65*G66</f>
        <v>0.168290513238256</v>
      </c>
      <c r="H67" s="2"/>
    </row>
    <row r="68" customFormat="false" ht="15" hidden="false" customHeight="false" outlineLevel="0" collapsed="false">
      <c r="A68" s="5" t="s">
        <v>511</v>
      </c>
      <c r="B68" s="0" t="s">
        <v>71</v>
      </c>
      <c r="D68" s="9" t="n">
        <f aca="false">1</f>
        <v>1</v>
      </c>
      <c r="E68" s="9" t="n">
        <f aca="false">pxr_27</f>
        <v>1</v>
      </c>
      <c r="F68" s="9" t="n">
        <f aca="false">pxr_28</f>
        <v>1</v>
      </c>
      <c r="G68" s="9" t="n">
        <f aca="false">pxr_29</f>
        <v>1</v>
      </c>
      <c r="H68" s="2"/>
    </row>
    <row r="69" customFormat="false" ht="17.15" hidden="false" customHeight="false" outlineLevel="0" collapsed="false">
      <c r="A69" s="0" t="s">
        <v>512</v>
      </c>
      <c r="B69" s="0" t="s">
        <v>60</v>
      </c>
      <c r="D69" s="16" t="n">
        <f aca="false">0</f>
        <v>0</v>
      </c>
      <c r="E69" s="16" t="n">
        <f aca="false">cpo_27</f>
        <v>0.1</v>
      </c>
      <c r="F69" s="16" t="n">
        <f aca="false">cpo_28</f>
        <v>0.15</v>
      </c>
      <c r="G69" s="16" t="n">
        <f aca="false">cpo_29</f>
        <v>0.2</v>
      </c>
      <c r="H69" s="2"/>
    </row>
    <row r="70" customFormat="false" ht="15" hidden="false" customHeight="false" outlineLevel="0" collapsed="false">
      <c r="A70" s="5" t="s">
        <v>513</v>
      </c>
      <c r="B70" s="0" t="s">
        <v>27</v>
      </c>
      <c r="D70" s="19" t="n">
        <f aca="false">dc_cy26</f>
        <v>4.35407976738462</v>
      </c>
      <c r="E70" s="19" t="n">
        <f aca="false">E63*E67*E68+E64*E69</f>
        <v>8.97250949018834</v>
      </c>
      <c r="F70" s="19" t="n">
        <f aca="false">F63*F67*F68+F64*F69</f>
        <v>10.7848717594817</v>
      </c>
      <c r="G70" s="19" t="n">
        <f aca="false">G63*G67*G68+G64*G69</f>
        <v>14.4374555467269</v>
      </c>
      <c r="H70" s="2"/>
    </row>
    <row r="71" customFormat="false" ht="17.15" hidden="false" customHeight="false" outlineLevel="0" collapsed="false">
      <c r="A71" s="1" t="s">
        <v>514</v>
      </c>
    </row>
    <row r="72" customFormat="false" ht="17.15" hidden="false" customHeight="false" outlineLevel="0" collapsed="false">
      <c r="A72" s="5" t="s">
        <v>515</v>
      </c>
      <c r="B72" s="0" t="s">
        <v>27</v>
      </c>
      <c r="C72" s="19" t="n">
        <f aca="false">a25_dc</f>
        <v>2.27542010638806</v>
      </c>
      <c r="D72" s="19" t="n">
        <f aca="false">a26_dc</f>
        <v>3.19608300307692</v>
      </c>
      <c r="E72" s="19" t="n">
        <f aca="false">h1_27+hw*E70</f>
        <v>6.69591290210202</v>
      </c>
      <c r="F72" s="19" t="n">
        <f aca="false">(1-hw)*E70+hw*F70</f>
        <v>9.80619613406329</v>
      </c>
      <c r="G72" s="19" t="n">
        <f aca="false">(1-hw)*F70+hw*G70</f>
        <v>12.4650603016145</v>
      </c>
      <c r="H72" s="2"/>
      <c r="K72" s="8" t="s">
        <v>516</v>
      </c>
    </row>
    <row r="73" customFormat="false" ht="15" hidden="false" customHeight="false" outlineLevel="0" collapsed="false">
      <c r="A73" s="5" t="s">
        <v>517</v>
      </c>
      <c r="B73" s="0" t="s">
        <v>27</v>
      </c>
      <c r="C73" s="19" t="n">
        <f aca="false">a25_com</f>
        <v>1.47977989361194</v>
      </c>
      <c r="D73" s="19" t="n">
        <f aca="false">a26_com</f>
        <v>2.07851699692308</v>
      </c>
      <c r="E73" s="19" t="n">
        <f aca="false">D73*(1+g_com_27)</f>
        <v>2.49422039630769</v>
      </c>
      <c r="F73" s="19" t="n">
        <f aca="false">E73*(1+g_com_28)</f>
        <v>2.79352684386461</v>
      </c>
      <c r="G73" s="19" t="n">
        <f aca="false">F73*(1+g_com_29)</f>
        <v>3.01700899137378</v>
      </c>
      <c r="H73" s="2"/>
    </row>
    <row r="74" customFormat="false" ht="17.15" hidden="false" customHeight="false" outlineLevel="0" collapsed="false">
      <c r="A74" s="5" t="s">
        <v>518</v>
      </c>
      <c r="B74" s="0" t="s">
        <v>27</v>
      </c>
      <c r="C74" s="19" t="n">
        <f aca="false">a25_ind</f>
        <v>2.0549</v>
      </c>
      <c r="D74" s="19" t="n">
        <f aca="false">a26_ind</f>
        <v>1.8436</v>
      </c>
      <c r="E74" s="19" t="n">
        <f aca="false">ind_run*(1+g_ind_27)</f>
        <v>1.75644</v>
      </c>
      <c r="F74" s="19" t="n">
        <f aca="false">E74*(1+g_ind_28)</f>
        <v>1.844262</v>
      </c>
      <c r="G74" s="19" t="n">
        <f aca="false">F74*(1+g_ind_29)</f>
        <v>1.9364751</v>
      </c>
      <c r="H74" s="2"/>
    </row>
    <row r="75" customFormat="false" ht="15" hidden="false" customHeight="false" outlineLevel="0" collapsed="false">
      <c r="A75" s="5" t="s">
        <v>419</v>
      </c>
      <c r="B75" s="0" t="s">
        <v>27</v>
      </c>
      <c r="C75" s="19" t="n">
        <f aca="false">C72+C73+C74</f>
        <v>5.8101</v>
      </c>
      <c r="D75" s="19" t="n">
        <f aca="false">D72+D73+D74</f>
        <v>7.1182</v>
      </c>
      <c r="E75" s="19" t="n">
        <f aca="false">E72+E73+E74</f>
        <v>10.9465732984097</v>
      </c>
      <c r="F75" s="19" t="n">
        <f aca="false">F72+F73+F74</f>
        <v>14.4439849779279</v>
      </c>
      <c r="G75" s="19" t="n">
        <f aca="false">G72+G73+G74</f>
        <v>17.4185443929883</v>
      </c>
      <c r="H75" s="24" t="n">
        <f aca="false">G75*(1+H76)</f>
        <v>20.1583372833857</v>
      </c>
      <c r="I75" s="21" t="n">
        <f aca="false">H75*(1+I76)</f>
        <v>22.3484572216951</v>
      </c>
      <c r="J75" s="21" t="n">
        <f aca="false">I75*(1+J76)</f>
        <v>23.6893646549968</v>
      </c>
    </row>
    <row r="76" customFormat="false" ht="15" hidden="false" customHeight="false" outlineLevel="0" collapsed="false">
      <c r="A76" s="5" t="s">
        <v>519</v>
      </c>
      <c r="B76" s="0" t="s">
        <v>60</v>
      </c>
      <c r="D76" s="16" t="n">
        <f aca="false">D75/C75-1</f>
        <v>0.225142424398892</v>
      </c>
      <c r="E76" s="16" t="n">
        <f aca="false">E75/D75-1</f>
        <v>0.537828846957055</v>
      </c>
      <c r="F76" s="16" t="n">
        <f aca="false">F75/E75-1</f>
        <v>0.319498310948713</v>
      </c>
      <c r="G76" s="16" t="n">
        <f aca="false">G75/F75-1</f>
        <v>0.205937587141348</v>
      </c>
      <c r="H76" s="25" t="n">
        <f aca="false">$G76+(fade_gA-$G76)*1/3</f>
        <v>0.157291724760899</v>
      </c>
      <c r="I76" s="22" t="n">
        <f aca="false">$G76+(fade_gA-$G76)*2/3</f>
        <v>0.108645862380449</v>
      </c>
      <c r="J76" s="22" t="n">
        <f aca="false">$G76+(fade_gA-$G76)*3/3</f>
        <v>0.06</v>
      </c>
    </row>
    <row r="77" customFormat="false" ht="17.15" hidden="false" customHeight="false" outlineLevel="0" collapsed="false">
      <c r="A77" s="5" t="s">
        <v>520</v>
      </c>
      <c r="B77" s="0" t="s">
        <v>60</v>
      </c>
      <c r="C77" s="16" t="n">
        <f aca="false">C72/C75</f>
        <v>0.391631831876914</v>
      </c>
      <c r="D77" s="16" t="n">
        <f aca="false">D72/D75</f>
        <v>0.449001573863747</v>
      </c>
      <c r="E77" s="16" t="n">
        <f aca="false">E72/E75</f>
        <v>0.611690318017127</v>
      </c>
      <c r="F77" s="16" t="n">
        <f aca="false">F72/F75</f>
        <v>0.678912097253514</v>
      </c>
      <c r="G77" s="16" t="n">
        <f aca="false">G72/G75</f>
        <v>0.715620089737936</v>
      </c>
      <c r="H77" s="2"/>
    </row>
    <row r="78" customFormat="false" ht="17.15" hidden="false" customHeight="false" outlineLevel="0" collapsed="false">
      <c r="A78" s="1" t="s">
        <v>521</v>
      </c>
    </row>
    <row r="79" customFormat="false" ht="17.15" hidden="false" customHeight="false" outlineLevel="0" collapsed="false">
      <c r="A79" s="5" t="s">
        <v>490</v>
      </c>
      <c r="B79" s="0" t="s">
        <v>60</v>
      </c>
      <c r="C79" s="16" t="n">
        <f aca="false">a25_gp/a25_rev</f>
        <v>0.379046832240409</v>
      </c>
      <c r="D79" s="16" t="n">
        <f aca="false">a26_gp/a26_rev</f>
        <v>0.394271023573375</v>
      </c>
      <c r="E79" s="16" t="n">
        <f aca="false">gm_27</f>
        <v>0.41</v>
      </c>
      <c r="F79" s="16" t="n">
        <f aca="false">gm_28</f>
        <v>0.42</v>
      </c>
      <c r="G79" s="16" t="n">
        <f aca="false">gm_29</f>
        <v>0.42</v>
      </c>
      <c r="H79" s="2"/>
      <c r="K79" s="8" t="s">
        <v>522</v>
      </c>
    </row>
    <row r="80" customFormat="false" ht="15" hidden="false" customHeight="false" outlineLevel="0" collapsed="false">
      <c r="A80" s="5" t="s">
        <v>523</v>
      </c>
      <c r="B80" s="0" t="s">
        <v>27</v>
      </c>
      <c r="C80" s="19" t="n">
        <f aca="false">C75*C79</f>
        <v>2.2023</v>
      </c>
      <c r="D80" s="19" t="n">
        <f aca="false">D75*D79</f>
        <v>2.8065</v>
      </c>
      <c r="E80" s="19" t="n">
        <f aca="false">E75*E79</f>
        <v>4.48809505234798</v>
      </c>
      <c r="F80" s="19" t="n">
        <f aca="false">F75*F79</f>
        <v>6.06647369072972</v>
      </c>
      <c r="G80" s="19" t="n">
        <f aca="false">G75*G79</f>
        <v>7.31578864505507</v>
      </c>
      <c r="H80" s="2"/>
    </row>
    <row r="81" customFormat="false" ht="15" hidden="false" customHeight="false" outlineLevel="0" collapsed="false">
      <c r="A81" s="5" t="s">
        <v>524</v>
      </c>
      <c r="B81" s="0" t="s">
        <v>27</v>
      </c>
      <c r="C81" s="19" t="n">
        <f aca="false">a25_opx</f>
        <v>1.1653</v>
      </c>
      <c r="D81" s="19" t="n">
        <f aca="false">a26_opx</f>
        <v>1.3496</v>
      </c>
      <c r="E81" s="19" t="n">
        <f aca="false">D81*(1+MAX(0,phi*E76))</f>
        <v>1.859493425498</v>
      </c>
      <c r="F81" s="19" t="n">
        <f aca="false">E81*(1+MAX(0,phi*F76))</f>
        <v>2.27683674315755</v>
      </c>
      <c r="G81" s="19" t="n">
        <f aca="false">F81*(1+MAX(0,phi*G76))</f>
        <v>2.60621715010436</v>
      </c>
      <c r="H81" s="2"/>
    </row>
    <row r="82" customFormat="false" ht="15" hidden="false" customHeight="false" outlineLevel="0" collapsed="false">
      <c r="A82" s="5" t="s">
        <v>525</v>
      </c>
      <c r="B82" s="0" t="s">
        <v>27</v>
      </c>
      <c r="C82" s="19" t="n">
        <f aca="false">C81</f>
        <v>1.1653</v>
      </c>
      <c r="D82" s="19" t="n">
        <f aca="false">D81</f>
        <v>1.3496</v>
      </c>
      <c r="E82" s="19" t="n">
        <f aca="false">E81+0*E75</f>
        <v>1.859493425498</v>
      </c>
      <c r="F82" s="19" t="n">
        <f aca="false">F81+0*F75</f>
        <v>2.27683674315755</v>
      </c>
      <c r="G82" s="19" t="n">
        <f aca="false">G81+0*G75</f>
        <v>2.60621715010436</v>
      </c>
      <c r="H82" s="2"/>
    </row>
    <row r="83" customFormat="false" ht="15" hidden="false" customHeight="false" outlineLevel="0" collapsed="false">
      <c r="A83" s="5" t="s">
        <v>526</v>
      </c>
      <c r="B83" s="0" t="s">
        <v>27</v>
      </c>
      <c r="C83" s="19" t="n">
        <f aca="false">C80-C82</f>
        <v>1.037</v>
      </c>
      <c r="D83" s="19" t="n">
        <f aca="false">D80-D82</f>
        <v>1.4569</v>
      </c>
      <c r="E83" s="19" t="n">
        <f aca="false">E80-E82</f>
        <v>2.62860162684998</v>
      </c>
      <c r="F83" s="19" t="n">
        <f aca="false">F80-F82</f>
        <v>3.78963694757217</v>
      </c>
      <c r="G83" s="19" t="n">
        <f aca="false">G80-G82</f>
        <v>4.70957149495071</v>
      </c>
      <c r="H83" s="2"/>
    </row>
    <row r="84" customFormat="false" ht="15" hidden="false" customHeight="false" outlineLevel="0" collapsed="false">
      <c r="A84" s="5" t="s">
        <v>491</v>
      </c>
      <c r="B84" s="0" t="s">
        <v>60</v>
      </c>
      <c r="C84" s="16" t="n">
        <f aca="false">C83/C75</f>
        <v>0.178482298067159</v>
      </c>
      <c r="D84" s="16" t="n">
        <f aca="false">D83/D75</f>
        <v>0.204672529572083</v>
      </c>
      <c r="E84" s="16" t="n">
        <f aca="false">E83/E75</f>
        <v>0.240130089589941</v>
      </c>
      <c r="F84" s="16" t="n">
        <f aca="false">F83/F75</f>
        <v>0.262367826701785</v>
      </c>
      <c r="G84" s="16" t="n">
        <f aca="false">G83/G75</f>
        <v>0.270376868967681</v>
      </c>
      <c r="H84" s="2"/>
    </row>
    <row r="85" customFormat="false" ht="15" hidden="false" customHeight="false" outlineLevel="0" collapsed="false">
      <c r="A85" s="5" t="s">
        <v>527</v>
      </c>
      <c r="B85" s="0" t="s">
        <v>27</v>
      </c>
      <c r="C85" s="19" t="n">
        <f aca="false">a25_int</f>
        <v>0.1673</v>
      </c>
      <c r="D85" s="19" t="n">
        <f aca="false">a26_int</f>
        <v>0.1181</v>
      </c>
      <c r="E85" s="19" t="n">
        <f aca="false">int_f</f>
        <v>0.08</v>
      </c>
      <c r="F85" s="19" t="n">
        <f aca="false">int_f</f>
        <v>0.08</v>
      </c>
      <c r="G85" s="19" t="n">
        <f aca="false">int_f</f>
        <v>0.08</v>
      </c>
      <c r="H85" s="2"/>
    </row>
    <row r="86" customFormat="false" ht="15" hidden="false" customHeight="false" outlineLevel="0" collapsed="false">
      <c r="A86" s="5" t="s">
        <v>528</v>
      </c>
      <c r="B86" s="0" t="s">
        <v>27</v>
      </c>
      <c r="C86" s="19" t="n">
        <f aca="false">C83-C85</f>
        <v>0.8697</v>
      </c>
      <c r="D86" s="19" t="n">
        <f aca="false">D83-D85</f>
        <v>1.3388</v>
      </c>
      <c r="E86" s="19" t="n">
        <f aca="false">E83-E85</f>
        <v>2.54860162684998</v>
      </c>
      <c r="F86" s="19" t="n">
        <f aca="false">F83-F85</f>
        <v>3.70963694757217</v>
      </c>
      <c r="G86" s="19" t="n">
        <f aca="false">G83-G85</f>
        <v>4.62957149495071</v>
      </c>
      <c r="H86" s="2"/>
    </row>
    <row r="87" customFormat="false" ht="17.15" hidden="false" customHeight="false" outlineLevel="0" collapsed="false">
      <c r="A87" s="5" t="s">
        <v>529</v>
      </c>
      <c r="B87" s="0" t="s">
        <v>27</v>
      </c>
      <c r="C87" s="19" t="n">
        <f aca="false">a25_ni</f>
        <v>0.6926</v>
      </c>
      <c r="D87" s="19" t="n">
        <f aca="false">a26_ni</f>
        <v>1.0966</v>
      </c>
      <c r="E87" s="19" t="n">
        <f aca="false">E86*(1-tx)+nci</f>
        <v>2.07656731774848</v>
      </c>
      <c r="F87" s="19" t="n">
        <f aca="false">F86*(1-tx)+nci</f>
        <v>3.01700592753346</v>
      </c>
      <c r="G87" s="19" t="n">
        <f aca="false">G86*(1-tx)+nci</f>
        <v>3.76215291091008</v>
      </c>
      <c r="H87" s="24" t="n">
        <f aca="false">H75*H88</f>
        <v>4.35390843108136</v>
      </c>
      <c r="I87" s="21" t="n">
        <f aca="false">I75*I88</f>
        <v>4.8269425673017</v>
      </c>
      <c r="J87" s="21" t="n">
        <f aca="false">J75*J88</f>
        <v>5.11655912133981</v>
      </c>
    </row>
    <row r="88" customFormat="false" ht="15" hidden="false" customHeight="false" outlineLevel="0" collapsed="false">
      <c r="A88" s="5" t="s">
        <v>530</v>
      </c>
      <c r="B88" s="0" t="s">
        <v>60</v>
      </c>
      <c r="C88" s="16" t="n">
        <f aca="false">C87/C75</f>
        <v>0.119206209875906</v>
      </c>
      <c r="D88" s="16" t="n">
        <f aca="false">D87/D75</f>
        <v>0.154055800623753</v>
      </c>
      <c r="E88" s="16" t="n">
        <f aca="false">E87/E75</f>
        <v>0.189700215870309</v>
      </c>
      <c r="F88" s="16" t="n">
        <f aca="false">F87/F75</f>
        <v>0.208876285328723</v>
      </c>
      <c r="G88" s="16" t="n">
        <f aca="false">G87/G75</f>
        <v>0.215985493737612</v>
      </c>
      <c r="H88" s="25" t="n">
        <f aca="false">$G88+(fade_mA-$G88)*1/3</f>
        <v>0.215985493737612</v>
      </c>
      <c r="I88" s="22" t="n">
        <f aca="false">$G88+(fade_mA-$G88)*2/3</f>
        <v>0.215985493737612</v>
      </c>
      <c r="J88" s="22" t="n">
        <f aca="false">$G88+(fade_mA-$G88)*3/3</f>
        <v>0.215985493737612</v>
      </c>
    </row>
    <row r="89" customFormat="false" ht="15" hidden="false" customHeight="false" outlineLevel="0" collapsed="false">
      <c r="A89" s="5" t="s">
        <v>531</v>
      </c>
      <c r="B89" s="0" t="s">
        <v>27</v>
      </c>
      <c r="C89" s="10" t="n">
        <f aca="false">a25_pref</f>
        <v>0.130624</v>
      </c>
      <c r="D89" s="10" t="n">
        <f aca="false">0</f>
        <v>0</v>
      </c>
      <c r="E89" s="10" t="n">
        <f aca="false">0</f>
        <v>0</v>
      </c>
      <c r="F89" s="10" t="n">
        <f aca="false">0</f>
        <v>0</v>
      </c>
      <c r="G89" s="10" t="n">
        <f aca="false">0</f>
        <v>0</v>
      </c>
      <c r="H89" s="2"/>
    </row>
    <row r="90" customFormat="false" ht="15" hidden="false" customHeight="false" outlineLevel="0" collapsed="false">
      <c r="A90" s="5" t="s">
        <v>532</v>
      </c>
      <c r="B90" s="5" t="s">
        <v>251</v>
      </c>
      <c r="C90" s="17" t="n">
        <f aca="false">a25_sh</f>
        <v>0.1592</v>
      </c>
      <c r="D90" s="17" t="n">
        <f aca="false">a26_sh</f>
        <v>0.1954</v>
      </c>
      <c r="E90" s="17" t="n">
        <f aca="false">sh_q4*(1+sh_g)</f>
        <v>0.204222</v>
      </c>
      <c r="F90" s="17" t="n">
        <f aca="false">E90*(1+sh_g)</f>
        <v>0.20626422</v>
      </c>
      <c r="G90" s="17" t="n">
        <f aca="false">F90*(1+sh_g)</f>
        <v>0.2083268622</v>
      </c>
      <c r="H90" s="26" t="n">
        <f aca="false">G90*(1+sh_g)</f>
        <v>0.210410130822</v>
      </c>
      <c r="I90" s="27" t="n">
        <f aca="false">H90*(1+sh_g)</f>
        <v>0.21251423213022</v>
      </c>
      <c r="J90" s="27" t="n">
        <f aca="false">I90*(1+sh_g)</f>
        <v>0.214639374451522</v>
      </c>
    </row>
    <row r="91" customFormat="false" ht="15" hidden="false" customHeight="false" outlineLevel="0" collapsed="false">
      <c r="A91" s="0" t="s">
        <v>493</v>
      </c>
      <c r="B91" s="0" t="s">
        <v>188</v>
      </c>
      <c r="C91" s="19" t="n">
        <f aca="false">(C87-C89)/C90</f>
        <v>3.53</v>
      </c>
      <c r="D91" s="19" t="n">
        <f aca="false">(D87-D89)/D90</f>
        <v>5.61207778915046</v>
      </c>
      <c r="E91" s="19" t="n">
        <f aca="false">(E87-E89)/E90</f>
        <v>10.168186178514</v>
      </c>
      <c r="F91" s="19" t="n">
        <f aca="false">(F87-F89)/F90</f>
        <v>14.62689906923</v>
      </c>
      <c r="G91" s="19" t="n">
        <f aca="false">(G87-G89)/G90</f>
        <v>18.058894907649</v>
      </c>
      <c r="H91" s="24" t="n">
        <f aca="false">(H87-H89)/H90</f>
        <v>20.6924847870782</v>
      </c>
      <c r="I91" s="21" t="n">
        <f aca="false">(I87-I89)/I90</f>
        <v>22.7135026154105</v>
      </c>
      <c r="J91" s="21" t="n">
        <f aca="false">(J87-J89)/J90</f>
        <v>23.8379334379556</v>
      </c>
    </row>
    <row r="92" customFormat="false" ht="17.15" hidden="false" customHeight="false" outlineLevel="0" collapsed="false">
      <c r="A92" s="0" t="s">
        <v>533</v>
      </c>
      <c r="B92" s="0" t="s">
        <v>60</v>
      </c>
      <c r="D92" s="16" t="n">
        <f aca="false">D91/C91-1</f>
        <v>0.589823736303247</v>
      </c>
      <c r="E92" s="16" t="n">
        <f aca="false">E91/D91-1</f>
        <v>0.811839849791751</v>
      </c>
      <c r="F92" s="16" t="n">
        <f aca="false">F91/E91-1</f>
        <v>0.438496385927471</v>
      </c>
      <c r="G92" s="16" t="n">
        <f aca="false">G91/F91-1</f>
        <v>0.234635914432384</v>
      </c>
      <c r="H92" s="25" t="n">
        <f aca="false">H91/G91-1</f>
        <v>0.145833390852375</v>
      </c>
      <c r="I92" s="22" t="n">
        <f aca="false">I91/H91-1</f>
        <v>0.0976691706737123</v>
      </c>
      <c r="J92" s="22" t="n">
        <f aca="false">J91/I91-1</f>
        <v>0.0495049504950496</v>
      </c>
    </row>
    <row r="95" customFormat="false" ht="17.15" hidden="false" customHeight="false" outlineLevel="0" collapsed="false">
      <c r="A95" s="3" t="s">
        <v>534</v>
      </c>
    </row>
    <row r="96" customFormat="false" ht="17.15" hidden="false" customHeight="false" outlineLevel="0" collapsed="false">
      <c r="A96" s="6" t="s">
        <v>16</v>
      </c>
      <c r="B96" s="6" t="s">
        <v>17</v>
      </c>
      <c r="C96" s="15" t="s">
        <v>412</v>
      </c>
      <c r="D96" s="15" t="s">
        <v>477</v>
      </c>
      <c r="E96" s="15" t="s">
        <v>478</v>
      </c>
      <c r="F96" s="15" t="s">
        <v>479</v>
      </c>
      <c r="G96" s="15" t="s">
        <v>480</v>
      </c>
      <c r="H96" s="15" t="s">
        <v>481</v>
      </c>
      <c r="I96" s="15" t="s">
        <v>482</v>
      </c>
      <c r="J96" s="15" t="s">
        <v>483</v>
      </c>
      <c r="K96" s="6" t="s">
        <v>418</v>
      </c>
    </row>
    <row r="97" customFormat="false" ht="17.15" hidden="false" customHeight="false" outlineLevel="0" collapsed="false">
      <c r="A97" s="1" t="s">
        <v>503</v>
      </c>
    </row>
    <row r="98" customFormat="false" ht="17.15" hidden="false" customHeight="false" outlineLevel="0" collapsed="false">
      <c r="A98" s="0" t="s">
        <v>504</v>
      </c>
      <c r="B98" s="0" t="s">
        <v>27</v>
      </c>
      <c r="D98" s="19" t="n">
        <f aca="false">mpl_26*1</f>
        <v>29.753262</v>
      </c>
      <c r="E98" s="19" t="n">
        <f aca="false">mpl_27*1*1</f>
        <v>54.688309</v>
      </c>
      <c r="F98" s="19" t="n">
        <f aca="false">mpl_28*um28_B*1</f>
        <v>48.9706</v>
      </c>
      <c r="G98" s="19" t="n">
        <f aca="false">mpl_29*um29_B*1</f>
        <v>66.987208</v>
      </c>
      <c r="H98" s="2"/>
      <c r="K98" s="5" t="s">
        <v>505</v>
      </c>
    </row>
    <row r="99" customFormat="false" ht="17.15" hidden="false" customHeight="false" outlineLevel="0" collapsed="false">
      <c r="A99" s="0" t="s">
        <v>506</v>
      </c>
      <c r="B99" s="0" t="s">
        <v>27</v>
      </c>
      <c r="D99" s="19" t="n">
        <f aca="false">mcp_26*1</f>
        <v>0.300538</v>
      </c>
      <c r="E99" s="19" t="n">
        <f aca="false">mcp_27*1</f>
        <v>1.691391</v>
      </c>
      <c r="F99" s="19" t="n">
        <f aca="false">mcp_28*um28_B</f>
        <v>2.5774</v>
      </c>
      <c r="G99" s="19" t="n">
        <f aca="false">mcp_29*um29_B</f>
        <v>4.992628</v>
      </c>
      <c r="H99" s="2"/>
    </row>
    <row r="100" customFormat="false" ht="17.15" hidden="false" customHeight="false" outlineLevel="0" collapsed="false">
      <c r="A100" s="0" t="s">
        <v>507</v>
      </c>
      <c r="B100" s="0" t="s">
        <v>60</v>
      </c>
      <c r="D100" s="16" t="n">
        <f aca="false">dc_cy26/D98</f>
        <v>0.146339576728919</v>
      </c>
      <c r="H100" s="2"/>
      <c r="K100" s="8" t="s">
        <v>508</v>
      </c>
    </row>
    <row r="101" customFormat="false" ht="17.15" hidden="false" customHeight="false" outlineLevel="0" collapsed="false">
      <c r="A101" s="5" t="s">
        <v>509</v>
      </c>
      <c r="B101" s="0" t="s">
        <v>71</v>
      </c>
      <c r="D101" s="9" t="n">
        <f aca="false">1</f>
        <v>1</v>
      </c>
      <c r="E101" s="9" t="n">
        <f aca="false">rel_27</f>
        <v>1.1</v>
      </c>
      <c r="F101" s="9" t="n">
        <f aca="false">rel_28</f>
        <v>1.15</v>
      </c>
      <c r="G101" s="9" t="n">
        <f aca="false">rel_29</f>
        <v>1.15</v>
      </c>
      <c r="H101" s="2"/>
    </row>
    <row r="102" customFormat="false" ht="15" hidden="false" customHeight="false" outlineLevel="0" collapsed="false">
      <c r="A102" s="5" t="s">
        <v>510</v>
      </c>
      <c r="B102" s="0" t="s">
        <v>60</v>
      </c>
      <c r="D102" s="16" t="n">
        <f aca="false">$D$100*D101</f>
        <v>0.146339576728919</v>
      </c>
      <c r="E102" s="16" t="n">
        <f aca="false">$D$100*E101</f>
        <v>0.16097353440181</v>
      </c>
      <c r="F102" s="16" t="n">
        <f aca="false">$D$100*F101</f>
        <v>0.168290513238256</v>
      </c>
      <c r="G102" s="16" t="n">
        <f aca="false">$D$100*G101</f>
        <v>0.168290513238256</v>
      </c>
      <c r="H102" s="2"/>
    </row>
    <row r="103" customFormat="false" ht="15" hidden="false" customHeight="false" outlineLevel="0" collapsed="false">
      <c r="A103" s="5" t="s">
        <v>511</v>
      </c>
      <c r="B103" s="0" t="s">
        <v>71</v>
      </c>
      <c r="D103" s="9" t="n">
        <f aca="false">1</f>
        <v>1</v>
      </c>
      <c r="E103" s="9" t="n">
        <f aca="false">pxr_27</f>
        <v>1</v>
      </c>
      <c r="F103" s="9" t="n">
        <f aca="false">pxr_28</f>
        <v>1</v>
      </c>
      <c r="G103" s="9" t="n">
        <f aca="false">pxr_29</f>
        <v>1</v>
      </c>
      <c r="H103" s="2"/>
    </row>
    <row r="104" customFormat="false" ht="17.15" hidden="false" customHeight="false" outlineLevel="0" collapsed="false">
      <c r="A104" s="0" t="s">
        <v>512</v>
      </c>
      <c r="B104" s="0" t="s">
        <v>60</v>
      </c>
      <c r="D104" s="16" t="n">
        <f aca="false">0</f>
        <v>0</v>
      </c>
      <c r="E104" s="16" t="n">
        <f aca="false">cpo_27</f>
        <v>0.1</v>
      </c>
      <c r="F104" s="16" t="n">
        <f aca="false">cpo_28</f>
        <v>0.15</v>
      </c>
      <c r="G104" s="16" t="n">
        <f aca="false">cpo_29</f>
        <v>0.2</v>
      </c>
      <c r="H104" s="2"/>
    </row>
    <row r="105" customFormat="false" ht="15" hidden="false" customHeight="false" outlineLevel="0" collapsed="false">
      <c r="A105" s="5" t="s">
        <v>513</v>
      </c>
      <c r="B105" s="0" t="s">
        <v>27</v>
      </c>
      <c r="D105" s="19" t="n">
        <f aca="false">dc_cy26</f>
        <v>4.35407976738462</v>
      </c>
      <c r="E105" s="19" t="n">
        <f aca="false">E98*E102*E103+E99*E104</f>
        <v>8.97250949018834</v>
      </c>
      <c r="F105" s="19" t="n">
        <f aca="false">F98*F102*F103+F99*F104</f>
        <v>8.62789740758536</v>
      </c>
      <c r="G105" s="19" t="n">
        <f aca="false">G98*G102*G103+G99*G104</f>
        <v>12.2718372147178</v>
      </c>
      <c r="H105" s="2"/>
    </row>
    <row r="106" customFormat="false" ht="17.15" hidden="false" customHeight="false" outlineLevel="0" collapsed="false">
      <c r="A106" s="1" t="s">
        <v>514</v>
      </c>
    </row>
    <row r="107" customFormat="false" ht="17.15" hidden="false" customHeight="false" outlineLevel="0" collapsed="false">
      <c r="A107" s="5" t="s">
        <v>515</v>
      </c>
      <c r="B107" s="0" t="s">
        <v>27</v>
      </c>
      <c r="C107" s="19" t="n">
        <f aca="false">a25_dc</f>
        <v>2.27542010638806</v>
      </c>
      <c r="D107" s="19" t="n">
        <f aca="false">a26_dc</f>
        <v>3.19608300307692</v>
      </c>
      <c r="E107" s="19" t="n">
        <f aca="false">h1_27+hw*E105</f>
        <v>6.69591290210202</v>
      </c>
      <c r="F107" s="19" t="n">
        <f aca="false">(1-hw)*E105+hw*F105</f>
        <v>8.81398793219097</v>
      </c>
      <c r="G107" s="19" t="n">
        <f aca="false">(1-hw)*F105+hw*G105</f>
        <v>10.3041097188663</v>
      </c>
      <c r="H107" s="2"/>
      <c r="K107" s="8" t="s">
        <v>516</v>
      </c>
    </row>
    <row r="108" customFormat="false" ht="15" hidden="false" customHeight="false" outlineLevel="0" collapsed="false">
      <c r="A108" s="5" t="s">
        <v>517</v>
      </c>
      <c r="B108" s="0" t="s">
        <v>27</v>
      </c>
      <c r="C108" s="19" t="n">
        <f aca="false">a25_com</f>
        <v>1.47977989361194</v>
      </c>
      <c r="D108" s="19" t="n">
        <f aca="false">a26_com</f>
        <v>2.07851699692308</v>
      </c>
      <c r="E108" s="19" t="n">
        <f aca="false">D108*(1+g_com_27)</f>
        <v>2.49422039630769</v>
      </c>
      <c r="F108" s="19" t="n">
        <f aca="false">E108*(1+g_com_28)</f>
        <v>2.79352684386461</v>
      </c>
      <c r="G108" s="19" t="n">
        <f aca="false">F108*(1+g_com_29)</f>
        <v>3.01700899137378</v>
      </c>
      <c r="H108" s="2"/>
    </row>
    <row r="109" customFormat="false" ht="17.15" hidden="false" customHeight="false" outlineLevel="0" collapsed="false">
      <c r="A109" s="5" t="s">
        <v>518</v>
      </c>
      <c r="B109" s="0" t="s">
        <v>27</v>
      </c>
      <c r="C109" s="19" t="n">
        <f aca="false">a25_ind</f>
        <v>2.0549</v>
      </c>
      <c r="D109" s="19" t="n">
        <f aca="false">a26_ind</f>
        <v>1.8436</v>
      </c>
      <c r="E109" s="19" t="n">
        <f aca="false">ind_run*(1+g_ind_27)</f>
        <v>1.75644</v>
      </c>
      <c r="F109" s="19" t="n">
        <f aca="false">E109*(1+g_ind_28)</f>
        <v>1.844262</v>
      </c>
      <c r="G109" s="19" t="n">
        <f aca="false">F109*(1+g_ind_29)</f>
        <v>1.9364751</v>
      </c>
      <c r="H109" s="2"/>
    </row>
    <row r="110" customFormat="false" ht="15" hidden="false" customHeight="false" outlineLevel="0" collapsed="false">
      <c r="A110" s="5" t="s">
        <v>419</v>
      </c>
      <c r="B110" s="0" t="s">
        <v>27</v>
      </c>
      <c r="C110" s="19" t="n">
        <f aca="false">C107+C108+C109</f>
        <v>5.8101</v>
      </c>
      <c r="D110" s="19" t="n">
        <f aca="false">D107+D108+D109</f>
        <v>7.1182</v>
      </c>
      <c r="E110" s="19" t="n">
        <f aca="false">E107+E108+E109</f>
        <v>10.9465732984097</v>
      </c>
      <c r="F110" s="19" t="n">
        <f aca="false">F107+F108+F109</f>
        <v>13.4517767760556</v>
      </c>
      <c r="G110" s="19" t="n">
        <f aca="false">G107+G108+G109</f>
        <v>15.2575938102401</v>
      </c>
      <c r="H110" s="24" t="n">
        <f aca="false">G110*(1+H111)</f>
        <v>16.8265195242544</v>
      </c>
      <c r="I110" s="21" t="n">
        <f aca="false">H110*(1+I111)</f>
        <v>18.0281784365529</v>
      </c>
      <c r="J110" s="21" t="n">
        <f aca="false">I110*(1+J111)</f>
        <v>18.7493055740151</v>
      </c>
    </row>
    <row r="111" customFormat="false" ht="15" hidden="false" customHeight="false" outlineLevel="0" collapsed="false">
      <c r="A111" s="5" t="s">
        <v>519</v>
      </c>
      <c r="B111" s="0" t="s">
        <v>60</v>
      </c>
      <c r="D111" s="16" t="n">
        <f aca="false">D110/C110-1</f>
        <v>0.225142424398892</v>
      </c>
      <c r="E111" s="16" t="n">
        <f aca="false">E110/D110-1</f>
        <v>0.537828846957055</v>
      </c>
      <c r="F111" s="16" t="n">
        <f aca="false">F110/E110-1</f>
        <v>0.228857324511756</v>
      </c>
      <c r="G111" s="16" t="n">
        <f aca="false">G110/F110-1</f>
        <v>0.134243755620364</v>
      </c>
      <c r="H111" s="25" t="n">
        <f aca="false">$G111+(fade_gB-$G111)*1/3</f>
        <v>0.102829170413576</v>
      </c>
      <c r="I111" s="22" t="n">
        <f aca="false">$G111+(fade_gB-$G111)*2/3</f>
        <v>0.0714145852067881</v>
      </c>
      <c r="J111" s="22" t="n">
        <f aca="false">$G111+(fade_gB-$G111)*3/3</f>
        <v>0.04</v>
      </c>
    </row>
    <row r="112" customFormat="false" ht="17.15" hidden="false" customHeight="false" outlineLevel="0" collapsed="false">
      <c r="A112" s="5" t="s">
        <v>520</v>
      </c>
      <c r="B112" s="0" t="s">
        <v>60</v>
      </c>
      <c r="C112" s="16" t="n">
        <f aca="false">C107/C110</f>
        <v>0.391631831876914</v>
      </c>
      <c r="D112" s="16" t="n">
        <f aca="false">D107/D110</f>
        <v>0.449001573863747</v>
      </c>
      <c r="E112" s="16" t="n">
        <f aca="false">E107/E110</f>
        <v>0.611690318017127</v>
      </c>
      <c r="F112" s="16" t="n">
        <f aca="false">F107/F110</f>
        <v>0.655228530693435</v>
      </c>
      <c r="G112" s="16" t="n">
        <f aca="false">G107/G110</f>
        <v>0.675343035541471</v>
      </c>
      <c r="H112" s="2"/>
    </row>
    <row r="113" customFormat="false" ht="17.15" hidden="false" customHeight="false" outlineLevel="0" collapsed="false">
      <c r="A113" s="1" t="s">
        <v>521</v>
      </c>
    </row>
    <row r="114" customFormat="false" ht="17.15" hidden="false" customHeight="false" outlineLevel="0" collapsed="false">
      <c r="A114" s="5" t="s">
        <v>490</v>
      </c>
      <c r="B114" s="0" t="s">
        <v>60</v>
      </c>
      <c r="C114" s="16" t="n">
        <f aca="false">a25_gp/a25_rev</f>
        <v>0.379046832240409</v>
      </c>
      <c r="D114" s="16" t="n">
        <f aca="false">a26_gp/a26_rev</f>
        <v>0.394271023573375</v>
      </c>
      <c r="E114" s="16" t="n">
        <f aca="false">gm_27</f>
        <v>0.41</v>
      </c>
      <c r="F114" s="16" t="n">
        <f aca="false">gm_28</f>
        <v>0.42</v>
      </c>
      <c r="G114" s="16" t="n">
        <f aca="false">gm_29</f>
        <v>0.42</v>
      </c>
      <c r="H114" s="2"/>
      <c r="K114" s="8" t="s">
        <v>522</v>
      </c>
    </row>
    <row r="115" customFormat="false" ht="15" hidden="false" customHeight="false" outlineLevel="0" collapsed="false">
      <c r="A115" s="5" t="s">
        <v>523</v>
      </c>
      <c r="B115" s="0" t="s">
        <v>27</v>
      </c>
      <c r="C115" s="19" t="n">
        <f aca="false">C110*C114</f>
        <v>2.2023</v>
      </c>
      <c r="D115" s="19" t="n">
        <f aca="false">D110*D114</f>
        <v>2.8065</v>
      </c>
      <c r="E115" s="19" t="n">
        <f aca="false">E110*E114</f>
        <v>4.48809505234798</v>
      </c>
      <c r="F115" s="19" t="n">
        <f aca="false">F110*F114</f>
        <v>5.64974624594334</v>
      </c>
      <c r="G115" s="19" t="n">
        <f aca="false">G110*G114</f>
        <v>6.40818940030083</v>
      </c>
      <c r="H115" s="2"/>
    </row>
    <row r="116" customFormat="false" ht="15" hidden="false" customHeight="false" outlineLevel="0" collapsed="false">
      <c r="A116" s="5" t="s">
        <v>524</v>
      </c>
      <c r="B116" s="0" t="s">
        <v>27</v>
      </c>
      <c r="C116" s="19" t="n">
        <f aca="false">a25_opx</f>
        <v>1.1653</v>
      </c>
      <c r="D116" s="19" t="n">
        <f aca="false">a26_opx</f>
        <v>1.3496</v>
      </c>
      <c r="E116" s="19" t="n">
        <f aca="false">D116*(1+MAX(0,phi*E111))</f>
        <v>1.859493425498</v>
      </c>
      <c r="F116" s="19" t="n">
        <f aca="false">E116*(1+MAX(0,phi*F111))</f>
        <v>2.15843733790496</v>
      </c>
      <c r="G116" s="19" t="n">
        <f aca="false">F116*(1+MAX(0,phi*G111))</f>
        <v>2.36198390817646</v>
      </c>
      <c r="H116" s="2"/>
    </row>
    <row r="117" customFormat="false" ht="15" hidden="false" customHeight="false" outlineLevel="0" collapsed="false">
      <c r="A117" s="5" t="s">
        <v>525</v>
      </c>
      <c r="B117" s="0" t="s">
        <v>27</v>
      </c>
      <c r="C117" s="19" t="n">
        <f aca="false">C116</f>
        <v>1.1653</v>
      </c>
      <c r="D117" s="19" t="n">
        <f aca="false">D116</f>
        <v>1.3496</v>
      </c>
      <c r="E117" s="19" t="n">
        <f aca="false">E116+0*E110</f>
        <v>1.859493425498</v>
      </c>
      <c r="F117" s="19" t="n">
        <f aca="false">F116+0*F110</f>
        <v>2.15843733790496</v>
      </c>
      <c r="G117" s="19" t="n">
        <f aca="false">G116+0*G110</f>
        <v>2.36198390817646</v>
      </c>
      <c r="H117" s="2"/>
    </row>
    <row r="118" customFormat="false" ht="15" hidden="false" customHeight="false" outlineLevel="0" collapsed="false">
      <c r="A118" s="5" t="s">
        <v>526</v>
      </c>
      <c r="B118" s="0" t="s">
        <v>27</v>
      </c>
      <c r="C118" s="19" t="n">
        <f aca="false">C115-C117</f>
        <v>1.037</v>
      </c>
      <c r="D118" s="19" t="n">
        <f aca="false">D115-D117</f>
        <v>1.4569</v>
      </c>
      <c r="E118" s="19" t="n">
        <f aca="false">E115-E117</f>
        <v>2.62860162684998</v>
      </c>
      <c r="F118" s="19" t="n">
        <f aca="false">F115-F117</f>
        <v>3.49130890803839</v>
      </c>
      <c r="G118" s="19" t="n">
        <f aca="false">G115-G117</f>
        <v>4.04620549212437</v>
      </c>
      <c r="H118" s="2"/>
    </row>
    <row r="119" customFormat="false" ht="15" hidden="false" customHeight="false" outlineLevel="0" collapsed="false">
      <c r="A119" s="5" t="s">
        <v>491</v>
      </c>
      <c r="B119" s="0" t="s">
        <v>60</v>
      </c>
      <c r="C119" s="16" t="n">
        <f aca="false">C118/C110</f>
        <v>0.178482298067159</v>
      </c>
      <c r="D119" s="16" t="n">
        <f aca="false">D118/D110</f>
        <v>0.204672529572083</v>
      </c>
      <c r="E119" s="16" t="n">
        <f aca="false">E118/E110</f>
        <v>0.240130089589941</v>
      </c>
      <c r="F119" s="16" t="n">
        <f aca="false">F118/F110</f>
        <v>0.259542584311463</v>
      </c>
      <c r="G119" s="16" t="n">
        <f aca="false">G118/G110</f>
        <v>0.265192896235629</v>
      </c>
      <c r="H119" s="2"/>
    </row>
    <row r="120" customFormat="false" ht="15" hidden="false" customHeight="false" outlineLevel="0" collapsed="false">
      <c r="A120" s="5" t="s">
        <v>527</v>
      </c>
      <c r="B120" s="0" t="s">
        <v>27</v>
      </c>
      <c r="C120" s="19" t="n">
        <f aca="false">a25_int</f>
        <v>0.1673</v>
      </c>
      <c r="D120" s="19" t="n">
        <f aca="false">a26_int</f>
        <v>0.1181</v>
      </c>
      <c r="E120" s="19" t="n">
        <f aca="false">int_f</f>
        <v>0.08</v>
      </c>
      <c r="F120" s="19" t="n">
        <f aca="false">int_f</f>
        <v>0.08</v>
      </c>
      <c r="G120" s="19" t="n">
        <f aca="false">int_f</f>
        <v>0.08</v>
      </c>
      <c r="H120" s="2"/>
    </row>
    <row r="121" customFormat="false" ht="15" hidden="false" customHeight="false" outlineLevel="0" collapsed="false">
      <c r="A121" s="5" t="s">
        <v>528</v>
      </c>
      <c r="B121" s="0" t="s">
        <v>27</v>
      </c>
      <c r="C121" s="19" t="n">
        <f aca="false">C118-C120</f>
        <v>0.8697</v>
      </c>
      <c r="D121" s="19" t="n">
        <f aca="false">D118-D120</f>
        <v>1.3388</v>
      </c>
      <c r="E121" s="19" t="n">
        <f aca="false">E118-E120</f>
        <v>2.54860162684998</v>
      </c>
      <c r="F121" s="19" t="n">
        <f aca="false">F118-F120</f>
        <v>3.41130890803839</v>
      </c>
      <c r="G121" s="19" t="n">
        <f aca="false">G118-G120</f>
        <v>3.96620549212437</v>
      </c>
      <c r="H121" s="2"/>
    </row>
    <row r="122" customFormat="false" ht="17.15" hidden="false" customHeight="false" outlineLevel="0" collapsed="false">
      <c r="A122" s="5" t="s">
        <v>529</v>
      </c>
      <c r="B122" s="0" t="s">
        <v>27</v>
      </c>
      <c r="C122" s="19" t="n">
        <f aca="false">a25_ni</f>
        <v>0.6926</v>
      </c>
      <c r="D122" s="19" t="n">
        <f aca="false">a26_ni</f>
        <v>1.0966</v>
      </c>
      <c r="E122" s="19" t="n">
        <f aca="false">E121*(1-tx)+nci</f>
        <v>2.07656731774848</v>
      </c>
      <c r="F122" s="19" t="n">
        <f aca="false">F121*(1-tx)+nci</f>
        <v>2.77536021551109</v>
      </c>
      <c r="G122" s="19" t="n">
        <f aca="false">G121*(1-tx)+nci</f>
        <v>3.22482644862074</v>
      </c>
      <c r="H122" s="24" t="n">
        <f aca="false">H110*H123</f>
        <v>3.43788492115816</v>
      </c>
      <c r="I122" s="21" t="n">
        <f aca="false">I110*I123</f>
        <v>3.5563862520744</v>
      </c>
      <c r="J122" s="21" t="n">
        <f aca="false">J110*J123</f>
        <v>3.56654735565176</v>
      </c>
    </row>
    <row r="123" customFormat="false" ht="15" hidden="false" customHeight="false" outlineLevel="0" collapsed="false">
      <c r="A123" s="5" t="s">
        <v>530</v>
      </c>
      <c r="B123" s="0" t="s">
        <v>60</v>
      </c>
      <c r="C123" s="16" t="n">
        <f aca="false">C122/C110</f>
        <v>0.119206209875906</v>
      </c>
      <c r="D123" s="16" t="n">
        <f aca="false">D122/D110</f>
        <v>0.154055800623753</v>
      </c>
      <c r="E123" s="16" t="n">
        <f aca="false">E122/E110</f>
        <v>0.189700215870309</v>
      </c>
      <c r="F123" s="16" t="n">
        <f aca="false">F122/F110</f>
        <v>0.206319229178058</v>
      </c>
      <c r="G123" s="16" t="n">
        <f aca="false">G122/G110</f>
        <v>0.211358782303957</v>
      </c>
      <c r="H123" s="25" t="n">
        <f aca="false">$G123+(fade_mB-$G123)*1/3</f>
        <v>0.204313489560492</v>
      </c>
      <c r="I123" s="22" t="n">
        <f aca="false">$G123+(fade_mB-$G123)*2/3</f>
        <v>0.197268196817027</v>
      </c>
      <c r="J123" s="22" t="n">
        <f aca="false">$G123+(fade_mB-$G123)*3/3</f>
        <v>0.190222904073562</v>
      </c>
    </row>
    <row r="124" customFormat="false" ht="15" hidden="false" customHeight="false" outlineLevel="0" collapsed="false">
      <c r="A124" s="5" t="s">
        <v>531</v>
      </c>
      <c r="B124" s="0" t="s">
        <v>27</v>
      </c>
      <c r="C124" s="10" t="n">
        <f aca="false">a25_pref</f>
        <v>0.130624</v>
      </c>
      <c r="D124" s="10" t="n">
        <f aca="false">0</f>
        <v>0</v>
      </c>
      <c r="E124" s="10" t="n">
        <f aca="false">0</f>
        <v>0</v>
      </c>
      <c r="F124" s="10" t="n">
        <f aca="false">0</f>
        <v>0</v>
      </c>
      <c r="G124" s="10" t="n">
        <f aca="false">0</f>
        <v>0</v>
      </c>
      <c r="H124" s="2"/>
    </row>
    <row r="125" customFormat="false" ht="15" hidden="false" customHeight="false" outlineLevel="0" collapsed="false">
      <c r="A125" s="5" t="s">
        <v>532</v>
      </c>
      <c r="B125" s="5" t="s">
        <v>251</v>
      </c>
      <c r="C125" s="17" t="n">
        <f aca="false">a25_sh</f>
        <v>0.1592</v>
      </c>
      <c r="D125" s="17" t="n">
        <f aca="false">a26_sh</f>
        <v>0.1954</v>
      </c>
      <c r="E125" s="17" t="n">
        <f aca="false">sh_q4*(1+sh_g)</f>
        <v>0.204222</v>
      </c>
      <c r="F125" s="17" t="n">
        <f aca="false">E125*(1+sh_g)</f>
        <v>0.20626422</v>
      </c>
      <c r="G125" s="17" t="n">
        <f aca="false">F125*(1+sh_g)</f>
        <v>0.2083268622</v>
      </c>
      <c r="H125" s="26" t="n">
        <f aca="false">G125*(1+sh_g)</f>
        <v>0.210410130822</v>
      </c>
      <c r="I125" s="27" t="n">
        <f aca="false">H125*(1+sh_g)</f>
        <v>0.21251423213022</v>
      </c>
      <c r="J125" s="27" t="n">
        <f aca="false">I125*(1+sh_g)</f>
        <v>0.214639374451522</v>
      </c>
    </row>
    <row r="126" customFormat="false" ht="15" hidden="false" customHeight="false" outlineLevel="0" collapsed="false">
      <c r="A126" s="0" t="s">
        <v>493</v>
      </c>
      <c r="B126" s="0" t="s">
        <v>188</v>
      </c>
      <c r="C126" s="19" t="n">
        <f aca="false">(C122-C124)/C125</f>
        <v>3.53</v>
      </c>
      <c r="D126" s="19" t="n">
        <f aca="false">(D122-D124)/D125</f>
        <v>5.61207778915046</v>
      </c>
      <c r="E126" s="19" t="n">
        <f aca="false">(E122-E124)/E125</f>
        <v>10.168186178514</v>
      </c>
      <c r="F126" s="19" t="n">
        <f aca="false">(F122-F124)/F125</f>
        <v>13.4553642677877</v>
      </c>
      <c r="G126" s="19" t="n">
        <f aca="false">(G122-G124)/G125</f>
        <v>15.4796477735301</v>
      </c>
      <c r="H126" s="24" t="n">
        <f aca="false">(H122-H124)/H125</f>
        <v>16.3389705035947</v>
      </c>
      <c r="I126" s="21" t="n">
        <f aca="false">(I122-I124)/I125</f>
        <v>16.7348144941897</v>
      </c>
      <c r="J126" s="21" t="n">
        <f aca="false">(J122-J124)/J125</f>
        <v>16.6164636137499</v>
      </c>
    </row>
    <row r="127" customFormat="false" ht="17.15" hidden="false" customHeight="false" outlineLevel="0" collapsed="false">
      <c r="A127" s="0" t="s">
        <v>533</v>
      </c>
      <c r="B127" s="0" t="s">
        <v>60</v>
      </c>
      <c r="D127" s="16" t="n">
        <f aca="false">D126/C126-1</f>
        <v>0.589823736303247</v>
      </c>
      <c r="E127" s="16" t="n">
        <f aca="false">E126/D126-1</f>
        <v>0.811839849791751</v>
      </c>
      <c r="F127" s="16" t="n">
        <f aca="false">F126/E126-1</f>
        <v>0.323280674799177</v>
      </c>
      <c r="G127" s="16" t="n">
        <f aca="false">G126/F126-1</f>
        <v>0.150444348102013</v>
      </c>
      <c r="H127" s="25" t="n">
        <f aca="false">H126/G126-1</f>
        <v>0.0555130673925317</v>
      </c>
      <c r="I127" s="22" t="n">
        <f aca="false">I126/H126-1</f>
        <v>0.0242269848340755</v>
      </c>
      <c r="J127" s="22" t="n">
        <f aca="false">J126/I126-1</f>
        <v>-0.00707213578500698</v>
      </c>
    </row>
    <row r="130" customFormat="false" ht="17.15" hidden="false" customHeight="false" outlineLevel="0" collapsed="false">
      <c r="A130" s="3" t="s">
        <v>535</v>
      </c>
    </row>
    <row r="131" customFormat="false" ht="17.15" hidden="false" customHeight="false" outlineLevel="0" collapsed="false">
      <c r="A131" s="6" t="s">
        <v>16</v>
      </c>
      <c r="B131" s="6" t="s">
        <v>17</v>
      </c>
      <c r="C131" s="15" t="s">
        <v>412</v>
      </c>
      <c r="D131" s="15" t="s">
        <v>477</v>
      </c>
      <c r="E131" s="15" t="s">
        <v>478</v>
      </c>
      <c r="F131" s="15" t="s">
        <v>479</v>
      </c>
      <c r="G131" s="15" t="s">
        <v>480</v>
      </c>
      <c r="H131" s="15" t="s">
        <v>481</v>
      </c>
      <c r="I131" s="15" t="s">
        <v>482</v>
      </c>
      <c r="J131" s="15" t="s">
        <v>483</v>
      </c>
      <c r="K131" s="6" t="s">
        <v>418</v>
      </c>
    </row>
    <row r="132" customFormat="false" ht="17.15" hidden="false" customHeight="false" outlineLevel="0" collapsed="false">
      <c r="A132" s="1" t="s">
        <v>503</v>
      </c>
    </row>
    <row r="133" customFormat="false" ht="17.15" hidden="false" customHeight="false" outlineLevel="0" collapsed="false">
      <c r="A133" s="0" t="s">
        <v>504</v>
      </c>
      <c r="B133" s="0" t="s">
        <v>27</v>
      </c>
      <c r="D133" s="19" t="n">
        <f aca="false">mpl_26*1</f>
        <v>29.753262</v>
      </c>
      <c r="E133" s="19" t="n">
        <f aca="false">mpl_27*1*1</f>
        <v>54.688309</v>
      </c>
      <c r="F133" s="19" t="n">
        <f aca="false">mpl_28*um28_C*1</f>
        <v>36.72795</v>
      </c>
      <c r="G133" s="19" t="n">
        <f aca="false">mpl_29*um29_C*1</f>
        <v>47.285088</v>
      </c>
      <c r="H133" s="2"/>
      <c r="K133" s="5" t="s">
        <v>505</v>
      </c>
    </row>
    <row r="134" customFormat="false" ht="17.15" hidden="false" customHeight="false" outlineLevel="0" collapsed="false">
      <c r="A134" s="0" t="s">
        <v>506</v>
      </c>
      <c r="B134" s="0" t="s">
        <v>27</v>
      </c>
      <c r="D134" s="19" t="n">
        <f aca="false">mcp_26*1</f>
        <v>0.300538</v>
      </c>
      <c r="E134" s="19" t="n">
        <f aca="false">mcp_27*1</f>
        <v>1.691391</v>
      </c>
      <c r="F134" s="19" t="n">
        <f aca="false">mcp_28*um28_C</f>
        <v>1.93305</v>
      </c>
      <c r="G134" s="19" t="n">
        <f aca="false">mcp_29*um29_C</f>
        <v>3.524208</v>
      </c>
      <c r="H134" s="2"/>
    </row>
    <row r="135" customFormat="false" ht="17.15" hidden="false" customHeight="false" outlineLevel="0" collapsed="false">
      <c r="A135" s="0" t="s">
        <v>507</v>
      </c>
      <c r="B135" s="0" t="s">
        <v>60</v>
      </c>
      <c r="D135" s="16" t="n">
        <f aca="false">dc_cy26/D133</f>
        <v>0.146339576728919</v>
      </c>
      <c r="H135" s="2"/>
      <c r="K135" s="8" t="s">
        <v>508</v>
      </c>
    </row>
    <row r="136" customFormat="false" ht="17.15" hidden="false" customHeight="false" outlineLevel="0" collapsed="false">
      <c r="A136" s="5" t="s">
        <v>509</v>
      </c>
      <c r="B136" s="0" t="s">
        <v>71</v>
      </c>
      <c r="D136" s="9" t="n">
        <f aca="false">1</f>
        <v>1</v>
      </c>
      <c r="E136" s="9" t="n">
        <f aca="false">rel_27</f>
        <v>1.1</v>
      </c>
      <c r="F136" s="9" t="n">
        <f aca="false">rel_28</f>
        <v>1.15</v>
      </c>
      <c r="G136" s="9" t="n">
        <f aca="false">rel_29</f>
        <v>1.15</v>
      </c>
      <c r="H136" s="2"/>
    </row>
    <row r="137" customFormat="false" ht="15" hidden="false" customHeight="false" outlineLevel="0" collapsed="false">
      <c r="A137" s="5" t="s">
        <v>510</v>
      </c>
      <c r="B137" s="0" t="s">
        <v>60</v>
      </c>
      <c r="D137" s="16" t="n">
        <f aca="false">$D$135*D136</f>
        <v>0.146339576728919</v>
      </c>
      <c r="E137" s="16" t="n">
        <f aca="false">$D$135*E136</f>
        <v>0.16097353440181</v>
      </c>
      <c r="F137" s="16" t="n">
        <f aca="false">$D$135*F136</f>
        <v>0.168290513238256</v>
      </c>
      <c r="G137" s="16" t="n">
        <f aca="false">$D$135*G136</f>
        <v>0.168290513238256</v>
      </c>
      <c r="H137" s="2"/>
    </row>
    <row r="138" customFormat="false" ht="15" hidden="false" customHeight="false" outlineLevel="0" collapsed="false">
      <c r="A138" s="5" t="s">
        <v>511</v>
      </c>
      <c r="B138" s="0" t="s">
        <v>71</v>
      </c>
      <c r="D138" s="9" t="n">
        <f aca="false">1</f>
        <v>1</v>
      </c>
      <c r="E138" s="9" t="n">
        <f aca="false">pxr_27</f>
        <v>1</v>
      </c>
      <c r="F138" s="9" t="n">
        <f aca="false">pxr_28</f>
        <v>1</v>
      </c>
      <c r="G138" s="9" t="n">
        <f aca="false">pxr_29</f>
        <v>1</v>
      </c>
      <c r="H138" s="2"/>
    </row>
    <row r="139" customFormat="false" ht="17.15" hidden="false" customHeight="false" outlineLevel="0" collapsed="false">
      <c r="A139" s="0" t="s">
        <v>512</v>
      </c>
      <c r="B139" s="0" t="s">
        <v>60</v>
      </c>
      <c r="D139" s="16" t="n">
        <f aca="false">0</f>
        <v>0</v>
      </c>
      <c r="E139" s="16" t="n">
        <f aca="false">cpo_27</f>
        <v>0.1</v>
      </c>
      <c r="F139" s="16" t="n">
        <f aca="false">cpo_28</f>
        <v>0.15</v>
      </c>
      <c r="G139" s="16" t="n">
        <f aca="false">cpo_29</f>
        <v>0.2</v>
      </c>
      <c r="H139" s="2"/>
    </row>
    <row r="140" customFormat="false" ht="15" hidden="false" customHeight="false" outlineLevel="0" collapsed="false">
      <c r="A140" s="5" t="s">
        <v>513</v>
      </c>
      <c r="B140" s="0" t="s">
        <v>27</v>
      </c>
      <c r="D140" s="19" t="n">
        <f aca="false">dc_cy26</f>
        <v>4.35407976738462</v>
      </c>
      <c r="E140" s="19" t="n">
        <f aca="false">E133*E137*E138+E134*E139</f>
        <v>8.97250949018834</v>
      </c>
      <c r="F140" s="19" t="n">
        <f aca="false">F133*F137*F138+F134*F139</f>
        <v>6.47092305568902</v>
      </c>
      <c r="G140" s="19" t="n">
        <f aca="false">G133*G137*G138+G134*G139</f>
        <v>8.66247332803612</v>
      </c>
      <c r="H140" s="2"/>
    </row>
    <row r="141" customFormat="false" ht="17.15" hidden="false" customHeight="false" outlineLevel="0" collapsed="false">
      <c r="A141" s="1" t="s">
        <v>514</v>
      </c>
    </row>
    <row r="142" customFormat="false" ht="17.15" hidden="false" customHeight="false" outlineLevel="0" collapsed="false">
      <c r="A142" s="5" t="s">
        <v>515</v>
      </c>
      <c r="B142" s="0" t="s">
        <v>27</v>
      </c>
      <c r="C142" s="19" t="n">
        <f aca="false">a25_dc</f>
        <v>2.27542010638806</v>
      </c>
      <c r="D142" s="19" t="n">
        <f aca="false">a26_dc</f>
        <v>3.19608300307692</v>
      </c>
      <c r="E142" s="19" t="n">
        <f aca="false">h1_27+hw*E140</f>
        <v>6.69591290210202</v>
      </c>
      <c r="F142" s="19" t="n">
        <f aca="false">(1-hw)*E140+hw*F140</f>
        <v>7.82177973031865</v>
      </c>
      <c r="G142" s="19" t="n">
        <f aca="false">(1-hw)*F140+hw*G140</f>
        <v>7.47903618096868</v>
      </c>
      <c r="H142" s="2"/>
      <c r="K142" s="8" t="s">
        <v>516</v>
      </c>
    </row>
    <row r="143" customFormat="false" ht="15" hidden="false" customHeight="false" outlineLevel="0" collapsed="false">
      <c r="A143" s="5" t="s">
        <v>517</v>
      </c>
      <c r="B143" s="0" t="s">
        <v>27</v>
      </c>
      <c r="C143" s="19" t="n">
        <f aca="false">a25_com</f>
        <v>1.47977989361194</v>
      </c>
      <c r="D143" s="19" t="n">
        <f aca="false">a26_com</f>
        <v>2.07851699692308</v>
      </c>
      <c r="E143" s="19" t="n">
        <f aca="false">D143*(1+g_com_27)</f>
        <v>2.49422039630769</v>
      </c>
      <c r="F143" s="19" t="n">
        <f aca="false">E143*(1+g_com_28)</f>
        <v>2.79352684386461</v>
      </c>
      <c r="G143" s="19" t="n">
        <f aca="false">F143*(1+g_com_29)</f>
        <v>3.01700899137378</v>
      </c>
      <c r="H143" s="2"/>
    </row>
    <row r="144" customFormat="false" ht="17.15" hidden="false" customHeight="false" outlineLevel="0" collapsed="false">
      <c r="A144" s="5" t="s">
        <v>518</v>
      </c>
      <c r="B144" s="0" t="s">
        <v>27</v>
      </c>
      <c r="C144" s="19" t="n">
        <f aca="false">a25_ind</f>
        <v>2.0549</v>
      </c>
      <c r="D144" s="19" t="n">
        <f aca="false">a26_ind</f>
        <v>1.8436</v>
      </c>
      <c r="E144" s="19" t="n">
        <f aca="false">ind_run*(1+g_ind_27)</f>
        <v>1.75644</v>
      </c>
      <c r="F144" s="19" t="n">
        <f aca="false">E144*(1+g_ind_28)</f>
        <v>1.844262</v>
      </c>
      <c r="G144" s="19" t="n">
        <f aca="false">F144*(1+g_ind_29)</f>
        <v>1.9364751</v>
      </c>
      <c r="H144" s="2"/>
    </row>
    <row r="145" customFormat="false" ht="15" hidden="false" customHeight="false" outlineLevel="0" collapsed="false">
      <c r="A145" s="5" t="s">
        <v>419</v>
      </c>
      <c r="B145" s="0" t="s">
        <v>27</v>
      </c>
      <c r="C145" s="19" t="n">
        <f aca="false">C142+C143+C144</f>
        <v>5.8101</v>
      </c>
      <c r="D145" s="19" t="n">
        <f aca="false">D142+D143+D144</f>
        <v>7.1182</v>
      </c>
      <c r="E145" s="19" t="n">
        <f aca="false">E142+E143+E144</f>
        <v>10.9465732984097</v>
      </c>
      <c r="F145" s="19" t="n">
        <f aca="false">F142+F143+F144</f>
        <v>12.4595685741833</v>
      </c>
      <c r="G145" s="19" t="n">
        <f aca="false">G142+G143+G144</f>
        <v>12.4325202723425</v>
      </c>
      <c r="H145" s="24" t="n">
        <f aca="false">G145*(1+H146)</f>
        <v>12.4974106854491</v>
      </c>
      <c r="I145" s="21" t="n">
        <f aca="false">H145*(1+I146)</f>
        <v>12.6549993436728</v>
      </c>
      <c r="J145" s="21" t="n">
        <f aca="false">I145*(1+J146)</f>
        <v>12.9080993305462</v>
      </c>
    </row>
    <row r="146" customFormat="false" ht="15" hidden="false" customHeight="false" outlineLevel="0" collapsed="false">
      <c r="A146" s="5" t="s">
        <v>519</v>
      </c>
      <c r="B146" s="0" t="s">
        <v>60</v>
      </c>
      <c r="D146" s="16" t="n">
        <f aca="false">D145/C145-1</f>
        <v>0.225142424398892</v>
      </c>
      <c r="E146" s="16" t="n">
        <f aca="false">E145/D145-1</f>
        <v>0.537828846957055</v>
      </c>
      <c r="F146" s="16" t="n">
        <f aca="false">F145/E145-1</f>
        <v>0.138216338074798</v>
      </c>
      <c r="G146" s="16" t="n">
        <f aca="false">G145/F145-1</f>
        <v>-0.00217088590826842</v>
      </c>
      <c r="H146" s="25" t="n">
        <f aca="false">$G146+(fade_gC-$G146)*1/3</f>
        <v>0.00521940939448772</v>
      </c>
      <c r="I146" s="22" t="n">
        <f aca="false">$G146+(fade_gC-$G146)*2/3</f>
        <v>0.0126097046972439</v>
      </c>
      <c r="J146" s="22" t="n">
        <f aca="false">$G146+(fade_gC-$G146)*3/3</f>
        <v>0.02</v>
      </c>
    </row>
    <row r="147" customFormat="false" ht="17.15" hidden="false" customHeight="false" outlineLevel="0" collapsed="false">
      <c r="A147" s="5" t="s">
        <v>520</v>
      </c>
      <c r="B147" s="0" t="s">
        <v>60</v>
      </c>
      <c r="C147" s="16" t="n">
        <f aca="false">C142/C145</f>
        <v>0.391631831876914</v>
      </c>
      <c r="D147" s="16" t="n">
        <f aca="false">D142/D145</f>
        <v>0.449001573863747</v>
      </c>
      <c r="E147" s="16" t="n">
        <f aca="false">E142/E145</f>
        <v>0.611690318017127</v>
      </c>
      <c r="F147" s="16" t="n">
        <f aca="false">F142/F145</f>
        <v>0.627772918761064</v>
      </c>
      <c r="G147" s="16" t="n">
        <f aca="false">G142/G145</f>
        <v>0.601570399012872</v>
      </c>
      <c r="H147" s="2"/>
    </row>
    <row r="148" customFormat="false" ht="17.15" hidden="false" customHeight="false" outlineLevel="0" collapsed="false">
      <c r="A148" s="1" t="s">
        <v>521</v>
      </c>
    </row>
    <row r="149" customFormat="false" ht="17.15" hidden="false" customHeight="false" outlineLevel="0" collapsed="false">
      <c r="A149" s="5" t="s">
        <v>490</v>
      </c>
      <c r="B149" s="0" t="s">
        <v>60</v>
      </c>
      <c r="C149" s="16" t="n">
        <f aca="false">a25_gp/a25_rev</f>
        <v>0.379046832240409</v>
      </c>
      <c r="D149" s="16" t="n">
        <f aca="false">a26_gp/a26_rev</f>
        <v>0.394271023573375</v>
      </c>
      <c r="E149" s="16" t="n">
        <f aca="false">gm_27</f>
        <v>0.41</v>
      </c>
      <c r="F149" s="16" t="n">
        <f aca="false">gm_28</f>
        <v>0.42</v>
      </c>
      <c r="G149" s="16" t="n">
        <f aca="false">gm_29</f>
        <v>0.42</v>
      </c>
      <c r="H149" s="2"/>
      <c r="K149" s="8" t="s">
        <v>522</v>
      </c>
    </row>
    <row r="150" customFormat="false" ht="15" hidden="false" customHeight="false" outlineLevel="0" collapsed="false">
      <c r="A150" s="5" t="s">
        <v>523</v>
      </c>
      <c r="B150" s="0" t="s">
        <v>27</v>
      </c>
      <c r="C150" s="19" t="n">
        <f aca="false">C145*C149</f>
        <v>2.2023</v>
      </c>
      <c r="D150" s="19" t="n">
        <f aca="false">D145*D149</f>
        <v>2.8065</v>
      </c>
      <c r="E150" s="19" t="n">
        <f aca="false">E145*E149</f>
        <v>4.48809505234798</v>
      </c>
      <c r="F150" s="19" t="n">
        <f aca="false">F145*F149</f>
        <v>5.23301880115697</v>
      </c>
      <c r="G150" s="19" t="n">
        <f aca="false">G145*G149</f>
        <v>5.22165851438384</v>
      </c>
      <c r="H150" s="2"/>
    </row>
    <row r="151" customFormat="false" ht="15" hidden="false" customHeight="false" outlineLevel="0" collapsed="false">
      <c r="A151" s="5" t="s">
        <v>524</v>
      </c>
      <c r="B151" s="0" t="s">
        <v>27</v>
      </c>
      <c r="C151" s="19" t="n">
        <f aca="false">a25_opx</f>
        <v>1.1653</v>
      </c>
      <c r="D151" s="19" t="n">
        <f aca="false">a26_opx</f>
        <v>1.3496</v>
      </c>
      <c r="E151" s="19" t="n">
        <f aca="false">D151*(1+MAX(0,phi*E146))</f>
        <v>1.859493425498</v>
      </c>
      <c r="F151" s="19" t="n">
        <f aca="false">E151*(1+MAX(0,phi*F146))</f>
        <v>2.04003793265237</v>
      </c>
      <c r="G151" s="19" t="n">
        <f aca="false">F151*(1+MAX(0,phi*G146))</f>
        <v>2.04003793265237</v>
      </c>
      <c r="H151" s="2"/>
    </row>
    <row r="152" customFormat="false" ht="15" hidden="false" customHeight="false" outlineLevel="0" collapsed="false">
      <c r="A152" s="5" t="s">
        <v>525</v>
      </c>
      <c r="B152" s="0" t="s">
        <v>27</v>
      </c>
      <c r="C152" s="19" t="n">
        <f aca="false">C151</f>
        <v>1.1653</v>
      </c>
      <c r="D152" s="19" t="n">
        <f aca="false">D151</f>
        <v>1.3496</v>
      </c>
      <c r="E152" s="19" t="n">
        <f aca="false">E151+0*E145</f>
        <v>1.859493425498</v>
      </c>
      <c r="F152" s="19" t="n">
        <f aca="false">F151+0*F145</f>
        <v>2.04003793265237</v>
      </c>
      <c r="G152" s="19" t="n">
        <f aca="false">G151+0*G145</f>
        <v>2.04003793265237</v>
      </c>
      <c r="H152" s="2"/>
    </row>
    <row r="153" customFormat="false" ht="15" hidden="false" customHeight="false" outlineLevel="0" collapsed="false">
      <c r="A153" s="5" t="s">
        <v>526</v>
      </c>
      <c r="B153" s="0" t="s">
        <v>27</v>
      </c>
      <c r="C153" s="19" t="n">
        <f aca="false">C150-C152</f>
        <v>1.037</v>
      </c>
      <c r="D153" s="19" t="n">
        <f aca="false">D150-D152</f>
        <v>1.4569</v>
      </c>
      <c r="E153" s="19" t="n">
        <f aca="false">E150-E152</f>
        <v>2.62860162684998</v>
      </c>
      <c r="F153" s="19" t="n">
        <f aca="false">F150-F152</f>
        <v>3.1929808685046</v>
      </c>
      <c r="G153" s="19" t="n">
        <f aca="false">G150-G152</f>
        <v>3.18162058173146</v>
      </c>
      <c r="H153" s="2"/>
    </row>
    <row r="154" customFormat="false" ht="15" hidden="false" customHeight="false" outlineLevel="0" collapsed="false">
      <c r="A154" s="5" t="s">
        <v>491</v>
      </c>
      <c r="B154" s="0" t="s">
        <v>60</v>
      </c>
      <c r="C154" s="16" t="n">
        <f aca="false">C153/C145</f>
        <v>0.178482298067159</v>
      </c>
      <c r="D154" s="16" t="n">
        <f aca="false">D153/D145</f>
        <v>0.204672529572083</v>
      </c>
      <c r="E154" s="16" t="n">
        <f aca="false">E153/E145</f>
        <v>0.240130089589941</v>
      </c>
      <c r="F154" s="16" t="n">
        <f aca="false">F153/F145</f>
        <v>0.256267369892773</v>
      </c>
      <c r="G154" s="16" t="n">
        <f aca="false">G153/G145</f>
        <v>0.255911151724348</v>
      </c>
      <c r="H154" s="2"/>
    </row>
    <row r="155" customFormat="false" ht="15" hidden="false" customHeight="false" outlineLevel="0" collapsed="false">
      <c r="A155" s="5" t="s">
        <v>527</v>
      </c>
      <c r="B155" s="0" t="s">
        <v>27</v>
      </c>
      <c r="C155" s="19" t="n">
        <f aca="false">a25_int</f>
        <v>0.1673</v>
      </c>
      <c r="D155" s="19" t="n">
        <f aca="false">a26_int</f>
        <v>0.1181</v>
      </c>
      <c r="E155" s="19" t="n">
        <f aca="false">int_f</f>
        <v>0.08</v>
      </c>
      <c r="F155" s="19" t="n">
        <f aca="false">int_f</f>
        <v>0.08</v>
      </c>
      <c r="G155" s="19" t="n">
        <f aca="false">int_f</f>
        <v>0.08</v>
      </c>
      <c r="H155" s="2"/>
    </row>
    <row r="156" customFormat="false" ht="15" hidden="false" customHeight="false" outlineLevel="0" collapsed="false">
      <c r="A156" s="5" t="s">
        <v>528</v>
      </c>
      <c r="B156" s="0" t="s">
        <v>27</v>
      </c>
      <c r="C156" s="19" t="n">
        <f aca="false">C153-C155</f>
        <v>0.8697</v>
      </c>
      <c r="D156" s="19" t="n">
        <f aca="false">D153-D155</f>
        <v>1.3388</v>
      </c>
      <c r="E156" s="19" t="n">
        <f aca="false">E153-E155</f>
        <v>2.54860162684998</v>
      </c>
      <c r="F156" s="19" t="n">
        <f aca="false">F153-F155</f>
        <v>3.1129808685046</v>
      </c>
      <c r="G156" s="19" t="n">
        <f aca="false">G153-G155</f>
        <v>3.10162058173146</v>
      </c>
      <c r="H156" s="2"/>
    </row>
    <row r="157" customFormat="false" ht="17.15" hidden="false" customHeight="false" outlineLevel="0" collapsed="false">
      <c r="A157" s="5" t="s">
        <v>529</v>
      </c>
      <c r="B157" s="0" t="s">
        <v>27</v>
      </c>
      <c r="C157" s="19" t="n">
        <f aca="false">a25_ni</f>
        <v>0.6926</v>
      </c>
      <c r="D157" s="19" t="n">
        <f aca="false">a26_ni</f>
        <v>1.0966</v>
      </c>
      <c r="E157" s="19" t="n">
        <f aca="false">E156*(1-tx)+nci</f>
        <v>2.07656731774848</v>
      </c>
      <c r="F157" s="19" t="n">
        <f aca="false">F156*(1-tx)+nci</f>
        <v>2.53371450348873</v>
      </c>
      <c r="G157" s="19" t="n">
        <f aca="false">G156*(1-tx)+nci</f>
        <v>2.52451267120249</v>
      </c>
      <c r="H157" s="24" t="n">
        <f aca="false">H145*H158</f>
        <v>2.36850986059806</v>
      </c>
      <c r="I157" s="21" t="n">
        <f aca="false">I145*I158</f>
        <v>2.22706349404752</v>
      </c>
      <c r="J157" s="21" t="n">
        <f aca="false">J145*J158</f>
        <v>2.09686593593397</v>
      </c>
    </row>
    <row r="158" customFormat="false" ht="15" hidden="false" customHeight="false" outlineLevel="0" collapsed="false">
      <c r="A158" s="5" t="s">
        <v>530</v>
      </c>
      <c r="B158" s="0" t="s">
        <v>60</v>
      </c>
      <c r="C158" s="16" t="n">
        <f aca="false">C157/C145</f>
        <v>0.119206209875906</v>
      </c>
      <c r="D158" s="16" t="n">
        <f aca="false">D157/D145</f>
        <v>0.154055800623753</v>
      </c>
      <c r="E158" s="16" t="n">
        <f aca="false">E157/E145</f>
        <v>0.189700215870309</v>
      </c>
      <c r="F158" s="16" t="n">
        <f aca="false">F157/F145</f>
        <v>0.203354914610662</v>
      </c>
      <c r="G158" s="16" t="n">
        <f aca="false">G157/G145</f>
        <v>0.203057193224012</v>
      </c>
      <c r="H158" s="25" t="n">
        <f aca="false">$G158+(fade_mC-$G158)*1/3</f>
        <v>0.189520047009077</v>
      </c>
      <c r="I158" s="22" t="n">
        <f aca="false">$G158+(fade_mC-$G158)*2/3</f>
        <v>0.175982900794143</v>
      </c>
      <c r="J158" s="22" t="n">
        <f aca="false">$G158+(fade_mC-$G158)*3/3</f>
        <v>0.162445754579209</v>
      </c>
    </row>
    <row r="159" customFormat="false" ht="15" hidden="false" customHeight="false" outlineLevel="0" collapsed="false">
      <c r="A159" s="5" t="s">
        <v>531</v>
      </c>
      <c r="B159" s="0" t="s">
        <v>27</v>
      </c>
      <c r="C159" s="10" t="n">
        <f aca="false">a25_pref</f>
        <v>0.130624</v>
      </c>
      <c r="D159" s="10" t="n">
        <f aca="false">0</f>
        <v>0</v>
      </c>
      <c r="E159" s="10" t="n">
        <f aca="false">0</f>
        <v>0</v>
      </c>
      <c r="F159" s="10" t="n">
        <f aca="false">0</f>
        <v>0</v>
      </c>
      <c r="G159" s="10" t="n">
        <f aca="false">0</f>
        <v>0</v>
      </c>
      <c r="H159" s="2"/>
    </row>
    <row r="160" customFormat="false" ht="15" hidden="false" customHeight="false" outlineLevel="0" collapsed="false">
      <c r="A160" s="5" t="s">
        <v>532</v>
      </c>
      <c r="B160" s="5" t="s">
        <v>251</v>
      </c>
      <c r="C160" s="17" t="n">
        <f aca="false">a25_sh</f>
        <v>0.1592</v>
      </c>
      <c r="D160" s="17" t="n">
        <f aca="false">a26_sh</f>
        <v>0.1954</v>
      </c>
      <c r="E160" s="17" t="n">
        <f aca="false">sh_q4*(1+sh_g)</f>
        <v>0.204222</v>
      </c>
      <c r="F160" s="17" t="n">
        <f aca="false">E160*(1+sh_g)</f>
        <v>0.20626422</v>
      </c>
      <c r="G160" s="17" t="n">
        <f aca="false">F160*(1+sh_g)</f>
        <v>0.2083268622</v>
      </c>
      <c r="H160" s="26" t="n">
        <f aca="false">G160*(1+sh_g)</f>
        <v>0.210410130822</v>
      </c>
      <c r="I160" s="27" t="n">
        <f aca="false">H160*(1+sh_g)</f>
        <v>0.21251423213022</v>
      </c>
      <c r="J160" s="27" t="n">
        <f aca="false">I160*(1+sh_g)</f>
        <v>0.214639374451522</v>
      </c>
    </row>
    <row r="161" customFormat="false" ht="15" hidden="false" customHeight="false" outlineLevel="0" collapsed="false">
      <c r="A161" s="0" t="s">
        <v>493</v>
      </c>
      <c r="B161" s="0" t="s">
        <v>188</v>
      </c>
      <c r="C161" s="19" t="n">
        <f aca="false">(C157-C159)/C160</f>
        <v>3.53</v>
      </c>
      <c r="D161" s="19" t="n">
        <f aca="false">(D157-D159)/D160</f>
        <v>5.61207778915046</v>
      </c>
      <c r="E161" s="19" t="n">
        <f aca="false">(E157-E159)/E160</f>
        <v>10.168186178514</v>
      </c>
      <c r="F161" s="19" t="n">
        <f aca="false">(F157-F159)/F160</f>
        <v>12.2838294663453</v>
      </c>
      <c r="G161" s="19" t="n">
        <f aca="false">(G157-G159)/G160</f>
        <v>12.1180372254581</v>
      </c>
      <c r="H161" s="24" t="n">
        <f aca="false">(H157-H159)/H160</f>
        <v>11.2566341332763</v>
      </c>
      <c r="I161" s="21" t="n">
        <f aca="false">(I157-I159)/I160</f>
        <v>10.4795969273383</v>
      </c>
      <c r="J161" s="21" t="n">
        <f aca="false">(J157-J159)/J160</f>
        <v>9.76925105793001</v>
      </c>
    </row>
    <row r="162" customFormat="false" ht="17.15" hidden="false" customHeight="false" outlineLevel="0" collapsed="false">
      <c r="A162" s="0" t="s">
        <v>533</v>
      </c>
      <c r="B162" s="0" t="s">
        <v>60</v>
      </c>
      <c r="D162" s="16" t="n">
        <f aca="false">D161/C161-1</f>
        <v>0.589823736303247</v>
      </c>
      <c r="E162" s="16" t="n">
        <f aca="false">E161/D161-1</f>
        <v>0.811839849791751</v>
      </c>
      <c r="F162" s="16" t="n">
        <f aca="false">F161/E161-1</f>
        <v>0.208064963670883</v>
      </c>
      <c r="G162" s="16" t="n">
        <f aca="false">G161/F161-1</f>
        <v>-0.0134967878983817</v>
      </c>
      <c r="H162" s="25" t="n">
        <f aca="false">H161/G161-1</f>
        <v>-0.0710843741569091</v>
      </c>
      <c r="I162" s="22" t="n">
        <f aca="false">I161/H161-1</f>
        <v>-0.0690292672514733</v>
      </c>
      <c r="J162" s="22" t="n">
        <f aca="false">J161/I161-1</f>
        <v>-0.0677837014470677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536</v>
      </c>
    </row>
    <row r="2" customFormat="false" ht="17.15" hidden="false" customHeight="false" outlineLevel="0" collapsed="false">
      <c r="A2" s="5" t="s">
        <v>537</v>
      </c>
    </row>
    <row r="4" customFormat="false" ht="17.15" hidden="false" customHeight="false" outlineLevel="0" collapsed="false">
      <c r="A4" s="1" t="s">
        <v>538</v>
      </c>
    </row>
    <row r="5" customFormat="false" ht="17.15" hidden="false" customHeight="false" outlineLevel="0" collapsed="false">
      <c r="A5" s="1" t="s">
        <v>539</v>
      </c>
    </row>
    <row r="6" customFormat="false" ht="17.15" hidden="false" customHeight="false" outlineLevel="0" collapsed="false">
      <c r="A6" s="6" t="s">
        <v>16</v>
      </c>
      <c r="B6" s="15" t="s">
        <v>540</v>
      </c>
      <c r="C6" s="15" t="s">
        <v>541</v>
      </c>
      <c r="D6" s="15" t="s">
        <v>542</v>
      </c>
      <c r="E6" s="6" t="s">
        <v>418</v>
      </c>
    </row>
    <row r="7" customFormat="false" ht="17.15" hidden="false" customHeight="false" outlineLevel="0" collapsed="false">
      <c r="A7" s="5" t="s">
        <v>543</v>
      </c>
      <c r="E7" s="0" t="s">
        <v>544</v>
      </c>
    </row>
    <row r="8" customFormat="false" ht="15" hidden="false" customHeight="false" outlineLevel="0" collapsed="false">
      <c r="A8" s="0" t="s">
        <v>545</v>
      </c>
      <c r="B8" s="9" t="n">
        <f aca="false">PL!E14</f>
        <v>10.168186178514</v>
      </c>
      <c r="C8" s="9" t="n">
        <f aca="false">PL!E27</f>
        <v>10.168186178514</v>
      </c>
      <c r="D8" s="9" t="n">
        <f aca="false">PL!E40</f>
        <v>10.168186178514</v>
      </c>
    </row>
    <row r="9" customFormat="false" ht="15" hidden="false" customHeight="false" outlineLevel="0" collapsed="false">
      <c r="A9" s="0" t="s">
        <v>546</v>
      </c>
      <c r="B9" s="9" t="n">
        <f aca="false">PL!F14</f>
        <v>14.62689906923</v>
      </c>
      <c r="C9" s="9" t="n">
        <f aca="false">PL!F27</f>
        <v>13.4553642677877</v>
      </c>
      <c r="D9" s="9" t="n">
        <f aca="false">PL!F40</f>
        <v>12.2838294663453</v>
      </c>
    </row>
    <row r="10" customFormat="false" ht="15" hidden="false" customHeight="false" outlineLevel="0" collapsed="false">
      <c r="A10" s="0" t="s">
        <v>547</v>
      </c>
      <c r="B10" s="9" t="n">
        <f aca="false">PL!G14</f>
        <v>18.058894907649</v>
      </c>
      <c r="C10" s="9" t="n">
        <f aca="false">PL!G27</f>
        <v>15.4796477735301</v>
      </c>
      <c r="D10" s="9" t="n">
        <f aca="false">PL!G40</f>
        <v>12.1180372254581</v>
      </c>
    </row>
    <row r="11" customFormat="false" ht="15" hidden="false" customHeight="false" outlineLevel="0" collapsed="false">
      <c r="A11" s="0" t="s">
        <v>548</v>
      </c>
      <c r="B11" s="9" t="n">
        <f aca="false">PL!H14</f>
        <v>20.6924847870782</v>
      </c>
      <c r="C11" s="9" t="n">
        <f aca="false">PL!H27</f>
        <v>16.3389705035947</v>
      </c>
      <c r="D11" s="9" t="n">
        <f aca="false">PL!H40</f>
        <v>11.2566341332763</v>
      </c>
    </row>
    <row r="12" customFormat="false" ht="15" hidden="false" customHeight="false" outlineLevel="0" collapsed="false">
      <c r="A12" s="0" t="s">
        <v>549</v>
      </c>
      <c r="B12" s="9" t="n">
        <f aca="false">PL!I14</f>
        <v>22.7135026154105</v>
      </c>
      <c r="C12" s="9" t="n">
        <f aca="false">PL!I27</f>
        <v>16.7348144941897</v>
      </c>
      <c r="D12" s="9" t="n">
        <f aca="false">PL!I40</f>
        <v>10.4795969273383</v>
      </c>
    </row>
    <row r="13" customFormat="false" ht="15" hidden="false" customHeight="false" outlineLevel="0" collapsed="false">
      <c r="A13" s="0" t="s">
        <v>550</v>
      </c>
      <c r="B13" s="9" t="n">
        <f aca="false">PL!J14</f>
        <v>23.8379334379556</v>
      </c>
      <c r="C13" s="9" t="n">
        <f aca="false">PL!J27</f>
        <v>16.6164636137499</v>
      </c>
      <c r="D13" s="9" t="n">
        <f aca="false">PL!J40</f>
        <v>9.76925105793001</v>
      </c>
    </row>
    <row r="14" customFormat="false" ht="17.15" hidden="false" customHeight="false" outlineLevel="0" collapsed="false">
      <c r="A14" s="5" t="s">
        <v>551</v>
      </c>
    </row>
    <row r="15" customFormat="false" ht="17.15" hidden="false" customHeight="false" outlineLevel="0" collapsed="false">
      <c r="A15" s="5" t="s">
        <v>552</v>
      </c>
      <c r="B15" s="16" t="n">
        <f aca="false">IF(tp_roe&lt;=tp_g,0.8,MIN(tp_g/tp_roe,0.8))</f>
        <v>0.2</v>
      </c>
      <c r="E15" s="8" t="s">
        <v>553</v>
      </c>
    </row>
    <row r="16" customFormat="false" ht="15" hidden="false" customHeight="false" outlineLevel="0" collapsed="false">
      <c r="A16" s="0" t="s">
        <v>545</v>
      </c>
      <c r="B16" s="9" t="n">
        <f aca="false">B8*(1-$B$15)</f>
        <v>8.13454894281119</v>
      </c>
      <c r="C16" s="9" t="n">
        <f aca="false">C8*(1-$B$15)</f>
        <v>8.13454894281119</v>
      </c>
      <c r="D16" s="9" t="n">
        <f aca="false">D8*(1-$B$15)</f>
        <v>8.13454894281119</v>
      </c>
    </row>
    <row r="17" customFormat="false" ht="15" hidden="false" customHeight="false" outlineLevel="0" collapsed="false">
      <c r="A17" s="0" t="s">
        <v>546</v>
      </c>
      <c r="B17" s="9" t="n">
        <f aca="false">B9*(1-$B$15)</f>
        <v>11.701519255384</v>
      </c>
      <c r="C17" s="9" t="n">
        <f aca="false">C9*(1-$B$15)</f>
        <v>10.7642914142301</v>
      </c>
      <c r="D17" s="9" t="n">
        <f aca="false">D9*(1-$B$15)</f>
        <v>9.82706357307622</v>
      </c>
    </row>
    <row r="18" customFormat="false" ht="15" hidden="false" customHeight="false" outlineLevel="0" collapsed="false">
      <c r="A18" s="0" t="s">
        <v>547</v>
      </c>
      <c r="B18" s="9" t="n">
        <f aca="false">B10*(1-$B$15)</f>
        <v>14.4471159261192</v>
      </c>
      <c r="C18" s="9" t="n">
        <f aca="false">C10*(1-$B$15)</f>
        <v>12.3837182188241</v>
      </c>
      <c r="D18" s="9" t="n">
        <f aca="false">D10*(1-$B$15)</f>
        <v>9.6944297803665</v>
      </c>
    </row>
    <row r="19" customFormat="false" ht="15" hidden="false" customHeight="false" outlineLevel="0" collapsed="false">
      <c r="A19" s="0" t="s">
        <v>548</v>
      </c>
      <c r="B19" s="9" t="n">
        <f aca="false">B11*(1-$B$15)</f>
        <v>16.5539878296625</v>
      </c>
      <c r="C19" s="9" t="n">
        <f aca="false">C11*(1-$B$15)</f>
        <v>13.0711764028758</v>
      </c>
      <c r="D19" s="9" t="n">
        <f aca="false">D11*(1-$B$15)</f>
        <v>9.00530730662105</v>
      </c>
    </row>
    <row r="20" customFormat="false" ht="15" hidden="false" customHeight="false" outlineLevel="0" collapsed="false">
      <c r="A20" s="0" t="s">
        <v>549</v>
      </c>
      <c r="B20" s="9" t="n">
        <f aca="false">B12*(1-$B$15)</f>
        <v>18.1708020923284</v>
      </c>
      <c r="C20" s="9" t="n">
        <f aca="false">C12*(1-$B$15)</f>
        <v>13.3878515953518</v>
      </c>
      <c r="D20" s="9" t="n">
        <f aca="false">D12*(1-$B$15)</f>
        <v>8.38367754187066</v>
      </c>
    </row>
    <row r="21" customFormat="false" ht="15" hidden="false" customHeight="false" outlineLevel="0" collapsed="false">
      <c r="A21" s="0" t="s">
        <v>550</v>
      </c>
      <c r="B21" s="9" t="n">
        <f aca="false">B13*(1-$B$15)</f>
        <v>19.0703467503644</v>
      </c>
      <c r="C21" s="9" t="n">
        <f aca="false">C13*(1-$B$15)</f>
        <v>13.2931708909999</v>
      </c>
      <c r="D21" s="9" t="n">
        <f aca="false">D13*(1-$B$15)</f>
        <v>7.81540084634401</v>
      </c>
    </row>
    <row r="22" customFormat="false" ht="17.15" hidden="false" customHeight="false" outlineLevel="0" collapsed="false">
      <c r="A22" s="0" t="s">
        <v>554</v>
      </c>
      <c r="B22" s="19" t="n">
        <f aca="false">SUMPRODUCT(B16:B21,1/(1+tp_r)^{1;2;3;4;5;6})+B21*(1+tp_g)/(tp_r-tp_g)/(1+tp_r)^6</f>
        <v>247.862370750707</v>
      </c>
      <c r="C22" s="19" t="n">
        <f aca="false">SUMPRODUCT(C16:C21,1/(1+tp_r)^{1;2;3;4;5;6})+C21*(1+tp_g)/(tp_r-tp_g)/(1+tp_r)^6</f>
        <v>180.402703395902</v>
      </c>
      <c r="D22" s="19" t="n">
        <f aca="false">SUMPRODUCT(D16:D21,1/(1+tp_r)^{1;2;3;4;5;6})+D21*(1+tp_g)/(tp_r-tp_g)/(1+tp_r)^6</f>
        <v>115.035653990805</v>
      </c>
      <c r="E22" s="8" t="s">
        <v>555</v>
      </c>
    </row>
    <row r="23" customFormat="false" ht="17.15" hidden="false" customHeight="false" outlineLevel="0" collapsed="false">
      <c r="A23" s="0" t="s">
        <v>556</v>
      </c>
      <c r="B23" s="19" t="n">
        <f aca="false">B22*(1+tp_r)</f>
        <v>272.648607825778</v>
      </c>
      <c r="C23" s="19" t="n">
        <f aca="false">C22*(1+tp_r)</f>
        <v>198.442973735492</v>
      </c>
      <c r="D23" s="19" t="n">
        <f aca="false">D22*(1+tp_r)</f>
        <v>126.539219389886</v>
      </c>
    </row>
    <row r="24" customFormat="false" ht="17.15" hidden="false" customHeight="false" outlineLevel="0" collapsed="false">
      <c r="A24" s="0" t="s">
        <v>557</v>
      </c>
      <c r="B24" s="28" t="n">
        <f aca="false">tp_wA*B23+tp_wB*C23+tp_wC*D23</f>
        <v>206.323913093457</v>
      </c>
      <c r="E24" s="8" t="s">
        <v>558</v>
      </c>
    </row>
    <row r="26" customFormat="false" ht="17.15" hidden="false" customHeight="false" outlineLevel="0" collapsed="false">
      <c r="A26" s="1" t="s">
        <v>559</v>
      </c>
    </row>
    <row r="27" customFormat="false" ht="17.15" hidden="false" customHeight="false" outlineLevel="0" collapsed="false">
      <c r="A27" s="6" t="s">
        <v>560</v>
      </c>
      <c r="B27" s="6" t="s">
        <v>561</v>
      </c>
      <c r="C27" s="6" t="s">
        <v>562</v>
      </c>
      <c r="D27" s="6" t="s">
        <v>563</v>
      </c>
      <c r="E27" s="6" t="s">
        <v>564</v>
      </c>
      <c r="F27" s="6" t="s">
        <v>21</v>
      </c>
    </row>
    <row r="28" customFormat="false" ht="17.15" hidden="false" customHeight="false" outlineLevel="0" collapsed="false">
      <c r="A28" s="0" t="s">
        <v>565</v>
      </c>
      <c r="B28" s="0" t="s">
        <v>566</v>
      </c>
      <c r="C28" s="29" t="n">
        <v>34.71</v>
      </c>
      <c r="D28" s="8" t="s">
        <v>567</v>
      </c>
      <c r="E28" s="8" t="s">
        <v>568</v>
      </c>
      <c r="F28" s="8" t="s">
        <v>158</v>
      </c>
    </row>
    <row r="29" customFormat="false" ht="17.15" hidden="false" customHeight="false" outlineLevel="0" collapsed="false">
      <c r="A29" s="0" t="s">
        <v>569</v>
      </c>
      <c r="B29" s="0" t="s">
        <v>570</v>
      </c>
      <c r="C29" s="29" t="n">
        <v>17.27</v>
      </c>
      <c r="D29" s="8" t="s">
        <v>567</v>
      </c>
      <c r="E29" s="8" t="s">
        <v>568</v>
      </c>
      <c r="F29" s="8" t="s">
        <v>158</v>
      </c>
    </row>
    <row r="30" customFormat="false" ht="17.15" hidden="false" customHeight="false" outlineLevel="0" collapsed="false">
      <c r="A30" s="0" t="s">
        <v>571</v>
      </c>
      <c r="B30" s="0" t="s">
        <v>572</v>
      </c>
      <c r="C30" s="29" t="n">
        <v>29.34</v>
      </c>
      <c r="D30" s="8" t="s">
        <v>567</v>
      </c>
      <c r="E30" s="8" t="s">
        <v>568</v>
      </c>
      <c r="F30" s="8" t="s">
        <v>158</v>
      </c>
    </row>
    <row r="31" customFormat="false" ht="17.15" hidden="false" customHeight="false" outlineLevel="0" collapsed="false">
      <c r="A31" s="0" t="s">
        <v>573</v>
      </c>
      <c r="B31" s="0" t="s">
        <v>574</v>
      </c>
      <c r="C31" s="29" t="n">
        <v>30.77</v>
      </c>
      <c r="D31" s="8" t="s">
        <v>567</v>
      </c>
      <c r="E31" s="8" t="s">
        <v>568</v>
      </c>
      <c r="F31" s="8" t="s">
        <v>158</v>
      </c>
    </row>
    <row r="32" customFormat="false" ht="17.15" hidden="false" customHeight="false" outlineLevel="0" collapsed="false">
      <c r="A32" s="0" t="s">
        <v>575</v>
      </c>
      <c r="B32" s="0" t="s">
        <v>576</v>
      </c>
      <c r="C32" s="29" t="n">
        <v>32.89</v>
      </c>
      <c r="D32" s="8" t="s">
        <v>567</v>
      </c>
      <c r="E32" s="8" t="s">
        <v>568</v>
      </c>
      <c r="F32" s="8" t="s">
        <v>158</v>
      </c>
    </row>
    <row r="33" customFormat="false" ht="17.15" hidden="false" customHeight="false" outlineLevel="0" collapsed="false">
      <c r="A33" s="5" t="s">
        <v>577</v>
      </c>
      <c r="B33" s="30" t="n">
        <f aca="false">MEDIAN(C28:C32)</f>
        <v>30.77</v>
      </c>
      <c r="E33" s="5" t="s">
        <v>578</v>
      </c>
    </row>
    <row r="34" customFormat="false" ht="17.15" hidden="false" customHeight="false" outlineLevel="0" collapsed="false">
      <c r="A34" s="0" t="s">
        <v>579</v>
      </c>
      <c r="B34" s="9" t="n">
        <f aca="false">tp_wA*(8/12*B9+4/12*B10)+tp_wB*(8/12*C9+4/12*C10)+tp_wC*(8/12*D9+4/12*D10)</f>
        <v>14.2420451000051</v>
      </c>
      <c r="E34" s="5" t="s">
        <v>580</v>
      </c>
    </row>
    <row r="35" customFormat="false" ht="17.15" hidden="false" customHeight="false" outlineLevel="0" collapsed="false">
      <c r="A35" s="0" t="s">
        <v>581</v>
      </c>
      <c r="B35" s="28" t="n">
        <f aca="false">B33*B34</f>
        <v>438.227727727155</v>
      </c>
      <c r="E35" s="5" t="s">
        <v>582</v>
      </c>
    </row>
    <row r="37" customFormat="false" ht="17.15" hidden="false" customHeight="false" outlineLevel="0" collapsed="false">
      <c r="A37" s="1" t="s">
        <v>583</v>
      </c>
    </row>
    <row r="38" customFormat="false" ht="15" hidden="false" customHeight="false" outlineLevel="0" collapsed="false">
      <c r="A38" s="6" t="s">
        <v>16</v>
      </c>
      <c r="B38" s="6" t="s">
        <v>584</v>
      </c>
      <c r="C38" s="15"/>
      <c r="D38" s="15"/>
      <c r="E38" s="6" t="s">
        <v>418</v>
      </c>
    </row>
    <row r="39" customFormat="false" ht="17.15" hidden="false" customHeight="false" outlineLevel="0" collapsed="false">
      <c r="A39" s="5" t="s">
        <v>585</v>
      </c>
      <c r="B39" s="28" t="n">
        <f aca="false">tp_w_dcf*B24+(1-tp_w_dcf)*B35</f>
        <v>322.275820410306</v>
      </c>
      <c r="E39" s="8" t="s">
        <v>586</v>
      </c>
    </row>
    <row r="40" customFormat="false" ht="17.15" hidden="false" customHeight="false" outlineLevel="0" collapsed="false">
      <c r="A40" s="0" t="s">
        <v>587</v>
      </c>
      <c r="B40" s="19" t="n">
        <f aca="false">B35</f>
        <v>438.227727727155</v>
      </c>
    </row>
    <row r="41" customFormat="false" ht="17.15" hidden="false" customHeight="false" outlineLevel="0" collapsed="false">
      <c r="A41" s="5" t="s">
        <v>588</v>
      </c>
      <c r="B41" s="19" t="n">
        <f aca="false">cons_tp</f>
        <v>394.79</v>
      </c>
      <c r="E41" s="8" t="s">
        <v>589</v>
      </c>
    </row>
    <row r="42" customFormat="false" ht="17.15" hidden="false" customHeight="false" outlineLevel="0" collapsed="false">
      <c r="A42" s="5" t="s">
        <v>590</v>
      </c>
      <c r="B42" s="16" t="n">
        <f aca="false">B39/px-1</f>
        <v>0.540736340824717</v>
      </c>
      <c r="E42" s="5" t="s">
        <v>591</v>
      </c>
    </row>
    <row r="43" customFormat="false" ht="17.15" hidden="false" customHeight="false" outlineLevel="0" collapsed="false">
      <c r="A43" s="5" t="s">
        <v>592</v>
      </c>
      <c r="B43" s="16" t="n">
        <f aca="false">B40/px-1</f>
        <v>1.09507925480306</v>
      </c>
    </row>
    <row r="44" customFormat="false" ht="17.15" hidden="false" customHeight="false" outlineLevel="0" collapsed="false">
      <c r="A44" s="5" t="s">
        <v>593</v>
      </c>
      <c r="B44" s="16" t="n">
        <f aca="false">B34/cons_feps-1</f>
        <v>0.0896744529460636</v>
      </c>
      <c r="E44" s="5" t="s">
        <v>594</v>
      </c>
    </row>
    <row r="45" customFormat="false" ht="17.15" hidden="false" customHeight="false" outlineLevel="0" collapsed="false">
      <c r="A45" s="5" t="s">
        <v>595</v>
      </c>
      <c r="B45" s="16" t="n">
        <f aca="false">(cons_tp/cons_feps)/B33-1</f>
        <v>-0.0183355592085714</v>
      </c>
      <c r="E45" s="0" t="str">
        <f aca="false">"共識目標價隱含 "&amp;TEXT(cons_tp/cons_feps,"0.0")&amp;"x，同業中位數 "&amp;TEXT(B33,"0.0")&amp;"x"</f>
        <v>共識目標價隱含 30.2x，同業中位數 30.8x</v>
      </c>
    </row>
    <row r="46" customFormat="false" ht="17.15" hidden="false" customHeight="false" outlineLevel="0" collapsed="false">
      <c r="A46" s="5" t="s">
        <v>596</v>
      </c>
      <c r="B46" s="31" t="str">
        <f aca="false">TEXT(D23,"#,##0.00")&amp;"～"&amp;TEXT(B23,"#,##0.00")</f>
        <v>126.54～272.65</v>
      </c>
      <c r="E46" s="8" t="s">
        <v>597</v>
      </c>
    </row>
    <row r="47" customFormat="false" ht="17.15" hidden="false" customHeight="false" outlineLevel="0" collapsed="false">
      <c r="A47" s="5" t="s">
        <v>598</v>
      </c>
      <c r="B47" s="32" t="n">
        <f aca="false">IF(px/B9&gt;MAX($B$102:$C$111),1,IF(px/B9&lt;MIN($B$102:$C$111),0,PERCENTRANK($B$102:$C$111,px/B9)))</f>
        <v>0</v>
      </c>
      <c r="C47" s="32" t="n">
        <f aca="false">IF(px/C9&gt;MAX($B$102:$C$111),1,IF(px/C9&lt;MIN($B$102:$C$111),0,PERCENTRANK($B$102:$C$111,px/C9)))</f>
        <v>0</v>
      </c>
      <c r="D47" s="32" t="n">
        <f aca="false">IF(px/D9&gt;MAX($B$102:$C$111),1,IF(px/D9&lt;MIN($B$102:$C$111),0,PERCENTRANK($B$102:$C$111,px/D9)))</f>
        <v>0</v>
      </c>
      <c r="E47" s="5" t="s">
        <v>599</v>
      </c>
    </row>
    <row r="48" customFormat="false" ht="17.15" hidden="false" customHeight="false" outlineLevel="0" collapsed="false">
      <c r="A48" s="5" t="s">
        <v>600</v>
      </c>
      <c r="B48" s="0" t="s">
        <v>601</v>
      </c>
    </row>
    <row r="51" customFormat="false" ht="15" hidden="false" customHeight="false" outlineLevel="0" collapsed="false">
      <c r="A51" s="3" t="s">
        <v>602</v>
      </c>
    </row>
    <row r="52" customFormat="false" ht="15" hidden="false" customHeight="false" outlineLevel="0" collapsed="false">
      <c r="A52" s="6" t="s">
        <v>16</v>
      </c>
      <c r="B52" s="6" t="s">
        <v>584</v>
      </c>
      <c r="C52" s="15"/>
      <c r="D52" s="15"/>
      <c r="E52" s="6" t="s">
        <v>418</v>
      </c>
    </row>
    <row r="53" customFormat="false" ht="17.15" hidden="false" customHeight="false" outlineLevel="0" collapsed="false">
      <c r="A53" s="12" t="s">
        <v>603</v>
      </c>
      <c r="B53" s="33" t="n">
        <f aca="false">tp_wA*D81+tp_wB*D82+tp_wC*D83</f>
        <v>319.789455314265</v>
      </c>
      <c r="E53" s="5" t="s">
        <v>604</v>
      </c>
    </row>
    <row r="54" customFormat="false" ht="17.15" hidden="false" customHeight="false" outlineLevel="0" collapsed="false">
      <c r="A54" s="5" t="s">
        <v>605</v>
      </c>
      <c r="B54" s="16" t="n">
        <f aca="false">B53/px-1</f>
        <v>0.528849525812808</v>
      </c>
      <c r="E54" s="5" t="s">
        <v>606</v>
      </c>
    </row>
    <row r="55" customFormat="false" ht="17.15" hidden="false" customHeight="false" outlineLevel="0" collapsed="false">
      <c r="A55" s="5" t="s">
        <v>607</v>
      </c>
      <c r="B55" s="34" t="n">
        <f aca="false">D81</f>
        <v>319.789455314265</v>
      </c>
      <c r="E55" s="0" t="str">
        <f aca="false">"FY2027 EPS "&amp;TEXT(B81,"0.00")&amp;" × "&amp;C75&amp;" 判定倍數 "&amp;TEXT(C81,"0.0")&amp;"x"</f>
        <v>FY2027 EPS 10.17 × 中段 判定倍數 31.5x</v>
      </c>
    </row>
    <row r="56" customFormat="false" ht="17.15" hidden="false" customHeight="false" outlineLevel="0" collapsed="false">
      <c r="A56" s="5" t="s">
        <v>608</v>
      </c>
      <c r="B56" s="34" t="n">
        <f aca="false">D82</f>
        <v>319.789455314265</v>
      </c>
      <c r="E56" s="0" t="str">
        <f aca="false">"FY2027 EPS "&amp;TEXT(B82,"0.00")&amp;" × "&amp;C76&amp;" 判定倍數 "&amp;TEXT(C82,"0.0")&amp;"x"</f>
        <v>FY2027 EPS 10.17 × 中段 判定倍數 31.5x</v>
      </c>
    </row>
    <row r="57" customFormat="false" ht="17.15" hidden="false" customHeight="false" outlineLevel="0" collapsed="false">
      <c r="A57" s="5" t="s">
        <v>609</v>
      </c>
      <c r="B57" s="34" t="n">
        <f aca="false">D83</f>
        <v>319.789455314265</v>
      </c>
      <c r="E57" s="0" t="str">
        <f aca="false">"FY2027 EPS "&amp;TEXT(B83,"0.00")&amp;" × "&amp;C77&amp;" 判定倍數 "&amp;TEXT(C83,"0.0")&amp;"x"</f>
        <v>FY2027 EPS 10.17 × 中段 判定倍數 31.5x</v>
      </c>
    </row>
    <row r="58" customFormat="false" ht="17.15" hidden="false" customHeight="false" outlineLevel="0" collapsed="false">
      <c r="A58" s="5" t="s">
        <v>610</v>
      </c>
      <c r="B58" s="32" t="n">
        <f aca="false">tp_wA</f>
        <v>0.3</v>
      </c>
      <c r="C58" s="32" t="n">
        <f aca="false">tp_wB</f>
        <v>0.5</v>
      </c>
      <c r="D58" s="32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611</v>
      </c>
      <c r="B59" s="0" t="s">
        <v>612</v>
      </c>
    </row>
    <row r="62" customFormat="false" ht="17.15" hidden="false" customHeight="false" outlineLevel="0" collapsed="false">
      <c r="A62" s="1" t="s">
        <v>613</v>
      </c>
    </row>
    <row r="63" customFormat="false" ht="15" hidden="false" customHeight="false" outlineLevel="0" collapsed="false">
      <c r="A63" s="6" t="s">
        <v>16</v>
      </c>
      <c r="B63" s="15" t="s">
        <v>614</v>
      </c>
      <c r="C63" s="15" t="s">
        <v>615</v>
      </c>
      <c r="D63" s="15" t="s">
        <v>616</v>
      </c>
      <c r="E63" s="6" t="s">
        <v>418</v>
      </c>
    </row>
    <row r="64" customFormat="false" ht="17.15" hidden="false" customHeight="false" outlineLevel="0" collapsed="false">
      <c r="A64" s="5" t="s">
        <v>617</v>
      </c>
      <c r="B64" s="9" t="n">
        <f aca="false">px</f>
        <v>209.17</v>
      </c>
    </row>
    <row r="65" customFormat="false" ht="17.15" hidden="false" customHeight="false" outlineLevel="0" collapsed="false">
      <c r="A65" s="5" t="s">
        <v>618</v>
      </c>
      <c r="B65" s="30" t="n">
        <f aca="false">px/PL!D14</f>
        <v>37.2714006930513</v>
      </c>
      <c r="C65" s="30" t="n">
        <f aca="false">px/PL!D27</f>
        <v>37.2714006930513</v>
      </c>
      <c r="D65" s="30" t="n">
        <f aca="false">px/PL!D40</f>
        <v>37.2714006930513</v>
      </c>
    </row>
    <row r="66" customFormat="false" ht="17.15" hidden="false" customHeight="false" outlineLevel="0" collapsed="false">
      <c r="A66" s="5" t="s">
        <v>619</v>
      </c>
      <c r="B66" s="30" t="n">
        <f aca="false">px/PL!E14</f>
        <v>20.571023811699</v>
      </c>
      <c r="C66" s="30" t="n">
        <f aca="false">px/PL!E27</f>
        <v>20.571023811699</v>
      </c>
      <c r="D66" s="30" t="n">
        <f aca="false">px/PL!E40</f>
        <v>20.571023811699</v>
      </c>
      <c r="E66" s="8" t="s">
        <v>620</v>
      </c>
    </row>
    <row r="67" customFormat="false" ht="17.15" hidden="false" customHeight="false" outlineLevel="0" collapsed="false">
      <c r="A67" s="5" t="s">
        <v>621</v>
      </c>
      <c r="B67" s="30" t="n">
        <f aca="false">px/PL!F14</f>
        <v>14.3003653070952</v>
      </c>
      <c r="C67" s="30" t="n">
        <f aca="false">px/PL!F27</f>
        <v>15.5454728565585</v>
      </c>
      <c r="D67" s="30" t="n">
        <f aca="false">px/PL!F40</f>
        <v>17.0280774878123</v>
      </c>
    </row>
    <row r="68" customFormat="false" ht="17.15" hidden="false" customHeight="false" outlineLevel="0" collapsed="false">
      <c r="A68" s="5" t="s">
        <v>622</v>
      </c>
      <c r="B68" s="30" t="n">
        <f aca="false">px/PL!G14</f>
        <v>11.5826578021341</v>
      </c>
      <c r="C68" s="30" t="n">
        <f aca="false">px/PL!G27</f>
        <v>13.5125813623277</v>
      </c>
      <c r="D68" s="30" t="n">
        <f aca="false">px/PL!G40</f>
        <v>17.2610461668302</v>
      </c>
    </row>
    <row r="69" customFormat="false" ht="17.15" hidden="false" customHeight="false" outlineLevel="0" collapsed="false">
      <c r="A69" s="5" t="s">
        <v>623</v>
      </c>
      <c r="B69" s="30" t="n">
        <f aca="false">px/(cons_eps27*9/12+cons_eps28*3/12)</f>
        <v>21.4094165813715</v>
      </c>
    </row>
    <row r="70" customFormat="false" ht="17.15" hidden="false" customHeight="false" outlineLevel="0" collapsed="false">
      <c r="A70" s="5" t="s">
        <v>624</v>
      </c>
      <c r="B70" s="32" t="n">
        <f aca="false">px/px_hi-1</f>
        <v>-0.524613636363636</v>
      </c>
    </row>
    <row r="71" customFormat="false" ht="17.15" hidden="false" customHeight="false" outlineLevel="0" collapsed="false">
      <c r="A71" s="5" t="s">
        <v>625</v>
      </c>
      <c r="B71" s="30" t="n">
        <f aca="false">px/(q1_eps*4)</f>
        <v>26.8166666666667</v>
      </c>
      <c r="E71" s="8" t="s">
        <v>626</v>
      </c>
    </row>
    <row r="73" customFormat="false" ht="17.15" hidden="false" customHeight="false" outlineLevel="0" collapsed="false">
      <c r="A73" s="1" t="s">
        <v>627</v>
      </c>
    </row>
    <row r="74" customFormat="false" ht="17.15" hidden="false" customHeight="false" outlineLevel="0" collapsed="false">
      <c r="A74" s="6" t="s">
        <v>628</v>
      </c>
      <c r="B74" s="6" t="s">
        <v>629</v>
      </c>
      <c r="C74" s="15" t="s">
        <v>630</v>
      </c>
      <c r="D74" s="6" t="s">
        <v>631</v>
      </c>
      <c r="E74" s="6" t="s">
        <v>632</v>
      </c>
      <c r="F74" s="6" t="s">
        <v>418</v>
      </c>
    </row>
    <row r="75" customFormat="false" ht="17.15" hidden="false" customHeight="false" outlineLevel="0" collapsed="false">
      <c r="A75" s="0" t="s">
        <v>614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0" t="n">
        <f aca="false">IF(C75="見頂",pe_peak,IF(C75="谷底",pe_trough,pe_mid))</f>
        <v>31.45</v>
      </c>
      <c r="E75" s="0" t="str">
        <f aca="false">IF(B75=2029,"是：營收到觀測期末仍在增加","否")</f>
        <v>是：營收到觀測期末仍在增加</v>
      </c>
      <c r="F75" s="8" t="s">
        <v>633</v>
      </c>
    </row>
    <row r="76" customFormat="false" ht="15" hidden="false" customHeight="false" outlineLevel="0" collapsed="false">
      <c r="A76" s="0" t="s">
        <v>615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0" t="n">
        <f aca="false">IF(C76="見頂",pe_peak,IF(C76="谷底",pe_trough,pe_mid))</f>
        <v>31.45</v>
      </c>
      <c r="E76" s="0" t="str">
        <f aca="false">IF(B76=2029,"是：營收到觀測期末仍在增加","否")</f>
        <v>是：營收到觀測期末仍在增加</v>
      </c>
      <c r="F76" s="5" t="s">
        <v>33</v>
      </c>
    </row>
    <row r="77" customFormat="false" ht="15" hidden="false" customHeight="false" outlineLevel="0" collapsed="false">
      <c r="A77" s="0" t="s">
        <v>616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0" t="n">
        <f aca="false">IF(C77="見頂",pe_peak,IF(C77="谷底",pe_trough,pe_mid))</f>
        <v>31.45</v>
      </c>
      <c r="E77" s="0" t="str">
        <f aca="false">IF(B77=2029,"是：營收到觀測期末仍在增加","否")</f>
        <v>否</v>
      </c>
      <c r="F77" s="5" t="s">
        <v>33</v>
      </c>
    </row>
    <row r="79" customFormat="false" ht="17.15" hidden="false" customHeight="false" outlineLevel="0" collapsed="false">
      <c r="A79" s="1" t="s">
        <v>634</v>
      </c>
    </row>
    <row r="80" customFormat="false" ht="17.15" hidden="false" customHeight="false" outlineLevel="0" collapsed="false">
      <c r="A80" s="6" t="s">
        <v>628</v>
      </c>
      <c r="B80" s="15" t="s">
        <v>635</v>
      </c>
      <c r="C80" s="6" t="s">
        <v>636</v>
      </c>
      <c r="D80" s="6" t="s">
        <v>637</v>
      </c>
      <c r="E80" s="6" t="s">
        <v>638</v>
      </c>
      <c r="F80" s="6" t="s">
        <v>639</v>
      </c>
    </row>
    <row r="81" customFormat="false" ht="15" hidden="false" customHeight="false" outlineLevel="0" collapsed="false">
      <c r="A81" s="11" t="s">
        <v>614</v>
      </c>
      <c r="B81" s="35" t="n">
        <f aca="false">PL!E14</f>
        <v>10.168186178514</v>
      </c>
      <c r="C81" s="36" t="n">
        <f aca="false">D75</f>
        <v>31.45</v>
      </c>
      <c r="D81" s="33" t="n">
        <f aca="false">B81*C81</f>
        <v>319.789455314265</v>
      </c>
      <c r="E81" s="37" t="n">
        <f aca="false">D81/px-1</f>
        <v>0.528849525812808</v>
      </c>
      <c r="F81" s="36" t="n">
        <f aca="false">px/B81</f>
        <v>20.571023811699</v>
      </c>
    </row>
    <row r="82" customFormat="false" ht="15" hidden="false" customHeight="false" outlineLevel="0" collapsed="false">
      <c r="A82" s="11" t="s">
        <v>615</v>
      </c>
      <c r="B82" s="35" t="n">
        <f aca="false">PL!E27</f>
        <v>10.168186178514</v>
      </c>
      <c r="C82" s="36" t="n">
        <f aca="false">D76</f>
        <v>31.45</v>
      </c>
      <c r="D82" s="33" t="n">
        <f aca="false">B82*C82</f>
        <v>319.789455314265</v>
      </c>
      <c r="E82" s="37" t="n">
        <f aca="false">D82/px-1</f>
        <v>0.528849525812808</v>
      </c>
      <c r="F82" s="36" t="n">
        <f aca="false">px/B82</f>
        <v>20.571023811699</v>
      </c>
    </row>
    <row r="83" customFormat="false" ht="15" hidden="false" customHeight="false" outlineLevel="0" collapsed="false">
      <c r="A83" s="11" t="s">
        <v>616</v>
      </c>
      <c r="B83" s="35" t="n">
        <f aca="false">PL!E40</f>
        <v>10.168186178514</v>
      </c>
      <c r="C83" s="36" t="n">
        <f aca="false">D77</f>
        <v>31.45</v>
      </c>
      <c r="D83" s="33" t="n">
        <f aca="false">B83*C83</f>
        <v>319.789455314265</v>
      </c>
      <c r="E83" s="37" t="n">
        <f aca="false">D83/px-1</f>
        <v>0.528849525812808</v>
      </c>
      <c r="F83" s="36" t="n">
        <f aca="false">px/B83</f>
        <v>20.571023811699</v>
      </c>
    </row>
    <row r="85" customFormat="false" ht="17.15" hidden="false" customHeight="false" outlineLevel="0" collapsed="false">
      <c r="A85" s="1" t="s">
        <v>640</v>
      </c>
    </row>
    <row r="86" customFormat="false" ht="17.15" hidden="false" customHeight="false" outlineLevel="0" collapsed="false">
      <c r="A86" s="6" t="s">
        <v>641</v>
      </c>
      <c r="B86" s="6" t="s">
        <v>642</v>
      </c>
      <c r="C86" s="6" t="s">
        <v>643</v>
      </c>
      <c r="D86" s="6" t="s">
        <v>644</v>
      </c>
      <c r="E86" s="6" t="s">
        <v>645</v>
      </c>
      <c r="F86" s="6" t="s">
        <v>646</v>
      </c>
    </row>
    <row r="87" customFormat="false" ht="15" hidden="false" customHeight="false" outlineLevel="0" collapsed="false">
      <c r="A87" s="29" t="n">
        <v>10</v>
      </c>
      <c r="B87" s="9" t="n">
        <f aca="false">px/A87</f>
        <v>20.917</v>
      </c>
      <c r="C87" s="9" t="n">
        <f aca="false">PL!F14</f>
        <v>14.62689906923</v>
      </c>
      <c r="D87" s="32" t="n">
        <f aca="false">B87/C87-1</f>
        <v>0.430036530709518</v>
      </c>
      <c r="E87" s="9" t="n">
        <f aca="false">PL!F40</f>
        <v>12.2838294663453</v>
      </c>
      <c r="F87" s="32" t="n">
        <f aca="false">B87/E87-1</f>
        <v>0.702807748781235</v>
      </c>
    </row>
    <row r="88" customFormat="false" ht="15" hidden="false" customHeight="false" outlineLevel="0" collapsed="false">
      <c r="A88" s="29" t="n">
        <v>15</v>
      </c>
      <c r="B88" s="9" t="n">
        <f aca="false">px/A88</f>
        <v>13.9446666666667</v>
      </c>
      <c r="C88" s="9" t="n">
        <f aca="false">PL!F14</f>
        <v>14.62689906923</v>
      </c>
      <c r="D88" s="32" t="n">
        <f aca="false">B88/C88-1</f>
        <v>-0.0466423128603213</v>
      </c>
      <c r="E88" s="9" t="n">
        <f aca="false">PL!F40</f>
        <v>12.2838294663453</v>
      </c>
      <c r="F88" s="32" t="n">
        <f aca="false">B88/E88-1</f>
        <v>0.135205165854156</v>
      </c>
    </row>
    <row r="89" customFormat="false" ht="15" hidden="false" customHeight="false" outlineLevel="0" collapsed="false">
      <c r="A89" s="29" t="n">
        <v>20</v>
      </c>
      <c r="B89" s="9" t="n">
        <f aca="false">px/A89</f>
        <v>10.4585</v>
      </c>
      <c r="C89" s="9" t="n">
        <f aca="false">PL!F14</f>
        <v>14.62689906923</v>
      </c>
      <c r="D89" s="32" t="n">
        <f aca="false">B89/C89-1</f>
        <v>-0.284981734645241</v>
      </c>
      <c r="E89" s="9" t="n">
        <f aca="false">PL!F40</f>
        <v>12.2838294663453</v>
      </c>
      <c r="F89" s="32" t="n">
        <f aca="false">B89/E89-1</f>
        <v>-0.148596125609383</v>
      </c>
    </row>
    <row r="90" customFormat="false" ht="15" hidden="false" customHeight="false" outlineLevel="0" collapsed="false">
      <c r="A90" s="30" t="n">
        <f aca="false">pe_peak</f>
        <v>27.13</v>
      </c>
      <c r="B90" s="9" t="n">
        <f aca="false">px/A90</f>
        <v>7.70991522300037</v>
      </c>
      <c r="C90" s="9" t="n">
        <f aca="false">PL!F14</f>
        <v>14.62689906923</v>
      </c>
      <c r="D90" s="32" t="n">
        <f aca="false">B90/C90-1</f>
        <v>-0.472894754622367</v>
      </c>
      <c r="E90" s="9" t="n">
        <f aca="false">PL!F40</f>
        <v>12.2838294663453</v>
      </c>
      <c r="F90" s="32" t="n">
        <f aca="false">B90/E90-1</f>
        <v>-0.372352470040091</v>
      </c>
    </row>
    <row r="91" customFormat="false" ht="17.15" hidden="false" customHeight="false" outlineLevel="0" collapsed="false">
      <c r="A91" s="5" t="s">
        <v>647</v>
      </c>
    </row>
    <row r="93" customFormat="false" ht="17.15" hidden="false" customHeight="false" outlineLevel="0" collapsed="false">
      <c r="A93" s="5" t="s">
        <v>648</v>
      </c>
    </row>
    <row r="97" customFormat="false" ht="17.15" hidden="false" customHeight="false" outlineLevel="0" collapsed="false">
      <c r="A97" s="1" t="s">
        <v>649</v>
      </c>
    </row>
    <row r="98" customFormat="false" ht="17.15" hidden="false" customHeight="false" outlineLevel="0" collapsed="false">
      <c r="A98" s="5" t="s">
        <v>650</v>
      </c>
    </row>
    <row r="100" customFormat="false" ht="17.15" hidden="false" customHeight="false" outlineLevel="0" collapsed="false">
      <c r="A100" s="1" t="s">
        <v>651</v>
      </c>
    </row>
    <row r="101" customFormat="false" ht="17.15" hidden="false" customHeight="false" outlineLevel="0" collapsed="false">
      <c r="A101" s="6" t="s">
        <v>652</v>
      </c>
      <c r="B101" s="15" t="s">
        <v>653</v>
      </c>
      <c r="C101" s="15" t="s">
        <v>654</v>
      </c>
      <c r="D101" s="6" t="s">
        <v>655</v>
      </c>
    </row>
    <row r="102" customFormat="false" ht="17.15" hidden="false" customHeight="false" outlineLevel="0" collapsed="false">
      <c r="A102" s="0" t="s">
        <v>656</v>
      </c>
      <c r="B102" s="38" t="n">
        <v>26.7</v>
      </c>
      <c r="C102" s="38" t="n">
        <v>26.95</v>
      </c>
      <c r="D102" s="8" t="s">
        <v>657</v>
      </c>
    </row>
    <row r="103" customFormat="false" ht="15" hidden="false" customHeight="false" outlineLevel="0" collapsed="false">
      <c r="A103" s="0" t="s">
        <v>658</v>
      </c>
      <c r="B103" s="38" t="n">
        <v>34.3</v>
      </c>
      <c r="C103" s="38" t="n">
        <v>35.57</v>
      </c>
    </row>
    <row r="104" customFormat="false" ht="15" hidden="false" customHeight="false" outlineLevel="0" collapsed="false">
      <c r="A104" s="0" t="s">
        <v>659</v>
      </c>
      <c r="B104" s="38" t="n">
        <v>18.3</v>
      </c>
      <c r="C104" s="38" t="n">
        <v>18.98</v>
      </c>
    </row>
    <row r="105" customFormat="false" ht="15" hidden="false" customHeight="false" outlineLevel="0" collapsed="false">
      <c r="A105" s="0" t="s">
        <v>660</v>
      </c>
    </row>
    <row r="106" customFormat="false" ht="15" hidden="false" customHeight="false" outlineLevel="0" collapsed="false">
      <c r="A106" s="0" t="s">
        <v>661</v>
      </c>
      <c r="B106" s="38" t="n">
        <v>42.2</v>
      </c>
      <c r="C106" s="38" t="n">
        <v>44.68</v>
      </c>
    </row>
    <row r="107" customFormat="false" ht="15" hidden="false" customHeight="false" outlineLevel="0" collapsed="false">
      <c r="A107" s="0" t="s">
        <v>662</v>
      </c>
      <c r="B107" s="38" t="n">
        <v>29.1</v>
      </c>
      <c r="C107" s="38" t="n">
        <v>31.2</v>
      </c>
    </row>
    <row r="108" customFormat="false" ht="15" hidden="false" customHeight="false" outlineLevel="0" collapsed="false">
      <c r="A108" s="0" t="s">
        <v>663</v>
      </c>
    </row>
    <row r="109" customFormat="false" ht="15" hidden="false" customHeight="false" outlineLevel="0" collapsed="false">
      <c r="A109" s="0" t="s">
        <v>664</v>
      </c>
    </row>
    <row r="110" customFormat="false" ht="15" hidden="false" customHeight="false" outlineLevel="0" collapsed="false">
      <c r="A110" s="0" t="s">
        <v>665</v>
      </c>
    </row>
    <row r="111" customFormat="false" ht="15" hidden="false" customHeight="false" outlineLevel="0" collapsed="false">
      <c r="A111" s="0" t="s">
        <v>666</v>
      </c>
      <c r="B111" s="38" t="n">
        <v>158</v>
      </c>
    </row>
    <row r="112" customFormat="false" ht="17.15" hidden="false" customHeight="false" outlineLevel="0" collapsed="false">
      <c r="A112" s="0" t="s">
        <v>667</v>
      </c>
      <c r="B112" s="9" t="n">
        <f aca="false">PERCENTILE(B102:B111,0.25)</f>
        <v>27.3</v>
      </c>
      <c r="C112" s="9" t="n">
        <f aca="false">PERCENTILE(C102:C111,0.25)</f>
        <v>26.95</v>
      </c>
    </row>
    <row r="113" customFormat="false" ht="15" hidden="false" customHeight="false" outlineLevel="0" collapsed="false">
      <c r="A113" s="5" t="s">
        <v>668</v>
      </c>
      <c r="B113" s="9" t="n">
        <f aca="false">MEDIAN(B102:B111)</f>
        <v>31.7</v>
      </c>
      <c r="C113" s="9" t="n">
        <f aca="false">MEDIAN(C102:C111)</f>
        <v>31.2</v>
      </c>
    </row>
    <row r="114" customFormat="false" ht="17.15" hidden="false" customHeight="false" outlineLevel="0" collapsed="false">
      <c r="A114" s="0" t="s">
        <v>669</v>
      </c>
      <c r="B114" s="9" t="n">
        <f aca="false">PERCENTILE(B102:B111,0.75)</f>
        <v>40.225</v>
      </c>
      <c r="C114" s="9" t="n">
        <f aca="false">PERCENTILE(C102:C111,0.75)</f>
        <v>35.57</v>
      </c>
    </row>
    <row r="115" customFormat="false" ht="15" hidden="false" customHeight="false" outlineLevel="0" collapsed="false">
      <c r="A115" s="5" t="s">
        <v>670</v>
      </c>
      <c r="B115" s="9" t="n">
        <f aca="false">MIN(B102:B111)</f>
        <v>18.3</v>
      </c>
      <c r="C115" s="9" t="n">
        <f aca="false">MIN(C102:C111)</f>
        <v>18.98</v>
      </c>
    </row>
    <row r="116" customFormat="false" ht="15" hidden="false" customHeight="false" outlineLevel="0" collapsed="false">
      <c r="A116" s="5" t="s">
        <v>671</v>
      </c>
      <c r="B116" s="9" t="n">
        <f aca="false">MAX(B102:B111)</f>
        <v>158</v>
      </c>
      <c r="C116" s="9" t="n">
        <f aca="false">MAX(C102:C111)</f>
        <v>44.68</v>
      </c>
    </row>
    <row r="117" customFormat="false" ht="17.15" hidden="false" customHeight="false" outlineLevel="0" collapsed="false">
      <c r="A117" s="3" t="s">
        <v>672</v>
      </c>
      <c r="B117" s="9" t="n">
        <f aca="false">ROUND(AVERAGE(B112,C112),2)</f>
        <v>27.13</v>
      </c>
    </row>
    <row r="118" customFormat="false" ht="17.15" hidden="false" customHeight="false" outlineLevel="0" collapsed="false">
      <c r="A118" s="3" t="s">
        <v>673</v>
      </c>
      <c r="B118" s="9" t="n">
        <f aca="false">ROUND(AVERAGE(B113,C113),2)</f>
        <v>31.45</v>
      </c>
    </row>
    <row r="119" customFormat="false" ht="17.15" hidden="false" customHeight="false" outlineLevel="0" collapsed="false">
      <c r="A119" s="3" t="s">
        <v>674</v>
      </c>
      <c r="B119" s="9" t="n">
        <f aca="false">ROUND(AVERAGE(B114,C114),2)</f>
        <v>37.9</v>
      </c>
    </row>
    <row r="120" customFormat="false" ht="17.15" hidden="false" customHeight="false" outlineLevel="0" collapsed="false">
      <c r="A120" s="3" t="s">
        <v>675</v>
      </c>
      <c r="B120" s="9" t="n">
        <f aca="false">ROUND(MIN(B115,C115),2)</f>
        <v>18.3</v>
      </c>
    </row>
    <row r="121" customFormat="false" ht="17.15" hidden="false" customHeight="false" outlineLevel="0" collapsed="false">
      <c r="A121" s="3" t="s">
        <v>676</v>
      </c>
      <c r="B121" s="9" t="n">
        <f aca="false">ROUND(MAX(B116,C116),2)</f>
        <v>158</v>
      </c>
    </row>
    <row r="123" customFormat="false" ht="17.15" hidden="false" customHeight="false" outlineLevel="0" collapsed="false">
      <c r="A123" s="1" t="s">
        <v>677</v>
      </c>
    </row>
    <row r="124" customFormat="false" ht="17.15" hidden="false" customHeight="false" outlineLevel="0" collapsed="false">
      <c r="A124" s="6" t="s">
        <v>678</v>
      </c>
      <c r="B124" s="6" t="s">
        <v>679</v>
      </c>
      <c r="C124" s="6" t="s">
        <v>680</v>
      </c>
      <c r="D124" s="6" t="s">
        <v>19</v>
      </c>
      <c r="E124" s="6" t="s">
        <v>681</v>
      </c>
      <c r="F124" s="6" t="s">
        <v>637</v>
      </c>
      <c r="G124" s="6" t="s">
        <v>682</v>
      </c>
      <c r="H124" s="6" t="s">
        <v>683</v>
      </c>
    </row>
    <row r="125" customFormat="false" ht="17.15" hidden="false" customHeight="false" outlineLevel="0" collapsed="false">
      <c r="A125" s="5" t="s">
        <v>684</v>
      </c>
      <c r="B125" s="0" t="s">
        <v>685</v>
      </c>
      <c r="C125" s="9" t="n">
        <f aca="false">B117</f>
        <v>27.13</v>
      </c>
      <c r="D125" s="8" t="s">
        <v>686</v>
      </c>
      <c r="E125" s="19" t="n">
        <f aca="false">B81</f>
        <v>10.168186178514</v>
      </c>
      <c r="F125" s="18" t="n">
        <f aca="false">C125*E125</f>
        <v>275.862891023085</v>
      </c>
      <c r="G125" s="16" t="n">
        <f aca="false">F125/px-1</f>
        <v>0.318845393809268</v>
      </c>
      <c r="H125" s="9" t="n">
        <f aca="false">px/E125</f>
        <v>20.571023811699</v>
      </c>
    </row>
    <row r="126" customFormat="false" ht="17.15" hidden="false" customHeight="false" outlineLevel="0" collapsed="false">
      <c r="A126" s="5" t="s">
        <v>687</v>
      </c>
      <c r="B126" s="5" t="s">
        <v>688</v>
      </c>
      <c r="C126" s="9" t="n">
        <f aca="false">B118</f>
        <v>31.45</v>
      </c>
      <c r="D126" s="8" t="s">
        <v>686</v>
      </c>
      <c r="E126" s="19" t="n">
        <f aca="false">B81</f>
        <v>10.168186178514</v>
      </c>
      <c r="F126" s="18" t="n">
        <f aca="false">C126*E126</f>
        <v>319.789455314265</v>
      </c>
      <c r="G126" s="16" t="n">
        <f aca="false">F126/px-1</f>
        <v>0.528849525812808</v>
      </c>
      <c r="H126" s="9" t="n">
        <f aca="false">px/E126</f>
        <v>20.571023811699</v>
      </c>
    </row>
    <row r="127" customFormat="false" ht="17.15" hidden="false" customHeight="false" outlineLevel="0" collapsed="false">
      <c r="A127" s="5" t="s">
        <v>689</v>
      </c>
      <c r="B127" s="0" t="s">
        <v>690</v>
      </c>
      <c r="C127" s="9" t="n">
        <f aca="false">B119</f>
        <v>37.9</v>
      </c>
      <c r="D127" s="8" t="s">
        <v>686</v>
      </c>
      <c r="E127" s="19" t="n">
        <f aca="false">B81</f>
        <v>10.168186178514</v>
      </c>
      <c r="F127" s="18" t="n">
        <f aca="false">C127*E127</f>
        <v>385.37425616568</v>
      </c>
      <c r="G127" s="16" t="n">
        <f aca="false">F127/px-1</f>
        <v>0.842397361790315</v>
      </c>
      <c r="H127" s="9" t="n">
        <f aca="false">px/E127</f>
        <v>20.571023811699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691</v>
      </c>
    </row>
    <row r="3" customFormat="false" ht="17.15" hidden="false" customHeight="false" outlineLevel="0" collapsed="false">
      <c r="A3" s="6" t="s">
        <v>16</v>
      </c>
      <c r="B3" s="6" t="s">
        <v>692</v>
      </c>
      <c r="C3" s="6" t="s">
        <v>693</v>
      </c>
      <c r="D3" s="6" t="s">
        <v>694</v>
      </c>
      <c r="E3" s="6" t="s">
        <v>695</v>
      </c>
      <c r="F3" s="6" t="s">
        <v>696</v>
      </c>
      <c r="G3" s="6" t="s">
        <v>697</v>
      </c>
      <c r="H3" s="6" t="s">
        <v>698</v>
      </c>
      <c r="I3" s="6" t="s">
        <v>699</v>
      </c>
      <c r="J3" s="6" t="s">
        <v>418</v>
      </c>
    </row>
    <row r="4" customFormat="false" ht="17.15" hidden="false" customHeight="false" outlineLevel="0" collapsed="false">
      <c r="A4" s="1" t="s">
        <v>700</v>
      </c>
    </row>
    <row r="5" customFormat="false" ht="17.15" hidden="false" customHeight="false" outlineLevel="0" collapsed="false">
      <c r="A5" s="0" t="s">
        <v>701</v>
      </c>
      <c r="B5" s="19" t="n">
        <f aca="false">cons_rev27</f>
        <v>10.63</v>
      </c>
      <c r="C5" s="19" t="n">
        <f aca="false">PL!E75</f>
        <v>10.9465732984097</v>
      </c>
      <c r="D5" s="16" t="n">
        <f aca="false">C5/B5-1</f>
        <v>0.0297811193235853</v>
      </c>
      <c r="E5" s="19" t="n">
        <f aca="false">PL!E110</f>
        <v>10.9465732984097</v>
      </c>
      <c r="F5" s="16" t="n">
        <f aca="false">E5/B5-1</f>
        <v>0.0297811193235853</v>
      </c>
      <c r="G5" s="19" t="n">
        <f aca="false">PL!E145</f>
        <v>10.9465732984097</v>
      </c>
      <c r="H5" s="16" t="n">
        <f aca="false">G5/B5-1</f>
        <v>0.0297811193235853</v>
      </c>
      <c r="I5" s="8" t="s">
        <v>702</v>
      </c>
    </row>
    <row r="6" customFormat="false" ht="17.15" hidden="false" customHeight="false" outlineLevel="0" collapsed="false">
      <c r="A6" s="0" t="s">
        <v>703</v>
      </c>
      <c r="B6" s="19" t="n">
        <f aca="false">cons_eps27</f>
        <v>8.67</v>
      </c>
      <c r="C6" s="19" t="n">
        <f aca="false">PL!E91</f>
        <v>10.168186178514</v>
      </c>
      <c r="D6" s="16" t="n">
        <f aca="false">C6/B6-1</f>
        <v>0.172801173992386</v>
      </c>
      <c r="E6" s="19" t="n">
        <f aca="false">PL!E126</f>
        <v>10.168186178514</v>
      </c>
      <c r="F6" s="16" t="n">
        <f aca="false">E6/B6-1</f>
        <v>0.172801173992386</v>
      </c>
      <c r="G6" s="19" t="n">
        <f aca="false">PL!E161</f>
        <v>10.168186178514</v>
      </c>
      <c r="H6" s="16" t="n">
        <f aca="false">G6/B6-1</f>
        <v>0.172801173992386</v>
      </c>
      <c r="I6" s="8" t="s">
        <v>704</v>
      </c>
    </row>
    <row r="7" customFormat="false" ht="17.15" hidden="false" customHeight="false" outlineLevel="0" collapsed="false">
      <c r="A7" s="0" t="s">
        <v>705</v>
      </c>
      <c r="B7" s="19" t="n">
        <f aca="false">cons_eps27b</f>
        <v>8.85</v>
      </c>
      <c r="C7" s="19" t="n">
        <f aca="false">PL!E91</f>
        <v>10.168186178514</v>
      </c>
      <c r="D7" s="16" t="n">
        <f aca="false">C7/B7-1</f>
        <v>0.148947590792541</v>
      </c>
      <c r="E7" s="19" t="n">
        <f aca="false">PL!E126</f>
        <v>10.168186178514</v>
      </c>
      <c r="F7" s="16" t="n">
        <f aca="false">E7/B7-1</f>
        <v>0.148947590792541</v>
      </c>
      <c r="G7" s="19" t="n">
        <f aca="false">PL!E161</f>
        <v>10.168186178514</v>
      </c>
      <c r="H7" s="16" t="n">
        <f aca="false">G7/B7-1</f>
        <v>0.148947590792541</v>
      </c>
      <c r="I7" s="8" t="s">
        <v>706</v>
      </c>
    </row>
    <row r="8" customFormat="false" ht="17.15" hidden="false" customHeight="false" outlineLevel="0" collapsed="false">
      <c r="A8" s="0" t="s">
        <v>707</v>
      </c>
      <c r="B8" s="19" t="n">
        <f aca="false">cons_rev28</f>
        <v>14.76</v>
      </c>
      <c r="C8" s="19" t="n">
        <f aca="false">PL!F75</f>
        <v>14.4439849779279</v>
      </c>
      <c r="D8" s="16" t="n">
        <f aca="false">C8/B8-1</f>
        <v>-0.0214102318477032</v>
      </c>
      <c r="E8" s="19" t="n">
        <f aca="false">PL!F110</f>
        <v>13.4517767760556</v>
      </c>
      <c r="F8" s="16" t="n">
        <f aca="false">E8/B8-1</f>
        <v>-0.0886330097523319</v>
      </c>
      <c r="G8" s="19" t="n">
        <f aca="false">PL!F145</f>
        <v>12.4595685741833</v>
      </c>
      <c r="H8" s="16" t="n">
        <f aca="false">G8/B8-1</f>
        <v>-0.15585578765696</v>
      </c>
      <c r="I8" s="8" t="s">
        <v>702</v>
      </c>
    </row>
    <row r="9" customFormat="false" ht="17.15" hidden="false" customHeight="false" outlineLevel="0" collapsed="false">
      <c r="A9" s="0" t="s">
        <v>708</v>
      </c>
      <c r="B9" s="19" t="n">
        <f aca="false">cons_eps28</f>
        <v>13.07</v>
      </c>
      <c r="C9" s="19" t="n">
        <f aca="false">PL!F91</f>
        <v>14.62689906923</v>
      </c>
      <c r="D9" s="16" t="n">
        <f aca="false">C9/B9-1</f>
        <v>0.119120051203522</v>
      </c>
      <c r="E9" s="19" t="n">
        <f aca="false">PL!F126</f>
        <v>13.4553642677877</v>
      </c>
      <c r="F9" s="16" t="n">
        <f aca="false">E9/B9-1</f>
        <v>0.0294846417588108</v>
      </c>
      <c r="G9" s="19" t="n">
        <f aca="false">PL!F161</f>
        <v>12.2838294663453</v>
      </c>
      <c r="H9" s="16" t="n">
        <f aca="false">G9/B9-1</f>
        <v>-0.0601507676859006</v>
      </c>
      <c r="I9" s="8" t="s">
        <v>704</v>
      </c>
    </row>
    <row r="10" customFormat="false" ht="17.15" hidden="false" customHeight="false" outlineLevel="0" collapsed="false">
      <c r="A10" s="1" t="s">
        <v>709</v>
      </c>
    </row>
    <row r="11" customFormat="false" ht="17.15" hidden="false" customHeight="false" outlineLevel="0" collapsed="false">
      <c r="A11" s="0" t="s">
        <v>710</v>
      </c>
      <c r="B11" s="19" t="n">
        <f aca="false">q1_eps</f>
        <v>1.95</v>
      </c>
      <c r="C11" s="19" t="n">
        <f aca="false">Q!F19</f>
        <v>2.02406033630069</v>
      </c>
      <c r="D11" s="16" t="n">
        <f aca="false">C11/B11-1</f>
        <v>0.0379796596413808</v>
      </c>
      <c r="E11" s="19" t="n">
        <f aca="false">Q!F19</f>
        <v>2.02406033630069</v>
      </c>
      <c r="F11" s="16" t="n">
        <f aca="false">E11/B11-1</f>
        <v>0.0379796596413808</v>
      </c>
      <c r="G11" s="19" t="n">
        <f aca="false">Q!F19</f>
        <v>2.02406033630069</v>
      </c>
      <c r="H11" s="16" t="n">
        <f aca="false">G11/B11-1</f>
        <v>0.0379796596413808</v>
      </c>
      <c r="I11" s="5" t="s">
        <v>711</v>
      </c>
      <c r="J11" s="5" t="s">
        <v>712</v>
      </c>
    </row>
    <row r="12" customFormat="false" ht="17.15" hidden="false" customHeight="false" outlineLevel="0" collapsed="false">
      <c r="A12" s="0" t="s">
        <v>713</v>
      </c>
      <c r="B12" s="19" t="n">
        <f aca="false">cons_q1eps</f>
        <v>1.93</v>
      </c>
      <c r="C12" s="19" t="n">
        <f aca="false">Q!F19</f>
        <v>2.02406033630069</v>
      </c>
      <c r="D12" s="16" t="n">
        <f aca="false">C12/B12-1</f>
        <v>0.0487359255444004</v>
      </c>
      <c r="E12" s="19" t="n">
        <f aca="false">Q!F19</f>
        <v>2.02406033630069</v>
      </c>
      <c r="F12" s="16" t="n">
        <f aca="false">E12/B12-1</f>
        <v>0.0487359255444004</v>
      </c>
      <c r="G12" s="19" t="n">
        <f aca="false">Q!F19</f>
        <v>2.02406033630069</v>
      </c>
      <c r="H12" s="16" t="n">
        <f aca="false">G12/B12-1</f>
        <v>0.0487359255444004</v>
      </c>
      <c r="I12" s="8" t="s">
        <v>714</v>
      </c>
    </row>
    <row r="13" customFormat="false" ht="17.15" hidden="false" customHeight="false" outlineLevel="0" collapsed="false">
      <c r="A13" s="0" t="s">
        <v>715</v>
      </c>
      <c r="B13" s="10" t="n">
        <f aca="false">q4_dcc25</f>
        <v>1.0183</v>
      </c>
      <c r="C13" s="10" t="n">
        <f aca="false">Q!E6/(1+q4_dy)+Q!E7/(1+q4_cy)</f>
        <v>0.99708783061239</v>
      </c>
      <c r="D13" s="16" t="n">
        <f aca="false">C13/B13-1</f>
        <v>-0.0208309627689381</v>
      </c>
      <c r="E13" s="10" t="n">
        <f aca="false">Q!E6/(1+q4_dy)+Q!E7/(1+q4_cy)</f>
        <v>0.99708783061239</v>
      </c>
      <c r="F13" s="16" t="n">
        <f aca="false">E13/B13-1</f>
        <v>-0.0208309627689381</v>
      </c>
      <c r="G13" s="10" t="n">
        <f aca="false">Q!E6/(1+q4_dy)+Q!E7/(1+q4_cy)</f>
        <v>0.99708783061239</v>
      </c>
      <c r="H13" s="16" t="n">
        <f aca="false">G13/B13-1</f>
        <v>-0.0208309627689381</v>
      </c>
      <c r="I13" s="5" t="s">
        <v>716</v>
      </c>
      <c r="J13" s="5" t="s">
        <v>717</v>
      </c>
    </row>
    <row r="14" customFormat="false" ht="17.15" hidden="false" customHeight="false" outlineLevel="0" collapsed="false">
      <c r="A14" s="1" t="s">
        <v>718</v>
      </c>
    </row>
    <row r="15" customFormat="false" ht="17.15" hidden="false" customHeight="false" outlineLevel="0" collapsed="false">
      <c r="A15" s="0" t="s">
        <v>719</v>
      </c>
      <c r="C15" s="16" t="n">
        <f aca="false">Units!C8</f>
        <v>0.568172962239275</v>
      </c>
      <c r="E15" s="16" t="n">
        <f aca="false">Units!C8</f>
        <v>0.568172962239275</v>
      </c>
      <c r="G15" s="16" t="n">
        <f aca="false">Units!C8</f>
        <v>0.568172962239275</v>
      </c>
      <c r="I15" s="8" t="s">
        <v>720</v>
      </c>
      <c r="J15" s="5" t="s">
        <v>721</v>
      </c>
    </row>
    <row r="16" customFormat="false" ht="17.15" hidden="false" customHeight="false" outlineLevel="0" collapsed="false">
      <c r="A16" s="0" t="s">
        <v>722</v>
      </c>
      <c r="C16" s="16" t="n">
        <f aca="false">Units!E8</f>
        <v>0.547940560197576</v>
      </c>
      <c r="E16" s="16" t="n">
        <f aca="false">Units!E8</f>
        <v>0.547940560197576</v>
      </c>
      <c r="G16" s="16" t="n">
        <f aca="false">Units!E8</f>
        <v>0.547940560197576</v>
      </c>
      <c r="I16" s="8" t="s">
        <v>723</v>
      </c>
    </row>
    <row r="17" customFormat="false" ht="17.15" hidden="false" customHeight="false" outlineLevel="0" collapsed="false">
      <c r="A17" s="0" t="s">
        <v>724</v>
      </c>
      <c r="B17" s="19" t="n">
        <f aca="false">lc_eo25</f>
        <v>3.5</v>
      </c>
      <c r="C17" s="19" t="n">
        <f aca="false">PL!D72</f>
        <v>3.19608300307692</v>
      </c>
      <c r="D17" s="16" t="n">
        <f aca="false">C17/B17-1</f>
        <v>-0.0868334276923074</v>
      </c>
      <c r="E17" s="19" t="n">
        <f aca="false">PL!D107</f>
        <v>3.19608300307692</v>
      </c>
      <c r="F17" s="16" t="n">
        <f aca="false">E17/B17-1</f>
        <v>-0.0868334276923074</v>
      </c>
      <c r="G17" s="19" t="n">
        <f aca="false">PL!D142</f>
        <v>3.19608300307692</v>
      </c>
      <c r="H17" s="16" t="n">
        <f aca="false">G17/B17-1</f>
        <v>-0.0868334276923074</v>
      </c>
      <c r="I17" s="8" t="s">
        <v>725</v>
      </c>
      <c r="J17" s="8" t="s">
        <v>726</v>
      </c>
    </row>
    <row r="18" customFormat="false" ht="17.15" hidden="false" customHeight="false" outlineLevel="0" collapsed="false">
      <c r="A18" s="0" t="s">
        <v>727</v>
      </c>
      <c r="C18" s="20" t="n">
        <f aca="false">PL!E72/itc_27</f>
        <v>0.00427758194787238</v>
      </c>
      <c r="E18" s="20" t="n">
        <f aca="false">PL!E107/itc_27</f>
        <v>0.00427758194787238</v>
      </c>
      <c r="G18" s="20" t="n">
        <f aca="false">PL!E142/itc_27</f>
        <v>0.00427758194787238</v>
      </c>
      <c r="I18" s="8" t="s">
        <v>728</v>
      </c>
      <c r="J18" s="5" t="s">
        <v>729</v>
      </c>
    </row>
    <row r="19" customFormat="false" ht="17.15" hidden="false" customHeight="false" outlineLevel="0" collapsed="false">
      <c r="A19" s="1" t="s">
        <v>730</v>
      </c>
    </row>
    <row r="20" customFormat="false" ht="17.15" hidden="false" customHeight="false" outlineLevel="0" collapsed="false">
      <c r="A20" s="0" t="s">
        <v>731</v>
      </c>
      <c r="J20" s="5" t="s">
        <v>732</v>
      </c>
    </row>
    <row r="21" customFormat="false" ht="17.15" hidden="false" customHeight="false" outlineLevel="0" collapsed="false">
      <c r="A21" s="0" t="s">
        <v>733</v>
      </c>
      <c r="J21" s="5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734</v>
      </c>
    </row>
    <row r="3" customFormat="false" ht="17.15" hidden="false" customHeight="false" outlineLevel="0" collapsed="false">
      <c r="A3" s="6" t="s">
        <v>735</v>
      </c>
      <c r="B3" s="6" t="s">
        <v>736</v>
      </c>
      <c r="C3" s="15" t="s">
        <v>737</v>
      </c>
      <c r="D3" s="15" t="s">
        <v>738</v>
      </c>
      <c r="E3" s="15" t="s">
        <v>739</v>
      </c>
      <c r="F3" s="15" t="s">
        <v>635</v>
      </c>
      <c r="G3" s="15" t="s">
        <v>740</v>
      </c>
      <c r="H3" s="15" t="s">
        <v>741</v>
      </c>
      <c r="I3" s="15" t="s">
        <v>742</v>
      </c>
      <c r="J3" s="15" t="s">
        <v>743</v>
      </c>
      <c r="K3" s="15" t="s">
        <v>744</v>
      </c>
      <c r="L3" s="15" t="s">
        <v>745</v>
      </c>
    </row>
    <row r="4" customFormat="false" ht="17.15" hidden="false" customHeight="false" outlineLevel="0" collapsed="false">
      <c r="A4" s="5" t="s">
        <v>746</v>
      </c>
      <c r="B4" s="0" t="s">
        <v>747</v>
      </c>
      <c r="C4" s="19" t="n">
        <f aca="false">PL!E75</f>
        <v>10.9465732984097</v>
      </c>
      <c r="D4" s="19" t="n">
        <f aca="false">PL!E72</f>
        <v>6.69591290210202</v>
      </c>
      <c r="E4" s="16" t="n">
        <f aca="false">PL!E79</f>
        <v>0.41</v>
      </c>
      <c r="F4" s="9" t="n">
        <f aca="false">PL!E91</f>
        <v>10.168186178514</v>
      </c>
      <c r="G4" s="16" t="n">
        <f aca="false">F4/F$4-1</f>
        <v>0</v>
      </c>
      <c r="H4" s="19" t="n">
        <f aca="false">PL!F75</f>
        <v>14.4439849779279</v>
      </c>
      <c r="I4" s="19" t="n">
        <f aca="false">PL!F72</f>
        <v>9.80619613406329</v>
      </c>
      <c r="J4" s="16" t="n">
        <f aca="false">PL!F79</f>
        <v>0.42</v>
      </c>
      <c r="K4" s="9" t="n">
        <f aca="false">PL!F91</f>
        <v>14.62689906923</v>
      </c>
      <c r="L4" s="16" t="n">
        <f aca="false">K4/K$4-1</f>
        <v>0</v>
      </c>
    </row>
    <row r="5" customFormat="false" ht="17.15" hidden="false" customHeight="false" outlineLevel="0" collapsed="false">
      <c r="A5" s="5" t="s">
        <v>748</v>
      </c>
      <c r="B5" s="5" t="s">
        <v>749</v>
      </c>
      <c r="C5" s="19" t="n">
        <f aca="false">E55</f>
        <v>10.2102914112303</v>
      </c>
      <c r="D5" s="19" t="n">
        <f aca="false">E52</f>
        <v>5.95963101492263</v>
      </c>
      <c r="E5" s="16" t="n">
        <f aca="false">E59</f>
        <v>0.41</v>
      </c>
      <c r="F5" s="9" t="n">
        <f aca="false">E71</f>
        <v>9.35981372412709</v>
      </c>
      <c r="G5" s="16" t="n">
        <f aca="false">F5/F$4-1</f>
        <v>-0.0795001625850482</v>
      </c>
      <c r="H5" s="19" t="n">
        <f aca="false">F55</f>
        <v>12.3434609557534</v>
      </c>
      <c r="I5" s="19" t="n">
        <f aca="false">F52</f>
        <v>7.70567211188881</v>
      </c>
      <c r="J5" s="16" t="n">
        <f aca="false">F59</f>
        <v>0.42</v>
      </c>
      <c r="K5" s="9" t="n">
        <f aca="false">F71</f>
        <v>12.171242356098</v>
      </c>
      <c r="L5" s="16" t="n">
        <f aca="false">K5/K$4-1</f>
        <v>-0.167886351133569</v>
      </c>
    </row>
    <row r="6" customFormat="false" ht="17.15" hidden="false" customHeight="false" outlineLevel="0" collapsed="false">
      <c r="A6" s="5" t="s">
        <v>750</v>
      </c>
      <c r="B6" s="5" t="s">
        <v>751</v>
      </c>
      <c r="C6" s="19" t="n">
        <f aca="false">E90</f>
        <v>11.4987847137943</v>
      </c>
      <c r="D6" s="19" t="n">
        <f aca="false">E87</f>
        <v>7.24812431748656</v>
      </c>
      <c r="E6" s="16" t="n">
        <f aca="false">E94</f>
        <v>0.41</v>
      </c>
      <c r="F6" s="9" t="n">
        <f aca="false">E106</f>
        <v>10.7744655193042</v>
      </c>
      <c r="G6" s="16" t="n">
        <f aca="false">F6/F$4-1</f>
        <v>0.0596251219387867</v>
      </c>
      <c r="H6" s="19" t="n">
        <f aca="false">F90</f>
        <v>15.9163619019639</v>
      </c>
      <c r="I6" s="19" t="n">
        <f aca="false">F87</f>
        <v>11.2785730580993</v>
      </c>
      <c r="J6" s="16" t="n">
        <f aca="false">F94</f>
        <v>0.42</v>
      </c>
      <c r="K6" s="9" t="n">
        <f aca="false">F106</f>
        <v>16.356799945653</v>
      </c>
      <c r="L6" s="16" t="n">
        <f aca="false">K6/K$4-1</f>
        <v>0.118268463345183</v>
      </c>
    </row>
    <row r="7" customFormat="false" ht="17.15" hidden="false" customHeight="false" outlineLevel="0" collapsed="false">
      <c r="A7" s="5" t="s">
        <v>752</v>
      </c>
      <c r="B7" s="5" t="s">
        <v>753</v>
      </c>
      <c r="C7" s="19" t="n">
        <f aca="false">E125</f>
        <v>10.541618260461</v>
      </c>
      <c r="D7" s="19" t="n">
        <f aca="false">E122</f>
        <v>6.29095786415336</v>
      </c>
      <c r="E7" s="16" t="n">
        <f aca="false">E129</f>
        <v>0.41</v>
      </c>
      <c r="F7" s="9" t="n">
        <f aca="false">E141</f>
        <v>9.72358132860119</v>
      </c>
      <c r="G7" s="16" t="n">
        <f aca="false">F7/F$4-1</f>
        <v>-0.0437250894217766</v>
      </c>
      <c r="H7" s="19" t="n">
        <f aca="false">F125</f>
        <v>13.0208549249854</v>
      </c>
      <c r="I7" s="19" t="n">
        <f aca="false">F122</f>
        <v>8.3830660811208</v>
      </c>
      <c r="J7" s="16" t="n">
        <f aca="false">F129</f>
        <v>0.42</v>
      </c>
      <c r="K7" s="9" t="n">
        <f aca="false">F141</f>
        <v>12.9589615146688</v>
      </c>
      <c r="L7" s="16" t="n">
        <f aca="false">K7/K$4-1</f>
        <v>-0.114032205094655</v>
      </c>
    </row>
    <row r="8" customFormat="false" ht="17.15" hidden="false" customHeight="false" outlineLevel="0" collapsed="false">
      <c r="A8" s="5" t="s">
        <v>754</v>
      </c>
      <c r="B8" s="5" t="s">
        <v>755</v>
      </c>
      <c r="C8" s="19" t="n">
        <f aca="false">E160</f>
        <v>10.9465732984097</v>
      </c>
      <c r="D8" s="19" t="n">
        <f aca="false">E157</f>
        <v>6.69591290210202</v>
      </c>
      <c r="E8" s="16" t="n">
        <f aca="false">E164</f>
        <v>0.385</v>
      </c>
      <c r="F8" s="9" t="n">
        <f aca="false">E176</f>
        <v>9.08275899979281</v>
      </c>
      <c r="G8" s="16" t="n">
        <f aca="false">F8/F$4-1</f>
        <v>-0.106747374572542</v>
      </c>
      <c r="H8" s="19" t="n">
        <f aca="false">F160</f>
        <v>14.4439849779279</v>
      </c>
      <c r="I8" s="19" t="n">
        <f aca="false">F157</f>
        <v>9.80619613406329</v>
      </c>
      <c r="J8" s="16" t="n">
        <f aca="false">F164</f>
        <v>0.375</v>
      </c>
      <c r="K8" s="9" t="n">
        <f aca="false">F176</f>
        <v>12.0744289779778</v>
      </c>
      <c r="L8" s="16" t="n">
        <f aca="false">K8/K$4-1</f>
        <v>-0.174505209830958</v>
      </c>
    </row>
    <row r="9" customFormat="false" ht="17.15" hidden="false" customHeight="false" outlineLevel="0" collapsed="false">
      <c r="A9" s="5" t="s">
        <v>756</v>
      </c>
      <c r="B9" s="5" t="s">
        <v>757</v>
      </c>
      <c r="C9" s="19" t="n">
        <f aca="false">E195</f>
        <v>10.9465732984097</v>
      </c>
      <c r="D9" s="19" t="n">
        <f aca="false">E192</f>
        <v>6.69591290210202</v>
      </c>
      <c r="E9" s="16" t="n">
        <f aca="false">E199</f>
        <v>0.425</v>
      </c>
      <c r="F9" s="9" t="n">
        <f aca="false">E211</f>
        <v>10.8194424857467</v>
      </c>
      <c r="G9" s="16" t="n">
        <f aca="false">F9/F$4-1</f>
        <v>0.0640484247435254</v>
      </c>
      <c r="H9" s="19" t="n">
        <f aca="false">F195</f>
        <v>14.4439849779279</v>
      </c>
      <c r="I9" s="19" t="n">
        <f aca="false">F192</f>
        <v>9.80619613406329</v>
      </c>
      <c r="J9" s="16" t="n">
        <f aca="false">F199</f>
        <v>0.44</v>
      </c>
      <c r="K9" s="9" t="n">
        <f aca="false">F211</f>
        <v>15.7613302208977</v>
      </c>
      <c r="L9" s="16" t="n">
        <f aca="false">K9/K$4-1</f>
        <v>0.0775578710359814</v>
      </c>
    </row>
    <row r="10" customFormat="false" ht="17.15" hidden="false" customHeight="false" outlineLevel="0" collapsed="false">
      <c r="A10" s="0" t="s">
        <v>758</v>
      </c>
      <c r="B10" s="0" t="s">
        <v>759</v>
      </c>
      <c r="C10" s="19" t="n">
        <f aca="false">E230</f>
        <v>10.8687693124097</v>
      </c>
      <c r="D10" s="19" t="n">
        <f aca="false">E227</f>
        <v>6.61810891610202</v>
      </c>
      <c r="E10" s="16" t="n">
        <f aca="false">E234</f>
        <v>0.41</v>
      </c>
      <c r="F10" s="9" t="n">
        <f aca="false">E246</f>
        <v>10.0827642766323</v>
      </c>
      <c r="G10" s="16" t="n">
        <f aca="false">F10/F$4-1</f>
        <v>-0.00840089868360117</v>
      </c>
      <c r="H10" s="19" t="n">
        <f aca="false">F230</f>
        <v>14.1303491139279</v>
      </c>
      <c r="I10" s="19" t="n">
        <f aca="false">F227</f>
        <v>9.49256027006328</v>
      </c>
      <c r="J10" s="16" t="n">
        <f aca="false">F234</f>
        <v>0.42</v>
      </c>
      <c r="K10" s="9" t="n">
        <f aca="false">F246</f>
        <v>14.2584500343816</v>
      </c>
      <c r="L10" s="16" t="n">
        <f aca="false">K10/K$4-1</f>
        <v>-0.0251898254786967</v>
      </c>
    </row>
    <row r="11" customFormat="false" ht="17.15" hidden="false" customHeight="false" outlineLevel="0" collapsed="false">
      <c r="A11" s="0" t="s">
        <v>760</v>
      </c>
      <c r="B11" s="0" t="s">
        <v>761</v>
      </c>
      <c r="C11" s="19" t="n">
        <f aca="false">E265</f>
        <v>11.0632792774097</v>
      </c>
      <c r="D11" s="19" t="n">
        <f aca="false">E262</f>
        <v>6.81261888110202</v>
      </c>
      <c r="E11" s="16" t="n">
        <f aca="false">E269</f>
        <v>0.41</v>
      </c>
      <c r="F11" s="9" t="n">
        <f aca="false">E281</f>
        <v>10.2963190313365</v>
      </c>
      <c r="G11" s="16" t="n">
        <f aca="false">F11/F$4-1</f>
        <v>0.0126013480254019</v>
      </c>
      <c r="H11" s="19" t="n">
        <f aca="false">F265</f>
        <v>14.8032883989279</v>
      </c>
      <c r="I11" s="19" t="n">
        <f aca="false">F262</f>
        <v>10.1654995550633</v>
      </c>
      <c r="J11" s="16" t="n">
        <f aca="false">F269</f>
        <v>0.42</v>
      </c>
      <c r="K11" s="9" t="n">
        <f aca="false">F281</f>
        <v>15.0487818976389</v>
      </c>
      <c r="L11" s="16" t="n">
        <f aca="false">K11/K$4-1</f>
        <v>0.0288429438401143</v>
      </c>
    </row>
    <row r="12" customFormat="false" ht="17.15" hidden="false" customHeight="false" outlineLevel="0" collapsed="false">
      <c r="A12" s="0" t="s">
        <v>762</v>
      </c>
      <c r="B12" s="0" t="s">
        <v>763</v>
      </c>
      <c r="C12" s="19" t="n">
        <f aca="false">E300</f>
        <v>10.1366632225124</v>
      </c>
      <c r="D12" s="19" t="n">
        <f aca="false">E297</f>
        <v>5.88600282620469</v>
      </c>
      <c r="E12" s="16" t="n">
        <f aca="false">E304</f>
        <v>0.41</v>
      </c>
      <c r="F12" s="9" t="n">
        <f aca="false">E316</f>
        <v>9.2789764786884</v>
      </c>
      <c r="G12" s="16" t="n">
        <f aca="false">F12/F$4-1</f>
        <v>-0.087450178843553</v>
      </c>
      <c r="H12" s="19" t="n">
        <f aca="false">F300</f>
        <v>12.5454729239152</v>
      </c>
      <c r="I12" s="19" t="n">
        <f aca="false">F297</f>
        <v>7.90768408005063</v>
      </c>
      <c r="J12" s="16" t="n">
        <f aca="false">F304</f>
        <v>0.42</v>
      </c>
      <c r="K12" s="9" t="n">
        <f aca="false">F316</f>
        <v>12.4098625006977</v>
      </c>
      <c r="L12" s="16" t="n">
        <f aca="false">K12/K$4-1</f>
        <v>-0.151572562170489</v>
      </c>
    </row>
    <row r="13" customFormat="false" ht="17.15" hidden="false" customHeight="false" outlineLevel="0" collapsed="false">
      <c r="A13" s="0" t="s">
        <v>764</v>
      </c>
      <c r="B13" s="0" t="s">
        <v>765</v>
      </c>
      <c r="C13" s="19" t="n">
        <f aca="false">E335</f>
        <v>11.756483374307</v>
      </c>
      <c r="D13" s="19" t="n">
        <f aca="false">E332</f>
        <v>7.50582297799935</v>
      </c>
      <c r="E13" s="16" t="n">
        <f aca="false">E339</f>
        <v>0.41</v>
      </c>
      <c r="F13" s="9" t="n">
        <f aca="false">E351</f>
        <v>11.0573958783396</v>
      </c>
      <c r="G13" s="16" t="n">
        <f aca="false">F13/F$4-1</f>
        <v>0.0874501788435533</v>
      </c>
      <c r="H13" s="19" t="n">
        <f aca="false">F335</f>
        <v>16.3424970319406</v>
      </c>
      <c r="I13" s="19" t="n">
        <f aca="false">F332</f>
        <v>11.7047081880759</v>
      </c>
      <c r="J13" s="16" t="n">
        <f aca="false">F339</f>
        <v>0.42</v>
      </c>
      <c r="K13" s="9" t="n">
        <f aca="false">F351</f>
        <v>16.8564298406701</v>
      </c>
      <c r="L13" s="16" t="n">
        <f aca="false">K13/K$4-1</f>
        <v>0.152426755725024</v>
      </c>
    </row>
    <row r="14" customFormat="false" ht="17.15" hidden="false" customHeight="false" outlineLevel="0" collapsed="false">
      <c r="A14" s="5" t="s">
        <v>766</v>
      </c>
      <c r="B14" s="5" t="s">
        <v>767</v>
      </c>
      <c r="C14" s="19" t="n">
        <f aca="false">E370</f>
        <v>10.5876729188022</v>
      </c>
      <c r="D14" s="19" t="n">
        <f aca="false">E367</f>
        <v>6.33701252249449</v>
      </c>
      <c r="E14" s="16" t="n">
        <f aca="false">E374</f>
        <v>0.41</v>
      </c>
      <c r="F14" s="9" t="n">
        <f aca="false">E386</f>
        <v>9.77414527407837</v>
      </c>
      <c r="G14" s="16" t="n">
        <f aca="false">F14/F$4-1</f>
        <v>-0.0387523298175098</v>
      </c>
      <c r="H14" s="19" t="n">
        <f aca="false">F370</f>
        <v>14.3714904871562</v>
      </c>
      <c r="I14" s="19" t="n">
        <f aca="false">F367</f>
        <v>9.73370164329155</v>
      </c>
      <c r="J14" s="16" t="n">
        <f aca="false">F374</f>
        <v>0.42</v>
      </c>
      <c r="K14" s="9" t="n">
        <f aca="false">F386</f>
        <v>14.5478557831506</v>
      </c>
      <c r="L14" s="16" t="n">
        <f aca="false">K14/K$4-1</f>
        <v>-0.00540396742367233</v>
      </c>
    </row>
    <row r="15" customFormat="false" ht="17.15" hidden="false" customHeight="false" outlineLevel="0" collapsed="false">
      <c r="A15" s="5" t="s">
        <v>768</v>
      </c>
      <c r="B15" s="0" t="s">
        <v>769</v>
      </c>
      <c r="C15" s="19" t="n">
        <f aca="false">E405</f>
        <v>11.3054736780172</v>
      </c>
      <c r="D15" s="19" t="n">
        <f aca="false">E402</f>
        <v>7.05481328170956</v>
      </c>
      <c r="E15" s="16" t="n">
        <f aca="false">E409</f>
        <v>0.41</v>
      </c>
      <c r="F15" s="9" t="n">
        <f aca="false">E421</f>
        <v>10.5622270829496</v>
      </c>
      <c r="G15" s="16" t="n">
        <f aca="false">F15/F$4-1</f>
        <v>0.0387523298175101</v>
      </c>
      <c r="H15" s="19" t="n">
        <f aca="false">F405</f>
        <v>14.5164794686996</v>
      </c>
      <c r="I15" s="19" t="n">
        <f aca="false">F402</f>
        <v>9.87869062483502</v>
      </c>
      <c r="J15" s="16" t="n">
        <f aca="false">F409</f>
        <v>0.42</v>
      </c>
      <c r="K15" s="9" t="n">
        <f aca="false">F421</f>
        <v>14.7032781943053</v>
      </c>
      <c r="L15" s="16" t="n">
        <f aca="false">K15/K$4-1</f>
        <v>0.00522182621987932</v>
      </c>
    </row>
    <row r="16" customFormat="false" ht="17.15" hidden="false" customHeight="false" outlineLevel="0" collapsed="false">
      <c r="A16" s="5" t="s">
        <v>770</v>
      </c>
      <c r="B16" s="5" t="s">
        <v>771</v>
      </c>
      <c r="C16" s="19" t="n">
        <f aca="false">E440</f>
        <v>10.7387215987174</v>
      </c>
      <c r="D16" s="19" t="n">
        <f aca="false">E437</f>
        <v>6.69591290210202</v>
      </c>
      <c r="E16" s="16" t="n">
        <f aca="false">E444</f>
        <v>0.41</v>
      </c>
      <c r="F16" s="9" t="n">
        <f aca="false">E456</f>
        <v>9.9399833779909</v>
      </c>
      <c r="G16" s="16" t="n">
        <f aca="false">F16/F$4-1</f>
        <v>-0.0224428227922588</v>
      </c>
      <c r="H16" s="19" t="n">
        <f aca="false">F440</f>
        <v>13.9368268306787</v>
      </c>
      <c r="I16" s="19" t="n">
        <f aca="false">F437</f>
        <v>9.80619613406329</v>
      </c>
      <c r="J16" s="16" t="n">
        <f aca="false">F444</f>
        <v>0.42</v>
      </c>
      <c r="K16" s="9" t="n">
        <f aca="false">F456</f>
        <v>14.0331280225682</v>
      </c>
      <c r="L16" s="16" t="n">
        <f aca="false">K16/K$4-1</f>
        <v>-0.0405944584598232</v>
      </c>
    </row>
    <row r="17" customFormat="false" ht="17.15" hidden="false" customHeight="false" outlineLevel="0" collapsed="false">
      <c r="A17" s="5" t="s">
        <v>772</v>
      </c>
      <c r="B17" s="5" t="s">
        <v>773</v>
      </c>
      <c r="C17" s="19" t="n">
        <f aca="false">E475</f>
        <v>10.9465732984097</v>
      </c>
      <c r="D17" s="19" t="n">
        <f aca="false">E472</f>
        <v>6.69591290210202</v>
      </c>
      <c r="E17" s="16" t="n">
        <f aca="false">E479</f>
        <v>0.41</v>
      </c>
      <c r="F17" s="9" t="n">
        <f aca="false">E491</f>
        <v>9.29984443553705</v>
      </c>
      <c r="G17" s="16" t="n">
        <f aca="false">F17/F$4-1</f>
        <v>-0.0853978996580337</v>
      </c>
      <c r="H17" s="19" t="n">
        <f aca="false">F475</f>
        <v>14.4439849779279</v>
      </c>
      <c r="I17" s="19" t="n">
        <f aca="false">F472</f>
        <v>9.80619613406329</v>
      </c>
      <c r="J17" s="16" t="n">
        <f aca="false">F479</f>
        <v>0.42</v>
      </c>
      <c r="K17" s="9" t="n">
        <f aca="false">F491</f>
        <v>13.4924679175624</v>
      </c>
      <c r="L17" s="16" t="n">
        <f aca="false">K17/K$4-1</f>
        <v>-0.0775578710359814</v>
      </c>
    </row>
    <row r="18" customFormat="false" ht="17.15" hidden="false" customHeight="false" outlineLevel="0" collapsed="false">
      <c r="A18" s="5" t="s">
        <v>774</v>
      </c>
      <c r="B18" s="0" t="s">
        <v>775</v>
      </c>
      <c r="C18" s="19" t="n">
        <f aca="false">PL!E110</f>
        <v>10.9465732984097</v>
      </c>
      <c r="D18" s="19" t="n">
        <f aca="false">PL!E107</f>
        <v>6.69591290210202</v>
      </c>
      <c r="E18" s="16" t="n">
        <f aca="false">PL!E114</f>
        <v>0.41</v>
      </c>
      <c r="F18" s="9" t="n">
        <f aca="false">PL!E126</f>
        <v>10.168186178514</v>
      </c>
      <c r="G18" s="16" t="n">
        <f aca="false">F18/F$4-1</f>
        <v>0</v>
      </c>
      <c r="H18" s="19" t="n">
        <f aca="false">PL!F110</f>
        <v>13.4517767760556</v>
      </c>
      <c r="I18" s="19" t="n">
        <f aca="false">PL!F107</f>
        <v>8.81398793219097</v>
      </c>
      <c r="J18" s="16" t="n">
        <f aca="false">PL!F114</f>
        <v>0.42</v>
      </c>
      <c r="K18" s="9" t="n">
        <f aca="false">PL!F126</f>
        <v>13.4553642677877</v>
      </c>
      <c r="L18" s="16" t="n">
        <f aca="false">K18/K$4-1</f>
        <v>-0.0800945433408292</v>
      </c>
    </row>
    <row r="19" customFormat="false" ht="17.15" hidden="false" customHeight="false" outlineLevel="0" collapsed="false">
      <c r="A19" s="5" t="s">
        <v>776</v>
      </c>
      <c r="B19" s="0" t="s">
        <v>777</v>
      </c>
      <c r="C19" s="19" t="n">
        <f aca="false">PL!E145</f>
        <v>10.9465732984097</v>
      </c>
      <c r="D19" s="19" t="n">
        <f aca="false">PL!E142</f>
        <v>6.69591290210202</v>
      </c>
      <c r="E19" s="16" t="n">
        <f aca="false">PL!E149</f>
        <v>0.41</v>
      </c>
      <c r="F19" s="9" t="n">
        <f aca="false">PL!E161</f>
        <v>10.168186178514</v>
      </c>
      <c r="G19" s="16" t="n">
        <f aca="false">F19/F$4-1</f>
        <v>0</v>
      </c>
      <c r="H19" s="19" t="n">
        <f aca="false">PL!F145</f>
        <v>12.4595685741833</v>
      </c>
      <c r="I19" s="19" t="n">
        <f aca="false">PL!F142</f>
        <v>7.82177973031865</v>
      </c>
      <c r="J19" s="16" t="n">
        <f aca="false">PL!F149</f>
        <v>0.42</v>
      </c>
      <c r="K19" s="9" t="n">
        <f aca="false">PL!F161</f>
        <v>12.2838294663453</v>
      </c>
      <c r="L19" s="16" t="n">
        <f aca="false">K19/K$4-1</f>
        <v>-0.160189086681658</v>
      </c>
    </row>
    <row r="21" customFormat="false" ht="17.15" hidden="false" customHeight="false" outlineLevel="0" collapsed="false">
      <c r="A21" s="5" t="s">
        <v>778</v>
      </c>
    </row>
    <row r="23" customFormat="false" ht="17.15" hidden="false" customHeight="false" outlineLevel="0" collapsed="false">
      <c r="A23" s="3" t="s">
        <v>779</v>
      </c>
    </row>
    <row r="24" customFormat="false" ht="17.15" hidden="false" customHeight="false" outlineLevel="0" collapsed="false">
      <c r="A24" s="6" t="s">
        <v>735</v>
      </c>
      <c r="B24" s="6" t="s">
        <v>736</v>
      </c>
      <c r="C24" s="15" t="s">
        <v>780</v>
      </c>
      <c r="D24" s="15" t="s">
        <v>781</v>
      </c>
      <c r="E24" s="6" t="s">
        <v>782</v>
      </c>
      <c r="F24" s="6" t="s">
        <v>783</v>
      </c>
    </row>
    <row r="25" customFormat="false" ht="17.15" hidden="false" customHeight="false" outlineLevel="0" collapsed="false">
      <c r="A25" s="5" t="s">
        <v>19</v>
      </c>
      <c r="B25" s="0" t="s">
        <v>784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25" s="9" t="n">
        <f aca="false">Val!B35</f>
        <v>438.227727727155</v>
      </c>
      <c r="E25" s="9" t="n">
        <f aca="false">tp_w_dcf*C25+(1-tp_w_dcf)*D25</f>
        <v>322.275820410306</v>
      </c>
      <c r="F25" s="16" t="n">
        <f aca="false">E25/E$25-1</f>
        <v>0</v>
      </c>
    </row>
    <row r="26" customFormat="false" ht="17.15" hidden="false" customHeight="false" outlineLevel="0" collapsed="false">
      <c r="A26" s="5" t="s">
        <v>785</v>
      </c>
      <c r="B26" s="0" t="s">
        <v>786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177.959867607146</v>
      </c>
      <c r="D26" s="9" t="n">
        <f aca="false">Val!B35</f>
        <v>438.227727727155</v>
      </c>
      <c r="E26" s="9" t="n">
        <f aca="false">tp_w_dcf*C26+(1-tp_w_dcf)*D26</f>
        <v>308.093797667151</v>
      </c>
      <c r="F26" s="16" t="n">
        <f aca="false">E26/E$25-1</f>
        <v>-0.0440058541317175</v>
      </c>
    </row>
    <row r="27" customFormat="false" ht="17.15" hidden="false" customHeight="false" outlineLevel="0" collapsed="false">
      <c r="A27" s="5" t="s">
        <v>787</v>
      </c>
      <c r="B27" s="0" t="s">
        <v>788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246.029660012684</v>
      </c>
      <c r="D27" s="9" t="n">
        <f aca="false">Val!B35</f>
        <v>438.227727727155</v>
      </c>
      <c r="E27" s="9" t="n">
        <f aca="false">tp_w_dcf*C27+(1-tp_w_dcf)*D27</f>
        <v>342.12869386992</v>
      </c>
      <c r="F27" s="16" t="n">
        <f aca="false">E27/E$25-1</f>
        <v>0.0616021190616716</v>
      </c>
    </row>
    <row r="28" customFormat="false" ht="17.15" hidden="false" customHeight="false" outlineLevel="0" collapsed="false">
      <c r="A28" s="5" t="s">
        <v>789</v>
      </c>
      <c r="B28" s="0" t="s">
        <v>790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223.162740736453</v>
      </c>
      <c r="D28" s="9" t="n">
        <f aca="false">Val!B35</f>
        <v>438.227727727155</v>
      </c>
      <c r="E28" s="9" t="n">
        <f aca="false">tp_w_dcf*C28+(1-tp_w_dcf)*D28</f>
        <v>330.695234231804</v>
      </c>
      <c r="F28" s="16" t="n">
        <f aca="false">E28/E$25-1</f>
        <v>0.0261248697180538</v>
      </c>
    </row>
    <row r="29" customFormat="false" ht="17.15" hidden="false" customHeight="false" outlineLevel="0" collapsed="false">
      <c r="A29" s="5" t="s">
        <v>791</v>
      </c>
      <c r="B29" s="0" t="s">
        <v>792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195.14871825262</v>
      </c>
      <c r="D29" s="9" t="n">
        <f aca="false">Val!B35</f>
        <v>438.227727727155</v>
      </c>
      <c r="E29" s="9" t="n">
        <f aca="false">tp_w_dcf*C29+(1-tp_w_dcf)*D29</f>
        <v>316.688222989888</v>
      </c>
      <c r="F29" s="16" t="n">
        <f aca="false">E29/E$25-1</f>
        <v>-0.0173379356021948</v>
      </c>
    </row>
    <row r="30" customFormat="false" ht="17.15" hidden="false" customHeight="false" outlineLevel="0" collapsed="false">
      <c r="A30" s="0" t="s">
        <v>793</v>
      </c>
      <c r="B30" s="0" t="s">
        <v>794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30" s="9" t="n">
        <f aca="false">Val!B35</f>
        <v>438.227727727155</v>
      </c>
      <c r="E30" s="9" t="n">
        <f aca="false">0.3*C30+(1-0.3)*D30</f>
        <v>368.656583337046</v>
      </c>
      <c r="F30" s="16" t="n">
        <f aca="false">E30/E$25-1</f>
        <v>0.143916359805368</v>
      </c>
    </row>
    <row r="31" customFormat="false" ht="17.15" hidden="false" customHeight="false" outlineLevel="0" collapsed="false">
      <c r="A31" s="0" t="s">
        <v>795</v>
      </c>
      <c r="B31" s="0" t="s">
        <v>796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206.323913093457</v>
      </c>
      <c r="D31" s="9" t="n">
        <f aca="false">Val!B35</f>
        <v>438.227727727155</v>
      </c>
      <c r="E31" s="9" t="n">
        <f aca="false">0.7*C31+(1-0.7)*D31</f>
        <v>275.895057483566</v>
      </c>
      <c r="F31" s="16" t="n">
        <f aca="false">E31/E$25-1</f>
        <v>-0.143916359805368</v>
      </c>
    </row>
    <row r="40" customFormat="false" ht="17.15" hidden="false" customHeight="false" outlineLevel="0" collapsed="false">
      <c r="A40" s="3" t="s">
        <v>797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15" t="s">
        <v>412</v>
      </c>
      <c r="D41" s="15" t="s">
        <v>477</v>
      </c>
      <c r="E41" s="15" t="s">
        <v>478</v>
      </c>
      <c r="F41" s="15" t="s">
        <v>479</v>
      </c>
      <c r="G41" s="15" t="s">
        <v>480</v>
      </c>
      <c r="H41" s="6" t="s">
        <v>418</v>
      </c>
    </row>
    <row r="42" customFormat="false" ht="17.15" hidden="false" customHeight="false" outlineLevel="0" collapsed="false">
      <c r="A42" s="1" t="s">
        <v>503</v>
      </c>
    </row>
    <row r="43" customFormat="false" ht="17.15" hidden="false" customHeight="false" outlineLevel="0" collapsed="false">
      <c r="A43" s="0" t="s">
        <v>504</v>
      </c>
      <c r="B43" s="0" t="s">
        <v>27</v>
      </c>
      <c r="D43" s="19" t="n">
        <f aca="false">mpl_26*1</f>
        <v>29.753262</v>
      </c>
      <c r="E43" s="19" t="n">
        <f aca="false">mpl_27*1*1</f>
        <v>54.688309</v>
      </c>
      <c r="F43" s="19" t="n">
        <f aca="false">mpl_28*um28_A*1</f>
        <v>61.21325</v>
      </c>
      <c r="G43" s="19" t="n">
        <f aca="false">mpl_29*um29_A*1</f>
        <v>78.80848</v>
      </c>
      <c r="H43" s="5" t="s">
        <v>505</v>
      </c>
    </row>
    <row r="44" customFormat="false" ht="17.15" hidden="false" customHeight="false" outlineLevel="0" collapsed="false">
      <c r="A44" s="0" t="s">
        <v>506</v>
      </c>
      <c r="B44" s="0" t="s">
        <v>27</v>
      </c>
      <c r="D44" s="19" t="n">
        <f aca="false">mcp_26*1</f>
        <v>0.300538</v>
      </c>
      <c r="E44" s="19" t="n">
        <f aca="false">mcp_27*1</f>
        <v>1.691391</v>
      </c>
      <c r="F44" s="19" t="n">
        <f aca="false">mcp_28*um28_A</f>
        <v>3.22175</v>
      </c>
      <c r="G44" s="19" t="n">
        <f aca="false">mcp_29*um29_A</f>
        <v>5.87368</v>
      </c>
    </row>
    <row r="45" customFormat="false" ht="17.15" hidden="false" customHeight="false" outlineLevel="0" collapsed="false">
      <c r="A45" s="0" t="s">
        <v>507</v>
      </c>
      <c r="B45" s="0" t="s">
        <v>60</v>
      </c>
      <c r="D45" s="16" t="n">
        <f aca="false">dc_cy26/D43</f>
        <v>0.146339576728919</v>
      </c>
      <c r="H45" s="8" t="s">
        <v>508</v>
      </c>
    </row>
    <row r="46" customFormat="false" ht="17.15" hidden="false" customHeight="false" outlineLevel="0" collapsed="false">
      <c r="A46" s="5" t="s">
        <v>509</v>
      </c>
      <c r="B46" s="0" t="s">
        <v>71</v>
      </c>
      <c r="D46" s="9" t="n">
        <f aca="false">1</f>
        <v>1</v>
      </c>
      <c r="E46" s="9" t="n">
        <f aca="false">RLO_27</f>
        <v>0.9</v>
      </c>
      <c r="F46" s="9" t="n">
        <f aca="false">RLO_28</f>
        <v>0.85</v>
      </c>
      <c r="G46" s="9" t="n">
        <f aca="false">RLO_29</f>
        <v>0.8</v>
      </c>
    </row>
    <row r="47" customFormat="false" ht="15" hidden="false" customHeight="false" outlineLevel="0" collapsed="false">
      <c r="A47" s="5" t="s">
        <v>510</v>
      </c>
      <c r="B47" s="0" t="s">
        <v>60</v>
      </c>
      <c r="D47" s="16" t="n">
        <f aca="false">$D$45*D46</f>
        <v>0.146339576728919</v>
      </c>
      <c r="E47" s="16" t="n">
        <f aca="false">$D$45*E46</f>
        <v>0.131705619056027</v>
      </c>
      <c r="F47" s="16" t="n">
        <f aca="false">$D$45*F46</f>
        <v>0.124388640219581</v>
      </c>
      <c r="G47" s="16" t="n">
        <f aca="false">$D$45*G46</f>
        <v>0.117071661383135</v>
      </c>
    </row>
    <row r="48" customFormat="false" ht="15" hidden="false" customHeight="false" outlineLevel="0" collapsed="false">
      <c r="A48" s="5" t="s">
        <v>511</v>
      </c>
      <c r="B48" s="0" t="s">
        <v>71</v>
      </c>
      <c r="D48" s="9" t="n">
        <f aca="false">1</f>
        <v>1</v>
      </c>
      <c r="E48" s="9" t="n">
        <f aca="false">pxr_27</f>
        <v>1</v>
      </c>
      <c r="F48" s="9" t="n">
        <f aca="false">pxr_28</f>
        <v>1</v>
      </c>
      <c r="G48" s="9" t="n">
        <f aca="false">pxr_29</f>
        <v>1</v>
      </c>
    </row>
    <row r="49" customFormat="false" ht="17.15" hidden="false" customHeight="false" outlineLevel="0" collapsed="false">
      <c r="A49" s="0" t="s">
        <v>512</v>
      </c>
      <c r="B49" s="0" t="s">
        <v>60</v>
      </c>
      <c r="D49" s="16" t="n">
        <f aca="false">0</f>
        <v>0</v>
      </c>
      <c r="E49" s="16" t="n">
        <f aca="false">cpo_27</f>
        <v>0.1</v>
      </c>
      <c r="F49" s="16" t="n">
        <f aca="false">cpo_28</f>
        <v>0.15</v>
      </c>
      <c r="G49" s="16" t="n">
        <f aca="false">cpo_29</f>
        <v>0.2</v>
      </c>
    </row>
    <row r="50" customFormat="false" ht="15" hidden="false" customHeight="false" outlineLevel="0" collapsed="false">
      <c r="A50" s="5" t="s">
        <v>513</v>
      </c>
      <c r="B50" s="0" t="s">
        <v>27</v>
      </c>
      <c r="D50" s="19" t="n">
        <f aca="false">dc_cy26</f>
        <v>4.35407976738462</v>
      </c>
      <c r="E50" s="19" t="n">
        <f aca="false">E43*E47*E48+E44*E49</f>
        <v>7.37189669197228</v>
      </c>
      <c r="F50" s="19" t="n">
        <f aca="false">F43*F47*F48+F44*F49</f>
        <v>8.09749543092125</v>
      </c>
      <c r="G50" s="19" t="n">
        <f aca="false">G43*G47*G48+G44*G49</f>
        <v>10.4009756846796</v>
      </c>
    </row>
    <row r="51" customFormat="false" ht="17.15" hidden="false" customHeight="false" outlineLevel="0" collapsed="false">
      <c r="A51" s="1" t="s">
        <v>514</v>
      </c>
    </row>
    <row r="52" customFormat="false" ht="17.15" hidden="false" customHeight="false" outlineLevel="0" collapsed="false">
      <c r="A52" s="5" t="s">
        <v>515</v>
      </c>
      <c r="B52" s="0" t="s">
        <v>27</v>
      </c>
      <c r="C52" s="19" t="n">
        <f aca="false">a25_dc</f>
        <v>2.27542010638806</v>
      </c>
      <c r="D52" s="19" t="n">
        <f aca="false">a26_dc</f>
        <v>3.19608300307692</v>
      </c>
      <c r="E52" s="19" t="n">
        <f aca="false">h1_27+hw*E50</f>
        <v>5.95963101492263</v>
      </c>
      <c r="F52" s="19" t="n">
        <f aca="false">(1-hw)*E50+hw*F50</f>
        <v>7.70567211188881</v>
      </c>
      <c r="G52" s="19" t="n">
        <f aca="false">(1-hw)*F50+hw*G50</f>
        <v>9.15709634765007</v>
      </c>
      <c r="H52" s="8" t="s">
        <v>516</v>
      </c>
    </row>
    <row r="53" customFormat="false" ht="15" hidden="false" customHeight="false" outlineLevel="0" collapsed="false">
      <c r="A53" s="5" t="s">
        <v>517</v>
      </c>
      <c r="B53" s="0" t="s">
        <v>27</v>
      </c>
      <c r="C53" s="19" t="n">
        <f aca="false">a25_com</f>
        <v>1.47977989361194</v>
      </c>
      <c r="D53" s="19" t="n">
        <f aca="false">a26_com</f>
        <v>2.07851699692308</v>
      </c>
      <c r="E53" s="19" t="n">
        <f aca="false">D53*(1+g_com_27)</f>
        <v>2.49422039630769</v>
      </c>
      <c r="F53" s="19" t="n">
        <f aca="false">E53*(1+g_com_28)</f>
        <v>2.79352684386461</v>
      </c>
      <c r="G53" s="19" t="n">
        <f aca="false">F53*(1+g_com_29)</f>
        <v>3.01700899137378</v>
      </c>
    </row>
    <row r="54" customFormat="false" ht="17.15" hidden="false" customHeight="false" outlineLevel="0" collapsed="false">
      <c r="A54" s="5" t="s">
        <v>518</v>
      </c>
      <c r="B54" s="0" t="s">
        <v>27</v>
      </c>
      <c r="C54" s="19" t="n">
        <f aca="false">a25_ind</f>
        <v>2.0549</v>
      </c>
      <c r="D54" s="19" t="n">
        <f aca="false">a26_ind</f>
        <v>1.8436</v>
      </c>
      <c r="E54" s="19" t="n">
        <f aca="false">ind_run*(1+g_ind_27)</f>
        <v>1.75644</v>
      </c>
      <c r="F54" s="19" t="n">
        <f aca="false">E54*(1+g_ind_28)</f>
        <v>1.844262</v>
      </c>
      <c r="G54" s="19" t="n">
        <f aca="false">F54*(1+g_ind_29)</f>
        <v>1.9364751</v>
      </c>
    </row>
    <row r="55" customFormat="false" ht="15" hidden="false" customHeight="false" outlineLevel="0" collapsed="false">
      <c r="A55" s="5" t="s">
        <v>419</v>
      </c>
      <c r="B55" s="0" t="s">
        <v>27</v>
      </c>
      <c r="C55" s="19" t="n">
        <f aca="false">C52+C53+C54</f>
        <v>5.8101</v>
      </c>
      <c r="D55" s="19" t="n">
        <f aca="false">D52+D53+D54</f>
        <v>7.1182</v>
      </c>
      <c r="E55" s="19" t="n">
        <f aca="false">E52+E53+E54</f>
        <v>10.2102914112303</v>
      </c>
      <c r="F55" s="19" t="n">
        <f aca="false">F52+F53+F54</f>
        <v>12.3434609557534</v>
      </c>
      <c r="G55" s="19" t="n">
        <f aca="false">G52+G53+G54</f>
        <v>14.1105804390239</v>
      </c>
    </row>
    <row r="56" customFormat="false" ht="15" hidden="false" customHeight="false" outlineLevel="0" collapsed="false">
      <c r="A56" s="5" t="s">
        <v>519</v>
      </c>
      <c r="B56" s="0" t="s">
        <v>60</v>
      </c>
      <c r="D56" s="16" t="n">
        <f aca="false">D55/C55-1</f>
        <v>0.225142424398892</v>
      </c>
      <c r="E56" s="16" t="n">
        <f aca="false">E55/D55-1</f>
        <v>0.434392319860404</v>
      </c>
      <c r="F56" s="16" t="n">
        <f aca="false">F55/E55-1</f>
        <v>0.208923473249433</v>
      </c>
      <c r="G56" s="16" t="n">
        <f aca="false">G55/F55-1</f>
        <v>0.14316239907145</v>
      </c>
    </row>
    <row r="57" customFormat="false" ht="17.15" hidden="false" customHeight="false" outlineLevel="0" collapsed="false">
      <c r="A57" s="5" t="s">
        <v>520</v>
      </c>
      <c r="B57" s="0" t="s">
        <v>60</v>
      </c>
      <c r="C57" s="16" t="n">
        <f aca="false">C52/C55</f>
        <v>0.391631831876914</v>
      </c>
      <c r="D57" s="16" t="n">
        <f aca="false">D52/D55</f>
        <v>0.449001573863747</v>
      </c>
      <c r="E57" s="16" t="n">
        <f aca="false">E52/E55</f>
        <v>0.583688630901134</v>
      </c>
      <c r="F57" s="16" t="n">
        <f aca="false">F52/F55</f>
        <v>0.624271599311627</v>
      </c>
      <c r="G57" s="16" t="n">
        <f aca="false">G52/G55</f>
        <v>0.648952492579642</v>
      </c>
    </row>
    <row r="58" customFormat="false" ht="17.15" hidden="false" customHeight="false" outlineLevel="0" collapsed="false">
      <c r="A58" s="1" t="s">
        <v>521</v>
      </c>
    </row>
    <row r="59" customFormat="false" ht="17.15" hidden="false" customHeight="false" outlineLevel="0" collapsed="false">
      <c r="A59" s="5" t="s">
        <v>490</v>
      </c>
      <c r="B59" s="0" t="s">
        <v>60</v>
      </c>
      <c r="C59" s="16" t="n">
        <f aca="false">a25_gp/a25_rev</f>
        <v>0.379046832240409</v>
      </c>
      <c r="D59" s="16" t="n">
        <f aca="false">a26_gp/a26_rev</f>
        <v>0.394271023573375</v>
      </c>
      <c r="E59" s="16" t="n">
        <f aca="false">gm_27</f>
        <v>0.41</v>
      </c>
      <c r="F59" s="16" t="n">
        <f aca="false">gm_28</f>
        <v>0.42</v>
      </c>
      <c r="G59" s="16" t="n">
        <f aca="false">gm_29</f>
        <v>0.42</v>
      </c>
      <c r="H59" s="8" t="s">
        <v>522</v>
      </c>
    </row>
    <row r="60" customFormat="false" ht="15" hidden="false" customHeight="false" outlineLevel="0" collapsed="false">
      <c r="A60" s="5" t="s">
        <v>523</v>
      </c>
      <c r="B60" s="0" t="s">
        <v>27</v>
      </c>
      <c r="C60" s="19" t="n">
        <f aca="false">C55*C59</f>
        <v>2.2023</v>
      </c>
      <c r="D60" s="19" t="n">
        <f aca="false">D55*D59</f>
        <v>2.8065</v>
      </c>
      <c r="E60" s="19" t="n">
        <f aca="false">E55*E59</f>
        <v>4.18621947860443</v>
      </c>
      <c r="F60" s="19" t="n">
        <f aca="false">F55*F59</f>
        <v>5.18425360141644</v>
      </c>
      <c r="G60" s="19" t="n">
        <f aca="false">G55*G59</f>
        <v>5.92644378439002</v>
      </c>
    </row>
    <row r="61" customFormat="false" ht="15" hidden="false" customHeight="false" outlineLevel="0" collapsed="false">
      <c r="A61" s="5" t="s">
        <v>524</v>
      </c>
      <c r="B61" s="0" t="s">
        <v>27</v>
      </c>
      <c r="C61" s="19" t="n">
        <f aca="false">a25_opx</f>
        <v>1.1653</v>
      </c>
      <c r="D61" s="19" t="n">
        <f aca="false">a26_opx</f>
        <v>1.3496</v>
      </c>
      <c r="E61" s="19" t="n">
        <f aca="false">D61*(1+MAX(0,phi*E56))</f>
        <v>1.76142950530976</v>
      </c>
      <c r="F61" s="19" t="n">
        <f aca="false">E61*(1+MAX(0,phi*F56))</f>
        <v>2.01994272362444</v>
      </c>
      <c r="G61" s="19" t="n">
        <f aca="false">F61*(1+MAX(0,phi*G56))</f>
        <v>2.22308404493118</v>
      </c>
    </row>
    <row r="62" customFormat="false" ht="15" hidden="false" customHeight="false" outlineLevel="0" collapsed="false">
      <c r="A62" s="5" t="s">
        <v>525</v>
      </c>
      <c r="B62" s="0" t="s">
        <v>27</v>
      </c>
      <c r="C62" s="19" t="n">
        <f aca="false">C61</f>
        <v>1.1653</v>
      </c>
      <c r="D62" s="19" t="n">
        <f aca="false">D61</f>
        <v>1.3496</v>
      </c>
      <c r="E62" s="19" t="n">
        <f aca="false">E61+0*E55</f>
        <v>1.76142950530976</v>
      </c>
      <c r="F62" s="19" t="n">
        <f aca="false">F61+0*F55</f>
        <v>2.01994272362444</v>
      </c>
      <c r="G62" s="19" t="n">
        <f aca="false">G61+0*G55</f>
        <v>2.22308404493118</v>
      </c>
    </row>
    <row r="63" customFormat="false" ht="15" hidden="false" customHeight="false" outlineLevel="0" collapsed="false">
      <c r="A63" s="5" t="s">
        <v>526</v>
      </c>
      <c r="B63" s="0" t="s">
        <v>27</v>
      </c>
      <c r="C63" s="19" t="n">
        <f aca="false">C60-C62</f>
        <v>1.037</v>
      </c>
      <c r="D63" s="19" t="n">
        <f aca="false">D60-D62</f>
        <v>1.4569</v>
      </c>
      <c r="E63" s="19" t="n">
        <f aca="false">E60-E62</f>
        <v>2.42478997329467</v>
      </c>
      <c r="F63" s="19" t="n">
        <f aca="false">F60-F62</f>
        <v>3.164310877792</v>
      </c>
      <c r="G63" s="19" t="n">
        <f aca="false">G60-G62</f>
        <v>3.70335973945884</v>
      </c>
    </row>
    <row r="64" customFormat="false" ht="15" hidden="false" customHeight="false" outlineLevel="0" collapsed="false">
      <c r="A64" s="5" t="s">
        <v>491</v>
      </c>
      <c r="B64" s="0" t="s">
        <v>60</v>
      </c>
      <c r="C64" s="16" t="n">
        <f aca="false">C63/C55</f>
        <v>0.178482298067159</v>
      </c>
      <c r="D64" s="16" t="n">
        <f aca="false">D63/D55</f>
        <v>0.204672529572083</v>
      </c>
      <c r="E64" s="16" t="n">
        <f aca="false">E63/E55</f>
        <v>0.237484893979386</v>
      </c>
      <c r="F64" s="16" t="n">
        <f aca="false">F63/F55</f>
        <v>0.256355238545724</v>
      </c>
      <c r="G64" s="16" t="n">
        <f aca="false">G63/G55</f>
        <v>0.262452686157185</v>
      </c>
    </row>
    <row r="65" customFormat="false" ht="15" hidden="false" customHeight="false" outlineLevel="0" collapsed="false">
      <c r="A65" s="5" t="s">
        <v>527</v>
      </c>
      <c r="B65" s="0" t="s">
        <v>27</v>
      </c>
      <c r="C65" s="19" t="n">
        <f aca="false">a25_int</f>
        <v>0.1673</v>
      </c>
      <c r="D65" s="19" t="n">
        <f aca="false">a26_int</f>
        <v>0.1181</v>
      </c>
      <c r="E65" s="19" t="n">
        <f aca="false">int_f</f>
        <v>0.08</v>
      </c>
      <c r="F65" s="19" t="n">
        <f aca="false">int_f</f>
        <v>0.08</v>
      </c>
      <c r="G65" s="19" t="n">
        <f aca="false">int_f</f>
        <v>0.08</v>
      </c>
    </row>
    <row r="66" customFormat="false" ht="15" hidden="false" customHeight="false" outlineLevel="0" collapsed="false">
      <c r="A66" s="5" t="s">
        <v>528</v>
      </c>
      <c r="B66" s="0" t="s">
        <v>27</v>
      </c>
      <c r="C66" s="19" t="n">
        <f aca="false">C63-C65</f>
        <v>0.8697</v>
      </c>
      <c r="D66" s="19" t="n">
        <f aca="false">D63-D65</f>
        <v>1.3388</v>
      </c>
      <c r="E66" s="19" t="n">
        <f aca="false">E63-E65</f>
        <v>2.34478997329467</v>
      </c>
      <c r="F66" s="19" t="n">
        <f aca="false">F63-F65</f>
        <v>3.084310877792</v>
      </c>
      <c r="G66" s="19" t="n">
        <f aca="false">G63-G65</f>
        <v>3.62335973945884</v>
      </c>
    </row>
    <row r="67" customFormat="false" ht="17.15" hidden="false" customHeight="false" outlineLevel="0" collapsed="false">
      <c r="A67" s="5" t="s">
        <v>529</v>
      </c>
      <c r="B67" s="0" t="s">
        <v>27</v>
      </c>
      <c r="C67" s="19" t="n">
        <f aca="false">a25_ni</f>
        <v>0.6926</v>
      </c>
      <c r="D67" s="19" t="n">
        <f aca="false">a26_ni</f>
        <v>1.0966</v>
      </c>
      <c r="E67" s="19" t="n">
        <f aca="false">E66*(1-tx)+nci</f>
        <v>1.91147987836868</v>
      </c>
      <c r="F67" s="19" t="n">
        <f aca="false">F66*(1-tx)+nci</f>
        <v>2.51049181101152</v>
      </c>
      <c r="G67" s="19" t="n">
        <f aca="false">G66*(1-tx)+nci</f>
        <v>2.94712138896166</v>
      </c>
    </row>
    <row r="68" customFormat="false" ht="15" hidden="false" customHeight="false" outlineLevel="0" collapsed="false">
      <c r="A68" s="5" t="s">
        <v>530</v>
      </c>
      <c r="B68" s="0" t="s">
        <v>60</v>
      </c>
      <c r="C68" s="16" t="n">
        <f aca="false">C67/C55</f>
        <v>0.119206209875906</v>
      </c>
      <c r="D68" s="16" t="n">
        <f aca="false">D67/D55</f>
        <v>0.154055800623753</v>
      </c>
      <c r="E68" s="16" t="n">
        <f aca="false">E67/E55</f>
        <v>0.187211099211746</v>
      </c>
      <c r="F68" s="16" t="n">
        <f aca="false">F67/F55</f>
        <v>0.20338637761408</v>
      </c>
      <c r="G68" s="16" t="n">
        <f aca="false">G67/G55</f>
        <v>0.208858976545797</v>
      </c>
    </row>
    <row r="69" customFormat="false" ht="15" hidden="false" customHeight="false" outlineLevel="0" collapsed="false">
      <c r="A69" s="5" t="s">
        <v>531</v>
      </c>
      <c r="B69" s="0" t="s">
        <v>27</v>
      </c>
      <c r="C69" s="10" t="n">
        <f aca="false">a25_pref</f>
        <v>0.130624</v>
      </c>
      <c r="D69" s="10" t="n">
        <f aca="false">0</f>
        <v>0</v>
      </c>
      <c r="E69" s="10" t="n">
        <f aca="false">0</f>
        <v>0</v>
      </c>
      <c r="F69" s="10" t="n">
        <f aca="false">0</f>
        <v>0</v>
      </c>
      <c r="G69" s="10" t="n">
        <f aca="false">0</f>
        <v>0</v>
      </c>
    </row>
    <row r="70" customFormat="false" ht="15" hidden="false" customHeight="false" outlineLevel="0" collapsed="false">
      <c r="A70" s="5" t="s">
        <v>532</v>
      </c>
      <c r="B70" s="5" t="s">
        <v>251</v>
      </c>
      <c r="C70" s="17" t="n">
        <f aca="false">a25_sh</f>
        <v>0.1592</v>
      </c>
      <c r="D70" s="17" t="n">
        <f aca="false">a26_sh</f>
        <v>0.1954</v>
      </c>
      <c r="E70" s="17" t="n">
        <f aca="false">sh_q4*(1+sh_g)</f>
        <v>0.204222</v>
      </c>
      <c r="F70" s="17" t="n">
        <f aca="false">E70*(1+sh_g)</f>
        <v>0.20626422</v>
      </c>
      <c r="G70" s="17" t="n">
        <f aca="false">F70*(1+sh_g)</f>
        <v>0.2083268622</v>
      </c>
    </row>
    <row r="71" customFormat="false" ht="15" hidden="false" customHeight="false" outlineLevel="0" collapsed="false">
      <c r="A71" s="0" t="s">
        <v>493</v>
      </c>
      <c r="B71" s="0" t="s">
        <v>188</v>
      </c>
      <c r="C71" s="19" t="n">
        <f aca="false">(C67-C69)/C70</f>
        <v>3.53</v>
      </c>
      <c r="D71" s="19" t="n">
        <f aca="false">(D67-D69)/D70</f>
        <v>5.61207778915046</v>
      </c>
      <c r="E71" s="19" t="n">
        <f aca="false">(E67-E69)/E70</f>
        <v>9.35981372412709</v>
      </c>
      <c r="F71" s="19" t="n">
        <f aca="false">(F67-F69)/F70</f>
        <v>12.171242356098</v>
      </c>
      <c r="G71" s="19" t="n">
        <f aca="false">(G67-G69)/G70</f>
        <v>14.146622081469</v>
      </c>
    </row>
    <row r="72" customFormat="false" ht="17.15" hidden="false" customHeight="false" outlineLevel="0" collapsed="false">
      <c r="A72" s="0" t="s">
        <v>533</v>
      </c>
      <c r="B72" s="0" t="s">
        <v>60</v>
      </c>
      <c r="D72" s="16" t="n">
        <f aca="false">D71/C71-1</f>
        <v>0.589823736303247</v>
      </c>
      <c r="E72" s="16" t="n">
        <f aca="false">E71/D71-1</f>
        <v>0.667798287155237</v>
      </c>
      <c r="F72" s="16" t="n">
        <f aca="false">F71/E71-1</f>
        <v>0.300372284623979</v>
      </c>
      <c r="G72" s="16" t="n">
        <f aca="false">G71/F71-1</f>
        <v>0.162298939383231</v>
      </c>
    </row>
    <row r="75" customFormat="false" ht="17.15" hidden="false" customHeight="false" outlineLevel="0" collapsed="false">
      <c r="A75" s="3" t="s">
        <v>798</v>
      </c>
    </row>
    <row r="76" customFormat="false" ht="17.15" hidden="false" customHeight="false" outlineLevel="0" collapsed="false">
      <c r="A76" s="6" t="s">
        <v>16</v>
      </c>
      <c r="B76" s="6" t="s">
        <v>17</v>
      </c>
      <c r="C76" s="15" t="s">
        <v>412</v>
      </c>
      <c r="D76" s="15" t="s">
        <v>477</v>
      </c>
      <c r="E76" s="15" t="s">
        <v>478</v>
      </c>
      <c r="F76" s="15" t="s">
        <v>479</v>
      </c>
      <c r="G76" s="15" t="s">
        <v>480</v>
      </c>
      <c r="H76" s="6" t="s">
        <v>418</v>
      </c>
    </row>
    <row r="77" customFormat="false" ht="17.15" hidden="false" customHeight="false" outlineLevel="0" collapsed="false">
      <c r="A77" s="1" t="s">
        <v>503</v>
      </c>
    </row>
    <row r="78" customFormat="false" ht="17.15" hidden="false" customHeight="false" outlineLevel="0" collapsed="false">
      <c r="A78" s="0" t="s">
        <v>504</v>
      </c>
      <c r="B78" s="0" t="s">
        <v>27</v>
      </c>
      <c r="D78" s="19" t="n">
        <f aca="false">mpl_26*1</f>
        <v>29.753262</v>
      </c>
      <c r="E78" s="19" t="n">
        <f aca="false">mpl_27*1*1</f>
        <v>54.688309</v>
      </c>
      <c r="F78" s="19" t="n">
        <f aca="false">mpl_28*um28_A*1</f>
        <v>61.21325</v>
      </c>
      <c r="G78" s="19" t="n">
        <f aca="false">mpl_29*um29_A*1</f>
        <v>78.80848</v>
      </c>
      <c r="H78" s="5" t="s">
        <v>505</v>
      </c>
    </row>
    <row r="79" customFormat="false" ht="17.15" hidden="false" customHeight="false" outlineLevel="0" collapsed="false">
      <c r="A79" s="0" t="s">
        <v>506</v>
      </c>
      <c r="B79" s="0" t="s">
        <v>27</v>
      </c>
      <c r="D79" s="19" t="n">
        <f aca="false">mcp_26*1</f>
        <v>0.300538</v>
      </c>
      <c r="E79" s="19" t="n">
        <f aca="false">mcp_27*1</f>
        <v>1.691391</v>
      </c>
      <c r="F79" s="19" t="n">
        <f aca="false">mcp_28*um28_A</f>
        <v>3.22175</v>
      </c>
      <c r="G79" s="19" t="n">
        <f aca="false">mcp_29*um29_A</f>
        <v>5.87368</v>
      </c>
    </row>
    <row r="80" customFormat="false" ht="17.15" hidden="false" customHeight="false" outlineLevel="0" collapsed="false">
      <c r="A80" s="0" t="s">
        <v>507</v>
      </c>
      <c r="B80" s="0" t="s">
        <v>60</v>
      </c>
      <c r="D80" s="16" t="n">
        <f aca="false">dc_cy26/D78</f>
        <v>0.146339576728919</v>
      </c>
      <c r="H80" s="8" t="s">
        <v>508</v>
      </c>
    </row>
    <row r="81" customFormat="false" ht="17.15" hidden="false" customHeight="false" outlineLevel="0" collapsed="false">
      <c r="A81" s="5" t="s">
        <v>509</v>
      </c>
      <c r="B81" s="0" t="s">
        <v>71</v>
      </c>
      <c r="D81" s="9" t="n">
        <f aca="false">1</f>
        <v>1</v>
      </c>
      <c r="E81" s="9" t="n">
        <f aca="false">RHI_27</f>
        <v>1.25</v>
      </c>
      <c r="F81" s="9" t="n">
        <f aca="false">RHI_28</f>
        <v>1.35</v>
      </c>
      <c r="G81" s="9" t="n">
        <f aca="false">RHI_29</f>
        <v>1.4</v>
      </c>
    </row>
    <row r="82" customFormat="false" ht="15" hidden="false" customHeight="false" outlineLevel="0" collapsed="false">
      <c r="A82" s="5" t="s">
        <v>510</v>
      </c>
      <c r="B82" s="0" t="s">
        <v>60</v>
      </c>
      <c r="D82" s="16" t="n">
        <f aca="false">$D$80*D81</f>
        <v>0.146339576728919</v>
      </c>
      <c r="E82" s="16" t="n">
        <f aca="false">$D$80*E81</f>
        <v>0.182924470911148</v>
      </c>
      <c r="F82" s="16" t="n">
        <f aca="false">$D$80*F81</f>
        <v>0.19755842858404</v>
      </c>
      <c r="G82" s="16" t="n">
        <f aca="false">$D$80*G81</f>
        <v>0.204875407420486</v>
      </c>
    </row>
    <row r="83" customFormat="false" ht="15" hidden="false" customHeight="false" outlineLevel="0" collapsed="false">
      <c r="A83" s="5" t="s">
        <v>511</v>
      </c>
      <c r="B83" s="0" t="s">
        <v>71</v>
      </c>
      <c r="D83" s="9" t="n">
        <f aca="false">1</f>
        <v>1</v>
      </c>
      <c r="E83" s="9" t="n">
        <f aca="false">pxr_27</f>
        <v>1</v>
      </c>
      <c r="F83" s="9" t="n">
        <f aca="false">pxr_28</f>
        <v>1</v>
      </c>
      <c r="G83" s="9" t="n">
        <f aca="false">pxr_29</f>
        <v>1</v>
      </c>
    </row>
    <row r="84" customFormat="false" ht="17.15" hidden="false" customHeight="false" outlineLevel="0" collapsed="false">
      <c r="A84" s="0" t="s">
        <v>512</v>
      </c>
      <c r="B84" s="0" t="s">
        <v>60</v>
      </c>
      <c r="D84" s="16" t="n">
        <f aca="false">0</f>
        <v>0</v>
      </c>
      <c r="E84" s="16" t="n">
        <f aca="false">cpo_27</f>
        <v>0.1</v>
      </c>
      <c r="F84" s="16" t="n">
        <f aca="false">cpo_28</f>
        <v>0.15</v>
      </c>
      <c r="G84" s="16" t="n">
        <f aca="false">cpo_29</f>
        <v>0.2</v>
      </c>
    </row>
    <row r="85" customFormat="false" ht="15" hidden="false" customHeight="false" outlineLevel="0" collapsed="false">
      <c r="A85" s="5" t="s">
        <v>513</v>
      </c>
      <c r="B85" s="0" t="s">
        <v>27</v>
      </c>
      <c r="D85" s="19" t="n">
        <f aca="false">dc_cy26</f>
        <v>4.35407976738462</v>
      </c>
      <c r="E85" s="19" t="n">
        <f aca="false">E78*E82*E83+E79*E84</f>
        <v>10.1729690888504</v>
      </c>
      <c r="F85" s="19" t="n">
        <f aca="false">F78*F82*F83+F79*F84</f>
        <v>12.576455978522</v>
      </c>
      <c r="G85" s="19" t="n">
        <f aca="false">G78*G82*G83+G79*G84</f>
        <v>17.3206554481892</v>
      </c>
    </row>
    <row r="86" customFormat="false" ht="17.15" hidden="false" customHeight="false" outlineLevel="0" collapsed="false">
      <c r="A86" s="1" t="s">
        <v>514</v>
      </c>
    </row>
    <row r="87" customFormat="false" ht="17.15" hidden="false" customHeight="false" outlineLevel="0" collapsed="false">
      <c r="A87" s="5" t="s">
        <v>515</v>
      </c>
      <c r="B87" s="0" t="s">
        <v>27</v>
      </c>
      <c r="C87" s="19" t="n">
        <f aca="false">a25_dc</f>
        <v>2.27542010638806</v>
      </c>
      <c r="D87" s="19" t="n">
        <f aca="false">a26_dc</f>
        <v>3.19608300307692</v>
      </c>
      <c r="E87" s="19" t="n">
        <f aca="false">h1_27+hw*E85</f>
        <v>7.24812431748656</v>
      </c>
      <c r="F87" s="19" t="n">
        <f aca="false">(1-hw)*E85+hw*F85</f>
        <v>11.2785730580993</v>
      </c>
      <c r="G87" s="19" t="n">
        <f aca="false">(1-hw)*F85+hw*G85</f>
        <v>14.7587877345689</v>
      </c>
      <c r="H87" s="8" t="s">
        <v>516</v>
      </c>
    </row>
    <row r="88" customFormat="false" ht="15" hidden="false" customHeight="false" outlineLevel="0" collapsed="false">
      <c r="A88" s="5" t="s">
        <v>517</v>
      </c>
      <c r="B88" s="0" t="s">
        <v>27</v>
      </c>
      <c r="C88" s="19" t="n">
        <f aca="false">a25_com</f>
        <v>1.47977989361194</v>
      </c>
      <c r="D88" s="19" t="n">
        <f aca="false">a26_com</f>
        <v>2.07851699692308</v>
      </c>
      <c r="E88" s="19" t="n">
        <f aca="false">D88*(1+g_com_27)</f>
        <v>2.49422039630769</v>
      </c>
      <c r="F88" s="19" t="n">
        <f aca="false">E88*(1+g_com_28)</f>
        <v>2.79352684386461</v>
      </c>
      <c r="G88" s="19" t="n">
        <f aca="false">F88*(1+g_com_29)</f>
        <v>3.01700899137378</v>
      </c>
    </row>
    <row r="89" customFormat="false" ht="17.15" hidden="false" customHeight="false" outlineLevel="0" collapsed="false">
      <c r="A89" s="5" t="s">
        <v>518</v>
      </c>
      <c r="B89" s="0" t="s">
        <v>27</v>
      </c>
      <c r="C89" s="19" t="n">
        <f aca="false">a25_ind</f>
        <v>2.0549</v>
      </c>
      <c r="D89" s="19" t="n">
        <f aca="false">a26_ind</f>
        <v>1.8436</v>
      </c>
      <c r="E89" s="19" t="n">
        <f aca="false">ind_run*(1+g_ind_27)</f>
        <v>1.75644</v>
      </c>
      <c r="F89" s="19" t="n">
        <f aca="false">E89*(1+g_ind_28)</f>
        <v>1.844262</v>
      </c>
      <c r="G89" s="19" t="n">
        <f aca="false">F89*(1+g_ind_29)</f>
        <v>1.9364751</v>
      </c>
    </row>
    <row r="90" customFormat="false" ht="15" hidden="false" customHeight="false" outlineLevel="0" collapsed="false">
      <c r="A90" s="5" t="s">
        <v>419</v>
      </c>
      <c r="B90" s="0" t="s">
        <v>27</v>
      </c>
      <c r="C90" s="19" t="n">
        <f aca="false">C87+C88+C89</f>
        <v>5.8101</v>
      </c>
      <c r="D90" s="19" t="n">
        <f aca="false">D87+D88+D89</f>
        <v>7.1182</v>
      </c>
      <c r="E90" s="19" t="n">
        <f aca="false">E87+E88+E89</f>
        <v>11.4987847137943</v>
      </c>
      <c r="F90" s="19" t="n">
        <f aca="false">F87+F88+F89</f>
        <v>15.9163619019639</v>
      </c>
      <c r="G90" s="19" t="n">
        <f aca="false">G87+G88+G89</f>
        <v>19.7122718259427</v>
      </c>
    </row>
    <row r="91" customFormat="false" ht="15" hidden="false" customHeight="false" outlineLevel="0" collapsed="false">
      <c r="A91" s="5" t="s">
        <v>519</v>
      </c>
      <c r="B91" s="0" t="s">
        <v>60</v>
      </c>
      <c r="D91" s="16" t="n">
        <f aca="false">D90/C90-1</f>
        <v>0.225142424398892</v>
      </c>
      <c r="E91" s="16" t="n">
        <f aca="false">E90/D90-1</f>
        <v>0.615406242279545</v>
      </c>
      <c r="F91" s="16" t="n">
        <f aca="false">F90/E90-1</f>
        <v>0.384177745572559</v>
      </c>
      <c r="G91" s="16" t="n">
        <f aca="false">G90/F90-1</f>
        <v>0.238491053882758</v>
      </c>
    </row>
    <row r="92" customFormat="false" ht="17.15" hidden="false" customHeight="false" outlineLevel="0" collapsed="false">
      <c r="A92" s="5" t="s">
        <v>520</v>
      </c>
      <c r="B92" s="0" t="s">
        <v>60</v>
      </c>
      <c r="C92" s="16" t="n">
        <f aca="false">C87/C90</f>
        <v>0.391631831876914</v>
      </c>
      <c r="D92" s="16" t="n">
        <f aca="false">D87/D90</f>
        <v>0.449001573863747</v>
      </c>
      <c r="E92" s="16" t="n">
        <f aca="false">E87/E90</f>
        <v>0.630338292079816</v>
      </c>
      <c r="F92" s="16" t="n">
        <f aca="false">F87/F90</f>
        <v>0.708615016897024</v>
      </c>
      <c r="G92" s="16" t="n">
        <f aca="false">G87/G90</f>
        <v>0.748710644053992</v>
      </c>
    </row>
    <row r="93" customFormat="false" ht="17.15" hidden="false" customHeight="false" outlineLevel="0" collapsed="false">
      <c r="A93" s="1" t="s">
        <v>521</v>
      </c>
    </row>
    <row r="94" customFormat="false" ht="17.15" hidden="false" customHeight="false" outlineLevel="0" collapsed="false">
      <c r="A94" s="5" t="s">
        <v>490</v>
      </c>
      <c r="B94" s="0" t="s">
        <v>60</v>
      </c>
      <c r="C94" s="16" t="n">
        <f aca="false">a25_gp/a25_rev</f>
        <v>0.379046832240409</v>
      </c>
      <c r="D94" s="16" t="n">
        <f aca="false">a26_gp/a26_rev</f>
        <v>0.394271023573375</v>
      </c>
      <c r="E94" s="16" t="n">
        <f aca="false">gm_27</f>
        <v>0.41</v>
      </c>
      <c r="F94" s="16" t="n">
        <f aca="false">gm_28</f>
        <v>0.42</v>
      </c>
      <c r="G94" s="16" t="n">
        <f aca="false">gm_29</f>
        <v>0.42</v>
      </c>
      <c r="H94" s="8" t="s">
        <v>522</v>
      </c>
    </row>
    <row r="95" customFormat="false" ht="15" hidden="false" customHeight="false" outlineLevel="0" collapsed="false">
      <c r="A95" s="5" t="s">
        <v>523</v>
      </c>
      <c r="B95" s="0" t="s">
        <v>27</v>
      </c>
      <c r="C95" s="19" t="n">
        <f aca="false">C90*C94</f>
        <v>2.2023</v>
      </c>
      <c r="D95" s="19" t="n">
        <f aca="false">D90*D94</f>
        <v>2.8065</v>
      </c>
      <c r="E95" s="19" t="n">
        <f aca="false">E90*E94</f>
        <v>4.71450173265564</v>
      </c>
      <c r="F95" s="19" t="n">
        <f aca="false">F90*F94</f>
        <v>6.68487199882485</v>
      </c>
      <c r="G95" s="19" t="n">
        <f aca="false">G90*G94</f>
        <v>8.27915416689593</v>
      </c>
    </row>
    <row r="96" customFormat="false" ht="15" hidden="false" customHeight="false" outlineLevel="0" collapsed="false">
      <c r="A96" s="5" t="s">
        <v>524</v>
      </c>
      <c r="B96" s="0" t="s">
        <v>27</v>
      </c>
      <c r="C96" s="19" t="n">
        <f aca="false">a25_opx</f>
        <v>1.1653</v>
      </c>
      <c r="D96" s="19" t="n">
        <f aca="false">a26_opx</f>
        <v>1.3496</v>
      </c>
      <c r="E96" s="19" t="n">
        <f aca="false">D96*(1+MAX(0,phi*E91))</f>
        <v>1.93304136563918</v>
      </c>
      <c r="F96" s="19" t="n">
        <f aca="false">E96*(1+MAX(0,phi*F91))</f>
        <v>2.4547206624222</v>
      </c>
      <c r="G96" s="19" t="n">
        <f aca="false">F96*(1+MAX(0,phi*G91))</f>
        <v>2.86596925186558</v>
      </c>
    </row>
    <row r="97" customFormat="false" ht="15" hidden="false" customHeight="false" outlineLevel="0" collapsed="false">
      <c r="A97" s="5" t="s">
        <v>525</v>
      </c>
      <c r="B97" s="0" t="s">
        <v>27</v>
      </c>
      <c r="C97" s="19" t="n">
        <f aca="false">C96</f>
        <v>1.1653</v>
      </c>
      <c r="D97" s="19" t="n">
        <f aca="false">D96</f>
        <v>1.3496</v>
      </c>
      <c r="E97" s="19" t="n">
        <f aca="false">E96+0*E90</f>
        <v>1.93304136563918</v>
      </c>
      <c r="F97" s="19" t="n">
        <f aca="false">F96+0*F90</f>
        <v>2.4547206624222</v>
      </c>
      <c r="G97" s="19" t="n">
        <f aca="false">G96+0*G90</f>
        <v>2.86596925186558</v>
      </c>
    </row>
    <row r="98" customFormat="false" ht="15" hidden="false" customHeight="false" outlineLevel="0" collapsed="false">
      <c r="A98" s="5" t="s">
        <v>526</v>
      </c>
      <c r="B98" s="0" t="s">
        <v>27</v>
      </c>
      <c r="C98" s="19" t="n">
        <f aca="false">C95-C97</f>
        <v>1.037</v>
      </c>
      <c r="D98" s="19" t="n">
        <f aca="false">D95-D97</f>
        <v>1.4569</v>
      </c>
      <c r="E98" s="19" t="n">
        <f aca="false">E95-E97</f>
        <v>2.78146036701646</v>
      </c>
      <c r="F98" s="19" t="n">
        <f aca="false">F95-F97</f>
        <v>4.23015133640265</v>
      </c>
      <c r="G98" s="19" t="n">
        <f aca="false">G95-G97</f>
        <v>5.41318491503035</v>
      </c>
    </row>
    <row r="99" customFormat="false" ht="15" hidden="false" customHeight="false" outlineLevel="0" collapsed="false">
      <c r="A99" s="5" t="s">
        <v>491</v>
      </c>
      <c r="B99" s="0" t="s">
        <v>60</v>
      </c>
      <c r="C99" s="16" t="n">
        <f aca="false">C98/C90</f>
        <v>0.178482298067159</v>
      </c>
      <c r="D99" s="16" t="n">
        <f aca="false">D98/D90</f>
        <v>0.204672529572083</v>
      </c>
      <c r="E99" s="16" t="n">
        <f aca="false">E98/E90</f>
        <v>0.241891681273043</v>
      </c>
      <c r="F99" s="16" t="n">
        <f aca="false">F98/F90</f>
        <v>0.265773759258433</v>
      </c>
      <c r="G99" s="16" t="n">
        <f aca="false">G98/G90</f>
        <v>0.274609895948484</v>
      </c>
    </row>
    <row r="100" customFormat="false" ht="15" hidden="false" customHeight="false" outlineLevel="0" collapsed="false">
      <c r="A100" s="5" t="s">
        <v>527</v>
      </c>
      <c r="B100" s="0" t="s">
        <v>27</v>
      </c>
      <c r="C100" s="19" t="n">
        <f aca="false">a25_int</f>
        <v>0.1673</v>
      </c>
      <c r="D100" s="19" t="n">
        <f aca="false">a26_int</f>
        <v>0.1181</v>
      </c>
      <c r="E100" s="19" t="n">
        <f aca="false">int_f</f>
        <v>0.08</v>
      </c>
      <c r="F100" s="19" t="n">
        <f aca="false">int_f</f>
        <v>0.08</v>
      </c>
      <c r="G100" s="19" t="n">
        <f aca="false">int_f</f>
        <v>0.08</v>
      </c>
    </row>
    <row r="101" customFormat="false" ht="15" hidden="false" customHeight="false" outlineLevel="0" collapsed="false">
      <c r="A101" s="5" t="s">
        <v>528</v>
      </c>
      <c r="B101" s="0" t="s">
        <v>27</v>
      </c>
      <c r="C101" s="19" t="n">
        <f aca="false">C98-C100</f>
        <v>0.8697</v>
      </c>
      <c r="D101" s="19" t="n">
        <f aca="false">D98-D100</f>
        <v>1.3388</v>
      </c>
      <c r="E101" s="19" t="n">
        <f aca="false">E98-E100</f>
        <v>2.70146036701646</v>
      </c>
      <c r="F101" s="19" t="n">
        <f aca="false">F98-F100</f>
        <v>4.15015133640265</v>
      </c>
      <c r="G101" s="19" t="n">
        <f aca="false">G98-G100</f>
        <v>5.33318491503035</v>
      </c>
    </row>
    <row r="102" customFormat="false" ht="17.15" hidden="false" customHeight="false" outlineLevel="0" collapsed="false">
      <c r="A102" s="5" t="s">
        <v>529</v>
      </c>
      <c r="B102" s="0" t="s">
        <v>27</v>
      </c>
      <c r="C102" s="19" t="n">
        <f aca="false">a25_ni</f>
        <v>0.6926</v>
      </c>
      <c r="D102" s="19" t="n">
        <f aca="false">a26_ni</f>
        <v>1.0966</v>
      </c>
      <c r="E102" s="19" t="n">
        <f aca="false">E101*(1-tx)+nci</f>
        <v>2.20038289728334</v>
      </c>
      <c r="F102" s="19" t="n">
        <f aca="false">F101*(1-tx)+nci</f>
        <v>3.37382258248615</v>
      </c>
      <c r="G102" s="19" t="n">
        <f aca="false">G101*(1-tx)+nci</f>
        <v>4.33207978117459</v>
      </c>
    </row>
    <row r="103" customFormat="false" ht="15" hidden="false" customHeight="false" outlineLevel="0" collapsed="false">
      <c r="A103" s="5" t="s">
        <v>530</v>
      </c>
      <c r="B103" s="0" t="s">
        <v>60</v>
      </c>
      <c r="C103" s="16" t="n">
        <f aca="false">C102/C90</f>
        <v>0.119206209875906</v>
      </c>
      <c r="D103" s="16" t="n">
        <f aca="false">D102/D90</f>
        <v>0.154055800623753</v>
      </c>
      <c r="E103" s="16" t="n">
        <f aca="false">E102/E90</f>
        <v>0.191357865378912</v>
      </c>
      <c r="F103" s="16" t="n">
        <f aca="false">F102/F90</f>
        <v>0.211971969679192</v>
      </c>
      <c r="G103" s="16" t="n">
        <f aca="false">G102/G90</f>
        <v>0.219765627190331</v>
      </c>
    </row>
    <row r="104" customFormat="false" ht="15" hidden="false" customHeight="false" outlineLevel="0" collapsed="false">
      <c r="A104" s="5" t="s">
        <v>531</v>
      </c>
      <c r="B104" s="0" t="s">
        <v>27</v>
      </c>
      <c r="C104" s="10" t="n">
        <f aca="false">a25_pref</f>
        <v>0.130624</v>
      </c>
      <c r="D104" s="10" t="n">
        <f aca="false">0</f>
        <v>0</v>
      </c>
      <c r="E104" s="10" t="n">
        <f aca="false">0</f>
        <v>0</v>
      </c>
      <c r="F104" s="10" t="n">
        <f aca="false">0</f>
        <v>0</v>
      </c>
      <c r="G104" s="10" t="n">
        <f aca="false">0</f>
        <v>0</v>
      </c>
    </row>
    <row r="105" customFormat="false" ht="15" hidden="false" customHeight="false" outlineLevel="0" collapsed="false">
      <c r="A105" s="5" t="s">
        <v>532</v>
      </c>
      <c r="B105" s="5" t="s">
        <v>251</v>
      </c>
      <c r="C105" s="17" t="n">
        <f aca="false">a25_sh</f>
        <v>0.1592</v>
      </c>
      <c r="D105" s="17" t="n">
        <f aca="false">a26_sh</f>
        <v>0.1954</v>
      </c>
      <c r="E105" s="17" t="n">
        <f aca="false">sh_q4*(1+sh_g)</f>
        <v>0.204222</v>
      </c>
      <c r="F105" s="17" t="n">
        <f aca="false">E105*(1+sh_g)</f>
        <v>0.20626422</v>
      </c>
      <c r="G105" s="17" t="n">
        <f aca="false">F105*(1+sh_g)</f>
        <v>0.2083268622</v>
      </c>
    </row>
    <row r="106" customFormat="false" ht="15" hidden="false" customHeight="false" outlineLevel="0" collapsed="false">
      <c r="A106" s="0" t="s">
        <v>493</v>
      </c>
      <c r="B106" s="0" t="s">
        <v>188</v>
      </c>
      <c r="C106" s="19" t="n">
        <f aca="false">(C102-C104)/C105</f>
        <v>3.53</v>
      </c>
      <c r="D106" s="19" t="n">
        <f aca="false">(D102-D104)/D105</f>
        <v>5.61207778915046</v>
      </c>
      <c r="E106" s="19" t="n">
        <f aca="false">(E102-E104)/E105</f>
        <v>10.7744655193042</v>
      </c>
      <c r="F106" s="19" t="n">
        <f aca="false">(F102-F104)/F105</f>
        <v>16.356799945653</v>
      </c>
      <c r="G106" s="19" t="n">
        <f aca="false">(G102-G104)/G105</f>
        <v>20.7946288607547</v>
      </c>
    </row>
    <row r="107" customFormat="false" ht="17.15" hidden="false" customHeight="false" outlineLevel="0" collapsed="false">
      <c r="A107" s="0" t="s">
        <v>533</v>
      </c>
      <c r="B107" s="0" t="s">
        <v>60</v>
      </c>
      <c r="D107" s="16" t="n">
        <f aca="false">D106/C106-1</f>
        <v>0.589823736303247</v>
      </c>
      <c r="E107" s="16" t="n">
        <f aca="false">E106/D106-1</f>
        <v>0.919871021769137</v>
      </c>
      <c r="F107" s="16" t="n">
        <f aca="false">F106/E106-1</f>
        <v>0.518107781434462</v>
      </c>
      <c r="G107" s="16" t="n">
        <f aca="false">G106/F106-1</f>
        <v>0.271314005786391</v>
      </c>
    </row>
    <row r="110" customFormat="false" ht="17.15" hidden="false" customHeight="false" outlineLevel="0" collapsed="false">
      <c r="A110" s="3" t="s">
        <v>799</v>
      </c>
    </row>
    <row r="111" customFormat="false" ht="17.15" hidden="false" customHeight="false" outlineLevel="0" collapsed="false">
      <c r="A111" s="6" t="s">
        <v>16</v>
      </c>
      <c r="B111" s="6" t="s">
        <v>17</v>
      </c>
      <c r="C111" s="15" t="s">
        <v>412</v>
      </c>
      <c r="D111" s="15" t="s">
        <v>477</v>
      </c>
      <c r="E111" s="15" t="s">
        <v>478</v>
      </c>
      <c r="F111" s="15" t="s">
        <v>479</v>
      </c>
      <c r="G111" s="15" t="s">
        <v>480</v>
      </c>
      <c r="H111" s="6" t="s">
        <v>418</v>
      </c>
    </row>
    <row r="112" customFormat="false" ht="17.15" hidden="false" customHeight="false" outlineLevel="0" collapsed="false">
      <c r="A112" s="1" t="s">
        <v>503</v>
      </c>
    </row>
    <row r="113" customFormat="false" ht="17.15" hidden="false" customHeight="false" outlineLevel="0" collapsed="false">
      <c r="A113" s="0" t="s">
        <v>504</v>
      </c>
      <c r="B113" s="0" t="s">
        <v>27</v>
      </c>
      <c r="D113" s="19" t="n">
        <f aca="false">mpl_26*1</f>
        <v>29.753262</v>
      </c>
      <c r="E113" s="19" t="n">
        <f aca="false">mpl_27*1*1</f>
        <v>54.688309</v>
      </c>
      <c r="F113" s="19" t="n">
        <f aca="false">mpl_28*um28_A*1</f>
        <v>61.21325</v>
      </c>
      <c r="G113" s="19" t="n">
        <f aca="false">mpl_29*um29_A*1</f>
        <v>78.80848</v>
      </c>
      <c r="H113" s="5" t="s">
        <v>505</v>
      </c>
    </row>
    <row r="114" customFormat="false" ht="17.15" hidden="false" customHeight="false" outlineLevel="0" collapsed="false">
      <c r="A114" s="0" t="s">
        <v>506</v>
      </c>
      <c r="B114" s="0" t="s">
        <v>27</v>
      </c>
      <c r="D114" s="19" t="n">
        <f aca="false">mcp_26*1</f>
        <v>0.300538</v>
      </c>
      <c r="E114" s="19" t="n">
        <f aca="false">mcp_27*1</f>
        <v>1.691391</v>
      </c>
      <c r="F114" s="19" t="n">
        <f aca="false">mcp_28*um28_A</f>
        <v>3.22175</v>
      </c>
      <c r="G114" s="19" t="n">
        <f aca="false">mcp_29*um29_A</f>
        <v>5.87368</v>
      </c>
    </row>
    <row r="115" customFormat="false" ht="17.15" hidden="false" customHeight="false" outlineLevel="0" collapsed="false">
      <c r="A115" s="0" t="s">
        <v>507</v>
      </c>
      <c r="B115" s="0" t="s">
        <v>60</v>
      </c>
      <c r="D115" s="16" t="n">
        <f aca="false">dc_cy26/D113</f>
        <v>0.146339576728919</v>
      </c>
      <c r="H115" s="8" t="s">
        <v>508</v>
      </c>
    </row>
    <row r="116" customFormat="false" ht="17.15" hidden="false" customHeight="false" outlineLevel="0" collapsed="false">
      <c r="A116" s="5" t="s">
        <v>509</v>
      </c>
      <c r="B116" s="0" t="s">
        <v>71</v>
      </c>
      <c r="D116" s="9" t="n">
        <f aca="false">1</f>
        <v>1</v>
      </c>
      <c r="E116" s="9" t="n">
        <f aca="false">rel_27</f>
        <v>1.1</v>
      </c>
      <c r="F116" s="9" t="n">
        <f aca="false">rel_28</f>
        <v>1.15</v>
      </c>
      <c r="G116" s="9" t="n">
        <f aca="false">rel_29</f>
        <v>1.15</v>
      </c>
    </row>
    <row r="117" customFormat="false" ht="15" hidden="false" customHeight="false" outlineLevel="0" collapsed="false">
      <c r="A117" s="5" t="s">
        <v>510</v>
      </c>
      <c r="B117" s="0" t="s">
        <v>60</v>
      </c>
      <c r="D117" s="16" t="n">
        <f aca="false">$D$115*D116</f>
        <v>0.146339576728919</v>
      </c>
      <c r="E117" s="16" t="n">
        <f aca="false">$D$115*E116</f>
        <v>0.16097353440181</v>
      </c>
      <c r="F117" s="16" t="n">
        <f aca="false">$D$115*F116</f>
        <v>0.168290513238256</v>
      </c>
      <c r="G117" s="16" t="n">
        <f aca="false">$D$115*G116</f>
        <v>0.168290513238256</v>
      </c>
    </row>
    <row r="118" customFormat="false" ht="15" hidden="false" customHeight="false" outlineLevel="0" collapsed="false">
      <c r="A118" s="5" t="s">
        <v>511</v>
      </c>
      <c r="B118" s="0" t="s">
        <v>71</v>
      </c>
      <c r="D118" s="9" t="n">
        <f aca="false">1</f>
        <v>1</v>
      </c>
      <c r="E118" s="9" t="n">
        <f aca="false">PXLO_27</f>
        <v>0.9</v>
      </c>
      <c r="F118" s="9" t="n">
        <f aca="false">PXLO_28</f>
        <v>0.8</v>
      </c>
      <c r="G118" s="9" t="n">
        <f aca="false">PXLO_29</f>
        <v>0.72</v>
      </c>
    </row>
    <row r="119" customFormat="false" ht="17.15" hidden="false" customHeight="false" outlineLevel="0" collapsed="false">
      <c r="A119" s="0" t="s">
        <v>512</v>
      </c>
      <c r="B119" s="0" t="s">
        <v>60</v>
      </c>
      <c r="D119" s="16" t="n">
        <f aca="false">0</f>
        <v>0</v>
      </c>
      <c r="E119" s="16" t="n">
        <f aca="false">cpo_27</f>
        <v>0.1</v>
      </c>
      <c r="F119" s="16" t="n">
        <f aca="false">cpo_28</f>
        <v>0.15</v>
      </c>
      <c r="G119" s="16" t="n">
        <f aca="false">cpo_29</f>
        <v>0.2</v>
      </c>
    </row>
    <row r="120" customFormat="false" ht="15" hidden="false" customHeight="false" outlineLevel="0" collapsed="false">
      <c r="A120" s="5" t="s">
        <v>513</v>
      </c>
      <c r="B120" s="0" t="s">
        <v>27</v>
      </c>
      <c r="D120" s="19" t="n">
        <f aca="false">dc_cy26</f>
        <v>4.35407976738462</v>
      </c>
      <c r="E120" s="19" t="n">
        <f aca="false">E113*E117*E118+E114*E119</f>
        <v>8.09217245116951</v>
      </c>
      <c r="F120" s="19" t="n">
        <f aca="false">F113*F117*F118+F114*F119</f>
        <v>8.72454990758536</v>
      </c>
      <c r="G120" s="19" t="n">
        <f aca="false">G113*G117*G118+G114*G119</f>
        <v>10.7238940736433</v>
      </c>
    </row>
    <row r="121" customFormat="false" ht="17.15" hidden="false" customHeight="false" outlineLevel="0" collapsed="false">
      <c r="A121" s="1" t="s">
        <v>514</v>
      </c>
    </row>
    <row r="122" customFormat="false" ht="17.15" hidden="false" customHeight="false" outlineLevel="0" collapsed="false">
      <c r="A122" s="5" t="s">
        <v>515</v>
      </c>
      <c r="B122" s="0" t="s">
        <v>27</v>
      </c>
      <c r="C122" s="19" t="n">
        <f aca="false">a25_dc</f>
        <v>2.27542010638806</v>
      </c>
      <c r="D122" s="19" t="n">
        <f aca="false">a26_dc</f>
        <v>3.19608300307692</v>
      </c>
      <c r="E122" s="19" t="n">
        <f aca="false">h1_27+hw*E120</f>
        <v>6.29095786415336</v>
      </c>
      <c r="F122" s="19" t="n">
        <f aca="false">(1-hw)*E120+hw*F120</f>
        <v>8.3830660811208</v>
      </c>
      <c r="G122" s="19" t="n">
        <f aca="false">(1-hw)*F120+hw*G120</f>
        <v>9.64424822397203</v>
      </c>
      <c r="H122" s="8" t="s">
        <v>516</v>
      </c>
    </row>
    <row r="123" customFormat="false" ht="15" hidden="false" customHeight="false" outlineLevel="0" collapsed="false">
      <c r="A123" s="5" t="s">
        <v>517</v>
      </c>
      <c r="B123" s="0" t="s">
        <v>27</v>
      </c>
      <c r="C123" s="19" t="n">
        <f aca="false">a25_com</f>
        <v>1.47977989361194</v>
      </c>
      <c r="D123" s="19" t="n">
        <f aca="false">a26_com</f>
        <v>2.07851699692308</v>
      </c>
      <c r="E123" s="19" t="n">
        <f aca="false">D123*(1+g_com_27)</f>
        <v>2.49422039630769</v>
      </c>
      <c r="F123" s="19" t="n">
        <f aca="false">E123*(1+g_com_28)</f>
        <v>2.79352684386461</v>
      </c>
      <c r="G123" s="19" t="n">
        <f aca="false">F123*(1+g_com_29)</f>
        <v>3.01700899137378</v>
      </c>
    </row>
    <row r="124" customFormat="false" ht="17.15" hidden="false" customHeight="false" outlineLevel="0" collapsed="false">
      <c r="A124" s="5" t="s">
        <v>518</v>
      </c>
      <c r="B124" s="0" t="s">
        <v>27</v>
      </c>
      <c r="C124" s="19" t="n">
        <f aca="false">a25_ind</f>
        <v>2.0549</v>
      </c>
      <c r="D124" s="19" t="n">
        <f aca="false">a26_ind</f>
        <v>1.8436</v>
      </c>
      <c r="E124" s="19" t="n">
        <f aca="false">ind_run*(1+g_ind_27)</f>
        <v>1.75644</v>
      </c>
      <c r="F124" s="19" t="n">
        <f aca="false">E124*(1+g_ind_28)</f>
        <v>1.844262</v>
      </c>
      <c r="G124" s="19" t="n">
        <f aca="false">F124*(1+g_ind_29)</f>
        <v>1.9364751</v>
      </c>
    </row>
    <row r="125" customFormat="false" ht="15" hidden="false" customHeight="false" outlineLevel="0" collapsed="false">
      <c r="A125" s="5" t="s">
        <v>419</v>
      </c>
      <c r="B125" s="0" t="s">
        <v>27</v>
      </c>
      <c r="C125" s="19" t="n">
        <f aca="false">C122+C123+C124</f>
        <v>5.8101</v>
      </c>
      <c r="D125" s="19" t="n">
        <f aca="false">D122+D123+D124</f>
        <v>7.1182</v>
      </c>
      <c r="E125" s="19" t="n">
        <f aca="false">E122+E123+E124</f>
        <v>10.541618260461</v>
      </c>
      <c r="F125" s="19" t="n">
        <f aca="false">F122+F123+F124</f>
        <v>13.0208549249854</v>
      </c>
      <c r="G125" s="19" t="n">
        <f aca="false">G122+G123+G124</f>
        <v>14.5977323153458</v>
      </c>
    </row>
    <row r="126" customFormat="false" ht="15" hidden="false" customHeight="false" outlineLevel="0" collapsed="false">
      <c r="A126" s="5" t="s">
        <v>519</v>
      </c>
      <c r="B126" s="0" t="s">
        <v>60</v>
      </c>
      <c r="D126" s="16" t="n">
        <f aca="false">D125/C125-1</f>
        <v>0.225142424398892</v>
      </c>
      <c r="E126" s="16" t="n">
        <f aca="false">E125/D125-1</f>
        <v>0.480938757053897</v>
      </c>
      <c r="F126" s="16" t="n">
        <f aca="false">F125/E125-1</f>
        <v>0.235185585672682</v>
      </c>
      <c r="G126" s="16" t="n">
        <f aca="false">G125/F125-1</f>
        <v>0.121103982760346</v>
      </c>
    </row>
    <row r="127" customFormat="false" ht="17.15" hidden="false" customHeight="false" outlineLevel="0" collapsed="false">
      <c r="A127" s="5" t="s">
        <v>520</v>
      </c>
      <c r="B127" s="0" t="s">
        <v>60</v>
      </c>
      <c r="C127" s="16" t="n">
        <f aca="false">C122/C125</f>
        <v>0.391631831876914</v>
      </c>
      <c r="D127" s="16" t="n">
        <f aca="false">D122/D125</f>
        <v>0.449001573863747</v>
      </c>
      <c r="E127" s="16" t="n">
        <f aca="false">E122/E125</f>
        <v>0.596773446800778</v>
      </c>
      <c r="F127" s="16" t="n">
        <f aca="false">F122/F125</f>
        <v>0.643818407425363</v>
      </c>
      <c r="G127" s="16" t="n">
        <f aca="false">G122/G125</f>
        <v>0.660667562305794</v>
      </c>
    </row>
    <row r="128" customFormat="false" ht="17.15" hidden="false" customHeight="false" outlineLevel="0" collapsed="false">
      <c r="A128" s="1" t="s">
        <v>521</v>
      </c>
    </row>
    <row r="129" customFormat="false" ht="17.15" hidden="false" customHeight="false" outlineLevel="0" collapsed="false">
      <c r="A129" s="5" t="s">
        <v>490</v>
      </c>
      <c r="B129" s="0" t="s">
        <v>60</v>
      </c>
      <c r="C129" s="16" t="n">
        <f aca="false">a25_gp/a25_rev</f>
        <v>0.379046832240409</v>
      </c>
      <c r="D129" s="16" t="n">
        <f aca="false">a26_gp/a26_rev</f>
        <v>0.394271023573375</v>
      </c>
      <c r="E129" s="16" t="n">
        <f aca="false">gm_27</f>
        <v>0.41</v>
      </c>
      <c r="F129" s="16" t="n">
        <f aca="false">gm_28</f>
        <v>0.42</v>
      </c>
      <c r="G129" s="16" t="n">
        <f aca="false">gm_29</f>
        <v>0.42</v>
      </c>
      <c r="H129" s="8" t="s">
        <v>522</v>
      </c>
    </row>
    <row r="130" customFormat="false" ht="15" hidden="false" customHeight="false" outlineLevel="0" collapsed="false">
      <c r="A130" s="5" t="s">
        <v>523</v>
      </c>
      <c r="B130" s="0" t="s">
        <v>27</v>
      </c>
      <c r="C130" s="19" t="n">
        <f aca="false">C125*C129</f>
        <v>2.2023</v>
      </c>
      <c r="D130" s="19" t="n">
        <f aca="false">D125*D129</f>
        <v>2.8065</v>
      </c>
      <c r="E130" s="19" t="n">
        <f aca="false">E125*E129</f>
        <v>4.32206348678903</v>
      </c>
      <c r="F130" s="19" t="n">
        <f aca="false">F125*F129</f>
        <v>5.46875906849387</v>
      </c>
      <c r="G130" s="19" t="n">
        <f aca="false">G125*G129</f>
        <v>6.13104757244524</v>
      </c>
    </row>
    <row r="131" customFormat="false" ht="15" hidden="false" customHeight="false" outlineLevel="0" collapsed="false">
      <c r="A131" s="5" t="s">
        <v>524</v>
      </c>
      <c r="B131" s="0" t="s">
        <v>27</v>
      </c>
      <c r="C131" s="19" t="n">
        <f aca="false">a25_opx</f>
        <v>1.1653</v>
      </c>
      <c r="D131" s="19" t="n">
        <f aca="false">a26_opx</f>
        <v>1.3496</v>
      </c>
      <c r="E131" s="19" t="n">
        <f aca="false">D131*(1+MAX(0,phi*E126))</f>
        <v>1.80555826939447</v>
      </c>
      <c r="F131" s="19" t="n">
        <f aca="false">E131*(1+MAX(0,phi*F126))</f>
        <v>2.10385772425539</v>
      </c>
      <c r="G131" s="19" t="n">
        <f aca="false">F131*(1+MAX(0,phi*G126))</f>
        <v>2.2828379466023</v>
      </c>
    </row>
    <row r="132" customFormat="false" ht="15" hidden="false" customHeight="false" outlineLevel="0" collapsed="false">
      <c r="A132" s="5" t="s">
        <v>525</v>
      </c>
      <c r="B132" s="0" t="s">
        <v>27</v>
      </c>
      <c r="C132" s="19" t="n">
        <f aca="false">C131</f>
        <v>1.1653</v>
      </c>
      <c r="D132" s="19" t="n">
        <f aca="false">D131</f>
        <v>1.3496</v>
      </c>
      <c r="E132" s="19" t="n">
        <f aca="false">E131+0*E125</f>
        <v>1.80555826939447</v>
      </c>
      <c r="F132" s="19" t="n">
        <f aca="false">F131+0*F125</f>
        <v>2.10385772425539</v>
      </c>
      <c r="G132" s="19" t="n">
        <f aca="false">G131+0*G125</f>
        <v>2.2828379466023</v>
      </c>
    </row>
    <row r="133" customFormat="false" ht="15" hidden="false" customHeight="false" outlineLevel="0" collapsed="false">
      <c r="A133" s="5" t="s">
        <v>526</v>
      </c>
      <c r="B133" s="0" t="s">
        <v>27</v>
      </c>
      <c r="C133" s="19" t="n">
        <f aca="false">C130-C132</f>
        <v>1.037</v>
      </c>
      <c r="D133" s="19" t="n">
        <f aca="false">D130-D132</f>
        <v>1.4569</v>
      </c>
      <c r="E133" s="19" t="n">
        <f aca="false">E130-E132</f>
        <v>2.51650521739456</v>
      </c>
      <c r="F133" s="19" t="n">
        <f aca="false">F130-F132</f>
        <v>3.36490134423849</v>
      </c>
      <c r="G133" s="19" t="n">
        <f aca="false">G130-G132</f>
        <v>3.84820962584295</v>
      </c>
    </row>
    <row r="134" customFormat="false" ht="15" hidden="false" customHeight="false" outlineLevel="0" collapsed="false">
      <c r="A134" s="5" t="s">
        <v>491</v>
      </c>
      <c r="B134" s="0" t="s">
        <v>60</v>
      </c>
      <c r="C134" s="16" t="n">
        <f aca="false">C133/C125</f>
        <v>0.178482298067159</v>
      </c>
      <c r="D134" s="16" t="n">
        <f aca="false">D133/D125</f>
        <v>0.204672529572083</v>
      </c>
      <c r="E134" s="16" t="n">
        <f aca="false">E133/E125</f>
        <v>0.238720958700747</v>
      </c>
      <c r="F134" s="16" t="n">
        <f aca="false">F133/F125</f>
        <v>0.2584239947088</v>
      </c>
      <c r="G134" s="16" t="n">
        <f aca="false">G133/G125</f>
        <v>0.263616946982754</v>
      </c>
    </row>
    <row r="135" customFormat="false" ht="15" hidden="false" customHeight="false" outlineLevel="0" collapsed="false">
      <c r="A135" s="5" t="s">
        <v>527</v>
      </c>
      <c r="B135" s="0" t="s">
        <v>27</v>
      </c>
      <c r="C135" s="19" t="n">
        <f aca="false">a25_int</f>
        <v>0.1673</v>
      </c>
      <c r="D135" s="19" t="n">
        <f aca="false">a26_int</f>
        <v>0.1181</v>
      </c>
      <c r="E135" s="19" t="n">
        <f aca="false">int_f</f>
        <v>0.08</v>
      </c>
      <c r="F135" s="19" t="n">
        <f aca="false">int_f</f>
        <v>0.08</v>
      </c>
      <c r="G135" s="19" t="n">
        <f aca="false">int_f</f>
        <v>0.08</v>
      </c>
    </row>
    <row r="136" customFormat="false" ht="15" hidden="false" customHeight="false" outlineLevel="0" collapsed="false">
      <c r="A136" s="5" t="s">
        <v>528</v>
      </c>
      <c r="B136" s="0" t="s">
        <v>27</v>
      </c>
      <c r="C136" s="19" t="n">
        <f aca="false">C133-C135</f>
        <v>0.8697</v>
      </c>
      <c r="D136" s="19" t="n">
        <f aca="false">D133-D135</f>
        <v>1.3388</v>
      </c>
      <c r="E136" s="19" t="n">
        <f aca="false">E133-E135</f>
        <v>2.43650521739456</v>
      </c>
      <c r="F136" s="19" t="n">
        <f aca="false">F133-F135</f>
        <v>3.28490134423849</v>
      </c>
      <c r="G136" s="19" t="n">
        <f aca="false">G133-G135</f>
        <v>3.76820962584295</v>
      </c>
    </row>
    <row r="137" customFormat="false" ht="17.15" hidden="false" customHeight="false" outlineLevel="0" collapsed="false">
      <c r="A137" s="5" t="s">
        <v>529</v>
      </c>
      <c r="B137" s="0" t="s">
        <v>27</v>
      </c>
      <c r="C137" s="19" t="n">
        <f aca="false">a25_ni</f>
        <v>0.6926</v>
      </c>
      <c r="D137" s="19" t="n">
        <f aca="false">a26_ni</f>
        <v>1.0966</v>
      </c>
      <c r="E137" s="19" t="n">
        <f aca="false">E136*(1-tx)+nci</f>
        <v>1.98576922608959</v>
      </c>
      <c r="F137" s="19" t="n">
        <f aca="false">F136*(1-tx)+nci</f>
        <v>2.67297008883318</v>
      </c>
      <c r="G137" s="19" t="n">
        <f aca="false">G136*(1-tx)+nci</f>
        <v>3.06444979693279</v>
      </c>
    </row>
    <row r="138" customFormat="false" ht="15" hidden="false" customHeight="false" outlineLevel="0" collapsed="false">
      <c r="A138" s="5" t="s">
        <v>530</v>
      </c>
      <c r="B138" s="0" t="s">
        <v>60</v>
      </c>
      <c r="C138" s="16" t="n">
        <f aca="false">C137/C125</f>
        <v>0.119206209875906</v>
      </c>
      <c r="D138" s="16" t="n">
        <f aca="false">D137/D125</f>
        <v>0.154055800623753</v>
      </c>
      <c r="E138" s="16" t="n">
        <f aca="false">E137/E125</f>
        <v>0.188374230315066</v>
      </c>
      <c r="F138" s="16" t="n">
        <f aca="false">F137/F125</f>
        <v>0.205283762412872</v>
      </c>
      <c r="G138" s="16" t="n">
        <f aca="false">G137/G125</f>
        <v>0.209926427662418</v>
      </c>
    </row>
    <row r="139" customFormat="false" ht="15" hidden="false" customHeight="false" outlineLevel="0" collapsed="false">
      <c r="A139" s="5" t="s">
        <v>531</v>
      </c>
      <c r="B139" s="0" t="s">
        <v>27</v>
      </c>
      <c r="C139" s="10" t="n">
        <f aca="false">a25_pref</f>
        <v>0.130624</v>
      </c>
      <c r="D139" s="10" t="n">
        <f aca="false">0</f>
        <v>0</v>
      </c>
      <c r="E139" s="10" t="n">
        <f aca="false">0</f>
        <v>0</v>
      </c>
      <c r="F139" s="10" t="n">
        <f aca="false">0</f>
        <v>0</v>
      </c>
      <c r="G139" s="10" t="n">
        <f aca="false">0</f>
        <v>0</v>
      </c>
    </row>
    <row r="140" customFormat="false" ht="15" hidden="false" customHeight="false" outlineLevel="0" collapsed="false">
      <c r="A140" s="5" t="s">
        <v>532</v>
      </c>
      <c r="B140" s="5" t="s">
        <v>251</v>
      </c>
      <c r="C140" s="17" t="n">
        <f aca="false">a25_sh</f>
        <v>0.1592</v>
      </c>
      <c r="D140" s="17" t="n">
        <f aca="false">a26_sh</f>
        <v>0.1954</v>
      </c>
      <c r="E140" s="17" t="n">
        <f aca="false">sh_q4*(1+sh_g)</f>
        <v>0.204222</v>
      </c>
      <c r="F140" s="17" t="n">
        <f aca="false">E140*(1+sh_g)</f>
        <v>0.20626422</v>
      </c>
      <c r="G140" s="17" t="n">
        <f aca="false">F140*(1+sh_g)</f>
        <v>0.2083268622</v>
      </c>
    </row>
    <row r="141" customFormat="false" ht="15" hidden="false" customHeight="false" outlineLevel="0" collapsed="false">
      <c r="A141" s="0" t="s">
        <v>493</v>
      </c>
      <c r="B141" s="0" t="s">
        <v>188</v>
      </c>
      <c r="C141" s="19" t="n">
        <f aca="false">(C137-C139)/C140</f>
        <v>3.53</v>
      </c>
      <c r="D141" s="19" t="n">
        <f aca="false">(D137-D139)/D140</f>
        <v>5.61207778915046</v>
      </c>
      <c r="E141" s="19" t="n">
        <f aca="false">(E137-E139)/E140</f>
        <v>9.72358132860119</v>
      </c>
      <c r="F141" s="19" t="n">
        <f aca="false">(F137-F139)/F140</f>
        <v>12.9589615146688</v>
      </c>
      <c r="G141" s="19" t="n">
        <f aca="false">(G137-G139)/G140</f>
        <v>14.7098159333424</v>
      </c>
    </row>
    <row r="142" customFormat="false" ht="17.15" hidden="false" customHeight="false" outlineLevel="0" collapsed="false">
      <c r="A142" s="0" t="s">
        <v>533</v>
      </c>
      <c r="B142" s="0" t="s">
        <v>60</v>
      </c>
      <c r="D142" s="16" t="n">
        <f aca="false">D141/C141-1</f>
        <v>0.589823736303247</v>
      </c>
      <c r="E142" s="16" t="n">
        <f aca="false">E141/D141-1</f>
        <v>0.732616990341668</v>
      </c>
      <c r="F142" s="16" t="n">
        <f aca="false">F141/E141-1</f>
        <v>0.332735447643242</v>
      </c>
      <c r="G142" s="16" t="n">
        <f aca="false">G141/F141-1</f>
        <v>0.13510761774327</v>
      </c>
    </row>
    <row r="145" customFormat="false" ht="17.15" hidden="false" customHeight="false" outlineLevel="0" collapsed="false">
      <c r="A145" s="3" t="s">
        <v>800</v>
      </c>
    </row>
    <row r="146" customFormat="false" ht="17.15" hidden="false" customHeight="false" outlineLevel="0" collapsed="false">
      <c r="A146" s="6" t="s">
        <v>16</v>
      </c>
      <c r="B146" s="6" t="s">
        <v>17</v>
      </c>
      <c r="C146" s="15" t="s">
        <v>412</v>
      </c>
      <c r="D146" s="15" t="s">
        <v>477</v>
      </c>
      <c r="E146" s="15" t="s">
        <v>478</v>
      </c>
      <c r="F146" s="15" t="s">
        <v>479</v>
      </c>
      <c r="G146" s="15" t="s">
        <v>480</v>
      </c>
      <c r="H146" s="6" t="s">
        <v>418</v>
      </c>
    </row>
    <row r="147" customFormat="false" ht="17.15" hidden="false" customHeight="false" outlineLevel="0" collapsed="false">
      <c r="A147" s="1" t="s">
        <v>503</v>
      </c>
    </row>
    <row r="148" customFormat="false" ht="17.15" hidden="false" customHeight="false" outlineLevel="0" collapsed="false">
      <c r="A148" s="0" t="s">
        <v>504</v>
      </c>
      <c r="B148" s="0" t="s">
        <v>27</v>
      </c>
      <c r="D148" s="19" t="n">
        <f aca="false">mpl_26*1</f>
        <v>29.753262</v>
      </c>
      <c r="E148" s="19" t="n">
        <f aca="false">mpl_27*1*1</f>
        <v>54.688309</v>
      </c>
      <c r="F148" s="19" t="n">
        <f aca="false">mpl_28*um28_A*1</f>
        <v>61.21325</v>
      </c>
      <c r="G148" s="19" t="n">
        <f aca="false">mpl_29*um29_A*1</f>
        <v>78.80848</v>
      </c>
      <c r="H148" s="5" t="s">
        <v>505</v>
      </c>
    </row>
    <row r="149" customFormat="false" ht="17.15" hidden="false" customHeight="false" outlineLevel="0" collapsed="false">
      <c r="A149" s="0" t="s">
        <v>506</v>
      </c>
      <c r="B149" s="0" t="s">
        <v>27</v>
      </c>
      <c r="D149" s="19" t="n">
        <f aca="false">mcp_26*1</f>
        <v>0.300538</v>
      </c>
      <c r="E149" s="19" t="n">
        <f aca="false">mcp_27*1</f>
        <v>1.691391</v>
      </c>
      <c r="F149" s="19" t="n">
        <f aca="false">mcp_28*um28_A</f>
        <v>3.22175</v>
      </c>
      <c r="G149" s="19" t="n">
        <f aca="false">mcp_29*um29_A</f>
        <v>5.87368</v>
      </c>
    </row>
    <row r="150" customFormat="false" ht="17.15" hidden="false" customHeight="false" outlineLevel="0" collapsed="false">
      <c r="A150" s="0" t="s">
        <v>507</v>
      </c>
      <c r="B150" s="0" t="s">
        <v>60</v>
      </c>
      <c r="D150" s="16" t="n">
        <f aca="false">dc_cy26/D148</f>
        <v>0.146339576728919</v>
      </c>
      <c r="H150" s="8" t="s">
        <v>508</v>
      </c>
    </row>
    <row r="151" customFormat="false" ht="17.15" hidden="false" customHeight="false" outlineLevel="0" collapsed="false">
      <c r="A151" s="5" t="s">
        <v>509</v>
      </c>
      <c r="B151" s="0" t="s">
        <v>71</v>
      </c>
      <c r="D151" s="9" t="n">
        <f aca="false">1</f>
        <v>1</v>
      </c>
      <c r="E151" s="9" t="n">
        <f aca="false">rel_27</f>
        <v>1.1</v>
      </c>
      <c r="F151" s="9" t="n">
        <f aca="false">rel_28</f>
        <v>1.15</v>
      </c>
      <c r="G151" s="9" t="n">
        <f aca="false">rel_29</f>
        <v>1.15</v>
      </c>
    </row>
    <row r="152" customFormat="false" ht="15" hidden="false" customHeight="false" outlineLevel="0" collapsed="false">
      <c r="A152" s="5" t="s">
        <v>510</v>
      </c>
      <c r="B152" s="0" t="s">
        <v>60</v>
      </c>
      <c r="D152" s="16" t="n">
        <f aca="false">$D$150*D151</f>
        <v>0.146339576728919</v>
      </c>
      <c r="E152" s="16" t="n">
        <f aca="false">$D$150*E151</f>
        <v>0.16097353440181</v>
      </c>
      <c r="F152" s="16" t="n">
        <f aca="false">$D$150*F151</f>
        <v>0.168290513238256</v>
      </c>
      <c r="G152" s="16" t="n">
        <f aca="false">$D$150*G151</f>
        <v>0.168290513238256</v>
      </c>
    </row>
    <row r="153" customFormat="false" ht="15" hidden="false" customHeight="false" outlineLevel="0" collapsed="false">
      <c r="A153" s="5" t="s">
        <v>511</v>
      </c>
      <c r="B153" s="0" t="s">
        <v>71</v>
      </c>
      <c r="D153" s="9" t="n">
        <f aca="false">1</f>
        <v>1</v>
      </c>
      <c r="E153" s="9" t="n">
        <f aca="false">pxr_27</f>
        <v>1</v>
      </c>
      <c r="F153" s="9" t="n">
        <f aca="false">pxr_28</f>
        <v>1</v>
      </c>
      <c r="G153" s="9" t="n">
        <f aca="false">pxr_29</f>
        <v>1</v>
      </c>
    </row>
    <row r="154" customFormat="false" ht="17.15" hidden="false" customHeight="false" outlineLevel="0" collapsed="false">
      <c r="A154" s="0" t="s">
        <v>512</v>
      </c>
      <c r="B154" s="0" t="s">
        <v>60</v>
      </c>
      <c r="D154" s="16" t="n">
        <f aca="false">0</f>
        <v>0</v>
      </c>
      <c r="E154" s="16" t="n">
        <f aca="false">cpo_27</f>
        <v>0.1</v>
      </c>
      <c r="F154" s="16" t="n">
        <f aca="false">cpo_28</f>
        <v>0.15</v>
      </c>
      <c r="G154" s="16" t="n">
        <f aca="false">cpo_29</f>
        <v>0.2</v>
      </c>
    </row>
    <row r="155" customFormat="false" ht="15" hidden="false" customHeight="false" outlineLevel="0" collapsed="false">
      <c r="A155" s="5" t="s">
        <v>513</v>
      </c>
      <c r="B155" s="0" t="s">
        <v>27</v>
      </c>
      <c r="D155" s="19" t="n">
        <f aca="false">dc_cy26</f>
        <v>4.35407976738462</v>
      </c>
      <c r="E155" s="19" t="n">
        <f aca="false">E148*E152*E153+E149*E154</f>
        <v>8.97250949018834</v>
      </c>
      <c r="F155" s="19" t="n">
        <f aca="false">F148*F152*F153+F149*F154</f>
        <v>10.7848717594817</v>
      </c>
      <c r="G155" s="19" t="n">
        <f aca="false">G148*G152*G153+G149*G154</f>
        <v>14.4374555467269</v>
      </c>
    </row>
    <row r="156" customFormat="false" ht="17.15" hidden="false" customHeight="false" outlineLevel="0" collapsed="false">
      <c r="A156" s="1" t="s">
        <v>514</v>
      </c>
    </row>
    <row r="157" customFormat="false" ht="17.15" hidden="false" customHeight="false" outlineLevel="0" collapsed="false">
      <c r="A157" s="5" t="s">
        <v>515</v>
      </c>
      <c r="B157" s="0" t="s">
        <v>27</v>
      </c>
      <c r="C157" s="19" t="n">
        <f aca="false">a25_dc</f>
        <v>2.27542010638806</v>
      </c>
      <c r="D157" s="19" t="n">
        <f aca="false">a26_dc</f>
        <v>3.19608300307692</v>
      </c>
      <c r="E157" s="19" t="n">
        <f aca="false">h1_27+hw*E155</f>
        <v>6.69591290210202</v>
      </c>
      <c r="F157" s="19" t="n">
        <f aca="false">(1-hw)*E155+hw*F155</f>
        <v>9.80619613406329</v>
      </c>
      <c r="G157" s="19" t="n">
        <f aca="false">(1-hw)*F155+hw*G155</f>
        <v>12.4650603016145</v>
      </c>
      <c r="H157" s="8" t="s">
        <v>516</v>
      </c>
    </row>
    <row r="158" customFormat="false" ht="15" hidden="false" customHeight="false" outlineLevel="0" collapsed="false">
      <c r="A158" s="5" t="s">
        <v>517</v>
      </c>
      <c r="B158" s="0" t="s">
        <v>27</v>
      </c>
      <c r="C158" s="19" t="n">
        <f aca="false">a25_com</f>
        <v>1.47977989361194</v>
      </c>
      <c r="D158" s="19" t="n">
        <f aca="false">a26_com</f>
        <v>2.07851699692308</v>
      </c>
      <c r="E158" s="19" t="n">
        <f aca="false">D158*(1+g_com_27)</f>
        <v>2.49422039630769</v>
      </c>
      <c r="F158" s="19" t="n">
        <f aca="false">E158*(1+g_com_28)</f>
        <v>2.79352684386461</v>
      </c>
      <c r="G158" s="19" t="n">
        <f aca="false">F158*(1+g_com_29)</f>
        <v>3.01700899137378</v>
      </c>
    </row>
    <row r="159" customFormat="false" ht="17.15" hidden="false" customHeight="false" outlineLevel="0" collapsed="false">
      <c r="A159" s="5" t="s">
        <v>518</v>
      </c>
      <c r="B159" s="0" t="s">
        <v>27</v>
      </c>
      <c r="C159" s="19" t="n">
        <f aca="false">a25_ind</f>
        <v>2.0549</v>
      </c>
      <c r="D159" s="19" t="n">
        <f aca="false">a26_ind</f>
        <v>1.8436</v>
      </c>
      <c r="E159" s="19" t="n">
        <f aca="false">ind_run*(1+g_ind_27)</f>
        <v>1.75644</v>
      </c>
      <c r="F159" s="19" t="n">
        <f aca="false">E159*(1+g_ind_28)</f>
        <v>1.844262</v>
      </c>
      <c r="G159" s="19" t="n">
        <f aca="false">F159*(1+g_ind_29)</f>
        <v>1.9364751</v>
      </c>
    </row>
    <row r="160" customFormat="false" ht="15" hidden="false" customHeight="false" outlineLevel="0" collapsed="false">
      <c r="A160" s="5" t="s">
        <v>419</v>
      </c>
      <c r="B160" s="0" t="s">
        <v>27</v>
      </c>
      <c r="C160" s="19" t="n">
        <f aca="false">C157+C158+C159</f>
        <v>5.8101</v>
      </c>
      <c r="D160" s="19" t="n">
        <f aca="false">D157+D158+D159</f>
        <v>7.1182</v>
      </c>
      <c r="E160" s="19" t="n">
        <f aca="false">E157+E158+E159</f>
        <v>10.9465732984097</v>
      </c>
      <c r="F160" s="19" t="n">
        <f aca="false">F157+F158+F159</f>
        <v>14.4439849779279</v>
      </c>
      <c r="G160" s="19" t="n">
        <f aca="false">G157+G158+G159</f>
        <v>17.4185443929883</v>
      </c>
    </row>
    <row r="161" customFormat="false" ht="15" hidden="false" customHeight="false" outlineLevel="0" collapsed="false">
      <c r="A161" s="5" t="s">
        <v>519</v>
      </c>
      <c r="B161" s="0" t="s">
        <v>60</v>
      </c>
      <c r="D161" s="16" t="n">
        <f aca="false">D160/C160-1</f>
        <v>0.225142424398892</v>
      </c>
      <c r="E161" s="16" t="n">
        <f aca="false">E160/D160-1</f>
        <v>0.537828846957055</v>
      </c>
      <c r="F161" s="16" t="n">
        <f aca="false">F160/E160-1</f>
        <v>0.319498310948713</v>
      </c>
      <c r="G161" s="16" t="n">
        <f aca="false">G160/F160-1</f>
        <v>0.205937587141348</v>
      </c>
    </row>
    <row r="162" customFormat="false" ht="17.15" hidden="false" customHeight="false" outlineLevel="0" collapsed="false">
      <c r="A162" s="5" t="s">
        <v>520</v>
      </c>
      <c r="B162" s="0" t="s">
        <v>60</v>
      </c>
      <c r="C162" s="16" t="n">
        <f aca="false">C157/C160</f>
        <v>0.391631831876914</v>
      </c>
      <c r="D162" s="16" t="n">
        <f aca="false">D157/D160</f>
        <v>0.449001573863747</v>
      </c>
      <c r="E162" s="16" t="n">
        <f aca="false">E157/E160</f>
        <v>0.611690318017127</v>
      </c>
      <c r="F162" s="16" t="n">
        <f aca="false">F157/F160</f>
        <v>0.678912097253514</v>
      </c>
      <c r="G162" s="16" t="n">
        <f aca="false">G157/G160</f>
        <v>0.715620089737936</v>
      </c>
    </row>
    <row r="163" customFormat="false" ht="17.15" hidden="false" customHeight="false" outlineLevel="0" collapsed="false">
      <c r="A163" s="1" t="s">
        <v>521</v>
      </c>
    </row>
    <row r="164" customFormat="false" ht="17.15" hidden="false" customHeight="false" outlineLevel="0" collapsed="false">
      <c r="A164" s="5" t="s">
        <v>490</v>
      </c>
      <c r="B164" s="0" t="s">
        <v>60</v>
      </c>
      <c r="C164" s="16" t="n">
        <f aca="false">a25_gp/a25_rev</f>
        <v>0.379046832240409</v>
      </c>
      <c r="D164" s="16" t="n">
        <f aca="false">a26_gp/a26_rev</f>
        <v>0.394271023573375</v>
      </c>
      <c r="E164" s="16" t="n">
        <f aca="false">GMLO_27</f>
        <v>0.385</v>
      </c>
      <c r="F164" s="16" t="n">
        <f aca="false">GMLO_28</f>
        <v>0.375</v>
      </c>
      <c r="G164" s="16" t="n">
        <f aca="false">GMLO_29</f>
        <v>0.365</v>
      </c>
      <c r="H164" s="8" t="s">
        <v>522</v>
      </c>
    </row>
    <row r="165" customFormat="false" ht="15" hidden="false" customHeight="false" outlineLevel="0" collapsed="false">
      <c r="A165" s="5" t="s">
        <v>523</v>
      </c>
      <c r="B165" s="0" t="s">
        <v>27</v>
      </c>
      <c r="C165" s="19" t="n">
        <f aca="false">C160*C164</f>
        <v>2.2023</v>
      </c>
      <c r="D165" s="19" t="n">
        <f aca="false">D160*D164</f>
        <v>2.8065</v>
      </c>
      <c r="E165" s="19" t="n">
        <f aca="false">E160*E164</f>
        <v>4.21443071988774</v>
      </c>
      <c r="F165" s="19" t="n">
        <f aca="false">F160*F164</f>
        <v>5.41649436672296</v>
      </c>
      <c r="G165" s="19" t="n">
        <f aca="false">G160*G164</f>
        <v>6.35776870344071</v>
      </c>
    </row>
    <row r="166" customFormat="false" ht="15" hidden="false" customHeight="false" outlineLevel="0" collapsed="false">
      <c r="A166" s="5" t="s">
        <v>524</v>
      </c>
      <c r="B166" s="0" t="s">
        <v>27</v>
      </c>
      <c r="C166" s="19" t="n">
        <f aca="false">a25_opx</f>
        <v>1.1653</v>
      </c>
      <c r="D166" s="19" t="n">
        <f aca="false">a26_opx</f>
        <v>1.3496</v>
      </c>
      <c r="E166" s="19" t="n">
        <f aca="false">D166*(1+MAX(0,phi*E161))</f>
        <v>1.859493425498</v>
      </c>
      <c r="F166" s="19" t="n">
        <f aca="false">E166*(1+MAX(0,phi*F161))</f>
        <v>2.27683674315755</v>
      </c>
      <c r="G166" s="19" t="n">
        <f aca="false">F166*(1+MAX(0,phi*G161))</f>
        <v>2.60621715010436</v>
      </c>
    </row>
    <row r="167" customFormat="false" ht="15" hidden="false" customHeight="false" outlineLevel="0" collapsed="false">
      <c r="A167" s="5" t="s">
        <v>525</v>
      </c>
      <c r="B167" s="0" t="s">
        <v>27</v>
      </c>
      <c r="C167" s="19" t="n">
        <f aca="false">C166</f>
        <v>1.1653</v>
      </c>
      <c r="D167" s="19" t="n">
        <f aca="false">D166</f>
        <v>1.3496</v>
      </c>
      <c r="E167" s="19" t="n">
        <f aca="false">E166+0*E160</f>
        <v>1.859493425498</v>
      </c>
      <c r="F167" s="19" t="n">
        <f aca="false">F166+0*F160</f>
        <v>2.27683674315755</v>
      </c>
      <c r="G167" s="19" t="n">
        <f aca="false">G166+0*G160</f>
        <v>2.60621715010436</v>
      </c>
    </row>
    <row r="168" customFormat="false" ht="15" hidden="false" customHeight="false" outlineLevel="0" collapsed="false">
      <c r="A168" s="5" t="s">
        <v>526</v>
      </c>
      <c r="B168" s="0" t="s">
        <v>27</v>
      </c>
      <c r="C168" s="19" t="n">
        <f aca="false">C165-C167</f>
        <v>1.037</v>
      </c>
      <c r="D168" s="19" t="n">
        <f aca="false">D165-D167</f>
        <v>1.4569</v>
      </c>
      <c r="E168" s="19" t="n">
        <f aca="false">E165-E167</f>
        <v>2.35493729438974</v>
      </c>
      <c r="F168" s="19" t="n">
        <f aca="false">F165-F167</f>
        <v>3.13965762356542</v>
      </c>
      <c r="G168" s="19" t="n">
        <f aca="false">G165-G167</f>
        <v>3.75155155333636</v>
      </c>
    </row>
    <row r="169" customFormat="false" ht="15" hidden="false" customHeight="false" outlineLevel="0" collapsed="false">
      <c r="A169" s="5" t="s">
        <v>491</v>
      </c>
      <c r="B169" s="0" t="s">
        <v>60</v>
      </c>
      <c r="C169" s="16" t="n">
        <f aca="false">C168/C160</f>
        <v>0.178482298067159</v>
      </c>
      <c r="D169" s="16" t="n">
        <f aca="false">D168/D160</f>
        <v>0.204672529572083</v>
      </c>
      <c r="E169" s="16" t="n">
        <f aca="false">E168/E160</f>
        <v>0.215130089589941</v>
      </c>
      <c r="F169" s="16" t="n">
        <f aca="false">F168/F160</f>
        <v>0.217367826701785</v>
      </c>
      <c r="G169" s="16" t="n">
        <f aca="false">G168/G160</f>
        <v>0.21537686896768</v>
      </c>
    </row>
    <row r="170" customFormat="false" ht="15" hidden="false" customHeight="false" outlineLevel="0" collapsed="false">
      <c r="A170" s="5" t="s">
        <v>527</v>
      </c>
      <c r="B170" s="0" t="s">
        <v>27</v>
      </c>
      <c r="C170" s="19" t="n">
        <f aca="false">a25_int</f>
        <v>0.1673</v>
      </c>
      <c r="D170" s="19" t="n">
        <f aca="false">a26_int</f>
        <v>0.1181</v>
      </c>
      <c r="E170" s="19" t="n">
        <f aca="false">int_f</f>
        <v>0.08</v>
      </c>
      <c r="F170" s="19" t="n">
        <f aca="false">int_f</f>
        <v>0.08</v>
      </c>
      <c r="G170" s="19" t="n">
        <f aca="false">int_f</f>
        <v>0.08</v>
      </c>
    </row>
    <row r="171" customFormat="false" ht="15" hidden="false" customHeight="false" outlineLevel="0" collapsed="false">
      <c r="A171" s="5" t="s">
        <v>528</v>
      </c>
      <c r="B171" s="0" t="s">
        <v>27</v>
      </c>
      <c r="C171" s="19" t="n">
        <f aca="false">C168-C170</f>
        <v>0.8697</v>
      </c>
      <c r="D171" s="19" t="n">
        <f aca="false">D168-D170</f>
        <v>1.3388</v>
      </c>
      <c r="E171" s="19" t="n">
        <f aca="false">E168-E170</f>
        <v>2.27493729438974</v>
      </c>
      <c r="F171" s="19" t="n">
        <f aca="false">F168-F170</f>
        <v>3.05965762356542</v>
      </c>
      <c r="G171" s="19" t="n">
        <f aca="false">G168-G170</f>
        <v>3.67155155333636</v>
      </c>
    </row>
    <row r="172" customFormat="false" ht="17.15" hidden="false" customHeight="false" outlineLevel="0" collapsed="false">
      <c r="A172" s="5" t="s">
        <v>529</v>
      </c>
      <c r="B172" s="0" t="s">
        <v>27</v>
      </c>
      <c r="C172" s="19" t="n">
        <f aca="false">a25_ni</f>
        <v>0.6926</v>
      </c>
      <c r="D172" s="19" t="n">
        <f aca="false">a26_ni</f>
        <v>1.0966</v>
      </c>
      <c r="E172" s="19" t="n">
        <f aca="false">E171*(1-tx)+nci</f>
        <v>1.85489920845569</v>
      </c>
      <c r="F172" s="19" t="n">
        <f aca="false">F171*(1-tx)+nci</f>
        <v>2.49052267508799</v>
      </c>
      <c r="G172" s="19" t="n">
        <f aca="false">G171*(1-tx)+nci</f>
        <v>2.98615675820245</v>
      </c>
    </row>
    <row r="173" customFormat="false" ht="15" hidden="false" customHeight="false" outlineLevel="0" collapsed="false">
      <c r="A173" s="5" t="s">
        <v>530</v>
      </c>
      <c r="B173" s="0" t="s">
        <v>60</v>
      </c>
      <c r="C173" s="16" t="n">
        <f aca="false">C172/C160</f>
        <v>0.119206209875906</v>
      </c>
      <c r="D173" s="16" t="n">
        <f aca="false">D172/D160</f>
        <v>0.154055800623753</v>
      </c>
      <c r="E173" s="16" t="n">
        <f aca="false">E172/E160</f>
        <v>0.169450215870309</v>
      </c>
      <c r="F173" s="16" t="n">
        <f aca="false">F172/F160</f>
        <v>0.172426285328723</v>
      </c>
      <c r="G173" s="16" t="n">
        <f aca="false">G172/G160</f>
        <v>0.171435493737612</v>
      </c>
    </row>
    <row r="174" customFormat="false" ht="15" hidden="false" customHeight="false" outlineLevel="0" collapsed="false">
      <c r="A174" s="5" t="s">
        <v>531</v>
      </c>
      <c r="B174" s="0" t="s">
        <v>27</v>
      </c>
      <c r="C174" s="10" t="n">
        <f aca="false">a25_pref</f>
        <v>0.130624</v>
      </c>
      <c r="D174" s="10" t="n">
        <f aca="false">0</f>
        <v>0</v>
      </c>
      <c r="E174" s="10" t="n">
        <f aca="false">0</f>
        <v>0</v>
      </c>
      <c r="F174" s="10" t="n">
        <f aca="false">0</f>
        <v>0</v>
      </c>
      <c r="G174" s="10" t="n">
        <f aca="false">0</f>
        <v>0</v>
      </c>
    </row>
    <row r="175" customFormat="false" ht="15" hidden="false" customHeight="false" outlineLevel="0" collapsed="false">
      <c r="A175" s="5" t="s">
        <v>532</v>
      </c>
      <c r="B175" s="5" t="s">
        <v>251</v>
      </c>
      <c r="C175" s="17" t="n">
        <f aca="false">a25_sh</f>
        <v>0.1592</v>
      </c>
      <c r="D175" s="17" t="n">
        <f aca="false">a26_sh</f>
        <v>0.1954</v>
      </c>
      <c r="E175" s="17" t="n">
        <f aca="false">sh_q4*(1+sh_g)</f>
        <v>0.204222</v>
      </c>
      <c r="F175" s="17" t="n">
        <f aca="false">E175*(1+sh_g)</f>
        <v>0.20626422</v>
      </c>
      <c r="G175" s="17" t="n">
        <f aca="false">F175*(1+sh_g)</f>
        <v>0.2083268622</v>
      </c>
    </row>
    <row r="176" customFormat="false" ht="15" hidden="false" customHeight="false" outlineLevel="0" collapsed="false">
      <c r="A176" s="0" t="s">
        <v>493</v>
      </c>
      <c r="B176" s="0" t="s">
        <v>188</v>
      </c>
      <c r="C176" s="19" t="n">
        <f aca="false">(C172-C174)/C175</f>
        <v>3.53</v>
      </c>
      <c r="D176" s="19" t="n">
        <f aca="false">(D172-D174)/D175</f>
        <v>5.61207778915046</v>
      </c>
      <c r="E176" s="19" t="n">
        <f aca="false">(E172-E174)/E175</f>
        <v>9.08275899979281</v>
      </c>
      <c r="F176" s="19" t="n">
        <f aca="false">(F172-F174)/F175</f>
        <v>12.0744289779778</v>
      </c>
      <c r="G176" s="19" t="n">
        <f aca="false">(G172-G174)/G175</f>
        <v>14.3339976739805</v>
      </c>
    </row>
    <row r="177" customFormat="false" ht="17.15" hidden="false" customHeight="false" outlineLevel="0" collapsed="false">
      <c r="A177" s="0" t="s">
        <v>533</v>
      </c>
      <c r="B177" s="0" t="s">
        <v>60</v>
      </c>
      <c r="D177" s="16" t="n">
        <f aca="false">D176/C176-1</f>
        <v>0.589823736303247</v>
      </c>
      <c r="E177" s="16" t="n">
        <f aca="false">E176/D176-1</f>
        <v>0.618430702680572</v>
      </c>
      <c r="F177" s="16" t="n">
        <f aca="false">F176/E176-1</f>
        <v>0.329378989165432</v>
      </c>
      <c r="G177" s="16" t="n">
        <f aca="false">G176/F176-1</f>
        <v>0.187136691939952</v>
      </c>
    </row>
    <row r="180" customFormat="false" ht="17.15" hidden="false" customHeight="false" outlineLevel="0" collapsed="false">
      <c r="A180" s="3" t="s">
        <v>801</v>
      </c>
    </row>
    <row r="181" customFormat="false" ht="17.15" hidden="false" customHeight="false" outlineLevel="0" collapsed="false">
      <c r="A181" s="6" t="s">
        <v>16</v>
      </c>
      <c r="B181" s="6" t="s">
        <v>17</v>
      </c>
      <c r="C181" s="15" t="s">
        <v>412</v>
      </c>
      <c r="D181" s="15" t="s">
        <v>477</v>
      </c>
      <c r="E181" s="15" t="s">
        <v>478</v>
      </c>
      <c r="F181" s="15" t="s">
        <v>479</v>
      </c>
      <c r="G181" s="15" t="s">
        <v>480</v>
      </c>
      <c r="H181" s="6" t="s">
        <v>418</v>
      </c>
    </row>
    <row r="182" customFormat="false" ht="17.15" hidden="false" customHeight="false" outlineLevel="0" collapsed="false">
      <c r="A182" s="1" t="s">
        <v>503</v>
      </c>
    </row>
    <row r="183" customFormat="false" ht="17.15" hidden="false" customHeight="false" outlineLevel="0" collapsed="false">
      <c r="A183" s="0" t="s">
        <v>504</v>
      </c>
      <c r="B183" s="0" t="s">
        <v>27</v>
      </c>
      <c r="D183" s="19" t="n">
        <f aca="false">mpl_26*1</f>
        <v>29.753262</v>
      </c>
      <c r="E183" s="19" t="n">
        <f aca="false">mpl_27*1*1</f>
        <v>54.688309</v>
      </c>
      <c r="F183" s="19" t="n">
        <f aca="false">mpl_28*um28_A*1</f>
        <v>61.21325</v>
      </c>
      <c r="G183" s="19" t="n">
        <f aca="false">mpl_29*um29_A*1</f>
        <v>78.80848</v>
      </c>
      <c r="H183" s="5" t="s">
        <v>505</v>
      </c>
    </row>
    <row r="184" customFormat="false" ht="17.15" hidden="false" customHeight="false" outlineLevel="0" collapsed="false">
      <c r="A184" s="0" t="s">
        <v>506</v>
      </c>
      <c r="B184" s="0" t="s">
        <v>27</v>
      </c>
      <c r="D184" s="19" t="n">
        <f aca="false">mcp_26*1</f>
        <v>0.300538</v>
      </c>
      <c r="E184" s="19" t="n">
        <f aca="false">mcp_27*1</f>
        <v>1.691391</v>
      </c>
      <c r="F184" s="19" t="n">
        <f aca="false">mcp_28*um28_A</f>
        <v>3.22175</v>
      </c>
      <c r="G184" s="19" t="n">
        <f aca="false">mcp_29*um29_A</f>
        <v>5.87368</v>
      </c>
    </row>
    <row r="185" customFormat="false" ht="17.15" hidden="false" customHeight="false" outlineLevel="0" collapsed="false">
      <c r="A185" s="0" t="s">
        <v>507</v>
      </c>
      <c r="B185" s="0" t="s">
        <v>60</v>
      </c>
      <c r="D185" s="16" t="n">
        <f aca="false">dc_cy26/D183</f>
        <v>0.146339576728919</v>
      </c>
      <c r="H185" s="8" t="s">
        <v>508</v>
      </c>
    </row>
    <row r="186" customFormat="false" ht="17.15" hidden="false" customHeight="false" outlineLevel="0" collapsed="false">
      <c r="A186" s="5" t="s">
        <v>509</v>
      </c>
      <c r="B186" s="0" t="s">
        <v>71</v>
      </c>
      <c r="D186" s="9" t="n">
        <f aca="false">1</f>
        <v>1</v>
      </c>
      <c r="E186" s="9" t="n">
        <f aca="false">rel_27</f>
        <v>1.1</v>
      </c>
      <c r="F186" s="9" t="n">
        <f aca="false">rel_28</f>
        <v>1.15</v>
      </c>
      <c r="G186" s="9" t="n">
        <f aca="false">rel_29</f>
        <v>1.15</v>
      </c>
    </row>
    <row r="187" customFormat="false" ht="15" hidden="false" customHeight="false" outlineLevel="0" collapsed="false">
      <c r="A187" s="5" t="s">
        <v>510</v>
      </c>
      <c r="B187" s="0" t="s">
        <v>60</v>
      </c>
      <c r="D187" s="16" t="n">
        <f aca="false">$D$185*D186</f>
        <v>0.146339576728919</v>
      </c>
      <c r="E187" s="16" t="n">
        <f aca="false">$D$185*E186</f>
        <v>0.16097353440181</v>
      </c>
      <c r="F187" s="16" t="n">
        <f aca="false">$D$185*F186</f>
        <v>0.168290513238256</v>
      </c>
      <c r="G187" s="16" t="n">
        <f aca="false">$D$185*G186</f>
        <v>0.168290513238256</v>
      </c>
    </row>
    <row r="188" customFormat="false" ht="15" hidden="false" customHeight="false" outlineLevel="0" collapsed="false">
      <c r="A188" s="5" t="s">
        <v>511</v>
      </c>
      <c r="B188" s="0" t="s">
        <v>71</v>
      </c>
      <c r="D188" s="9" t="n">
        <f aca="false">1</f>
        <v>1</v>
      </c>
      <c r="E188" s="9" t="n">
        <f aca="false">pxr_27</f>
        <v>1</v>
      </c>
      <c r="F188" s="9" t="n">
        <f aca="false">pxr_28</f>
        <v>1</v>
      </c>
      <c r="G188" s="9" t="n">
        <f aca="false">pxr_29</f>
        <v>1</v>
      </c>
    </row>
    <row r="189" customFormat="false" ht="17.15" hidden="false" customHeight="false" outlineLevel="0" collapsed="false">
      <c r="A189" s="0" t="s">
        <v>512</v>
      </c>
      <c r="B189" s="0" t="s">
        <v>60</v>
      </c>
      <c r="D189" s="16" t="n">
        <f aca="false">0</f>
        <v>0</v>
      </c>
      <c r="E189" s="16" t="n">
        <f aca="false">cpo_27</f>
        <v>0.1</v>
      </c>
      <c r="F189" s="16" t="n">
        <f aca="false">cpo_28</f>
        <v>0.15</v>
      </c>
      <c r="G189" s="16" t="n">
        <f aca="false">cpo_29</f>
        <v>0.2</v>
      </c>
    </row>
    <row r="190" customFormat="false" ht="15" hidden="false" customHeight="false" outlineLevel="0" collapsed="false">
      <c r="A190" s="5" t="s">
        <v>513</v>
      </c>
      <c r="B190" s="0" t="s">
        <v>27</v>
      </c>
      <c r="D190" s="19" t="n">
        <f aca="false">dc_cy26</f>
        <v>4.35407976738462</v>
      </c>
      <c r="E190" s="19" t="n">
        <f aca="false">E183*E187*E188+E184*E189</f>
        <v>8.97250949018834</v>
      </c>
      <c r="F190" s="19" t="n">
        <f aca="false">F183*F187*F188+F184*F189</f>
        <v>10.7848717594817</v>
      </c>
      <c r="G190" s="19" t="n">
        <f aca="false">G183*G187*G188+G184*G189</f>
        <v>14.4374555467269</v>
      </c>
    </row>
    <row r="191" customFormat="false" ht="17.15" hidden="false" customHeight="false" outlineLevel="0" collapsed="false">
      <c r="A191" s="1" t="s">
        <v>514</v>
      </c>
    </row>
    <row r="192" customFormat="false" ht="17.15" hidden="false" customHeight="false" outlineLevel="0" collapsed="false">
      <c r="A192" s="5" t="s">
        <v>515</v>
      </c>
      <c r="B192" s="0" t="s">
        <v>27</v>
      </c>
      <c r="C192" s="19" t="n">
        <f aca="false">a25_dc</f>
        <v>2.27542010638806</v>
      </c>
      <c r="D192" s="19" t="n">
        <f aca="false">a26_dc</f>
        <v>3.19608300307692</v>
      </c>
      <c r="E192" s="19" t="n">
        <f aca="false">h1_27+hw*E190</f>
        <v>6.69591290210202</v>
      </c>
      <c r="F192" s="19" t="n">
        <f aca="false">(1-hw)*E190+hw*F190</f>
        <v>9.80619613406329</v>
      </c>
      <c r="G192" s="19" t="n">
        <f aca="false">(1-hw)*F190+hw*G190</f>
        <v>12.4650603016145</v>
      </c>
      <c r="H192" s="8" t="s">
        <v>516</v>
      </c>
    </row>
    <row r="193" customFormat="false" ht="15" hidden="false" customHeight="false" outlineLevel="0" collapsed="false">
      <c r="A193" s="5" t="s">
        <v>517</v>
      </c>
      <c r="B193" s="0" t="s">
        <v>27</v>
      </c>
      <c r="C193" s="19" t="n">
        <f aca="false">a25_com</f>
        <v>1.47977989361194</v>
      </c>
      <c r="D193" s="19" t="n">
        <f aca="false">a26_com</f>
        <v>2.07851699692308</v>
      </c>
      <c r="E193" s="19" t="n">
        <f aca="false">D193*(1+g_com_27)</f>
        <v>2.49422039630769</v>
      </c>
      <c r="F193" s="19" t="n">
        <f aca="false">E193*(1+g_com_28)</f>
        <v>2.79352684386461</v>
      </c>
      <c r="G193" s="19" t="n">
        <f aca="false">F193*(1+g_com_29)</f>
        <v>3.01700899137378</v>
      </c>
    </row>
    <row r="194" customFormat="false" ht="17.15" hidden="false" customHeight="false" outlineLevel="0" collapsed="false">
      <c r="A194" s="5" t="s">
        <v>518</v>
      </c>
      <c r="B194" s="0" t="s">
        <v>27</v>
      </c>
      <c r="C194" s="19" t="n">
        <f aca="false">a25_ind</f>
        <v>2.0549</v>
      </c>
      <c r="D194" s="19" t="n">
        <f aca="false">a26_ind</f>
        <v>1.8436</v>
      </c>
      <c r="E194" s="19" t="n">
        <f aca="false">ind_run*(1+g_ind_27)</f>
        <v>1.75644</v>
      </c>
      <c r="F194" s="19" t="n">
        <f aca="false">E194*(1+g_ind_28)</f>
        <v>1.844262</v>
      </c>
      <c r="G194" s="19" t="n">
        <f aca="false">F194*(1+g_ind_29)</f>
        <v>1.9364751</v>
      </c>
    </row>
    <row r="195" customFormat="false" ht="15" hidden="false" customHeight="false" outlineLevel="0" collapsed="false">
      <c r="A195" s="5" t="s">
        <v>419</v>
      </c>
      <c r="B195" s="0" t="s">
        <v>27</v>
      </c>
      <c r="C195" s="19" t="n">
        <f aca="false">C192+C193+C194</f>
        <v>5.8101</v>
      </c>
      <c r="D195" s="19" t="n">
        <f aca="false">D192+D193+D194</f>
        <v>7.1182</v>
      </c>
      <c r="E195" s="19" t="n">
        <f aca="false">E192+E193+E194</f>
        <v>10.9465732984097</v>
      </c>
      <c r="F195" s="19" t="n">
        <f aca="false">F192+F193+F194</f>
        <v>14.4439849779279</v>
      </c>
      <c r="G195" s="19" t="n">
        <f aca="false">G192+G193+G194</f>
        <v>17.4185443929883</v>
      </c>
    </row>
    <row r="196" customFormat="false" ht="15" hidden="false" customHeight="false" outlineLevel="0" collapsed="false">
      <c r="A196" s="5" t="s">
        <v>519</v>
      </c>
      <c r="B196" s="0" t="s">
        <v>60</v>
      </c>
      <c r="D196" s="16" t="n">
        <f aca="false">D195/C195-1</f>
        <v>0.225142424398892</v>
      </c>
      <c r="E196" s="16" t="n">
        <f aca="false">E195/D195-1</f>
        <v>0.537828846957055</v>
      </c>
      <c r="F196" s="16" t="n">
        <f aca="false">F195/E195-1</f>
        <v>0.319498310948713</v>
      </c>
      <c r="G196" s="16" t="n">
        <f aca="false">G195/F195-1</f>
        <v>0.205937587141348</v>
      </c>
    </row>
    <row r="197" customFormat="false" ht="17.15" hidden="false" customHeight="false" outlineLevel="0" collapsed="false">
      <c r="A197" s="5" t="s">
        <v>520</v>
      </c>
      <c r="B197" s="0" t="s">
        <v>60</v>
      </c>
      <c r="C197" s="16" t="n">
        <f aca="false">C192/C195</f>
        <v>0.391631831876914</v>
      </c>
      <c r="D197" s="16" t="n">
        <f aca="false">D192/D195</f>
        <v>0.449001573863747</v>
      </c>
      <c r="E197" s="16" t="n">
        <f aca="false">E192/E195</f>
        <v>0.611690318017127</v>
      </c>
      <c r="F197" s="16" t="n">
        <f aca="false">F192/F195</f>
        <v>0.678912097253514</v>
      </c>
      <c r="G197" s="16" t="n">
        <f aca="false">G192/G195</f>
        <v>0.715620089737936</v>
      </c>
    </row>
    <row r="198" customFormat="false" ht="17.15" hidden="false" customHeight="false" outlineLevel="0" collapsed="false">
      <c r="A198" s="1" t="s">
        <v>521</v>
      </c>
    </row>
    <row r="199" customFormat="false" ht="17.15" hidden="false" customHeight="false" outlineLevel="0" collapsed="false">
      <c r="A199" s="5" t="s">
        <v>490</v>
      </c>
      <c r="B199" s="0" t="s">
        <v>60</v>
      </c>
      <c r="C199" s="16" t="n">
        <f aca="false">a25_gp/a25_rev</f>
        <v>0.379046832240409</v>
      </c>
      <c r="D199" s="16" t="n">
        <f aca="false">a26_gp/a26_rev</f>
        <v>0.394271023573375</v>
      </c>
      <c r="E199" s="16" t="n">
        <f aca="false">GMHI_27</f>
        <v>0.425</v>
      </c>
      <c r="F199" s="16" t="n">
        <f aca="false">GMHI_28</f>
        <v>0.44</v>
      </c>
      <c r="G199" s="16" t="n">
        <f aca="false">GMHI_29</f>
        <v>0.45</v>
      </c>
      <c r="H199" s="8" t="s">
        <v>522</v>
      </c>
    </row>
    <row r="200" customFormat="false" ht="15" hidden="false" customHeight="false" outlineLevel="0" collapsed="false">
      <c r="A200" s="5" t="s">
        <v>523</v>
      </c>
      <c r="B200" s="0" t="s">
        <v>27</v>
      </c>
      <c r="C200" s="19" t="n">
        <f aca="false">C195*C199</f>
        <v>2.2023</v>
      </c>
      <c r="D200" s="19" t="n">
        <f aca="false">D195*D199</f>
        <v>2.8065</v>
      </c>
      <c r="E200" s="19" t="n">
        <f aca="false">E195*E199</f>
        <v>4.65229365182413</v>
      </c>
      <c r="F200" s="19" t="n">
        <f aca="false">F195*F199</f>
        <v>6.35535339028828</v>
      </c>
      <c r="G200" s="19" t="n">
        <f aca="false">G195*G199</f>
        <v>7.83834497684472</v>
      </c>
    </row>
    <row r="201" customFormat="false" ht="15" hidden="false" customHeight="false" outlineLevel="0" collapsed="false">
      <c r="A201" s="5" t="s">
        <v>524</v>
      </c>
      <c r="B201" s="0" t="s">
        <v>27</v>
      </c>
      <c r="C201" s="19" t="n">
        <f aca="false">a25_opx</f>
        <v>1.1653</v>
      </c>
      <c r="D201" s="19" t="n">
        <f aca="false">a26_opx</f>
        <v>1.3496</v>
      </c>
      <c r="E201" s="19" t="n">
        <f aca="false">D201*(1+MAX(0,phi*E196))</f>
        <v>1.859493425498</v>
      </c>
      <c r="F201" s="19" t="n">
        <f aca="false">E201*(1+MAX(0,phi*F196))</f>
        <v>2.27683674315755</v>
      </c>
      <c r="G201" s="19" t="n">
        <f aca="false">F201*(1+MAX(0,phi*G196))</f>
        <v>2.60621715010436</v>
      </c>
    </row>
    <row r="202" customFormat="false" ht="15" hidden="false" customHeight="false" outlineLevel="0" collapsed="false">
      <c r="A202" s="5" t="s">
        <v>525</v>
      </c>
      <c r="B202" s="0" t="s">
        <v>27</v>
      </c>
      <c r="C202" s="19" t="n">
        <f aca="false">C201</f>
        <v>1.1653</v>
      </c>
      <c r="D202" s="19" t="n">
        <f aca="false">D201</f>
        <v>1.3496</v>
      </c>
      <c r="E202" s="19" t="n">
        <f aca="false">E201+0*E195</f>
        <v>1.859493425498</v>
      </c>
      <c r="F202" s="19" t="n">
        <f aca="false">F201+0*F195</f>
        <v>2.27683674315755</v>
      </c>
      <c r="G202" s="19" t="n">
        <f aca="false">G201+0*G195</f>
        <v>2.60621715010436</v>
      </c>
    </row>
    <row r="203" customFormat="false" ht="15" hidden="false" customHeight="false" outlineLevel="0" collapsed="false">
      <c r="A203" s="5" t="s">
        <v>526</v>
      </c>
      <c r="B203" s="0" t="s">
        <v>27</v>
      </c>
      <c r="C203" s="19" t="n">
        <f aca="false">C200-C202</f>
        <v>1.037</v>
      </c>
      <c r="D203" s="19" t="n">
        <f aca="false">D200-D202</f>
        <v>1.4569</v>
      </c>
      <c r="E203" s="19" t="n">
        <f aca="false">E200-E202</f>
        <v>2.79280022632613</v>
      </c>
      <c r="F203" s="19" t="n">
        <f aca="false">F200-F202</f>
        <v>4.07851664713073</v>
      </c>
      <c r="G203" s="19" t="n">
        <f aca="false">G200-G202</f>
        <v>5.23212782674036</v>
      </c>
    </row>
    <row r="204" customFormat="false" ht="15" hidden="false" customHeight="false" outlineLevel="0" collapsed="false">
      <c r="A204" s="5" t="s">
        <v>491</v>
      </c>
      <c r="B204" s="0" t="s">
        <v>60</v>
      </c>
      <c r="C204" s="16" t="n">
        <f aca="false">C203/C195</f>
        <v>0.178482298067159</v>
      </c>
      <c r="D204" s="16" t="n">
        <f aca="false">D203/D195</f>
        <v>0.204672529572083</v>
      </c>
      <c r="E204" s="16" t="n">
        <f aca="false">E203/E195</f>
        <v>0.255130089589941</v>
      </c>
      <c r="F204" s="16" t="n">
        <f aca="false">F203/F195</f>
        <v>0.282367826701785</v>
      </c>
      <c r="G204" s="16" t="n">
        <f aca="false">G203/G195</f>
        <v>0.300376868967681</v>
      </c>
    </row>
    <row r="205" customFormat="false" ht="15" hidden="false" customHeight="false" outlineLevel="0" collapsed="false">
      <c r="A205" s="5" t="s">
        <v>527</v>
      </c>
      <c r="B205" s="0" t="s">
        <v>27</v>
      </c>
      <c r="C205" s="19" t="n">
        <f aca="false">a25_int</f>
        <v>0.1673</v>
      </c>
      <c r="D205" s="19" t="n">
        <f aca="false">a26_int</f>
        <v>0.1181</v>
      </c>
      <c r="E205" s="19" t="n">
        <f aca="false">int_f</f>
        <v>0.08</v>
      </c>
      <c r="F205" s="19" t="n">
        <f aca="false">int_f</f>
        <v>0.08</v>
      </c>
      <c r="G205" s="19" t="n">
        <f aca="false">int_f</f>
        <v>0.08</v>
      </c>
    </row>
    <row r="206" customFormat="false" ht="15" hidden="false" customHeight="false" outlineLevel="0" collapsed="false">
      <c r="A206" s="5" t="s">
        <v>528</v>
      </c>
      <c r="B206" s="0" t="s">
        <v>27</v>
      </c>
      <c r="C206" s="19" t="n">
        <f aca="false">C203-C205</f>
        <v>0.8697</v>
      </c>
      <c r="D206" s="19" t="n">
        <f aca="false">D203-D205</f>
        <v>1.3388</v>
      </c>
      <c r="E206" s="19" t="n">
        <f aca="false">E203-E205</f>
        <v>2.71280022632613</v>
      </c>
      <c r="F206" s="19" t="n">
        <f aca="false">F203-F205</f>
        <v>3.99851664713073</v>
      </c>
      <c r="G206" s="19" t="n">
        <f aca="false">G203-G205</f>
        <v>5.15212782674036</v>
      </c>
    </row>
    <row r="207" customFormat="false" ht="17.15" hidden="false" customHeight="false" outlineLevel="0" collapsed="false">
      <c r="A207" s="5" t="s">
        <v>529</v>
      </c>
      <c r="B207" s="0" t="s">
        <v>27</v>
      </c>
      <c r="C207" s="19" t="n">
        <f aca="false">a25_ni</f>
        <v>0.6926</v>
      </c>
      <c r="D207" s="19" t="n">
        <f aca="false">a26_ni</f>
        <v>1.0966</v>
      </c>
      <c r="E207" s="19" t="n">
        <f aca="false">E206*(1-tx)+nci</f>
        <v>2.20956818332416</v>
      </c>
      <c r="F207" s="19" t="n">
        <f aca="false">F206*(1-tx)+nci</f>
        <v>3.25099848417589</v>
      </c>
      <c r="G207" s="19" t="n">
        <f aca="false">G206*(1-tx)+nci</f>
        <v>4.18542353965969</v>
      </c>
    </row>
    <row r="208" customFormat="false" ht="15" hidden="false" customHeight="false" outlineLevel="0" collapsed="false">
      <c r="A208" s="5" t="s">
        <v>530</v>
      </c>
      <c r="B208" s="0" t="s">
        <v>60</v>
      </c>
      <c r="C208" s="16" t="n">
        <f aca="false">C207/C195</f>
        <v>0.119206209875906</v>
      </c>
      <c r="D208" s="16" t="n">
        <f aca="false">D207/D195</f>
        <v>0.154055800623753</v>
      </c>
      <c r="E208" s="16" t="n">
        <f aca="false">E207/E195</f>
        <v>0.201850215870309</v>
      </c>
      <c r="F208" s="16" t="n">
        <f aca="false">F207/F195</f>
        <v>0.225076285328723</v>
      </c>
      <c r="G208" s="16" t="n">
        <f aca="false">G207/G195</f>
        <v>0.240285493737612</v>
      </c>
    </row>
    <row r="209" customFormat="false" ht="15" hidden="false" customHeight="false" outlineLevel="0" collapsed="false">
      <c r="A209" s="5" t="s">
        <v>531</v>
      </c>
      <c r="B209" s="0" t="s">
        <v>27</v>
      </c>
      <c r="C209" s="10" t="n">
        <f aca="false">a25_pref</f>
        <v>0.130624</v>
      </c>
      <c r="D209" s="10" t="n">
        <f aca="false">0</f>
        <v>0</v>
      </c>
      <c r="E209" s="10" t="n">
        <f aca="false">0</f>
        <v>0</v>
      </c>
      <c r="F209" s="10" t="n">
        <f aca="false">0</f>
        <v>0</v>
      </c>
      <c r="G209" s="10" t="n">
        <f aca="false">0</f>
        <v>0</v>
      </c>
    </row>
    <row r="210" customFormat="false" ht="15" hidden="false" customHeight="false" outlineLevel="0" collapsed="false">
      <c r="A210" s="5" t="s">
        <v>532</v>
      </c>
      <c r="B210" s="5" t="s">
        <v>251</v>
      </c>
      <c r="C210" s="17" t="n">
        <f aca="false">a25_sh</f>
        <v>0.1592</v>
      </c>
      <c r="D210" s="17" t="n">
        <f aca="false">a26_sh</f>
        <v>0.1954</v>
      </c>
      <c r="E210" s="17" t="n">
        <f aca="false">sh_q4*(1+sh_g)</f>
        <v>0.204222</v>
      </c>
      <c r="F210" s="17" t="n">
        <f aca="false">E210*(1+sh_g)</f>
        <v>0.20626422</v>
      </c>
      <c r="G210" s="17" t="n">
        <f aca="false">F210*(1+sh_g)</f>
        <v>0.2083268622</v>
      </c>
    </row>
    <row r="211" customFormat="false" ht="15" hidden="false" customHeight="false" outlineLevel="0" collapsed="false">
      <c r="A211" s="0" t="s">
        <v>493</v>
      </c>
      <c r="B211" s="0" t="s">
        <v>188</v>
      </c>
      <c r="C211" s="19" t="n">
        <f aca="false">(C207-C209)/C210</f>
        <v>3.53</v>
      </c>
      <c r="D211" s="19" t="n">
        <f aca="false">(D207-D209)/D210</f>
        <v>5.61207778915046</v>
      </c>
      <c r="E211" s="19" t="n">
        <f aca="false">(E207-E209)/E210</f>
        <v>10.8194424857467</v>
      </c>
      <c r="F211" s="19" t="n">
        <f aca="false">(F207-F209)/F210</f>
        <v>15.7613302208977</v>
      </c>
      <c r="G211" s="19" t="n">
        <f aca="false">(G207-G209)/G210</f>
        <v>20.0906570351046</v>
      </c>
    </row>
    <row r="212" customFormat="false" ht="17.15" hidden="false" customHeight="false" outlineLevel="0" collapsed="false">
      <c r="A212" s="0" t="s">
        <v>533</v>
      </c>
      <c r="B212" s="0" t="s">
        <v>60</v>
      </c>
      <c r="D212" s="16" t="n">
        <f aca="false">D211/C211-1</f>
        <v>0.589823736303247</v>
      </c>
      <c r="E212" s="16" t="n">
        <f aca="false">E211/D211-1</f>
        <v>0.927885338058458</v>
      </c>
      <c r="F212" s="16" t="n">
        <f aca="false">F211/E211-1</f>
        <v>0.456759924706041</v>
      </c>
      <c r="G212" s="16" t="n">
        <f aca="false">G211/F211-1</f>
        <v>0.274680293701778</v>
      </c>
    </row>
    <row r="215" customFormat="false" ht="17.15" hidden="false" customHeight="false" outlineLevel="0" collapsed="false">
      <c r="A215" s="3" t="s">
        <v>802</v>
      </c>
    </row>
    <row r="216" customFormat="false" ht="17.15" hidden="false" customHeight="false" outlineLevel="0" collapsed="false">
      <c r="A216" s="6" t="s">
        <v>16</v>
      </c>
      <c r="B216" s="6" t="s">
        <v>17</v>
      </c>
      <c r="C216" s="15" t="s">
        <v>412</v>
      </c>
      <c r="D216" s="15" t="s">
        <v>477</v>
      </c>
      <c r="E216" s="15" t="s">
        <v>478</v>
      </c>
      <c r="F216" s="15" t="s">
        <v>479</v>
      </c>
      <c r="G216" s="15" t="s">
        <v>480</v>
      </c>
      <c r="H216" s="6" t="s">
        <v>418</v>
      </c>
    </row>
    <row r="217" customFormat="false" ht="17.15" hidden="false" customHeight="false" outlineLevel="0" collapsed="false">
      <c r="A217" s="1" t="s">
        <v>503</v>
      </c>
    </row>
    <row r="218" customFormat="false" ht="17.15" hidden="false" customHeight="false" outlineLevel="0" collapsed="false">
      <c r="A218" s="0" t="s">
        <v>504</v>
      </c>
      <c r="B218" s="0" t="s">
        <v>27</v>
      </c>
      <c r="D218" s="19" t="n">
        <f aca="false">mpl_26*1</f>
        <v>29.753262</v>
      </c>
      <c r="E218" s="19" t="n">
        <f aca="false">mpl_27*1*1</f>
        <v>54.688309</v>
      </c>
      <c r="F218" s="19" t="n">
        <f aca="false">mpl_28*um28_A*1</f>
        <v>61.21325</v>
      </c>
      <c r="G218" s="19" t="n">
        <f aca="false">mpl_29*um29_A*1</f>
        <v>78.80848</v>
      </c>
      <c r="H218" s="5" t="s">
        <v>505</v>
      </c>
    </row>
    <row r="219" customFormat="false" ht="17.15" hidden="false" customHeight="false" outlineLevel="0" collapsed="false">
      <c r="A219" s="0" t="s">
        <v>506</v>
      </c>
      <c r="B219" s="0" t="s">
        <v>27</v>
      </c>
      <c r="D219" s="19" t="n">
        <f aca="false">mcp_26*1</f>
        <v>0.300538</v>
      </c>
      <c r="E219" s="19" t="n">
        <f aca="false">mcp_27*1</f>
        <v>1.691391</v>
      </c>
      <c r="F219" s="19" t="n">
        <f aca="false">mcp_28*um28_A</f>
        <v>3.22175</v>
      </c>
      <c r="G219" s="19" t="n">
        <f aca="false">mcp_29*um29_A</f>
        <v>5.87368</v>
      </c>
    </row>
    <row r="220" customFormat="false" ht="17.15" hidden="false" customHeight="false" outlineLevel="0" collapsed="false">
      <c r="A220" s="0" t="s">
        <v>507</v>
      </c>
      <c r="B220" s="0" t="s">
        <v>60</v>
      </c>
      <c r="D220" s="16" t="n">
        <f aca="false">dc_cy26/D218</f>
        <v>0.146339576728919</v>
      </c>
      <c r="H220" s="8" t="s">
        <v>508</v>
      </c>
    </row>
    <row r="221" customFormat="false" ht="17.15" hidden="false" customHeight="false" outlineLevel="0" collapsed="false">
      <c r="A221" s="5" t="s">
        <v>509</v>
      </c>
      <c r="B221" s="0" t="s">
        <v>71</v>
      </c>
      <c r="D221" s="9" t="n">
        <f aca="false">1</f>
        <v>1</v>
      </c>
      <c r="E221" s="9" t="n">
        <f aca="false">rel_27</f>
        <v>1.1</v>
      </c>
      <c r="F221" s="9" t="n">
        <f aca="false">rel_28</f>
        <v>1.15</v>
      </c>
      <c r="G221" s="9" t="n">
        <f aca="false">rel_29</f>
        <v>1.15</v>
      </c>
    </row>
    <row r="222" customFormat="false" ht="15" hidden="false" customHeight="false" outlineLevel="0" collapsed="false">
      <c r="A222" s="5" t="s">
        <v>510</v>
      </c>
      <c r="B222" s="0" t="s">
        <v>60</v>
      </c>
      <c r="D222" s="16" t="n">
        <f aca="false">$D$220*D221</f>
        <v>0.146339576728919</v>
      </c>
      <c r="E222" s="16" t="n">
        <f aca="false">$D$220*E221</f>
        <v>0.16097353440181</v>
      </c>
      <c r="F222" s="16" t="n">
        <f aca="false">$D$220*F221</f>
        <v>0.168290513238256</v>
      </c>
      <c r="G222" s="16" t="n">
        <f aca="false">$D$220*G221</f>
        <v>0.168290513238256</v>
      </c>
    </row>
    <row r="223" customFormat="false" ht="15" hidden="false" customHeight="false" outlineLevel="0" collapsed="false">
      <c r="A223" s="5" t="s">
        <v>511</v>
      </c>
      <c r="B223" s="0" t="s">
        <v>71</v>
      </c>
      <c r="D223" s="9" t="n">
        <f aca="false">1</f>
        <v>1</v>
      </c>
      <c r="E223" s="9" t="n">
        <f aca="false">pxr_27</f>
        <v>1</v>
      </c>
      <c r="F223" s="9" t="n">
        <f aca="false">pxr_28</f>
        <v>1</v>
      </c>
      <c r="G223" s="9" t="n">
        <f aca="false">pxr_29</f>
        <v>1</v>
      </c>
    </row>
    <row r="224" customFormat="false" ht="17.15" hidden="false" customHeight="false" outlineLevel="0" collapsed="false">
      <c r="A224" s="0" t="s">
        <v>512</v>
      </c>
      <c r="B224" s="0" t="s">
        <v>60</v>
      </c>
      <c r="D224" s="16" t="n">
        <f aca="false">0</f>
        <v>0</v>
      </c>
      <c r="E224" s="16" t="n">
        <f aca="false">CPLO_27</f>
        <v>0</v>
      </c>
      <c r="F224" s="16" t="n">
        <f aca="false">CPLO_28</f>
        <v>0</v>
      </c>
      <c r="G224" s="16" t="n">
        <f aca="false">CPLO_29</f>
        <v>0</v>
      </c>
    </row>
    <row r="225" customFormat="false" ht="15" hidden="false" customHeight="false" outlineLevel="0" collapsed="false">
      <c r="A225" s="5" t="s">
        <v>513</v>
      </c>
      <c r="B225" s="0" t="s">
        <v>27</v>
      </c>
      <c r="D225" s="19" t="n">
        <f aca="false">dc_cy26</f>
        <v>4.35407976738462</v>
      </c>
      <c r="E225" s="19" t="n">
        <f aca="false">E218*E222*E223+E219*E224</f>
        <v>8.80337039018834</v>
      </c>
      <c r="F225" s="19" t="n">
        <f aca="false">F218*F222*F223+F219*F224</f>
        <v>10.3016092594817</v>
      </c>
      <c r="G225" s="19" t="n">
        <f aca="false">G218*G222*G223+G219*G224</f>
        <v>13.2627195467269</v>
      </c>
    </row>
    <row r="226" customFormat="false" ht="17.15" hidden="false" customHeight="false" outlineLevel="0" collapsed="false">
      <c r="A226" s="1" t="s">
        <v>514</v>
      </c>
    </row>
    <row r="227" customFormat="false" ht="17.15" hidden="false" customHeight="false" outlineLevel="0" collapsed="false">
      <c r="A227" s="5" t="s">
        <v>515</v>
      </c>
      <c r="B227" s="0" t="s">
        <v>27</v>
      </c>
      <c r="C227" s="19" t="n">
        <f aca="false">a25_dc</f>
        <v>2.27542010638806</v>
      </c>
      <c r="D227" s="19" t="n">
        <f aca="false">a26_dc</f>
        <v>3.19608300307692</v>
      </c>
      <c r="E227" s="19" t="n">
        <f aca="false">h1_27+hw*E225</f>
        <v>6.61810891610202</v>
      </c>
      <c r="F227" s="19" t="n">
        <f aca="false">(1-hw)*E225+hw*F225</f>
        <v>9.49256027006328</v>
      </c>
      <c r="G227" s="19" t="n">
        <f aca="false">(1-hw)*F225+hw*G225</f>
        <v>11.6637199916145</v>
      </c>
      <c r="H227" s="8" t="s">
        <v>516</v>
      </c>
    </row>
    <row r="228" customFormat="false" ht="15" hidden="false" customHeight="false" outlineLevel="0" collapsed="false">
      <c r="A228" s="5" t="s">
        <v>517</v>
      </c>
      <c r="B228" s="0" t="s">
        <v>27</v>
      </c>
      <c r="C228" s="19" t="n">
        <f aca="false">a25_com</f>
        <v>1.47977989361194</v>
      </c>
      <c r="D228" s="19" t="n">
        <f aca="false">a26_com</f>
        <v>2.07851699692308</v>
      </c>
      <c r="E228" s="19" t="n">
        <f aca="false">D228*(1+g_com_27)</f>
        <v>2.49422039630769</v>
      </c>
      <c r="F228" s="19" t="n">
        <f aca="false">E228*(1+g_com_28)</f>
        <v>2.79352684386461</v>
      </c>
      <c r="G228" s="19" t="n">
        <f aca="false">F228*(1+g_com_29)</f>
        <v>3.01700899137378</v>
      </c>
    </row>
    <row r="229" customFormat="false" ht="17.15" hidden="false" customHeight="false" outlineLevel="0" collapsed="false">
      <c r="A229" s="5" t="s">
        <v>518</v>
      </c>
      <c r="B229" s="0" t="s">
        <v>27</v>
      </c>
      <c r="C229" s="19" t="n">
        <f aca="false">a25_ind</f>
        <v>2.0549</v>
      </c>
      <c r="D229" s="19" t="n">
        <f aca="false">a26_ind</f>
        <v>1.8436</v>
      </c>
      <c r="E229" s="19" t="n">
        <f aca="false">ind_run*(1+g_ind_27)</f>
        <v>1.75644</v>
      </c>
      <c r="F229" s="19" t="n">
        <f aca="false">E229*(1+g_ind_28)</f>
        <v>1.844262</v>
      </c>
      <c r="G229" s="19" t="n">
        <f aca="false">F229*(1+g_ind_29)</f>
        <v>1.9364751</v>
      </c>
    </row>
    <row r="230" customFormat="false" ht="15" hidden="false" customHeight="false" outlineLevel="0" collapsed="false">
      <c r="A230" s="5" t="s">
        <v>419</v>
      </c>
      <c r="B230" s="0" t="s">
        <v>27</v>
      </c>
      <c r="C230" s="19" t="n">
        <f aca="false">C227+C228+C229</f>
        <v>5.8101</v>
      </c>
      <c r="D230" s="19" t="n">
        <f aca="false">D227+D228+D229</f>
        <v>7.1182</v>
      </c>
      <c r="E230" s="19" t="n">
        <f aca="false">E227+E228+E229</f>
        <v>10.8687693124097</v>
      </c>
      <c r="F230" s="19" t="n">
        <f aca="false">F227+F228+F229</f>
        <v>14.1303491139279</v>
      </c>
      <c r="G230" s="19" t="n">
        <f aca="false">G227+G228+G229</f>
        <v>16.6172040829883</v>
      </c>
    </row>
    <row r="231" customFormat="false" ht="15" hidden="false" customHeight="false" outlineLevel="0" collapsed="false">
      <c r="A231" s="5" t="s">
        <v>519</v>
      </c>
      <c r="B231" s="0" t="s">
        <v>60</v>
      </c>
      <c r="D231" s="16" t="n">
        <f aca="false">D230/C230-1</f>
        <v>0.225142424398892</v>
      </c>
      <c r="E231" s="16" t="n">
        <f aca="false">E230/D230-1</f>
        <v>0.52689855755805</v>
      </c>
      <c r="F231" s="16" t="n">
        <f aca="false">F230/E230-1</f>
        <v>0.300087315110662</v>
      </c>
      <c r="G231" s="16" t="n">
        <f aca="false">G230/F230-1</f>
        <v>0.175993880194307</v>
      </c>
    </row>
    <row r="232" customFormat="false" ht="17.15" hidden="false" customHeight="false" outlineLevel="0" collapsed="false">
      <c r="A232" s="5" t="s">
        <v>520</v>
      </c>
      <c r="B232" s="0" t="s">
        <v>60</v>
      </c>
      <c r="C232" s="16" t="n">
        <f aca="false">C227/C230</f>
        <v>0.391631831876914</v>
      </c>
      <c r="D232" s="16" t="n">
        <f aca="false">D227/D230</f>
        <v>0.449001573863747</v>
      </c>
      <c r="E232" s="16" t="n">
        <f aca="false">E227/E230</f>
        <v>0.608910606700026</v>
      </c>
      <c r="F232" s="16" t="n">
        <f aca="false">F227/F230</f>
        <v>0.671785261179904</v>
      </c>
      <c r="G232" s="16" t="n">
        <f aca="false">G227/G230</f>
        <v>0.701906285399427</v>
      </c>
    </row>
    <row r="233" customFormat="false" ht="17.15" hidden="false" customHeight="false" outlineLevel="0" collapsed="false">
      <c r="A233" s="1" t="s">
        <v>521</v>
      </c>
    </row>
    <row r="234" customFormat="false" ht="17.15" hidden="false" customHeight="false" outlineLevel="0" collapsed="false">
      <c r="A234" s="5" t="s">
        <v>490</v>
      </c>
      <c r="B234" s="0" t="s">
        <v>60</v>
      </c>
      <c r="C234" s="16" t="n">
        <f aca="false">a25_gp/a25_rev</f>
        <v>0.379046832240409</v>
      </c>
      <c r="D234" s="16" t="n">
        <f aca="false">a26_gp/a26_rev</f>
        <v>0.394271023573375</v>
      </c>
      <c r="E234" s="16" t="n">
        <f aca="false">gm_27</f>
        <v>0.41</v>
      </c>
      <c r="F234" s="16" t="n">
        <f aca="false">gm_28</f>
        <v>0.42</v>
      </c>
      <c r="G234" s="16" t="n">
        <f aca="false">gm_29</f>
        <v>0.42</v>
      </c>
      <c r="H234" s="8" t="s">
        <v>522</v>
      </c>
    </row>
    <row r="235" customFormat="false" ht="15" hidden="false" customHeight="false" outlineLevel="0" collapsed="false">
      <c r="A235" s="5" t="s">
        <v>523</v>
      </c>
      <c r="B235" s="0" t="s">
        <v>27</v>
      </c>
      <c r="C235" s="19" t="n">
        <f aca="false">C230*C234</f>
        <v>2.2023</v>
      </c>
      <c r="D235" s="19" t="n">
        <f aca="false">D230*D234</f>
        <v>2.8065</v>
      </c>
      <c r="E235" s="19" t="n">
        <f aca="false">E230*E234</f>
        <v>4.45619541808798</v>
      </c>
      <c r="F235" s="19" t="n">
        <f aca="false">F230*F234</f>
        <v>5.93474662784972</v>
      </c>
      <c r="G235" s="19" t="n">
        <f aca="false">G230*G234</f>
        <v>6.97922571485507</v>
      </c>
    </row>
    <row r="236" customFormat="false" ht="15" hidden="false" customHeight="false" outlineLevel="0" collapsed="false">
      <c r="A236" s="5" t="s">
        <v>524</v>
      </c>
      <c r="B236" s="0" t="s">
        <v>27</v>
      </c>
      <c r="C236" s="19" t="n">
        <f aca="false">a25_opx</f>
        <v>1.1653</v>
      </c>
      <c r="D236" s="19" t="n">
        <f aca="false">a26_opx</f>
        <v>1.3496</v>
      </c>
      <c r="E236" s="19" t="n">
        <f aca="false">D236*(1+MAX(0,phi*E231))</f>
        <v>1.84913086734428</v>
      </c>
      <c r="F236" s="19" t="n">
        <f aca="false">E236*(1+MAX(0,phi*F231))</f>
        <v>2.23893418988589</v>
      </c>
      <c r="G236" s="19" t="n">
        <f aca="false">F236*(1+MAX(0,phi*G231))</f>
        <v>2.51573613978786</v>
      </c>
    </row>
    <row r="237" customFormat="false" ht="15" hidden="false" customHeight="false" outlineLevel="0" collapsed="false">
      <c r="A237" s="5" t="s">
        <v>525</v>
      </c>
      <c r="B237" s="0" t="s">
        <v>27</v>
      </c>
      <c r="C237" s="19" t="n">
        <f aca="false">C236</f>
        <v>1.1653</v>
      </c>
      <c r="D237" s="19" t="n">
        <f aca="false">D236</f>
        <v>1.3496</v>
      </c>
      <c r="E237" s="19" t="n">
        <f aca="false">E236+0*E230</f>
        <v>1.84913086734428</v>
      </c>
      <c r="F237" s="19" t="n">
        <f aca="false">F236+0*F230</f>
        <v>2.23893418988589</v>
      </c>
      <c r="G237" s="19" t="n">
        <f aca="false">G236+0*G230</f>
        <v>2.51573613978786</v>
      </c>
    </row>
    <row r="238" customFormat="false" ht="15" hidden="false" customHeight="false" outlineLevel="0" collapsed="false">
      <c r="A238" s="5" t="s">
        <v>526</v>
      </c>
      <c r="B238" s="0" t="s">
        <v>27</v>
      </c>
      <c r="C238" s="19" t="n">
        <f aca="false">C235-C237</f>
        <v>1.037</v>
      </c>
      <c r="D238" s="19" t="n">
        <f aca="false">D235-D237</f>
        <v>1.4569</v>
      </c>
      <c r="E238" s="19" t="n">
        <f aca="false">E235-E237</f>
        <v>2.60706455074371</v>
      </c>
      <c r="F238" s="19" t="n">
        <f aca="false">F235-F237</f>
        <v>3.69581243796383</v>
      </c>
      <c r="G238" s="19" t="n">
        <f aca="false">G235-G237</f>
        <v>4.46348957506721</v>
      </c>
    </row>
    <row r="239" customFormat="false" ht="15" hidden="false" customHeight="false" outlineLevel="0" collapsed="false">
      <c r="A239" s="5" t="s">
        <v>491</v>
      </c>
      <c r="B239" s="0" t="s">
        <v>60</v>
      </c>
      <c r="C239" s="16" t="n">
        <f aca="false">C238/C230</f>
        <v>0.178482298067159</v>
      </c>
      <c r="D239" s="16" t="n">
        <f aca="false">D238/D230</f>
        <v>0.204672529572083</v>
      </c>
      <c r="E239" s="16" t="n">
        <f aca="false">E238/E230</f>
        <v>0.239867502548519</v>
      </c>
      <c r="F239" s="16" t="n">
        <f aca="false">F238/F230</f>
        <v>0.261551389011398</v>
      </c>
      <c r="G239" s="16" t="n">
        <f aca="false">G238/G230</f>
        <v>0.268606532890613</v>
      </c>
    </row>
    <row r="240" customFormat="false" ht="15" hidden="false" customHeight="false" outlineLevel="0" collapsed="false">
      <c r="A240" s="5" t="s">
        <v>527</v>
      </c>
      <c r="B240" s="0" t="s">
        <v>27</v>
      </c>
      <c r="C240" s="19" t="n">
        <f aca="false">a25_int</f>
        <v>0.1673</v>
      </c>
      <c r="D240" s="19" t="n">
        <f aca="false">a26_int</f>
        <v>0.1181</v>
      </c>
      <c r="E240" s="19" t="n">
        <f aca="false">int_f</f>
        <v>0.08</v>
      </c>
      <c r="F240" s="19" t="n">
        <f aca="false">int_f</f>
        <v>0.08</v>
      </c>
      <c r="G240" s="19" t="n">
        <f aca="false">int_f</f>
        <v>0.08</v>
      </c>
    </row>
    <row r="241" customFormat="false" ht="15" hidden="false" customHeight="false" outlineLevel="0" collapsed="false">
      <c r="A241" s="5" t="s">
        <v>528</v>
      </c>
      <c r="B241" s="0" t="s">
        <v>27</v>
      </c>
      <c r="C241" s="19" t="n">
        <f aca="false">C238-C240</f>
        <v>0.8697</v>
      </c>
      <c r="D241" s="19" t="n">
        <f aca="false">D238-D240</f>
        <v>1.3388</v>
      </c>
      <c r="E241" s="19" t="n">
        <f aca="false">E238-E240</f>
        <v>2.52706455074371</v>
      </c>
      <c r="F241" s="19" t="n">
        <f aca="false">F238-F240</f>
        <v>3.61581243796383</v>
      </c>
      <c r="G241" s="19" t="n">
        <f aca="false">G238-G240</f>
        <v>4.38348957506721</v>
      </c>
    </row>
    <row r="242" customFormat="false" ht="17.15" hidden="false" customHeight="false" outlineLevel="0" collapsed="false">
      <c r="A242" s="5" t="s">
        <v>529</v>
      </c>
      <c r="B242" s="0" t="s">
        <v>27</v>
      </c>
      <c r="C242" s="19" t="n">
        <f aca="false">a25_ni</f>
        <v>0.6926</v>
      </c>
      <c r="D242" s="19" t="n">
        <f aca="false">a26_ni</f>
        <v>1.0966</v>
      </c>
      <c r="E242" s="19" t="n">
        <f aca="false">E241*(1-tx)+nci</f>
        <v>2.0591222861024</v>
      </c>
      <c r="F242" s="19" t="n">
        <f aca="false">F241*(1-tx)+nci</f>
        <v>2.9410080747507</v>
      </c>
      <c r="G242" s="19" t="n">
        <f aca="false">G241*(1-tx)+nci</f>
        <v>3.56282655580444</v>
      </c>
    </row>
    <row r="243" customFormat="false" ht="15" hidden="false" customHeight="false" outlineLevel="0" collapsed="false">
      <c r="A243" s="5" t="s">
        <v>530</v>
      </c>
      <c r="B243" s="0" t="s">
        <v>60</v>
      </c>
      <c r="C243" s="16" t="n">
        <f aca="false">C242/C230</f>
        <v>0.119206209875906</v>
      </c>
      <c r="D243" s="16" t="n">
        <f aca="false">D242/D230</f>
        <v>0.154055800623753</v>
      </c>
      <c r="E243" s="16" t="n">
        <f aca="false">E242/E230</f>
        <v>0.189453122696361</v>
      </c>
      <c r="F243" s="16" t="n">
        <f aca="false">F242/F230</f>
        <v>0.208134140992442</v>
      </c>
      <c r="G243" s="16" t="n">
        <f aca="false">G242/G230</f>
        <v>0.214405897527121</v>
      </c>
    </row>
    <row r="244" customFormat="false" ht="15" hidden="false" customHeight="false" outlineLevel="0" collapsed="false">
      <c r="A244" s="5" t="s">
        <v>531</v>
      </c>
      <c r="B244" s="0" t="s">
        <v>27</v>
      </c>
      <c r="C244" s="10" t="n">
        <f aca="false">a25_pref</f>
        <v>0.130624</v>
      </c>
      <c r="D244" s="10" t="n">
        <f aca="false">0</f>
        <v>0</v>
      </c>
      <c r="E244" s="10" t="n">
        <f aca="false">0</f>
        <v>0</v>
      </c>
      <c r="F244" s="10" t="n">
        <f aca="false">0</f>
        <v>0</v>
      </c>
      <c r="G244" s="10" t="n">
        <f aca="false">0</f>
        <v>0</v>
      </c>
    </row>
    <row r="245" customFormat="false" ht="15" hidden="false" customHeight="false" outlineLevel="0" collapsed="false">
      <c r="A245" s="5" t="s">
        <v>532</v>
      </c>
      <c r="B245" s="5" t="s">
        <v>251</v>
      </c>
      <c r="C245" s="17" t="n">
        <f aca="false">a25_sh</f>
        <v>0.1592</v>
      </c>
      <c r="D245" s="17" t="n">
        <f aca="false">a26_sh</f>
        <v>0.1954</v>
      </c>
      <c r="E245" s="17" t="n">
        <f aca="false">sh_q4*(1+sh_g)</f>
        <v>0.204222</v>
      </c>
      <c r="F245" s="17" t="n">
        <f aca="false">E245*(1+sh_g)</f>
        <v>0.20626422</v>
      </c>
      <c r="G245" s="17" t="n">
        <f aca="false">F245*(1+sh_g)</f>
        <v>0.2083268622</v>
      </c>
    </row>
    <row r="246" customFormat="false" ht="15" hidden="false" customHeight="false" outlineLevel="0" collapsed="false">
      <c r="A246" s="0" t="s">
        <v>493</v>
      </c>
      <c r="B246" s="0" t="s">
        <v>188</v>
      </c>
      <c r="C246" s="19" t="n">
        <f aca="false">(C242-C244)/C245</f>
        <v>3.53</v>
      </c>
      <c r="D246" s="19" t="n">
        <f aca="false">(D242-D244)/D245</f>
        <v>5.61207778915046</v>
      </c>
      <c r="E246" s="19" t="n">
        <f aca="false">(E242-E244)/E245</f>
        <v>10.0827642766323</v>
      </c>
      <c r="F246" s="19" t="n">
        <f aca="false">(F242-F244)/F245</f>
        <v>14.2584500343816</v>
      </c>
      <c r="G246" s="19" t="n">
        <f aca="false">(G242-G244)/G245</f>
        <v>17.1020986836734</v>
      </c>
    </row>
    <row r="247" customFormat="false" ht="17.15" hidden="false" customHeight="false" outlineLevel="0" collapsed="false">
      <c r="A247" s="0" t="s">
        <v>533</v>
      </c>
      <c r="B247" s="0" t="s">
        <v>60</v>
      </c>
      <c r="D247" s="16" t="n">
        <f aca="false">D246/C246-1</f>
        <v>0.589823736303247</v>
      </c>
      <c r="E247" s="16" t="n">
        <f aca="false">E246/D246-1</f>
        <v>0.796618766782739</v>
      </c>
      <c r="F247" s="16" t="n">
        <f aca="false">F246/E246-1</f>
        <v>0.414140968010811</v>
      </c>
      <c r="G247" s="16" t="n">
        <f aca="false">G246/F246-1</f>
        <v>0.199436028631084</v>
      </c>
    </row>
    <row r="250" customFormat="false" ht="17.15" hidden="false" customHeight="false" outlineLevel="0" collapsed="false">
      <c r="A250" s="3" t="s">
        <v>803</v>
      </c>
    </row>
    <row r="251" customFormat="false" ht="17.15" hidden="false" customHeight="false" outlineLevel="0" collapsed="false">
      <c r="A251" s="6" t="s">
        <v>16</v>
      </c>
      <c r="B251" s="6" t="s">
        <v>17</v>
      </c>
      <c r="C251" s="15" t="s">
        <v>412</v>
      </c>
      <c r="D251" s="15" t="s">
        <v>477</v>
      </c>
      <c r="E251" s="15" t="s">
        <v>478</v>
      </c>
      <c r="F251" s="15" t="s">
        <v>479</v>
      </c>
      <c r="G251" s="15" t="s">
        <v>480</v>
      </c>
      <c r="H251" s="6" t="s">
        <v>418</v>
      </c>
    </row>
    <row r="252" customFormat="false" ht="17.15" hidden="false" customHeight="false" outlineLevel="0" collapsed="false">
      <c r="A252" s="1" t="s">
        <v>503</v>
      </c>
    </row>
    <row r="253" customFormat="false" ht="17.15" hidden="false" customHeight="false" outlineLevel="0" collapsed="false">
      <c r="A253" s="0" t="s">
        <v>504</v>
      </c>
      <c r="B253" s="0" t="s">
        <v>27</v>
      </c>
      <c r="D253" s="19" t="n">
        <f aca="false">mpl_26*1</f>
        <v>29.753262</v>
      </c>
      <c r="E253" s="19" t="n">
        <f aca="false">mpl_27*1*1</f>
        <v>54.688309</v>
      </c>
      <c r="F253" s="19" t="n">
        <f aca="false">mpl_28*um28_A*1</f>
        <v>61.21325</v>
      </c>
      <c r="G253" s="19" t="n">
        <f aca="false">mpl_29*um29_A*1</f>
        <v>78.80848</v>
      </c>
      <c r="H253" s="5" t="s">
        <v>505</v>
      </c>
    </row>
    <row r="254" customFormat="false" ht="17.15" hidden="false" customHeight="false" outlineLevel="0" collapsed="false">
      <c r="A254" s="0" t="s">
        <v>506</v>
      </c>
      <c r="B254" s="0" t="s">
        <v>27</v>
      </c>
      <c r="D254" s="19" t="n">
        <f aca="false">mcp_26*1</f>
        <v>0.300538</v>
      </c>
      <c r="E254" s="19" t="n">
        <f aca="false">mcp_27*1</f>
        <v>1.691391</v>
      </c>
      <c r="F254" s="19" t="n">
        <f aca="false">mcp_28*um28_A</f>
        <v>3.22175</v>
      </c>
      <c r="G254" s="19" t="n">
        <f aca="false">mcp_29*um29_A</f>
        <v>5.87368</v>
      </c>
    </row>
    <row r="255" customFormat="false" ht="17.15" hidden="false" customHeight="false" outlineLevel="0" collapsed="false">
      <c r="A255" s="0" t="s">
        <v>507</v>
      </c>
      <c r="B255" s="0" t="s">
        <v>60</v>
      </c>
      <c r="D255" s="16" t="n">
        <f aca="false">dc_cy26/D253</f>
        <v>0.146339576728919</v>
      </c>
      <c r="H255" s="8" t="s">
        <v>508</v>
      </c>
    </row>
    <row r="256" customFormat="false" ht="17.15" hidden="false" customHeight="false" outlineLevel="0" collapsed="false">
      <c r="A256" s="5" t="s">
        <v>509</v>
      </c>
      <c r="B256" s="0" t="s">
        <v>71</v>
      </c>
      <c r="D256" s="9" t="n">
        <f aca="false">1</f>
        <v>1</v>
      </c>
      <c r="E256" s="9" t="n">
        <f aca="false">rel_27</f>
        <v>1.1</v>
      </c>
      <c r="F256" s="9" t="n">
        <f aca="false">rel_28</f>
        <v>1.15</v>
      </c>
      <c r="G256" s="9" t="n">
        <f aca="false">rel_29</f>
        <v>1.15</v>
      </c>
    </row>
    <row r="257" customFormat="false" ht="15" hidden="false" customHeight="false" outlineLevel="0" collapsed="false">
      <c r="A257" s="5" t="s">
        <v>510</v>
      </c>
      <c r="B257" s="0" t="s">
        <v>60</v>
      </c>
      <c r="D257" s="16" t="n">
        <f aca="false">$D$255*D256</f>
        <v>0.146339576728919</v>
      </c>
      <c r="E257" s="16" t="n">
        <f aca="false">$D$255*E256</f>
        <v>0.16097353440181</v>
      </c>
      <c r="F257" s="16" t="n">
        <f aca="false">$D$255*F256</f>
        <v>0.168290513238256</v>
      </c>
      <c r="G257" s="16" t="n">
        <f aca="false">$D$255*G256</f>
        <v>0.168290513238256</v>
      </c>
    </row>
    <row r="258" customFormat="false" ht="15" hidden="false" customHeight="false" outlineLevel="0" collapsed="false">
      <c r="A258" s="5" t="s">
        <v>511</v>
      </c>
      <c r="B258" s="0" t="s">
        <v>71</v>
      </c>
      <c r="D258" s="9" t="n">
        <f aca="false">1</f>
        <v>1</v>
      </c>
      <c r="E258" s="9" t="n">
        <f aca="false">pxr_27</f>
        <v>1</v>
      </c>
      <c r="F258" s="9" t="n">
        <f aca="false">pxr_28</f>
        <v>1</v>
      </c>
      <c r="G258" s="9" t="n">
        <f aca="false">pxr_29</f>
        <v>1</v>
      </c>
    </row>
    <row r="259" customFormat="false" ht="17.15" hidden="false" customHeight="false" outlineLevel="0" collapsed="false">
      <c r="A259" s="0" t="s">
        <v>512</v>
      </c>
      <c r="B259" s="0" t="s">
        <v>60</v>
      </c>
      <c r="D259" s="16" t="n">
        <f aca="false">0</f>
        <v>0</v>
      </c>
      <c r="E259" s="16" t="n">
        <f aca="false">CPHI_27</f>
        <v>0.25</v>
      </c>
      <c r="F259" s="16" t="n">
        <f aca="false">CPHI_28</f>
        <v>0.3</v>
      </c>
      <c r="G259" s="16" t="n">
        <f aca="false">CPHI_29</f>
        <v>0.35</v>
      </c>
    </row>
    <row r="260" customFormat="false" ht="15" hidden="false" customHeight="false" outlineLevel="0" collapsed="false">
      <c r="A260" s="5" t="s">
        <v>513</v>
      </c>
      <c r="B260" s="0" t="s">
        <v>27</v>
      </c>
      <c r="D260" s="19" t="n">
        <f aca="false">dc_cy26</f>
        <v>4.35407976738462</v>
      </c>
      <c r="E260" s="19" t="n">
        <f aca="false">E253*E257*E258+E254*E259</f>
        <v>9.22621814018834</v>
      </c>
      <c r="F260" s="19" t="n">
        <f aca="false">F253*F257*F258+F254*F259</f>
        <v>11.2681342594817</v>
      </c>
      <c r="G260" s="19" t="n">
        <f aca="false">G253*G257*G258+G254*G259</f>
        <v>15.3185075467269</v>
      </c>
    </row>
    <row r="261" customFormat="false" ht="17.15" hidden="false" customHeight="false" outlineLevel="0" collapsed="false">
      <c r="A261" s="1" t="s">
        <v>514</v>
      </c>
    </row>
    <row r="262" customFormat="false" ht="17.15" hidden="false" customHeight="false" outlineLevel="0" collapsed="false">
      <c r="A262" s="5" t="s">
        <v>515</v>
      </c>
      <c r="B262" s="0" t="s">
        <v>27</v>
      </c>
      <c r="C262" s="19" t="n">
        <f aca="false">a25_dc</f>
        <v>2.27542010638806</v>
      </c>
      <c r="D262" s="19" t="n">
        <f aca="false">a26_dc</f>
        <v>3.19608300307692</v>
      </c>
      <c r="E262" s="19" t="n">
        <f aca="false">h1_27+hw*E260</f>
        <v>6.81261888110202</v>
      </c>
      <c r="F262" s="19" t="n">
        <f aca="false">(1-hw)*E260+hw*F260</f>
        <v>10.1654995550633</v>
      </c>
      <c r="G262" s="19" t="n">
        <f aca="false">(1-hw)*F260+hw*G260</f>
        <v>13.1313059716145</v>
      </c>
      <c r="H262" s="8" t="s">
        <v>516</v>
      </c>
    </row>
    <row r="263" customFormat="false" ht="15" hidden="false" customHeight="false" outlineLevel="0" collapsed="false">
      <c r="A263" s="5" t="s">
        <v>517</v>
      </c>
      <c r="B263" s="0" t="s">
        <v>27</v>
      </c>
      <c r="C263" s="19" t="n">
        <f aca="false">a25_com</f>
        <v>1.47977989361194</v>
      </c>
      <c r="D263" s="19" t="n">
        <f aca="false">a26_com</f>
        <v>2.07851699692308</v>
      </c>
      <c r="E263" s="19" t="n">
        <f aca="false">D263*(1+g_com_27)</f>
        <v>2.49422039630769</v>
      </c>
      <c r="F263" s="19" t="n">
        <f aca="false">E263*(1+g_com_28)</f>
        <v>2.79352684386461</v>
      </c>
      <c r="G263" s="19" t="n">
        <f aca="false">F263*(1+g_com_29)</f>
        <v>3.01700899137378</v>
      </c>
    </row>
    <row r="264" customFormat="false" ht="17.15" hidden="false" customHeight="false" outlineLevel="0" collapsed="false">
      <c r="A264" s="5" t="s">
        <v>518</v>
      </c>
      <c r="B264" s="0" t="s">
        <v>27</v>
      </c>
      <c r="C264" s="19" t="n">
        <f aca="false">a25_ind</f>
        <v>2.0549</v>
      </c>
      <c r="D264" s="19" t="n">
        <f aca="false">a26_ind</f>
        <v>1.8436</v>
      </c>
      <c r="E264" s="19" t="n">
        <f aca="false">ind_run*(1+g_ind_27)</f>
        <v>1.75644</v>
      </c>
      <c r="F264" s="19" t="n">
        <f aca="false">E264*(1+g_ind_28)</f>
        <v>1.844262</v>
      </c>
      <c r="G264" s="19" t="n">
        <f aca="false">F264*(1+g_ind_29)</f>
        <v>1.9364751</v>
      </c>
    </row>
    <row r="265" customFormat="false" ht="15" hidden="false" customHeight="false" outlineLevel="0" collapsed="false">
      <c r="A265" s="5" t="s">
        <v>419</v>
      </c>
      <c r="B265" s="0" t="s">
        <v>27</v>
      </c>
      <c r="C265" s="19" t="n">
        <f aca="false">C262+C263+C264</f>
        <v>5.8101</v>
      </c>
      <c r="D265" s="19" t="n">
        <f aca="false">D262+D263+D264</f>
        <v>7.1182</v>
      </c>
      <c r="E265" s="19" t="n">
        <f aca="false">E262+E263+E264</f>
        <v>11.0632792774097</v>
      </c>
      <c r="F265" s="19" t="n">
        <f aca="false">F262+F263+F264</f>
        <v>14.8032883989279</v>
      </c>
      <c r="G265" s="19" t="n">
        <f aca="false">G262+G263+G264</f>
        <v>18.0847900629883</v>
      </c>
    </row>
    <row r="266" customFormat="false" ht="15" hidden="false" customHeight="false" outlineLevel="0" collapsed="false">
      <c r="A266" s="5" t="s">
        <v>519</v>
      </c>
      <c r="B266" s="0" t="s">
        <v>60</v>
      </c>
      <c r="D266" s="16" t="n">
        <f aca="false">D265/C265-1</f>
        <v>0.225142424398892</v>
      </c>
      <c r="E266" s="16" t="n">
        <f aca="false">E265/D265-1</f>
        <v>0.554224281055564</v>
      </c>
      <c r="F266" s="16" t="n">
        <f aca="false">F265/E265-1</f>
        <v>0.338056106850251</v>
      </c>
      <c r="G266" s="16" t="n">
        <f aca="false">G265/F265-1</f>
        <v>0.221673831896568</v>
      </c>
    </row>
    <row r="267" customFormat="false" ht="17.15" hidden="false" customHeight="false" outlineLevel="0" collapsed="false">
      <c r="A267" s="5" t="s">
        <v>520</v>
      </c>
      <c r="B267" s="0" t="s">
        <v>60</v>
      </c>
      <c r="C267" s="16" t="n">
        <f aca="false">C262/C265</f>
        <v>0.391631831876914</v>
      </c>
      <c r="D267" s="16" t="n">
        <f aca="false">D262/D265</f>
        <v>0.449001573863747</v>
      </c>
      <c r="E267" s="16" t="n">
        <f aca="false">E262/E265</f>
        <v>0.615786577404117</v>
      </c>
      <c r="F267" s="16" t="n">
        <f aca="false">F262/F265</f>
        <v>0.686705499556403</v>
      </c>
      <c r="G267" s="16" t="n">
        <f aca="false">G262/G265</f>
        <v>0.726096677145762</v>
      </c>
    </row>
    <row r="268" customFormat="false" ht="17.15" hidden="false" customHeight="false" outlineLevel="0" collapsed="false">
      <c r="A268" s="1" t="s">
        <v>521</v>
      </c>
    </row>
    <row r="269" customFormat="false" ht="17.15" hidden="false" customHeight="false" outlineLevel="0" collapsed="false">
      <c r="A269" s="5" t="s">
        <v>490</v>
      </c>
      <c r="B269" s="0" t="s">
        <v>60</v>
      </c>
      <c r="C269" s="16" t="n">
        <f aca="false">a25_gp/a25_rev</f>
        <v>0.379046832240409</v>
      </c>
      <c r="D269" s="16" t="n">
        <f aca="false">a26_gp/a26_rev</f>
        <v>0.394271023573375</v>
      </c>
      <c r="E269" s="16" t="n">
        <f aca="false">gm_27</f>
        <v>0.41</v>
      </c>
      <c r="F269" s="16" t="n">
        <f aca="false">gm_28</f>
        <v>0.42</v>
      </c>
      <c r="G269" s="16" t="n">
        <f aca="false">gm_29</f>
        <v>0.42</v>
      </c>
      <c r="H269" s="8" t="s">
        <v>522</v>
      </c>
    </row>
    <row r="270" customFormat="false" ht="15" hidden="false" customHeight="false" outlineLevel="0" collapsed="false">
      <c r="A270" s="5" t="s">
        <v>523</v>
      </c>
      <c r="B270" s="0" t="s">
        <v>27</v>
      </c>
      <c r="C270" s="19" t="n">
        <f aca="false">C265*C269</f>
        <v>2.2023</v>
      </c>
      <c r="D270" s="19" t="n">
        <f aca="false">D265*D269</f>
        <v>2.8065</v>
      </c>
      <c r="E270" s="19" t="n">
        <f aca="false">E265*E269</f>
        <v>4.53594450373798</v>
      </c>
      <c r="F270" s="19" t="n">
        <f aca="false">F265*F269</f>
        <v>6.21738112754972</v>
      </c>
      <c r="G270" s="19" t="n">
        <f aca="false">G265*G269</f>
        <v>7.59561182645507</v>
      </c>
    </row>
    <row r="271" customFormat="false" ht="15" hidden="false" customHeight="false" outlineLevel="0" collapsed="false">
      <c r="A271" s="5" t="s">
        <v>524</v>
      </c>
      <c r="B271" s="0" t="s">
        <v>27</v>
      </c>
      <c r="C271" s="19" t="n">
        <f aca="false">a25_opx</f>
        <v>1.1653</v>
      </c>
      <c r="D271" s="19" t="n">
        <f aca="false">a26_opx</f>
        <v>1.3496</v>
      </c>
      <c r="E271" s="19" t="n">
        <f aca="false">D271*(1+MAX(0,phi*E266))</f>
        <v>1.87503726272859</v>
      </c>
      <c r="F271" s="19" t="n">
        <f aca="false">E271*(1+MAX(0,phi*F266))</f>
        <v>2.32031290524527</v>
      </c>
      <c r="G271" s="19" t="n">
        <f aca="false">F271*(1+MAX(0,phi*G266))</f>
        <v>2.68163226710684</v>
      </c>
    </row>
    <row r="272" customFormat="false" ht="15" hidden="false" customHeight="false" outlineLevel="0" collapsed="false">
      <c r="A272" s="5" t="s">
        <v>525</v>
      </c>
      <c r="B272" s="0" t="s">
        <v>27</v>
      </c>
      <c r="C272" s="19" t="n">
        <f aca="false">C271</f>
        <v>1.1653</v>
      </c>
      <c r="D272" s="19" t="n">
        <f aca="false">D271</f>
        <v>1.3496</v>
      </c>
      <c r="E272" s="19" t="n">
        <f aca="false">E271+0*E265</f>
        <v>1.87503726272859</v>
      </c>
      <c r="F272" s="19" t="n">
        <f aca="false">F271+0*F265</f>
        <v>2.32031290524527</v>
      </c>
      <c r="G272" s="19" t="n">
        <f aca="false">G271+0*G265</f>
        <v>2.68163226710684</v>
      </c>
    </row>
    <row r="273" customFormat="false" ht="15" hidden="false" customHeight="false" outlineLevel="0" collapsed="false">
      <c r="A273" s="5" t="s">
        <v>526</v>
      </c>
      <c r="B273" s="0" t="s">
        <v>27</v>
      </c>
      <c r="C273" s="19" t="n">
        <f aca="false">C270-C272</f>
        <v>1.037</v>
      </c>
      <c r="D273" s="19" t="n">
        <f aca="false">D270-D272</f>
        <v>1.4569</v>
      </c>
      <c r="E273" s="19" t="n">
        <f aca="false">E270-E272</f>
        <v>2.66090724100939</v>
      </c>
      <c r="F273" s="19" t="n">
        <f aca="false">F270-F272</f>
        <v>3.89706822230444</v>
      </c>
      <c r="G273" s="19" t="n">
        <f aca="false">G270-G272</f>
        <v>4.91397955934822</v>
      </c>
    </row>
    <row r="274" customFormat="false" ht="15" hidden="false" customHeight="false" outlineLevel="0" collapsed="false">
      <c r="A274" s="5" t="s">
        <v>491</v>
      </c>
      <c r="B274" s="0" t="s">
        <v>60</v>
      </c>
      <c r="C274" s="16" t="n">
        <f aca="false">C273/C265</f>
        <v>0.178482298067159</v>
      </c>
      <c r="D274" s="16" t="n">
        <f aca="false">D273/D265</f>
        <v>0.204672529572083</v>
      </c>
      <c r="E274" s="16" t="n">
        <f aca="false">E273/E265</f>
        <v>0.240517045108202</v>
      </c>
      <c r="F274" s="16" t="n">
        <f aca="false">F273/F265</f>
        <v>0.263256927601754</v>
      </c>
      <c r="G274" s="16" t="n">
        <f aca="false">G273/G265</f>
        <v>0.271718916406169</v>
      </c>
    </row>
    <row r="275" customFormat="false" ht="15" hidden="false" customHeight="false" outlineLevel="0" collapsed="false">
      <c r="A275" s="5" t="s">
        <v>527</v>
      </c>
      <c r="B275" s="0" t="s">
        <v>27</v>
      </c>
      <c r="C275" s="19" t="n">
        <f aca="false">a25_int</f>
        <v>0.1673</v>
      </c>
      <c r="D275" s="19" t="n">
        <f aca="false">a26_int</f>
        <v>0.1181</v>
      </c>
      <c r="E275" s="19" t="n">
        <f aca="false">int_f</f>
        <v>0.08</v>
      </c>
      <c r="F275" s="19" t="n">
        <f aca="false">int_f</f>
        <v>0.08</v>
      </c>
      <c r="G275" s="19" t="n">
        <f aca="false">int_f</f>
        <v>0.08</v>
      </c>
    </row>
    <row r="276" customFormat="false" ht="15" hidden="false" customHeight="false" outlineLevel="0" collapsed="false">
      <c r="A276" s="5" t="s">
        <v>528</v>
      </c>
      <c r="B276" s="0" t="s">
        <v>27</v>
      </c>
      <c r="C276" s="19" t="n">
        <f aca="false">C273-C275</f>
        <v>0.8697</v>
      </c>
      <c r="D276" s="19" t="n">
        <f aca="false">D273-D275</f>
        <v>1.3388</v>
      </c>
      <c r="E276" s="19" t="n">
        <f aca="false">E273-E275</f>
        <v>2.58090724100939</v>
      </c>
      <c r="F276" s="19" t="n">
        <f aca="false">F273-F275</f>
        <v>3.81706822230444</v>
      </c>
      <c r="G276" s="19" t="n">
        <f aca="false">G273-G275</f>
        <v>4.83397955934822</v>
      </c>
    </row>
    <row r="277" customFormat="false" ht="17.15" hidden="false" customHeight="false" outlineLevel="0" collapsed="false">
      <c r="A277" s="5" t="s">
        <v>529</v>
      </c>
      <c r="B277" s="0" t="s">
        <v>27</v>
      </c>
      <c r="C277" s="19" t="n">
        <f aca="false">a25_ni</f>
        <v>0.6926</v>
      </c>
      <c r="D277" s="19" t="n">
        <f aca="false">a26_ni</f>
        <v>1.0966</v>
      </c>
      <c r="E277" s="19" t="n">
        <f aca="false">E276*(1-tx)+nci</f>
        <v>2.10273486521761</v>
      </c>
      <c r="F277" s="19" t="n">
        <f aca="false">F276*(1-tx)+nci</f>
        <v>3.1040252600666</v>
      </c>
      <c r="G277" s="19" t="n">
        <f aca="false">G276*(1-tx)+nci</f>
        <v>3.92772344307206</v>
      </c>
    </row>
    <row r="278" customFormat="false" ht="15" hidden="false" customHeight="false" outlineLevel="0" collapsed="false">
      <c r="A278" s="5" t="s">
        <v>530</v>
      </c>
      <c r="B278" s="0" t="s">
        <v>60</v>
      </c>
      <c r="C278" s="16" t="n">
        <f aca="false">C277/C265</f>
        <v>0.119206209875906</v>
      </c>
      <c r="D278" s="16" t="n">
        <f aca="false">D277/D265</f>
        <v>0.154055800623753</v>
      </c>
      <c r="E278" s="16" t="n">
        <f aca="false">E277/E265</f>
        <v>0.19006433919744</v>
      </c>
      <c r="F278" s="16" t="n">
        <f aca="false">F277/F265</f>
        <v>0.20968484680008</v>
      </c>
      <c r="G278" s="16" t="n">
        <f aca="false">G277/G265</f>
        <v>0.217183800828875</v>
      </c>
    </row>
    <row r="279" customFormat="false" ht="15" hidden="false" customHeight="false" outlineLevel="0" collapsed="false">
      <c r="A279" s="5" t="s">
        <v>531</v>
      </c>
      <c r="B279" s="0" t="s">
        <v>27</v>
      </c>
      <c r="C279" s="10" t="n">
        <f aca="false">a25_pref</f>
        <v>0.130624</v>
      </c>
      <c r="D279" s="10" t="n">
        <f aca="false">0</f>
        <v>0</v>
      </c>
      <c r="E279" s="10" t="n">
        <f aca="false">0</f>
        <v>0</v>
      </c>
      <c r="F279" s="10" t="n">
        <f aca="false">0</f>
        <v>0</v>
      </c>
      <c r="G279" s="10" t="n">
        <f aca="false">0</f>
        <v>0</v>
      </c>
    </row>
    <row r="280" customFormat="false" ht="15" hidden="false" customHeight="false" outlineLevel="0" collapsed="false">
      <c r="A280" s="5" t="s">
        <v>532</v>
      </c>
      <c r="B280" s="5" t="s">
        <v>251</v>
      </c>
      <c r="C280" s="17" t="n">
        <f aca="false">a25_sh</f>
        <v>0.1592</v>
      </c>
      <c r="D280" s="17" t="n">
        <f aca="false">a26_sh</f>
        <v>0.1954</v>
      </c>
      <c r="E280" s="17" t="n">
        <f aca="false">sh_q4*(1+sh_g)</f>
        <v>0.204222</v>
      </c>
      <c r="F280" s="17" t="n">
        <f aca="false">E280*(1+sh_g)</f>
        <v>0.20626422</v>
      </c>
      <c r="G280" s="17" t="n">
        <f aca="false">F280*(1+sh_g)</f>
        <v>0.2083268622</v>
      </c>
    </row>
    <row r="281" customFormat="false" ht="15" hidden="false" customHeight="false" outlineLevel="0" collapsed="false">
      <c r="A281" s="0" t="s">
        <v>493</v>
      </c>
      <c r="B281" s="0" t="s">
        <v>188</v>
      </c>
      <c r="C281" s="19" t="n">
        <f aca="false">(C277-C279)/C280</f>
        <v>3.53</v>
      </c>
      <c r="D281" s="19" t="n">
        <f aca="false">(D277-D279)/D280</f>
        <v>5.61207778915046</v>
      </c>
      <c r="E281" s="19" t="n">
        <f aca="false">(E277-E279)/E280</f>
        <v>10.2963190313365</v>
      </c>
      <c r="F281" s="19" t="n">
        <f aca="false">(F277-F279)/F280</f>
        <v>15.0487818976389</v>
      </c>
      <c r="G281" s="19" t="n">
        <f aca="false">(G277-G279)/G280</f>
        <v>18.8536581485173</v>
      </c>
    </row>
    <row r="282" customFormat="false" ht="17.15" hidden="false" customHeight="false" outlineLevel="0" collapsed="false">
      <c r="A282" s="0" t="s">
        <v>533</v>
      </c>
      <c r="B282" s="0" t="s">
        <v>60</v>
      </c>
      <c r="D282" s="16" t="n">
        <f aca="false">D281/C281-1</f>
        <v>0.589823736303247</v>
      </c>
      <c r="E282" s="16" t="n">
        <f aca="false">E281/D281-1</f>
        <v>0.834671474305268</v>
      </c>
      <c r="F282" s="16" t="n">
        <f aca="false">F281/E281-1</f>
        <v>0.461569115315712</v>
      </c>
      <c r="G282" s="16" t="n">
        <f aca="false">G281/F281-1</f>
        <v>0.252836161541778</v>
      </c>
    </row>
    <row r="285" customFormat="false" ht="17.15" hidden="false" customHeight="false" outlineLevel="0" collapsed="false">
      <c r="A285" s="3" t="s">
        <v>804</v>
      </c>
    </row>
    <row r="286" customFormat="false" ht="17.15" hidden="false" customHeight="false" outlineLevel="0" collapsed="false">
      <c r="A286" s="6" t="s">
        <v>16</v>
      </c>
      <c r="B286" s="6" t="s">
        <v>17</v>
      </c>
      <c r="C286" s="15" t="s">
        <v>412</v>
      </c>
      <c r="D286" s="15" t="s">
        <v>477</v>
      </c>
      <c r="E286" s="15" t="s">
        <v>478</v>
      </c>
      <c r="F286" s="15" t="s">
        <v>479</v>
      </c>
      <c r="G286" s="15" t="s">
        <v>480</v>
      </c>
      <c r="H286" s="6" t="s">
        <v>418</v>
      </c>
    </row>
    <row r="287" customFormat="false" ht="17.15" hidden="false" customHeight="false" outlineLevel="0" collapsed="false">
      <c r="A287" s="1" t="s">
        <v>503</v>
      </c>
    </row>
    <row r="288" customFormat="false" ht="17.15" hidden="false" customHeight="false" outlineLevel="0" collapsed="false">
      <c r="A288" s="0" t="s">
        <v>504</v>
      </c>
      <c r="B288" s="0" t="s">
        <v>27</v>
      </c>
      <c r="D288" s="19" t="n">
        <f aca="false">mpl_26*1</f>
        <v>29.753262</v>
      </c>
      <c r="E288" s="19" t="n">
        <f aca="false">mpl_27*1*mf_lo</f>
        <v>43.7506472</v>
      </c>
      <c r="F288" s="19" t="n">
        <f aca="false">mpl_28*um28_A*mf_lo</f>
        <v>48.9706</v>
      </c>
      <c r="G288" s="19" t="n">
        <f aca="false">mpl_29*um29_A*mf_lo</f>
        <v>63.046784</v>
      </c>
      <c r="H288" s="5" t="s">
        <v>505</v>
      </c>
    </row>
    <row r="289" customFormat="false" ht="17.15" hidden="false" customHeight="false" outlineLevel="0" collapsed="false">
      <c r="A289" s="0" t="s">
        <v>506</v>
      </c>
      <c r="B289" s="0" t="s">
        <v>27</v>
      </c>
      <c r="D289" s="19" t="n">
        <f aca="false">mcp_26*1</f>
        <v>0.300538</v>
      </c>
      <c r="E289" s="19" t="n">
        <f aca="false">mcp_27*1</f>
        <v>1.691391</v>
      </c>
      <c r="F289" s="19" t="n">
        <f aca="false">mcp_28*um28_A</f>
        <v>3.22175</v>
      </c>
      <c r="G289" s="19" t="n">
        <f aca="false">mcp_29*um29_A</f>
        <v>5.87368</v>
      </c>
    </row>
    <row r="290" customFormat="false" ht="17.15" hidden="false" customHeight="false" outlineLevel="0" collapsed="false">
      <c r="A290" s="0" t="s">
        <v>507</v>
      </c>
      <c r="B290" s="0" t="s">
        <v>60</v>
      </c>
      <c r="D290" s="16" t="n">
        <f aca="false">dc_cy26/D288</f>
        <v>0.146339576728919</v>
      </c>
      <c r="H290" s="8" t="s">
        <v>508</v>
      </c>
    </row>
    <row r="291" customFormat="false" ht="17.15" hidden="false" customHeight="false" outlineLevel="0" collapsed="false">
      <c r="A291" s="5" t="s">
        <v>509</v>
      </c>
      <c r="B291" s="0" t="s">
        <v>71</v>
      </c>
      <c r="D291" s="9" t="n">
        <f aca="false">1</f>
        <v>1</v>
      </c>
      <c r="E291" s="9" t="n">
        <f aca="false">rel_27</f>
        <v>1.1</v>
      </c>
      <c r="F291" s="9" t="n">
        <f aca="false">rel_28</f>
        <v>1.15</v>
      </c>
      <c r="G291" s="9" t="n">
        <f aca="false">rel_29</f>
        <v>1.15</v>
      </c>
    </row>
    <row r="292" customFormat="false" ht="15" hidden="false" customHeight="false" outlineLevel="0" collapsed="false">
      <c r="A292" s="5" t="s">
        <v>510</v>
      </c>
      <c r="B292" s="0" t="s">
        <v>60</v>
      </c>
      <c r="D292" s="16" t="n">
        <f aca="false">$D$290*D291</f>
        <v>0.146339576728919</v>
      </c>
      <c r="E292" s="16" t="n">
        <f aca="false">$D$290*E291</f>
        <v>0.16097353440181</v>
      </c>
      <c r="F292" s="16" t="n">
        <f aca="false">$D$290*F291</f>
        <v>0.168290513238256</v>
      </c>
      <c r="G292" s="16" t="n">
        <f aca="false">$D$290*G291</f>
        <v>0.168290513238256</v>
      </c>
    </row>
    <row r="293" customFormat="false" ht="15" hidden="false" customHeight="false" outlineLevel="0" collapsed="false">
      <c r="A293" s="5" t="s">
        <v>511</v>
      </c>
      <c r="B293" s="0" t="s">
        <v>71</v>
      </c>
      <c r="D293" s="9" t="n">
        <f aca="false">1</f>
        <v>1</v>
      </c>
      <c r="E293" s="9" t="n">
        <f aca="false">pxr_27</f>
        <v>1</v>
      </c>
      <c r="F293" s="9" t="n">
        <f aca="false">pxr_28</f>
        <v>1</v>
      </c>
      <c r="G293" s="9" t="n">
        <f aca="false">pxr_29</f>
        <v>1</v>
      </c>
    </row>
    <row r="294" customFormat="false" ht="17.15" hidden="false" customHeight="false" outlineLevel="0" collapsed="false">
      <c r="A294" s="0" t="s">
        <v>512</v>
      </c>
      <c r="B294" s="0" t="s">
        <v>60</v>
      </c>
      <c r="D294" s="16" t="n">
        <f aca="false">0</f>
        <v>0</v>
      </c>
      <c r="E294" s="16" t="n">
        <f aca="false">cpo_27</f>
        <v>0.1</v>
      </c>
      <c r="F294" s="16" t="n">
        <f aca="false">cpo_28</f>
        <v>0.15</v>
      </c>
      <c r="G294" s="16" t="n">
        <f aca="false">cpo_29</f>
        <v>0.2</v>
      </c>
    </row>
    <row r="295" customFormat="false" ht="15" hidden="false" customHeight="false" outlineLevel="0" collapsed="false">
      <c r="A295" s="5" t="s">
        <v>513</v>
      </c>
      <c r="B295" s="0" t="s">
        <v>27</v>
      </c>
      <c r="D295" s="19" t="n">
        <f aca="false">dc_cy26</f>
        <v>4.35407976738462</v>
      </c>
      <c r="E295" s="19" t="n">
        <f aca="false">E288*E292*E293+E289*E294</f>
        <v>7.21183541215067</v>
      </c>
      <c r="F295" s="19" t="n">
        <f aca="false">F288*F292*F293+F289*F294</f>
        <v>8.72454990758536</v>
      </c>
      <c r="G295" s="19" t="n">
        <f aca="false">G288*G292*G293+G289*G294</f>
        <v>11.7849116373815</v>
      </c>
    </row>
    <row r="296" customFormat="false" ht="17.15" hidden="false" customHeight="false" outlineLevel="0" collapsed="false">
      <c r="A296" s="1" t="s">
        <v>514</v>
      </c>
    </row>
    <row r="297" customFormat="false" ht="17.15" hidden="false" customHeight="false" outlineLevel="0" collapsed="false">
      <c r="A297" s="5" t="s">
        <v>515</v>
      </c>
      <c r="B297" s="0" t="s">
        <v>27</v>
      </c>
      <c r="C297" s="19" t="n">
        <f aca="false">a25_dc</f>
        <v>2.27542010638806</v>
      </c>
      <c r="D297" s="19" t="n">
        <f aca="false">a26_dc</f>
        <v>3.19608300307692</v>
      </c>
      <c r="E297" s="19" t="n">
        <f aca="false">h1_27+hw*E295</f>
        <v>5.88600282620469</v>
      </c>
      <c r="F297" s="19" t="n">
        <f aca="false">(1-hw)*E295+hw*F295</f>
        <v>7.90768408005063</v>
      </c>
      <c r="G297" s="19" t="n">
        <f aca="false">(1-hw)*F295+hw*G295</f>
        <v>10.1323163032916</v>
      </c>
      <c r="H297" s="8" t="s">
        <v>516</v>
      </c>
    </row>
    <row r="298" customFormat="false" ht="15" hidden="false" customHeight="false" outlineLevel="0" collapsed="false">
      <c r="A298" s="5" t="s">
        <v>517</v>
      </c>
      <c r="B298" s="0" t="s">
        <v>27</v>
      </c>
      <c r="C298" s="19" t="n">
        <f aca="false">a25_com</f>
        <v>1.47977989361194</v>
      </c>
      <c r="D298" s="19" t="n">
        <f aca="false">a26_com</f>
        <v>2.07851699692308</v>
      </c>
      <c r="E298" s="19" t="n">
        <f aca="false">D298*(1+g_com_27)</f>
        <v>2.49422039630769</v>
      </c>
      <c r="F298" s="19" t="n">
        <f aca="false">E298*(1+g_com_28)</f>
        <v>2.79352684386461</v>
      </c>
      <c r="G298" s="19" t="n">
        <f aca="false">F298*(1+g_com_29)</f>
        <v>3.01700899137378</v>
      </c>
    </row>
    <row r="299" customFormat="false" ht="17.15" hidden="false" customHeight="false" outlineLevel="0" collapsed="false">
      <c r="A299" s="5" t="s">
        <v>518</v>
      </c>
      <c r="B299" s="0" t="s">
        <v>27</v>
      </c>
      <c r="C299" s="19" t="n">
        <f aca="false">a25_ind</f>
        <v>2.0549</v>
      </c>
      <c r="D299" s="19" t="n">
        <f aca="false">a26_ind</f>
        <v>1.8436</v>
      </c>
      <c r="E299" s="19" t="n">
        <f aca="false">ind_run*(1+g_ind_27)</f>
        <v>1.75644</v>
      </c>
      <c r="F299" s="19" t="n">
        <f aca="false">E299*(1+g_ind_28)</f>
        <v>1.844262</v>
      </c>
      <c r="G299" s="19" t="n">
        <f aca="false">F299*(1+g_ind_29)</f>
        <v>1.9364751</v>
      </c>
    </row>
    <row r="300" customFormat="false" ht="15" hidden="false" customHeight="false" outlineLevel="0" collapsed="false">
      <c r="A300" s="5" t="s">
        <v>419</v>
      </c>
      <c r="B300" s="0" t="s">
        <v>27</v>
      </c>
      <c r="C300" s="19" t="n">
        <f aca="false">C297+C298+C299</f>
        <v>5.8101</v>
      </c>
      <c r="D300" s="19" t="n">
        <f aca="false">D297+D298+D299</f>
        <v>7.1182</v>
      </c>
      <c r="E300" s="19" t="n">
        <f aca="false">E297+E298+E299</f>
        <v>10.1366632225124</v>
      </c>
      <c r="F300" s="19" t="n">
        <f aca="false">F297+F298+F299</f>
        <v>12.5454729239152</v>
      </c>
      <c r="G300" s="19" t="n">
        <f aca="false">G297+G298+G299</f>
        <v>15.0858003946654</v>
      </c>
    </row>
    <row r="301" customFormat="false" ht="15" hidden="false" customHeight="false" outlineLevel="0" collapsed="false">
      <c r="A301" s="5" t="s">
        <v>519</v>
      </c>
      <c r="B301" s="0" t="s">
        <v>60</v>
      </c>
      <c r="D301" s="16" t="n">
        <f aca="false">D300/C300-1</f>
        <v>0.225142424398892</v>
      </c>
      <c r="E301" s="16" t="n">
        <f aca="false">E300/D300-1</f>
        <v>0.424048667150738</v>
      </c>
      <c r="F301" s="16" t="n">
        <f aca="false">F300/E300-1</f>
        <v>0.237633395578652</v>
      </c>
      <c r="G301" s="16" t="n">
        <f aca="false">G300/F300-1</f>
        <v>0.202489574219839</v>
      </c>
    </row>
    <row r="302" customFormat="false" ht="17.15" hidden="false" customHeight="false" outlineLevel="0" collapsed="false">
      <c r="A302" s="5" t="s">
        <v>520</v>
      </c>
      <c r="B302" s="0" t="s">
        <v>60</v>
      </c>
      <c r="C302" s="16" t="n">
        <f aca="false">C297/C300</f>
        <v>0.391631831876914</v>
      </c>
      <c r="D302" s="16" t="n">
        <f aca="false">D297/D300</f>
        <v>0.449001573863747</v>
      </c>
      <c r="E302" s="16" t="n">
        <f aca="false">E297/E300</f>
        <v>0.58066473128283</v>
      </c>
      <c r="F302" s="16" t="n">
        <f aca="false">F297/F300</f>
        <v>0.63032172067235</v>
      </c>
      <c r="G302" s="16" t="n">
        <f aca="false">G297/G300</f>
        <v>0.671645921211749</v>
      </c>
    </row>
    <row r="303" customFormat="false" ht="17.15" hidden="false" customHeight="false" outlineLevel="0" collapsed="false">
      <c r="A303" s="1" t="s">
        <v>521</v>
      </c>
    </row>
    <row r="304" customFormat="false" ht="17.15" hidden="false" customHeight="false" outlineLevel="0" collapsed="false">
      <c r="A304" s="5" t="s">
        <v>490</v>
      </c>
      <c r="B304" s="0" t="s">
        <v>60</v>
      </c>
      <c r="C304" s="16" t="n">
        <f aca="false">a25_gp/a25_rev</f>
        <v>0.379046832240409</v>
      </c>
      <c r="D304" s="16" t="n">
        <f aca="false">a26_gp/a26_rev</f>
        <v>0.394271023573375</v>
      </c>
      <c r="E304" s="16" t="n">
        <f aca="false">gm_27</f>
        <v>0.41</v>
      </c>
      <c r="F304" s="16" t="n">
        <f aca="false">gm_28</f>
        <v>0.42</v>
      </c>
      <c r="G304" s="16" t="n">
        <f aca="false">gm_29</f>
        <v>0.42</v>
      </c>
      <c r="H304" s="8" t="s">
        <v>522</v>
      </c>
    </row>
    <row r="305" customFormat="false" ht="15" hidden="false" customHeight="false" outlineLevel="0" collapsed="false">
      <c r="A305" s="5" t="s">
        <v>523</v>
      </c>
      <c r="B305" s="0" t="s">
        <v>27</v>
      </c>
      <c r="C305" s="19" t="n">
        <f aca="false">C300*C304</f>
        <v>2.2023</v>
      </c>
      <c r="D305" s="19" t="n">
        <f aca="false">D300*D304</f>
        <v>2.8065</v>
      </c>
      <c r="E305" s="19" t="n">
        <f aca="false">E300*E304</f>
        <v>4.15603192123008</v>
      </c>
      <c r="F305" s="19" t="n">
        <f aca="false">F300*F304</f>
        <v>5.2690986280444</v>
      </c>
      <c r="G305" s="19" t="n">
        <f aca="false">G300*G304</f>
        <v>6.33603616575945</v>
      </c>
    </row>
    <row r="306" customFormat="false" ht="15" hidden="false" customHeight="false" outlineLevel="0" collapsed="false">
      <c r="A306" s="5" t="s">
        <v>524</v>
      </c>
      <c r="B306" s="0" t="s">
        <v>27</v>
      </c>
      <c r="C306" s="19" t="n">
        <f aca="false">a25_opx</f>
        <v>1.1653</v>
      </c>
      <c r="D306" s="19" t="n">
        <f aca="false">a26_opx</f>
        <v>1.3496</v>
      </c>
      <c r="E306" s="19" t="n">
        <f aca="false">D306*(1+MAX(0,phi*E301))</f>
        <v>1.75162311329094</v>
      </c>
      <c r="F306" s="19" t="n">
        <f aca="false">E306*(1+MAX(0,phi*F301))</f>
        <v>2.04402380210161</v>
      </c>
      <c r="G306" s="19" t="n">
        <f aca="false">F306*(1+MAX(0,phi*G301))</f>
        <v>2.33477322828667</v>
      </c>
    </row>
    <row r="307" customFormat="false" ht="15" hidden="false" customHeight="false" outlineLevel="0" collapsed="false">
      <c r="A307" s="5" t="s">
        <v>525</v>
      </c>
      <c r="B307" s="0" t="s">
        <v>27</v>
      </c>
      <c r="C307" s="19" t="n">
        <f aca="false">C306</f>
        <v>1.1653</v>
      </c>
      <c r="D307" s="19" t="n">
        <f aca="false">D306</f>
        <v>1.3496</v>
      </c>
      <c r="E307" s="19" t="n">
        <f aca="false">E306+0*E300</f>
        <v>1.75162311329094</v>
      </c>
      <c r="F307" s="19" t="n">
        <f aca="false">F306+0*F300</f>
        <v>2.04402380210161</v>
      </c>
      <c r="G307" s="19" t="n">
        <f aca="false">G306+0*G300</f>
        <v>2.33477322828667</v>
      </c>
    </row>
    <row r="308" customFormat="false" ht="15" hidden="false" customHeight="false" outlineLevel="0" collapsed="false">
      <c r="A308" s="5" t="s">
        <v>526</v>
      </c>
      <c r="B308" s="0" t="s">
        <v>27</v>
      </c>
      <c r="C308" s="19" t="n">
        <f aca="false">C305-C307</f>
        <v>1.037</v>
      </c>
      <c r="D308" s="19" t="n">
        <f aca="false">D305-D307</f>
        <v>1.4569</v>
      </c>
      <c r="E308" s="19" t="n">
        <f aca="false">E305-E307</f>
        <v>2.40440880793914</v>
      </c>
      <c r="F308" s="19" t="n">
        <f aca="false">F305-F307</f>
        <v>3.22507482594279</v>
      </c>
      <c r="G308" s="19" t="n">
        <f aca="false">G305-G307</f>
        <v>4.00126293747278</v>
      </c>
    </row>
    <row r="309" customFormat="false" ht="15" hidden="false" customHeight="false" outlineLevel="0" collapsed="false">
      <c r="A309" s="5" t="s">
        <v>491</v>
      </c>
      <c r="B309" s="0" t="s">
        <v>60</v>
      </c>
      <c r="C309" s="16" t="n">
        <f aca="false">C308/C300</f>
        <v>0.178482298067159</v>
      </c>
      <c r="D309" s="16" t="n">
        <f aca="false">D308/D300</f>
        <v>0.204672529572083</v>
      </c>
      <c r="E309" s="16" t="n">
        <f aca="false">E308/E300</f>
        <v>0.237199239548495</v>
      </c>
      <c r="F309" s="16" t="n">
        <f aca="false">F308/F300</f>
        <v>0.257070805182233</v>
      </c>
      <c r="G309" s="16" t="n">
        <f aca="false">G308/G300</f>
        <v>0.265233718648943</v>
      </c>
    </row>
    <row r="310" customFormat="false" ht="15" hidden="false" customHeight="false" outlineLevel="0" collapsed="false">
      <c r="A310" s="5" t="s">
        <v>527</v>
      </c>
      <c r="B310" s="0" t="s">
        <v>27</v>
      </c>
      <c r="C310" s="19" t="n">
        <f aca="false">a25_int</f>
        <v>0.1673</v>
      </c>
      <c r="D310" s="19" t="n">
        <f aca="false">a26_int</f>
        <v>0.1181</v>
      </c>
      <c r="E310" s="19" t="n">
        <f aca="false">int_f</f>
        <v>0.08</v>
      </c>
      <c r="F310" s="19" t="n">
        <f aca="false">int_f</f>
        <v>0.08</v>
      </c>
      <c r="G310" s="19" t="n">
        <f aca="false">int_f</f>
        <v>0.08</v>
      </c>
    </row>
    <row r="311" customFormat="false" ht="15" hidden="false" customHeight="false" outlineLevel="0" collapsed="false">
      <c r="A311" s="5" t="s">
        <v>528</v>
      </c>
      <c r="B311" s="0" t="s">
        <v>27</v>
      </c>
      <c r="C311" s="19" t="n">
        <f aca="false">C308-C310</f>
        <v>0.8697</v>
      </c>
      <c r="D311" s="19" t="n">
        <f aca="false">D308-D310</f>
        <v>1.3388</v>
      </c>
      <c r="E311" s="19" t="n">
        <f aca="false">E308-E310</f>
        <v>2.32440880793914</v>
      </c>
      <c r="F311" s="19" t="n">
        <f aca="false">F308-F310</f>
        <v>3.14507482594279</v>
      </c>
      <c r="G311" s="19" t="n">
        <f aca="false">G308-G310</f>
        <v>3.92126293747278</v>
      </c>
    </row>
    <row r="312" customFormat="false" ht="17.15" hidden="false" customHeight="false" outlineLevel="0" collapsed="false">
      <c r="A312" s="5" t="s">
        <v>529</v>
      </c>
      <c r="B312" s="0" t="s">
        <v>27</v>
      </c>
      <c r="C312" s="19" t="n">
        <f aca="false">a25_ni</f>
        <v>0.6926</v>
      </c>
      <c r="D312" s="19" t="n">
        <f aca="false">a26_ni</f>
        <v>1.0966</v>
      </c>
      <c r="E312" s="19" t="n">
        <f aca="false">E311*(1-tx)+nci</f>
        <v>1.8949711344307</v>
      </c>
      <c r="F312" s="19" t="n">
        <f aca="false">F311*(1-tx)+nci</f>
        <v>2.55971060901366</v>
      </c>
      <c r="G312" s="19" t="n">
        <f aca="false">G311*(1-tx)+nci</f>
        <v>3.18842297935295</v>
      </c>
    </row>
    <row r="313" customFormat="false" ht="15" hidden="false" customHeight="false" outlineLevel="0" collapsed="false">
      <c r="A313" s="5" t="s">
        <v>530</v>
      </c>
      <c r="B313" s="0" t="s">
        <v>60</v>
      </c>
      <c r="C313" s="16" t="n">
        <f aca="false">C312/C300</f>
        <v>0.119206209875906</v>
      </c>
      <c r="D313" s="16" t="n">
        <f aca="false">D312/D300</f>
        <v>0.154055800623753</v>
      </c>
      <c r="E313" s="16" t="n">
        <f aca="false">E312/E300</f>
        <v>0.186942299732538</v>
      </c>
      <c r="F313" s="16" t="n">
        <f aca="false">F312/F300</f>
        <v>0.204034604716585</v>
      </c>
      <c r="G313" s="16" t="n">
        <f aca="false">G312/G300</f>
        <v>0.211352589583542</v>
      </c>
    </row>
    <row r="314" customFormat="false" ht="15" hidden="false" customHeight="false" outlineLevel="0" collapsed="false">
      <c r="A314" s="5" t="s">
        <v>531</v>
      </c>
      <c r="B314" s="0" t="s">
        <v>27</v>
      </c>
      <c r="C314" s="10" t="n">
        <f aca="false">a25_pref</f>
        <v>0.130624</v>
      </c>
      <c r="D314" s="10" t="n">
        <f aca="false">0</f>
        <v>0</v>
      </c>
      <c r="E314" s="10" t="n">
        <f aca="false">0</f>
        <v>0</v>
      </c>
      <c r="F314" s="10" t="n">
        <f aca="false">0</f>
        <v>0</v>
      </c>
      <c r="G314" s="10" t="n">
        <f aca="false">0</f>
        <v>0</v>
      </c>
    </row>
    <row r="315" customFormat="false" ht="15" hidden="false" customHeight="false" outlineLevel="0" collapsed="false">
      <c r="A315" s="5" t="s">
        <v>532</v>
      </c>
      <c r="B315" s="5" t="s">
        <v>251</v>
      </c>
      <c r="C315" s="17" t="n">
        <f aca="false">a25_sh</f>
        <v>0.1592</v>
      </c>
      <c r="D315" s="17" t="n">
        <f aca="false">a26_sh</f>
        <v>0.1954</v>
      </c>
      <c r="E315" s="17" t="n">
        <f aca="false">sh_q4*(1+sh_g)</f>
        <v>0.204222</v>
      </c>
      <c r="F315" s="17" t="n">
        <f aca="false">E315*(1+sh_g)</f>
        <v>0.20626422</v>
      </c>
      <c r="G315" s="17" t="n">
        <f aca="false">F315*(1+sh_g)</f>
        <v>0.2083268622</v>
      </c>
    </row>
    <row r="316" customFormat="false" ht="15" hidden="false" customHeight="false" outlineLevel="0" collapsed="false">
      <c r="A316" s="0" t="s">
        <v>493</v>
      </c>
      <c r="B316" s="0" t="s">
        <v>188</v>
      </c>
      <c r="C316" s="19" t="n">
        <f aca="false">(C312-C314)/C315</f>
        <v>3.53</v>
      </c>
      <c r="D316" s="19" t="n">
        <f aca="false">(D312-D314)/D315</f>
        <v>5.61207778915046</v>
      </c>
      <c r="E316" s="19" t="n">
        <f aca="false">(E312-E314)/E315</f>
        <v>9.2789764786884</v>
      </c>
      <c r="F316" s="19" t="n">
        <f aca="false">(F312-F314)/F315</f>
        <v>12.4098625006977</v>
      </c>
      <c r="G316" s="19" t="n">
        <f aca="false">(G312-G314)/G315</f>
        <v>15.3049056933041</v>
      </c>
    </row>
    <row r="317" customFormat="false" ht="17.15" hidden="false" customHeight="false" outlineLevel="0" collapsed="false">
      <c r="A317" s="0" t="s">
        <v>533</v>
      </c>
      <c r="B317" s="0" t="s">
        <v>60</v>
      </c>
      <c r="D317" s="16" t="n">
        <f aca="false">D316/C316-1</f>
        <v>0.589823736303247</v>
      </c>
      <c r="E317" s="16" t="n">
        <f aca="false">E316/D316-1</f>
        <v>0.653394130891586</v>
      </c>
      <c r="F317" s="16" t="n">
        <f aca="false">F316/E316-1</f>
        <v>0.337417174103222</v>
      </c>
      <c r="G317" s="16" t="n">
        <f aca="false">G316/F316-1</f>
        <v>0.233285678422593</v>
      </c>
    </row>
    <row r="320" customFormat="false" ht="17.15" hidden="false" customHeight="false" outlineLevel="0" collapsed="false">
      <c r="A320" s="3" t="s">
        <v>805</v>
      </c>
    </row>
    <row r="321" customFormat="false" ht="17.15" hidden="false" customHeight="false" outlineLevel="0" collapsed="false">
      <c r="A321" s="6" t="s">
        <v>16</v>
      </c>
      <c r="B321" s="6" t="s">
        <v>17</v>
      </c>
      <c r="C321" s="15" t="s">
        <v>412</v>
      </c>
      <c r="D321" s="15" t="s">
        <v>477</v>
      </c>
      <c r="E321" s="15" t="s">
        <v>478</v>
      </c>
      <c r="F321" s="15" t="s">
        <v>479</v>
      </c>
      <c r="G321" s="15" t="s">
        <v>480</v>
      </c>
      <c r="H321" s="6" t="s">
        <v>418</v>
      </c>
    </row>
    <row r="322" customFormat="false" ht="17.15" hidden="false" customHeight="false" outlineLevel="0" collapsed="false">
      <c r="A322" s="1" t="s">
        <v>503</v>
      </c>
    </row>
    <row r="323" customFormat="false" ht="17.15" hidden="false" customHeight="false" outlineLevel="0" collapsed="false">
      <c r="A323" s="0" t="s">
        <v>504</v>
      </c>
      <c r="B323" s="0" t="s">
        <v>27</v>
      </c>
      <c r="D323" s="19" t="n">
        <f aca="false">mpl_26*1</f>
        <v>29.753262</v>
      </c>
      <c r="E323" s="19" t="n">
        <f aca="false">mpl_27*1*mf_hi</f>
        <v>65.6259708</v>
      </c>
      <c r="F323" s="19" t="n">
        <f aca="false">mpl_28*um28_A*mf_hi</f>
        <v>73.4559</v>
      </c>
      <c r="G323" s="19" t="n">
        <f aca="false">mpl_29*um29_A*mf_hi</f>
        <v>94.570176</v>
      </c>
      <c r="H323" s="5" t="s">
        <v>505</v>
      </c>
    </row>
    <row r="324" customFormat="false" ht="17.15" hidden="false" customHeight="false" outlineLevel="0" collapsed="false">
      <c r="A324" s="0" t="s">
        <v>506</v>
      </c>
      <c r="B324" s="0" t="s">
        <v>27</v>
      </c>
      <c r="D324" s="19" t="n">
        <f aca="false">mcp_26*1</f>
        <v>0.300538</v>
      </c>
      <c r="E324" s="19" t="n">
        <f aca="false">mcp_27*1</f>
        <v>1.691391</v>
      </c>
      <c r="F324" s="19" t="n">
        <f aca="false">mcp_28*um28_A</f>
        <v>3.22175</v>
      </c>
      <c r="G324" s="19" t="n">
        <f aca="false">mcp_29*um29_A</f>
        <v>5.87368</v>
      </c>
    </row>
    <row r="325" customFormat="false" ht="17.15" hidden="false" customHeight="false" outlineLevel="0" collapsed="false">
      <c r="A325" s="0" t="s">
        <v>507</v>
      </c>
      <c r="B325" s="0" t="s">
        <v>60</v>
      </c>
      <c r="D325" s="16" t="n">
        <f aca="false">dc_cy26/D323</f>
        <v>0.146339576728919</v>
      </c>
      <c r="H325" s="8" t="s">
        <v>508</v>
      </c>
    </row>
    <row r="326" customFormat="false" ht="17.15" hidden="false" customHeight="false" outlineLevel="0" collapsed="false">
      <c r="A326" s="5" t="s">
        <v>509</v>
      </c>
      <c r="B326" s="0" t="s">
        <v>71</v>
      </c>
      <c r="D326" s="9" t="n">
        <f aca="false">1</f>
        <v>1</v>
      </c>
      <c r="E326" s="9" t="n">
        <f aca="false">rel_27</f>
        <v>1.1</v>
      </c>
      <c r="F326" s="9" t="n">
        <f aca="false">rel_28</f>
        <v>1.15</v>
      </c>
      <c r="G326" s="9" t="n">
        <f aca="false">rel_29</f>
        <v>1.15</v>
      </c>
    </row>
    <row r="327" customFormat="false" ht="15" hidden="false" customHeight="false" outlineLevel="0" collapsed="false">
      <c r="A327" s="5" t="s">
        <v>510</v>
      </c>
      <c r="B327" s="0" t="s">
        <v>60</v>
      </c>
      <c r="D327" s="16" t="n">
        <f aca="false">$D$325*D326</f>
        <v>0.146339576728919</v>
      </c>
      <c r="E327" s="16" t="n">
        <f aca="false">$D$325*E326</f>
        <v>0.16097353440181</v>
      </c>
      <c r="F327" s="16" t="n">
        <f aca="false">$D$325*F326</f>
        <v>0.168290513238256</v>
      </c>
      <c r="G327" s="16" t="n">
        <f aca="false">$D$325*G326</f>
        <v>0.168290513238256</v>
      </c>
    </row>
    <row r="328" customFormat="false" ht="15" hidden="false" customHeight="false" outlineLevel="0" collapsed="false">
      <c r="A328" s="5" t="s">
        <v>511</v>
      </c>
      <c r="B328" s="0" t="s">
        <v>71</v>
      </c>
      <c r="D328" s="9" t="n">
        <f aca="false">1</f>
        <v>1</v>
      </c>
      <c r="E328" s="9" t="n">
        <f aca="false">pxr_27</f>
        <v>1</v>
      </c>
      <c r="F328" s="9" t="n">
        <f aca="false">pxr_28</f>
        <v>1</v>
      </c>
      <c r="G328" s="9" t="n">
        <f aca="false">pxr_29</f>
        <v>1</v>
      </c>
    </row>
    <row r="329" customFormat="false" ht="17.15" hidden="false" customHeight="false" outlineLevel="0" collapsed="false">
      <c r="A329" s="0" t="s">
        <v>512</v>
      </c>
      <c r="B329" s="0" t="s">
        <v>60</v>
      </c>
      <c r="D329" s="16" t="n">
        <f aca="false">0</f>
        <v>0</v>
      </c>
      <c r="E329" s="16" t="n">
        <f aca="false">cpo_27</f>
        <v>0.1</v>
      </c>
      <c r="F329" s="16" t="n">
        <f aca="false">cpo_28</f>
        <v>0.15</v>
      </c>
      <c r="G329" s="16" t="n">
        <f aca="false">cpo_29</f>
        <v>0.2</v>
      </c>
    </row>
    <row r="330" customFormat="false" ht="15" hidden="false" customHeight="false" outlineLevel="0" collapsed="false">
      <c r="A330" s="5" t="s">
        <v>513</v>
      </c>
      <c r="B330" s="0" t="s">
        <v>27</v>
      </c>
      <c r="D330" s="19" t="n">
        <f aca="false">dc_cy26</f>
        <v>4.35407976738462</v>
      </c>
      <c r="E330" s="19" t="n">
        <f aca="false">E323*E327*E328+E324*E329</f>
        <v>10.733183568226</v>
      </c>
      <c r="F330" s="19" t="n">
        <f aca="false">F323*F327*F328+F324*F329</f>
        <v>12.845193611378</v>
      </c>
      <c r="G330" s="19" t="n">
        <f aca="false">G323*G327*G328+G324*G329</f>
        <v>17.0899994560722</v>
      </c>
    </row>
    <row r="331" customFormat="false" ht="17.15" hidden="false" customHeight="false" outlineLevel="0" collapsed="false">
      <c r="A331" s="1" t="s">
        <v>514</v>
      </c>
    </row>
    <row r="332" customFormat="false" ht="17.15" hidden="false" customHeight="false" outlineLevel="0" collapsed="false">
      <c r="A332" s="5" t="s">
        <v>515</v>
      </c>
      <c r="B332" s="0" t="s">
        <v>27</v>
      </c>
      <c r="C332" s="19" t="n">
        <f aca="false">a25_dc</f>
        <v>2.27542010638806</v>
      </c>
      <c r="D332" s="19" t="n">
        <f aca="false">a26_dc</f>
        <v>3.19608300307692</v>
      </c>
      <c r="E332" s="19" t="n">
        <f aca="false">h1_27+hw*E330</f>
        <v>7.50582297799935</v>
      </c>
      <c r="F332" s="19" t="n">
        <f aca="false">(1-hw)*E330+hw*F330</f>
        <v>11.7047081880759</v>
      </c>
      <c r="G332" s="19" t="n">
        <f aca="false">(1-hw)*F330+hw*G330</f>
        <v>14.7978042999374</v>
      </c>
      <c r="H332" s="8" t="s">
        <v>516</v>
      </c>
    </row>
    <row r="333" customFormat="false" ht="15" hidden="false" customHeight="false" outlineLevel="0" collapsed="false">
      <c r="A333" s="5" t="s">
        <v>517</v>
      </c>
      <c r="B333" s="0" t="s">
        <v>27</v>
      </c>
      <c r="C333" s="19" t="n">
        <f aca="false">a25_com</f>
        <v>1.47977989361194</v>
      </c>
      <c r="D333" s="19" t="n">
        <f aca="false">a26_com</f>
        <v>2.07851699692308</v>
      </c>
      <c r="E333" s="19" t="n">
        <f aca="false">D333*(1+g_com_27)</f>
        <v>2.49422039630769</v>
      </c>
      <c r="F333" s="19" t="n">
        <f aca="false">E333*(1+g_com_28)</f>
        <v>2.79352684386461</v>
      </c>
      <c r="G333" s="19" t="n">
        <f aca="false">F333*(1+g_com_29)</f>
        <v>3.01700899137378</v>
      </c>
    </row>
    <row r="334" customFormat="false" ht="17.15" hidden="false" customHeight="false" outlineLevel="0" collapsed="false">
      <c r="A334" s="5" t="s">
        <v>518</v>
      </c>
      <c r="B334" s="0" t="s">
        <v>27</v>
      </c>
      <c r="C334" s="19" t="n">
        <f aca="false">a25_ind</f>
        <v>2.0549</v>
      </c>
      <c r="D334" s="19" t="n">
        <f aca="false">a26_ind</f>
        <v>1.8436</v>
      </c>
      <c r="E334" s="19" t="n">
        <f aca="false">ind_run*(1+g_ind_27)</f>
        <v>1.75644</v>
      </c>
      <c r="F334" s="19" t="n">
        <f aca="false">E334*(1+g_ind_28)</f>
        <v>1.844262</v>
      </c>
      <c r="G334" s="19" t="n">
        <f aca="false">F334*(1+g_ind_29)</f>
        <v>1.9364751</v>
      </c>
    </row>
    <row r="335" customFormat="false" ht="15" hidden="false" customHeight="false" outlineLevel="0" collapsed="false">
      <c r="A335" s="5" t="s">
        <v>419</v>
      </c>
      <c r="B335" s="0" t="s">
        <v>27</v>
      </c>
      <c r="C335" s="19" t="n">
        <f aca="false">C332+C333+C334</f>
        <v>5.8101</v>
      </c>
      <c r="D335" s="19" t="n">
        <f aca="false">D332+D333+D334</f>
        <v>7.1182</v>
      </c>
      <c r="E335" s="19" t="n">
        <f aca="false">E332+E333+E334</f>
        <v>11.756483374307</v>
      </c>
      <c r="F335" s="19" t="n">
        <f aca="false">F332+F333+F334</f>
        <v>16.3424970319406</v>
      </c>
      <c r="G335" s="19" t="n">
        <f aca="false">G332+G333+G334</f>
        <v>19.7512883913112</v>
      </c>
    </row>
    <row r="336" customFormat="false" ht="15" hidden="false" customHeight="false" outlineLevel="0" collapsed="false">
      <c r="A336" s="5" t="s">
        <v>519</v>
      </c>
      <c r="B336" s="0" t="s">
        <v>60</v>
      </c>
      <c r="D336" s="16" t="n">
        <f aca="false">D335/C335-1</f>
        <v>0.225142424398892</v>
      </c>
      <c r="E336" s="16" t="n">
        <f aca="false">E335/D335-1</f>
        <v>0.651609026763373</v>
      </c>
      <c r="F336" s="16" t="n">
        <f aca="false">F335/E335-1</f>
        <v>0.390083795606424</v>
      </c>
      <c r="G336" s="16" t="n">
        <f aca="false">G335/F335-1</f>
        <v>0.208584486979456</v>
      </c>
    </row>
    <row r="337" customFormat="false" ht="17.15" hidden="false" customHeight="false" outlineLevel="0" collapsed="false">
      <c r="A337" s="5" t="s">
        <v>520</v>
      </c>
      <c r="B337" s="0" t="s">
        <v>60</v>
      </c>
      <c r="C337" s="16" t="n">
        <f aca="false">C332/C335</f>
        <v>0.391631831876914</v>
      </c>
      <c r="D337" s="16" t="n">
        <f aca="false">D332/D335</f>
        <v>0.449001573863747</v>
      </c>
      <c r="E337" s="16" t="n">
        <f aca="false">E332/E335</f>
        <v>0.638441168079461</v>
      </c>
      <c r="F337" s="16" t="n">
        <f aca="false">F332/F335</f>
        <v>0.716212960920213</v>
      </c>
      <c r="G337" s="16" t="n">
        <f aca="false">G332/G335</f>
        <v>0.749207039397345</v>
      </c>
    </row>
    <row r="338" customFormat="false" ht="17.15" hidden="false" customHeight="false" outlineLevel="0" collapsed="false">
      <c r="A338" s="1" t="s">
        <v>521</v>
      </c>
    </row>
    <row r="339" customFormat="false" ht="17.15" hidden="false" customHeight="false" outlineLevel="0" collapsed="false">
      <c r="A339" s="5" t="s">
        <v>490</v>
      </c>
      <c r="B339" s="0" t="s">
        <v>60</v>
      </c>
      <c r="C339" s="16" t="n">
        <f aca="false">a25_gp/a25_rev</f>
        <v>0.379046832240409</v>
      </c>
      <c r="D339" s="16" t="n">
        <f aca="false">a26_gp/a26_rev</f>
        <v>0.394271023573375</v>
      </c>
      <c r="E339" s="16" t="n">
        <f aca="false">gm_27</f>
        <v>0.41</v>
      </c>
      <c r="F339" s="16" t="n">
        <f aca="false">gm_28</f>
        <v>0.42</v>
      </c>
      <c r="G339" s="16" t="n">
        <f aca="false">gm_29</f>
        <v>0.42</v>
      </c>
      <c r="H339" s="8" t="s">
        <v>522</v>
      </c>
    </row>
    <row r="340" customFormat="false" ht="15" hidden="false" customHeight="false" outlineLevel="0" collapsed="false">
      <c r="A340" s="5" t="s">
        <v>523</v>
      </c>
      <c r="B340" s="0" t="s">
        <v>27</v>
      </c>
      <c r="C340" s="19" t="n">
        <f aca="false">C335*C339</f>
        <v>2.2023</v>
      </c>
      <c r="D340" s="19" t="n">
        <f aca="false">D335*D339</f>
        <v>2.8065</v>
      </c>
      <c r="E340" s="19" t="n">
        <f aca="false">E335*E339</f>
        <v>4.82015818346589</v>
      </c>
      <c r="F340" s="19" t="n">
        <f aca="false">F335*F339</f>
        <v>6.86384875341503</v>
      </c>
      <c r="G340" s="19" t="n">
        <f aca="false">G335*G339</f>
        <v>8.29554112435068</v>
      </c>
    </row>
    <row r="341" customFormat="false" ht="15" hidden="false" customHeight="false" outlineLevel="0" collapsed="false">
      <c r="A341" s="5" t="s">
        <v>524</v>
      </c>
      <c r="B341" s="0" t="s">
        <v>27</v>
      </c>
      <c r="C341" s="19" t="n">
        <f aca="false">a25_opx</f>
        <v>1.1653</v>
      </c>
      <c r="D341" s="19" t="n">
        <f aca="false">a26_opx</f>
        <v>1.3496</v>
      </c>
      <c r="E341" s="19" t="n">
        <f aca="false">D341*(1+MAX(0,phi*E336))</f>
        <v>1.96736373770506</v>
      </c>
      <c r="F341" s="19" t="n">
        <f aca="false">E341*(1+MAX(0,phi*F336))</f>
        <v>2.50646807061188</v>
      </c>
      <c r="G341" s="19" t="n">
        <f aca="false">F341*(1+MAX(0,phi*G336))</f>
        <v>2.87372874938665</v>
      </c>
    </row>
    <row r="342" customFormat="false" ht="15" hidden="false" customHeight="false" outlineLevel="0" collapsed="false">
      <c r="A342" s="5" t="s">
        <v>525</v>
      </c>
      <c r="B342" s="0" t="s">
        <v>27</v>
      </c>
      <c r="C342" s="19" t="n">
        <f aca="false">C341</f>
        <v>1.1653</v>
      </c>
      <c r="D342" s="19" t="n">
        <f aca="false">D341</f>
        <v>1.3496</v>
      </c>
      <c r="E342" s="19" t="n">
        <f aca="false">E341+0*E335</f>
        <v>1.96736373770506</v>
      </c>
      <c r="F342" s="19" t="n">
        <f aca="false">F341+0*F335</f>
        <v>2.50646807061188</v>
      </c>
      <c r="G342" s="19" t="n">
        <f aca="false">G341+0*G335</f>
        <v>2.87372874938665</v>
      </c>
    </row>
    <row r="343" customFormat="false" ht="15" hidden="false" customHeight="false" outlineLevel="0" collapsed="false">
      <c r="A343" s="5" t="s">
        <v>526</v>
      </c>
      <c r="B343" s="0" t="s">
        <v>27</v>
      </c>
      <c r="C343" s="19" t="n">
        <f aca="false">C340-C342</f>
        <v>1.037</v>
      </c>
      <c r="D343" s="19" t="n">
        <f aca="false">D340-D342</f>
        <v>1.4569</v>
      </c>
      <c r="E343" s="19" t="n">
        <f aca="false">E340-E342</f>
        <v>2.85279444576082</v>
      </c>
      <c r="F343" s="19" t="n">
        <f aca="false">F340-F342</f>
        <v>4.35738068280315</v>
      </c>
      <c r="G343" s="19" t="n">
        <f aca="false">G340-G342</f>
        <v>5.42181237496403</v>
      </c>
    </row>
    <row r="344" customFormat="false" ht="15" hidden="false" customHeight="false" outlineLevel="0" collapsed="false">
      <c r="A344" s="5" t="s">
        <v>491</v>
      </c>
      <c r="B344" s="0" t="s">
        <v>60</v>
      </c>
      <c r="C344" s="16" t="n">
        <f aca="false">C343/C335</f>
        <v>0.178482298067159</v>
      </c>
      <c r="D344" s="16" t="n">
        <f aca="false">D343/D335</f>
        <v>0.204672529572083</v>
      </c>
      <c r="E344" s="16" t="n">
        <f aca="false">E343/E335</f>
        <v>0.242657124152908</v>
      </c>
      <c r="F344" s="16" t="n">
        <f aca="false">F343/F335</f>
        <v>0.266628818979552</v>
      </c>
      <c r="G344" s="16" t="n">
        <f aca="false">G343/G335</f>
        <v>0.274504238282965</v>
      </c>
    </row>
    <row r="345" customFormat="false" ht="15" hidden="false" customHeight="false" outlineLevel="0" collapsed="false">
      <c r="A345" s="5" t="s">
        <v>527</v>
      </c>
      <c r="B345" s="0" t="s">
        <v>27</v>
      </c>
      <c r="C345" s="19" t="n">
        <f aca="false">a25_int</f>
        <v>0.1673</v>
      </c>
      <c r="D345" s="19" t="n">
        <f aca="false">a26_int</f>
        <v>0.1181</v>
      </c>
      <c r="E345" s="19" t="n">
        <f aca="false">int_f</f>
        <v>0.08</v>
      </c>
      <c r="F345" s="19" t="n">
        <f aca="false">int_f</f>
        <v>0.08</v>
      </c>
      <c r="G345" s="19" t="n">
        <f aca="false">int_f</f>
        <v>0.08</v>
      </c>
    </row>
    <row r="346" customFormat="false" ht="15" hidden="false" customHeight="false" outlineLevel="0" collapsed="false">
      <c r="A346" s="5" t="s">
        <v>528</v>
      </c>
      <c r="B346" s="0" t="s">
        <v>27</v>
      </c>
      <c r="C346" s="19" t="n">
        <f aca="false">C343-C345</f>
        <v>0.8697</v>
      </c>
      <c r="D346" s="19" t="n">
        <f aca="false">D343-D345</f>
        <v>1.3388</v>
      </c>
      <c r="E346" s="19" t="n">
        <f aca="false">E343-E345</f>
        <v>2.77279444576082</v>
      </c>
      <c r="F346" s="19" t="n">
        <f aca="false">F343-F345</f>
        <v>4.27738068280315</v>
      </c>
      <c r="G346" s="19" t="n">
        <f aca="false">G343-G345</f>
        <v>5.34181237496403</v>
      </c>
    </row>
    <row r="347" customFormat="false" ht="17.15" hidden="false" customHeight="false" outlineLevel="0" collapsed="false">
      <c r="A347" s="5" t="s">
        <v>529</v>
      </c>
      <c r="B347" s="0" t="s">
        <v>27</v>
      </c>
      <c r="C347" s="19" t="n">
        <f aca="false">a25_ni</f>
        <v>0.6926</v>
      </c>
      <c r="D347" s="19" t="n">
        <f aca="false">a26_ni</f>
        <v>1.0966</v>
      </c>
      <c r="E347" s="19" t="n">
        <f aca="false">E346*(1-tx)+nci</f>
        <v>2.25816350106627</v>
      </c>
      <c r="F347" s="19" t="n">
        <f aca="false">F346*(1-tx)+nci</f>
        <v>3.47687835307055</v>
      </c>
      <c r="G347" s="19" t="n">
        <f aca="false">G346*(1-tx)+nci</f>
        <v>4.33906802372087</v>
      </c>
    </row>
    <row r="348" customFormat="false" ht="15" hidden="false" customHeight="false" outlineLevel="0" collapsed="false">
      <c r="A348" s="5" t="s">
        <v>530</v>
      </c>
      <c r="B348" s="0" t="s">
        <v>60</v>
      </c>
      <c r="C348" s="16" t="n">
        <f aca="false">C347/C335</f>
        <v>0.119206209875906</v>
      </c>
      <c r="D348" s="16" t="n">
        <f aca="false">D347/D335</f>
        <v>0.154055800623753</v>
      </c>
      <c r="E348" s="16" t="n">
        <f aca="false">E347/E335</f>
        <v>0.19207814353749</v>
      </c>
      <c r="F348" s="16" t="n">
        <f aca="false">F347/F335</f>
        <v>0.212750740983778</v>
      </c>
      <c r="G348" s="16" t="n">
        <f aca="false">G347/G335</f>
        <v>0.219685315598434</v>
      </c>
    </row>
    <row r="349" customFormat="false" ht="15" hidden="false" customHeight="false" outlineLevel="0" collapsed="false">
      <c r="A349" s="5" t="s">
        <v>531</v>
      </c>
      <c r="B349" s="0" t="s">
        <v>27</v>
      </c>
      <c r="C349" s="10" t="n">
        <f aca="false">a25_pref</f>
        <v>0.130624</v>
      </c>
      <c r="D349" s="10" t="n">
        <f aca="false">0</f>
        <v>0</v>
      </c>
      <c r="E349" s="10" t="n">
        <f aca="false">0</f>
        <v>0</v>
      </c>
      <c r="F349" s="10" t="n">
        <f aca="false">0</f>
        <v>0</v>
      </c>
      <c r="G349" s="10" t="n">
        <f aca="false">0</f>
        <v>0</v>
      </c>
    </row>
    <row r="350" customFormat="false" ht="15" hidden="false" customHeight="false" outlineLevel="0" collapsed="false">
      <c r="A350" s="5" t="s">
        <v>532</v>
      </c>
      <c r="B350" s="5" t="s">
        <v>251</v>
      </c>
      <c r="C350" s="17" t="n">
        <f aca="false">a25_sh</f>
        <v>0.1592</v>
      </c>
      <c r="D350" s="17" t="n">
        <f aca="false">a26_sh</f>
        <v>0.1954</v>
      </c>
      <c r="E350" s="17" t="n">
        <f aca="false">sh_q4*(1+sh_g)</f>
        <v>0.204222</v>
      </c>
      <c r="F350" s="17" t="n">
        <f aca="false">E350*(1+sh_g)</f>
        <v>0.20626422</v>
      </c>
      <c r="G350" s="17" t="n">
        <f aca="false">F350*(1+sh_g)</f>
        <v>0.2083268622</v>
      </c>
    </row>
    <row r="351" customFormat="false" ht="15" hidden="false" customHeight="false" outlineLevel="0" collapsed="false">
      <c r="A351" s="0" t="s">
        <v>493</v>
      </c>
      <c r="B351" s="0" t="s">
        <v>188</v>
      </c>
      <c r="C351" s="19" t="n">
        <f aca="false">(C347-C349)/C350</f>
        <v>3.53</v>
      </c>
      <c r="D351" s="19" t="n">
        <f aca="false">(D347-D349)/D350</f>
        <v>5.61207778915046</v>
      </c>
      <c r="E351" s="19" t="n">
        <f aca="false">(E347-E349)/E350</f>
        <v>11.0573958783396</v>
      </c>
      <c r="F351" s="19" t="n">
        <f aca="false">(F347-F349)/F350</f>
        <v>16.8564298406701</v>
      </c>
      <c r="G351" s="19" t="n">
        <f aca="false">(G347-G349)/G350</f>
        <v>20.8281734669206</v>
      </c>
    </row>
    <row r="352" customFormat="false" ht="17.15" hidden="false" customHeight="false" outlineLevel="0" collapsed="false">
      <c r="A352" s="0" t="s">
        <v>533</v>
      </c>
      <c r="B352" s="0" t="s">
        <v>60</v>
      </c>
      <c r="D352" s="16" t="n">
        <f aca="false">D351/C351-1</f>
        <v>0.589823736303247</v>
      </c>
      <c r="E352" s="16" t="n">
        <f aca="false">E351/D351-1</f>
        <v>0.970285568691916</v>
      </c>
      <c r="F352" s="16" t="n">
        <f aca="false">F351/E351-1</f>
        <v>0.524448434887849</v>
      </c>
      <c r="G352" s="16" t="n">
        <f aca="false">G351/F351-1</f>
        <v>0.235621876268704</v>
      </c>
    </row>
    <row r="355" customFormat="false" ht="17.15" hidden="false" customHeight="false" outlineLevel="0" collapsed="false">
      <c r="A355" s="3" t="s">
        <v>806</v>
      </c>
    </row>
    <row r="356" customFormat="false" ht="17.15" hidden="false" customHeight="false" outlineLevel="0" collapsed="false">
      <c r="A356" s="6" t="s">
        <v>16</v>
      </c>
      <c r="B356" s="6" t="s">
        <v>17</v>
      </c>
      <c r="C356" s="15" t="s">
        <v>412</v>
      </c>
      <c r="D356" s="15" t="s">
        <v>477</v>
      </c>
      <c r="E356" s="15" t="s">
        <v>478</v>
      </c>
      <c r="F356" s="15" t="s">
        <v>479</v>
      </c>
      <c r="G356" s="15" t="s">
        <v>480</v>
      </c>
      <c r="H356" s="6" t="s">
        <v>418</v>
      </c>
    </row>
    <row r="357" customFormat="false" ht="17.15" hidden="false" customHeight="false" outlineLevel="0" collapsed="false">
      <c r="A357" s="1" t="s">
        <v>503</v>
      </c>
    </row>
    <row r="358" customFormat="false" ht="17.15" hidden="false" customHeight="false" outlineLevel="0" collapsed="false">
      <c r="A358" s="0" t="s">
        <v>504</v>
      </c>
      <c r="B358" s="0" t="s">
        <v>27</v>
      </c>
      <c r="D358" s="19" t="n">
        <f aca="false">mpl_26*1</f>
        <v>29.753262</v>
      </c>
      <c r="E358" s="19" t="n">
        <f aca="false">mpl_27*1*1</f>
        <v>54.688309</v>
      </c>
      <c r="F358" s="19" t="n">
        <f aca="false">mpl_28*um28_A*1</f>
        <v>61.21325</v>
      </c>
      <c r="G358" s="19" t="n">
        <f aca="false">mpl_29*um29_A*1</f>
        <v>78.80848</v>
      </c>
      <c r="H358" s="5" t="s">
        <v>505</v>
      </c>
    </row>
    <row r="359" customFormat="false" ht="17.15" hidden="false" customHeight="false" outlineLevel="0" collapsed="false">
      <c r="A359" s="0" t="s">
        <v>506</v>
      </c>
      <c r="B359" s="0" t="s">
        <v>27</v>
      </c>
      <c r="D359" s="19" t="n">
        <f aca="false">mcp_26*1</f>
        <v>0.300538</v>
      </c>
      <c r="E359" s="19" t="n">
        <f aca="false">mcp_27*1</f>
        <v>1.691391</v>
      </c>
      <c r="F359" s="19" t="n">
        <f aca="false">mcp_28*um28_A</f>
        <v>3.22175</v>
      </c>
      <c r="G359" s="19" t="n">
        <f aca="false">mcp_29*um29_A</f>
        <v>5.87368</v>
      </c>
    </row>
    <row r="360" customFormat="false" ht="17.15" hidden="false" customHeight="false" outlineLevel="0" collapsed="false">
      <c r="A360" s="0" t="s">
        <v>507</v>
      </c>
      <c r="B360" s="0" t="s">
        <v>60</v>
      </c>
      <c r="D360" s="16" t="n">
        <f aca="false">dc_cy26/D358</f>
        <v>0.146339576728919</v>
      </c>
      <c r="H360" s="8" t="s">
        <v>508</v>
      </c>
    </row>
    <row r="361" customFormat="false" ht="17.15" hidden="false" customHeight="false" outlineLevel="0" collapsed="false">
      <c r="A361" s="5" t="s">
        <v>509</v>
      </c>
      <c r="B361" s="0" t="s">
        <v>71</v>
      </c>
      <c r="D361" s="9" t="n">
        <f aca="false">1</f>
        <v>1</v>
      </c>
      <c r="E361" s="9" t="n">
        <f aca="false">rel_27</f>
        <v>1.1</v>
      </c>
      <c r="F361" s="9" t="n">
        <f aca="false">rel_28</f>
        <v>1.15</v>
      </c>
      <c r="G361" s="9" t="n">
        <f aca="false">rel_29</f>
        <v>1.15</v>
      </c>
    </row>
    <row r="362" customFormat="false" ht="15" hidden="false" customHeight="false" outlineLevel="0" collapsed="false">
      <c r="A362" s="5" t="s">
        <v>510</v>
      </c>
      <c r="B362" s="0" t="s">
        <v>60</v>
      </c>
      <c r="D362" s="16" t="n">
        <f aca="false">$D$360*D361</f>
        <v>0.146339576728919</v>
      </c>
      <c r="E362" s="16" t="n">
        <f aca="false">$D$360*E361</f>
        <v>0.16097353440181</v>
      </c>
      <c r="F362" s="16" t="n">
        <f aca="false">$D$360*F361</f>
        <v>0.168290513238256</v>
      </c>
      <c r="G362" s="16" t="n">
        <f aca="false">$D$360*G361</f>
        <v>0.168290513238256</v>
      </c>
    </row>
    <row r="363" customFormat="false" ht="15" hidden="false" customHeight="false" outlineLevel="0" collapsed="false">
      <c r="A363" s="5" t="s">
        <v>511</v>
      </c>
      <c r="B363" s="0" t="s">
        <v>71</v>
      </c>
      <c r="D363" s="9" t="n">
        <f aca="false">1</f>
        <v>1</v>
      </c>
      <c r="E363" s="9" t="n">
        <f aca="false">pxr_27</f>
        <v>1</v>
      </c>
      <c r="F363" s="9" t="n">
        <f aca="false">pxr_28</f>
        <v>1</v>
      </c>
      <c r="G363" s="9" t="n">
        <f aca="false">pxr_29</f>
        <v>1</v>
      </c>
    </row>
    <row r="364" customFormat="false" ht="17.15" hidden="false" customHeight="false" outlineLevel="0" collapsed="false">
      <c r="A364" s="0" t="s">
        <v>512</v>
      </c>
      <c r="B364" s="0" t="s">
        <v>60</v>
      </c>
      <c r="D364" s="16" t="n">
        <f aca="false">0</f>
        <v>0</v>
      </c>
      <c r="E364" s="16" t="n">
        <f aca="false">cpo_27</f>
        <v>0.1</v>
      </c>
      <c r="F364" s="16" t="n">
        <f aca="false">cpo_28</f>
        <v>0.15</v>
      </c>
      <c r="G364" s="16" t="n">
        <f aca="false">cpo_29</f>
        <v>0.2</v>
      </c>
    </row>
    <row r="365" customFormat="false" ht="15" hidden="false" customHeight="false" outlineLevel="0" collapsed="false">
      <c r="A365" s="5" t="s">
        <v>513</v>
      </c>
      <c r="B365" s="0" t="s">
        <v>27</v>
      </c>
      <c r="D365" s="19" t="n">
        <f aca="false">dc_cy26</f>
        <v>4.35407976738462</v>
      </c>
      <c r="E365" s="19" t="n">
        <f aca="false">E358*E362*E363+E359*E364</f>
        <v>8.97250949018834</v>
      </c>
      <c r="F365" s="19" t="n">
        <f aca="false">F358*F362*F363+F359*F364</f>
        <v>10.7848717594817</v>
      </c>
      <c r="G365" s="19" t="n">
        <f aca="false">G358*G362*G363+G359*G364</f>
        <v>14.4374555467269</v>
      </c>
    </row>
    <row r="366" customFormat="false" ht="17.15" hidden="false" customHeight="false" outlineLevel="0" collapsed="false">
      <c r="A366" s="1" t="s">
        <v>514</v>
      </c>
    </row>
    <row r="367" customFormat="false" ht="17.15" hidden="false" customHeight="false" outlineLevel="0" collapsed="false">
      <c r="A367" s="5" t="s">
        <v>515</v>
      </c>
      <c r="B367" s="0" t="s">
        <v>27</v>
      </c>
      <c r="C367" s="19" t="n">
        <f aca="false">a25_dc</f>
        <v>2.27542010638806</v>
      </c>
      <c r="D367" s="19" t="n">
        <f aca="false">a26_dc</f>
        <v>3.19608300307692</v>
      </c>
      <c r="E367" s="19" t="n">
        <f aca="false">h1_27+hw_lo*E365</f>
        <v>6.33701252249449</v>
      </c>
      <c r="F367" s="19" t="n">
        <f aca="false">(1-hw_lo)*E365+hw_lo*F365</f>
        <v>9.73370164329155</v>
      </c>
      <c r="G367" s="19" t="n">
        <f aca="false">(1-hw_lo)*F365+hw_lo*G365</f>
        <v>12.3189569501247</v>
      </c>
      <c r="H367" s="8" t="s">
        <v>516</v>
      </c>
    </row>
    <row r="368" customFormat="false" ht="15" hidden="false" customHeight="false" outlineLevel="0" collapsed="false">
      <c r="A368" s="5" t="s">
        <v>517</v>
      </c>
      <c r="B368" s="0" t="s">
        <v>27</v>
      </c>
      <c r="C368" s="19" t="n">
        <f aca="false">a25_com</f>
        <v>1.47977989361194</v>
      </c>
      <c r="D368" s="19" t="n">
        <f aca="false">a26_com</f>
        <v>2.07851699692308</v>
      </c>
      <c r="E368" s="19" t="n">
        <f aca="false">D368*(1+g_com_27)</f>
        <v>2.49422039630769</v>
      </c>
      <c r="F368" s="19" t="n">
        <f aca="false">E368*(1+g_com_28)</f>
        <v>2.79352684386461</v>
      </c>
      <c r="G368" s="19" t="n">
        <f aca="false">F368*(1+g_com_29)</f>
        <v>3.01700899137378</v>
      </c>
    </row>
    <row r="369" customFormat="false" ht="17.15" hidden="false" customHeight="false" outlineLevel="0" collapsed="false">
      <c r="A369" s="5" t="s">
        <v>518</v>
      </c>
      <c r="B369" s="0" t="s">
        <v>27</v>
      </c>
      <c r="C369" s="19" t="n">
        <f aca="false">a25_ind</f>
        <v>2.0549</v>
      </c>
      <c r="D369" s="19" t="n">
        <f aca="false">a26_ind</f>
        <v>1.8436</v>
      </c>
      <c r="E369" s="19" t="n">
        <f aca="false">ind_run*(1+g_ind_27)</f>
        <v>1.75644</v>
      </c>
      <c r="F369" s="19" t="n">
        <f aca="false">E369*(1+g_ind_28)</f>
        <v>1.844262</v>
      </c>
      <c r="G369" s="19" t="n">
        <f aca="false">F369*(1+g_ind_29)</f>
        <v>1.9364751</v>
      </c>
    </row>
    <row r="370" customFormat="false" ht="15" hidden="false" customHeight="false" outlineLevel="0" collapsed="false">
      <c r="A370" s="5" t="s">
        <v>419</v>
      </c>
      <c r="B370" s="0" t="s">
        <v>27</v>
      </c>
      <c r="C370" s="19" t="n">
        <f aca="false">C367+C368+C369</f>
        <v>5.8101</v>
      </c>
      <c r="D370" s="19" t="n">
        <f aca="false">D367+D368+D369</f>
        <v>7.1182</v>
      </c>
      <c r="E370" s="19" t="n">
        <f aca="false">E367+E368+E369</f>
        <v>10.5876729188022</v>
      </c>
      <c r="F370" s="19" t="n">
        <f aca="false">F367+F368+F369</f>
        <v>14.3714904871562</v>
      </c>
      <c r="G370" s="19" t="n">
        <f aca="false">G367+G368+G369</f>
        <v>17.2724410414985</v>
      </c>
    </row>
    <row r="371" customFormat="false" ht="15" hidden="false" customHeight="false" outlineLevel="0" collapsed="false">
      <c r="A371" s="5" t="s">
        <v>519</v>
      </c>
      <c r="B371" s="0" t="s">
        <v>60</v>
      </c>
      <c r="D371" s="16" t="n">
        <f aca="false">D370/C370-1</f>
        <v>0.225142424398892</v>
      </c>
      <c r="E371" s="16" t="n">
        <f aca="false">E370/D370-1</f>
        <v>0.487408743615265</v>
      </c>
      <c r="F371" s="16" t="n">
        <f aca="false">F370/E370-1</f>
        <v>0.35737952970142</v>
      </c>
      <c r="G371" s="16" t="n">
        <f aca="false">G370/F370-1</f>
        <v>0.20185453672567</v>
      </c>
    </row>
    <row r="372" customFormat="false" ht="17.15" hidden="false" customHeight="false" outlineLevel="0" collapsed="false">
      <c r="A372" s="5" t="s">
        <v>520</v>
      </c>
      <c r="B372" s="0" t="s">
        <v>60</v>
      </c>
      <c r="C372" s="16" t="n">
        <f aca="false">C367/C370</f>
        <v>0.391631831876914</v>
      </c>
      <c r="D372" s="16" t="n">
        <f aca="false">D367/D370</f>
        <v>0.449001573863747</v>
      </c>
      <c r="E372" s="16" t="n">
        <f aca="false">E367/E370</f>
        <v>0.598527416845383</v>
      </c>
      <c r="F372" s="16" t="n">
        <f aca="false">F367/F370</f>
        <v>0.677292425026519</v>
      </c>
      <c r="G372" s="16" t="n">
        <f aca="false">G367/G370</f>
        <v>0.713214589676547</v>
      </c>
    </row>
    <row r="373" customFormat="false" ht="17.15" hidden="false" customHeight="false" outlineLevel="0" collapsed="false">
      <c r="A373" s="1" t="s">
        <v>521</v>
      </c>
    </row>
    <row r="374" customFormat="false" ht="17.15" hidden="false" customHeight="false" outlineLevel="0" collapsed="false">
      <c r="A374" s="5" t="s">
        <v>490</v>
      </c>
      <c r="B374" s="0" t="s">
        <v>60</v>
      </c>
      <c r="C374" s="16" t="n">
        <f aca="false">a25_gp/a25_rev</f>
        <v>0.379046832240409</v>
      </c>
      <c r="D374" s="16" t="n">
        <f aca="false">a26_gp/a26_rev</f>
        <v>0.394271023573375</v>
      </c>
      <c r="E374" s="16" t="n">
        <f aca="false">gm_27</f>
        <v>0.41</v>
      </c>
      <c r="F374" s="16" t="n">
        <f aca="false">gm_28</f>
        <v>0.42</v>
      </c>
      <c r="G374" s="16" t="n">
        <f aca="false">gm_29</f>
        <v>0.42</v>
      </c>
      <c r="H374" s="8" t="s">
        <v>522</v>
      </c>
    </row>
    <row r="375" customFormat="false" ht="15" hidden="false" customHeight="false" outlineLevel="0" collapsed="false">
      <c r="A375" s="5" t="s">
        <v>523</v>
      </c>
      <c r="B375" s="0" t="s">
        <v>27</v>
      </c>
      <c r="C375" s="19" t="n">
        <f aca="false">C370*C374</f>
        <v>2.2023</v>
      </c>
      <c r="D375" s="19" t="n">
        <f aca="false">D370*D374</f>
        <v>2.8065</v>
      </c>
      <c r="E375" s="19" t="n">
        <f aca="false">E370*E374</f>
        <v>4.34094589670889</v>
      </c>
      <c r="F375" s="19" t="n">
        <f aca="false">F370*F374</f>
        <v>6.03602600460559</v>
      </c>
      <c r="G375" s="19" t="n">
        <f aca="false">G370*G374</f>
        <v>7.25442523742935</v>
      </c>
    </row>
    <row r="376" customFormat="false" ht="15" hidden="false" customHeight="false" outlineLevel="0" collapsed="false">
      <c r="A376" s="5" t="s">
        <v>524</v>
      </c>
      <c r="B376" s="0" t="s">
        <v>27</v>
      </c>
      <c r="C376" s="19" t="n">
        <f aca="false">a25_opx</f>
        <v>1.1653</v>
      </c>
      <c r="D376" s="19" t="n">
        <f aca="false">a26_opx</f>
        <v>1.3496</v>
      </c>
      <c r="E376" s="19" t="n">
        <f aca="false">D376*(1+MAX(0,phi*E371))</f>
        <v>1.81169219774243</v>
      </c>
      <c r="F376" s="19" t="n">
        <f aca="false">E376*(1+MAX(0,phi*F371))</f>
        <v>2.26651720734134</v>
      </c>
      <c r="G376" s="19" t="n">
        <f aca="false">F376*(1+MAX(0,phi*G371))</f>
        <v>2.58790382249194</v>
      </c>
    </row>
    <row r="377" customFormat="false" ht="15" hidden="false" customHeight="false" outlineLevel="0" collapsed="false">
      <c r="A377" s="5" t="s">
        <v>525</v>
      </c>
      <c r="B377" s="0" t="s">
        <v>27</v>
      </c>
      <c r="C377" s="19" t="n">
        <f aca="false">C376</f>
        <v>1.1653</v>
      </c>
      <c r="D377" s="19" t="n">
        <f aca="false">D376</f>
        <v>1.3496</v>
      </c>
      <c r="E377" s="19" t="n">
        <f aca="false">E376+0*E370</f>
        <v>1.81169219774243</v>
      </c>
      <c r="F377" s="19" t="n">
        <f aca="false">F376+0*F370</f>
        <v>2.26651720734134</v>
      </c>
      <c r="G377" s="19" t="n">
        <f aca="false">G376+0*G370</f>
        <v>2.58790382249194</v>
      </c>
    </row>
    <row r="378" customFormat="false" ht="15" hidden="false" customHeight="false" outlineLevel="0" collapsed="false">
      <c r="A378" s="5" t="s">
        <v>526</v>
      </c>
      <c r="B378" s="0" t="s">
        <v>27</v>
      </c>
      <c r="C378" s="19" t="n">
        <f aca="false">C375-C377</f>
        <v>1.037</v>
      </c>
      <c r="D378" s="19" t="n">
        <f aca="false">D375-D377</f>
        <v>1.4569</v>
      </c>
      <c r="E378" s="19" t="n">
        <f aca="false">E375-E377</f>
        <v>2.52925369896646</v>
      </c>
      <c r="F378" s="19" t="n">
        <f aca="false">F375-F377</f>
        <v>3.76950879726425</v>
      </c>
      <c r="G378" s="19" t="n">
        <f aca="false">G375-G377</f>
        <v>4.6665214149374</v>
      </c>
    </row>
    <row r="379" customFormat="false" ht="15" hidden="false" customHeight="false" outlineLevel="0" collapsed="false">
      <c r="A379" s="5" t="s">
        <v>491</v>
      </c>
      <c r="B379" s="0" t="s">
        <v>60</v>
      </c>
      <c r="C379" s="16" t="n">
        <f aca="false">C378/C370</f>
        <v>0.178482298067159</v>
      </c>
      <c r="D379" s="16" t="n">
        <f aca="false">D378/D370</f>
        <v>0.204672529572083</v>
      </c>
      <c r="E379" s="16" t="n">
        <f aca="false">E378/E370</f>
        <v>0.238886648498073</v>
      </c>
      <c r="F379" s="16" t="n">
        <f aca="false">F378/F370</f>
        <v>0.262290734606342</v>
      </c>
      <c r="G379" s="16" t="n">
        <f aca="false">G378/G370</f>
        <v>0.270171506373981</v>
      </c>
    </row>
    <row r="380" customFormat="false" ht="15" hidden="false" customHeight="false" outlineLevel="0" collapsed="false">
      <c r="A380" s="5" t="s">
        <v>527</v>
      </c>
      <c r="B380" s="0" t="s">
        <v>27</v>
      </c>
      <c r="C380" s="19" t="n">
        <f aca="false">a25_int</f>
        <v>0.1673</v>
      </c>
      <c r="D380" s="19" t="n">
        <f aca="false">a26_int</f>
        <v>0.1181</v>
      </c>
      <c r="E380" s="19" t="n">
        <f aca="false">int_f</f>
        <v>0.08</v>
      </c>
      <c r="F380" s="19" t="n">
        <f aca="false">int_f</f>
        <v>0.08</v>
      </c>
      <c r="G380" s="19" t="n">
        <f aca="false">int_f</f>
        <v>0.08</v>
      </c>
    </row>
    <row r="381" customFormat="false" ht="15" hidden="false" customHeight="false" outlineLevel="0" collapsed="false">
      <c r="A381" s="5" t="s">
        <v>528</v>
      </c>
      <c r="B381" s="0" t="s">
        <v>27</v>
      </c>
      <c r="C381" s="19" t="n">
        <f aca="false">C378-C380</f>
        <v>0.8697</v>
      </c>
      <c r="D381" s="19" t="n">
        <f aca="false">D378-D380</f>
        <v>1.3388</v>
      </c>
      <c r="E381" s="19" t="n">
        <f aca="false">E378-E380</f>
        <v>2.44925369896646</v>
      </c>
      <c r="F381" s="19" t="n">
        <f aca="false">F378-F380</f>
        <v>3.68950879726425</v>
      </c>
      <c r="G381" s="19" t="n">
        <f aca="false">G378-G380</f>
        <v>4.5865214149374</v>
      </c>
    </row>
    <row r="382" customFormat="false" ht="17.15" hidden="false" customHeight="false" outlineLevel="0" collapsed="false">
      <c r="A382" s="5" t="s">
        <v>529</v>
      </c>
      <c r="B382" s="0" t="s">
        <v>27</v>
      </c>
      <c r="C382" s="19" t="n">
        <f aca="false">a25_ni</f>
        <v>0.6926</v>
      </c>
      <c r="D382" s="19" t="n">
        <f aca="false">a26_ni</f>
        <v>1.0966</v>
      </c>
      <c r="E382" s="19" t="n">
        <f aca="false">E381*(1-tx)+nci</f>
        <v>1.99609549616283</v>
      </c>
      <c r="F382" s="19" t="n">
        <f aca="false">F381*(1-tx)+nci</f>
        <v>3.00070212578404</v>
      </c>
      <c r="G382" s="19" t="n">
        <f aca="false">G381*(1-tx)+nci</f>
        <v>3.7272823460993</v>
      </c>
    </row>
    <row r="383" customFormat="false" ht="15" hidden="false" customHeight="false" outlineLevel="0" collapsed="false">
      <c r="A383" s="5" t="s">
        <v>530</v>
      </c>
      <c r="B383" s="0" t="s">
        <v>60</v>
      </c>
      <c r="C383" s="16" t="n">
        <f aca="false">C382/C370</f>
        <v>0.119206209875906</v>
      </c>
      <c r="D383" s="16" t="n">
        <f aca="false">D382/D370</f>
        <v>0.154055800623753</v>
      </c>
      <c r="E383" s="16" t="n">
        <f aca="false">E382/E370</f>
        <v>0.188530143636951</v>
      </c>
      <c r="F383" s="16" t="n">
        <f aca="false">F382/F370</f>
        <v>0.208795471038009</v>
      </c>
      <c r="G383" s="16" t="n">
        <f aca="false">G382/G370</f>
        <v>0.21579360654028</v>
      </c>
    </row>
    <row r="384" customFormat="false" ht="15" hidden="false" customHeight="false" outlineLevel="0" collapsed="false">
      <c r="A384" s="5" t="s">
        <v>531</v>
      </c>
      <c r="B384" s="0" t="s">
        <v>27</v>
      </c>
      <c r="C384" s="10" t="n">
        <f aca="false">a25_pref</f>
        <v>0.130624</v>
      </c>
      <c r="D384" s="10" t="n">
        <f aca="false">0</f>
        <v>0</v>
      </c>
      <c r="E384" s="10" t="n">
        <f aca="false">0</f>
        <v>0</v>
      </c>
      <c r="F384" s="10" t="n">
        <f aca="false">0</f>
        <v>0</v>
      </c>
      <c r="G384" s="10" t="n">
        <f aca="false">0</f>
        <v>0</v>
      </c>
    </row>
    <row r="385" customFormat="false" ht="15" hidden="false" customHeight="false" outlineLevel="0" collapsed="false">
      <c r="A385" s="5" t="s">
        <v>532</v>
      </c>
      <c r="B385" s="5" t="s">
        <v>251</v>
      </c>
      <c r="C385" s="17" t="n">
        <f aca="false">a25_sh</f>
        <v>0.1592</v>
      </c>
      <c r="D385" s="17" t="n">
        <f aca="false">a26_sh</f>
        <v>0.1954</v>
      </c>
      <c r="E385" s="17" t="n">
        <f aca="false">sh_q4*(1+sh_g)</f>
        <v>0.204222</v>
      </c>
      <c r="F385" s="17" t="n">
        <f aca="false">E385*(1+sh_g)</f>
        <v>0.20626422</v>
      </c>
      <c r="G385" s="17" t="n">
        <f aca="false">F385*(1+sh_g)</f>
        <v>0.2083268622</v>
      </c>
    </row>
    <row r="386" customFormat="false" ht="15" hidden="false" customHeight="false" outlineLevel="0" collapsed="false">
      <c r="A386" s="0" t="s">
        <v>493</v>
      </c>
      <c r="B386" s="0" t="s">
        <v>188</v>
      </c>
      <c r="C386" s="19" t="n">
        <f aca="false">(C382-C384)/C385</f>
        <v>3.53</v>
      </c>
      <c r="D386" s="19" t="n">
        <f aca="false">(D382-D384)/D385</f>
        <v>5.61207778915046</v>
      </c>
      <c r="E386" s="19" t="n">
        <f aca="false">(E382-E384)/E385</f>
        <v>9.77414527407837</v>
      </c>
      <c r="F386" s="19" t="n">
        <f aca="false">(F382-F384)/F385</f>
        <v>14.5478557831506</v>
      </c>
      <c r="G386" s="19" t="n">
        <f aca="false">(G382-G384)/G385</f>
        <v>17.891510997372</v>
      </c>
    </row>
    <row r="387" customFormat="false" ht="17.15" hidden="false" customHeight="false" outlineLevel="0" collapsed="false">
      <c r="A387" s="0" t="s">
        <v>533</v>
      </c>
      <c r="B387" s="0" t="s">
        <v>60</v>
      </c>
      <c r="D387" s="16" t="n">
        <f aca="false">D386/C386-1</f>
        <v>0.589823736303247</v>
      </c>
      <c r="E387" s="16" t="n">
        <f aca="false">E386/D386-1</f>
        <v>0.741626834356113</v>
      </c>
      <c r="F387" s="16" t="n">
        <f aca="false">F386/E386-1</f>
        <v>0.488401837215616</v>
      </c>
      <c r="G387" s="16" t="n">
        <f aca="false">G386/F386-1</f>
        <v>0.229838353092148</v>
      </c>
    </row>
    <row r="390" customFormat="false" ht="17.15" hidden="false" customHeight="false" outlineLevel="0" collapsed="false">
      <c r="A390" s="3" t="s">
        <v>807</v>
      </c>
    </row>
    <row r="391" customFormat="false" ht="17.15" hidden="false" customHeight="false" outlineLevel="0" collapsed="false">
      <c r="A391" s="6" t="s">
        <v>16</v>
      </c>
      <c r="B391" s="6" t="s">
        <v>17</v>
      </c>
      <c r="C391" s="15" t="s">
        <v>412</v>
      </c>
      <c r="D391" s="15" t="s">
        <v>477</v>
      </c>
      <c r="E391" s="15" t="s">
        <v>478</v>
      </c>
      <c r="F391" s="15" t="s">
        <v>479</v>
      </c>
      <c r="G391" s="15" t="s">
        <v>480</v>
      </c>
      <c r="H391" s="6" t="s">
        <v>418</v>
      </c>
    </row>
    <row r="392" customFormat="false" ht="17.15" hidden="false" customHeight="false" outlineLevel="0" collapsed="false">
      <c r="A392" s="1" t="s">
        <v>503</v>
      </c>
    </row>
    <row r="393" customFormat="false" ht="17.15" hidden="false" customHeight="false" outlineLevel="0" collapsed="false">
      <c r="A393" s="0" t="s">
        <v>504</v>
      </c>
      <c r="B393" s="0" t="s">
        <v>27</v>
      </c>
      <c r="D393" s="19" t="n">
        <f aca="false">mpl_26*1</f>
        <v>29.753262</v>
      </c>
      <c r="E393" s="19" t="n">
        <f aca="false">mpl_27*1*1</f>
        <v>54.688309</v>
      </c>
      <c r="F393" s="19" t="n">
        <f aca="false">mpl_28*um28_A*1</f>
        <v>61.21325</v>
      </c>
      <c r="G393" s="19" t="n">
        <f aca="false">mpl_29*um29_A*1</f>
        <v>78.80848</v>
      </c>
      <c r="H393" s="5" t="s">
        <v>505</v>
      </c>
    </row>
    <row r="394" customFormat="false" ht="17.15" hidden="false" customHeight="false" outlineLevel="0" collapsed="false">
      <c r="A394" s="0" t="s">
        <v>506</v>
      </c>
      <c r="B394" s="0" t="s">
        <v>27</v>
      </c>
      <c r="D394" s="19" t="n">
        <f aca="false">mcp_26*1</f>
        <v>0.300538</v>
      </c>
      <c r="E394" s="19" t="n">
        <f aca="false">mcp_27*1</f>
        <v>1.691391</v>
      </c>
      <c r="F394" s="19" t="n">
        <f aca="false">mcp_28*um28_A</f>
        <v>3.22175</v>
      </c>
      <c r="G394" s="19" t="n">
        <f aca="false">mcp_29*um29_A</f>
        <v>5.87368</v>
      </c>
    </row>
    <row r="395" customFormat="false" ht="17.15" hidden="false" customHeight="false" outlineLevel="0" collapsed="false">
      <c r="A395" s="0" t="s">
        <v>507</v>
      </c>
      <c r="B395" s="0" t="s">
        <v>60</v>
      </c>
      <c r="D395" s="16" t="n">
        <f aca="false">dc_cy26/D393</f>
        <v>0.146339576728919</v>
      </c>
      <c r="H395" s="8" t="s">
        <v>508</v>
      </c>
    </row>
    <row r="396" customFormat="false" ht="17.15" hidden="false" customHeight="false" outlineLevel="0" collapsed="false">
      <c r="A396" s="5" t="s">
        <v>509</v>
      </c>
      <c r="B396" s="0" t="s">
        <v>71</v>
      </c>
      <c r="D396" s="9" t="n">
        <f aca="false">1</f>
        <v>1</v>
      </c>
      <c r="E396" s="9" t="n">
        <f aca="false">rel_27</f>
        <v>1.1</v>
      </c>
      <c r="F396" s="9" t="n">
        <f aca="false">rel_28</f>
        <v>1.15</v>
      </c>
      <c r="G396" s="9" t="n">
        <f aca="false">rel_29</f>
        <v>1.15</v>
      </c>
    </row>
    <row r="397" customFormat="false" ht="15" hidden="false" customHeight="false" outlineLevel="0" collapsed="false">
      <c r="A397" s="5" t="s">
        <v>510</v>
      </c>
      <c r="B397" s="0" t="s">
        <v>60</v>
      </c>
      <c r="D397" s="16" t="n">
        <f aca="false">$D$395*D396</f>
        <v>0.146339576728919</v>
      </c>
      <c r="E397" s="16" t="n">
        <f aca="false">$D$395*E396</f>
        <v>0.16097353440181</v>
      </c>
      <c r="F397" s="16" t="n">
        <f aca="false">$D$395*F396</f>
        <v>0.168290513238256</v>
      </c>
      <c r="G397" s="16" t="n">
        <f aca="false">$D$395*G396</f>
        <v>0.168290513238256</v>
      </c>
    </row>
    <row r="398" customFormat="false" ht="15" hidden="false" customHeight="false" outlineLevel="0" collapsed="false">
      <c r="A398" s="5" t="s">
        <v>511</v>
      </c>
      <c r="B398" s="0" t="s">
        <v>71</v>
      </c>
      <c r="D398" s="9" t="n">
        <f aca="false">1</f>
        <v>1</v>
      </c>
      <c r="E398" s="9" t="n">
        <f aca="false">pxr_27</f>
        <v>1</v>
      </c>
      <c r="F398" s="9" t="n">
        <f aca="false">pxr_28</f>
        <v>1</v>
      </c>
      <c r="G398" s="9" t="n">
        <f aca="false">pxr_29</f>
        <v>1</v>
      </c>
    </row>
    <row r="399" customFormat="false" ht="17.15" hidden="false" customHeight="false" outlineLevel="0" collapsed="false">
      <c r="A399" s="0" t="s">
        <v>512</v>
      </c>
      <c r="B399" s="0" t="s">
        <v>60</v>
      </c>
      <c r="D399" s="16" t="n">
        <f aca="false">0</f>
        <v>0</v>
      </c>
      <c r="E399" s="16" t="n">
        <f aca="false">cpo_27</f>
        <v>0.1</v>
      </c>
      <c r="F399" s="16" t="n">
        <f aca="false">cpo_28</f>
        <v>0.15</v>
      </c>
      <c r="G399" s="16" t="n">
        <f aca="false">cpo_29</f>
        <v>0.2</v>
      </c>
    </row>
    <row r="400" customFormat="false" ht="15" hidden="false" customHeight="false" outlineLevel="0" collapsed="false">
      <c r="A400" s="5" t="s">
        <v>513</v>
      </c>
      <c r="B400" s="0" t="s">
        <v>27</v>
      </c>
      <c r="D400" s="19" t="n">
        <f aca="false">dc_cy26</f>
        <v>4.35407976738462</v>
      </c>
      <c r="E400" s="19" t="n">
        <f aca="false">E393*E397*E398+E394*E399</f>
        <v>8.97250949018834</v>
      </c>
      <c r="F400" s="19" t="n">
        <f aca="false">F393*F397*F398+F394*F399</f>
        <v>10.7848717594817</v>
      </c>
      <c r="G400" s="19" t="n">
        <f aca="false">G393*G397*G398+G394*G399</f>
        <v>14.4374555467269</v>
      </c>
    </row>
    <row r="401" customFormat="false" ht="17.15" hidden="false" customHeight="false" outlineLevel="0" collapsed="false">
      <c r="A401" s="1" t="s">
        <v>514</v>
      </c>
    </row>
    <row r="402" customFormat="false" ht="17.15" hidden="false" customHeight="false" outlineLevel="0" collapsed="false">
      <c r="A402" s="5" t="s">
        <v>515</v>
      </c>
      <c r="B402" s="0" t="s">
        <v>27</v>
      </c>
      <c r="C402" s="19" t="n">
        <f aca="false">a25_dc</f>
        <v>2.27542010638806</v>
      </c>
      <c r="D402" s="19" t="n">
        <f aca="false">a26_dc</f>
        <v>3.19608300307692</v>
      </c>
      <c r="E402" s="19" t="n">
        <f aca="false">h1_27+hw_hi*E400</f>
        <v>7.05481328170956</v>
      </c>
      <c r="F402" s="19" t="n">
        <f aca="false">(1-hw_hi)*E400+hw_hi*F400</f>
        <v>9.87869062483502</v>
      </c>
      <c r="G402" s="19" t="n">
        <f aca="false">(1-hw_hi)*F400+hw_hi*G400</f>
        <v>12.6111636531043</v>
      </c>
      <c r="H402" s="8" t="s">
        <v>516</v>
      </c>
    </row>
    <row r="403" customFormat="false" ht="15" hidden="false" customHeight="false" outlineLevel="0" collapsed="false">
      <c r="A403" s="5" t="s">
        <v>517</v>
      </c>
      <c r="B403" s="0" t="s">
        <v>27</v>
      </c>
      <c r="C403" s="19" t="n">
        <f aca="false">a25_com</f>
        <v>1.47977989361194</v>
      </c>
      <c r="D403" s="19" t="n">
        <f aca="false">a26_com</f>
        <v>2.07851699692308</v>
      </c>
      <c r="E403" s="19" t="n">
        <f aca="false">D403*(1+g_com_27)</f>
        <v>2.49422039630769</v>
      </c>
      <c r="F403" s="19" t="n">
        <f aca="false">E403*(1+g_com_28)</f>
        <v>2.79352684386461</v>
      </c>
      <c r="G403" s="19" t="n">
        <f aca="false">F403*(1+g_com_29)</f>
        <v>3.01700899137378</v>
      </c>
    </row>
    <row r="404" customFormat="false" ht="17.15" hidden="false" customHeight="false" outlineLevel="0" collapsed="false">
      <c r="A404" s="5" t="s">
        <v>518</v>
      </c>
      <c r="B404" s="0" t="s">
        <v>27</v>
      </c>
      <c r="C404" s="19" t="n">
        <f aca="false">a25_ind</f>
        <v>2.0549</v>
      </c>
      <c r="D404" s="19" t="n">
        <f aca="false">a26_ind</f>
        <v>1.8436</v>
      </c>
      <c r="E404" s="19" t="n">
        <f aca="false">ind_run*(1+g_ind_27)</f>
        <v>1.75644</v>
      </c>
      <c r="F404" s="19" t="n">
        <f aca="false">E404*(1+g_ind_28)</f>
        <v>1.844262</v>
      </c>
      <c r="G404" s="19" t="n">
        <f aca="false">F404*(1+g_ind_29)</f>
        <v>1.9364751</v>
      </c>
    </row>
    <row r="405" customFormat="false" ht="15" hidden="false" customHeight="false" outlineLevel="0" collapsed="false">
      <c r="A405" s="5" t="s">
        <v>419</v>
      </c>
      <c r="B405" s="0" t="s">
        <v>27</v>
      </c>
      <c r="C405" s="19" t="n">
        <f aca="false">C402+C403+C404</f>
        <v>5.8101</v>
      </c>
      <c r="D405" s="19" t="n">
        <f aca="false">D402+D403+D404</f>
        <v>7.1182</v>
      </c>
      <c r="E405" s="19" t="n">
        <f aca="false">E402+E403+E404</f>
        <v>11.3054736780172</v>
      </c>
      <c r="F405" s="19" t="n">
        <f aca="false">F402+F403+F404</f>
        <v>14.5164794686996</v>
      </c>
      <c r="G405" s="19" t="n">
        <f aca="false">G402+G403+G404</f>
        <v>17.5646477444781</v>
      </c>
    </row>
    <row r="406" customFormat="false" ht="15" hidden="false" customHeight="false" outlineLevel="0" collapsed="false">
      <c r="A406" s="5" t="s">
        <v>519</v>
      </c>
      <c r="B406" s="0" t="s">
        <v>60</v>
      </c>
      <c r="D406" s="16" t="n">
        <f aca="false">D405/C405-1</f>
        <v>0.225142424398892</v>
      </c>
      <c r="E406" s="16" t="n">
        <f aca="false">E405/D405-1</f>
        <v>0.588248950298846</v>
      </c>
      <c r="F406" s="16" t="n">
        <f aca="false">F405/E405-1</f>
        <v>0.284022225174517</v>
      </c>
      <c r="G406" s="16" t="n">
        <f aca="false">G405/F405-1</f>
        <v>0.209979856503836</v>
      </c>
    </row>
    <row r="407" customFormat="false" ht="17.15" hidden="false" customHeight="false" outlineLevel="0" collapsed="false">
      <c r="A407" s="5" t="s">
        <v>520</v>
      </c>
      <c r="B407" s="0" t="s">
        <v>60</v>
      </c>
      <c r="C407" s="16" t="n">
        <f aca="false">C402/C405</f>
        <v>0.391631831876914</v>
      </c>
      <c r="D407" s="16" t="n">
        <f aca="false">D402/D405</f>
        <v>0.449001573863747</v>
      </c>
      <c r="E407" s="16" t="n">
        <f aca="false">E402/E405</f>
        <v>0.624017487690691</v>
      </c>
      <c r="F407" s="16" t="n">
        <f aca="false">F402/F405</f>
        <v>0.680515592374543</v>
      </c>
      <c r="G407" s="16" t="n">
        <f aca="false">G402/G405</f>
        <v>0.717985571732798</v>
      </c>
    </row>
    <row r="408" customFormat="false" ht="17.15" hidden="false" customHeight="false" outlineLevel="0" collapsed="false">
      <c r="A408" s="1" t="s">
        <v>521</v>
      </c>
    </row>
    <row r="409" customFormat="false" ht="17.15" hidden="false" customHeight="false" outlineLevel="0" collapsed="false">
      <c r="A409" s="5" t="s">
        <v>490</v>
      </c>
      <c r="B409" s="0" t="s">
        <v>60</v>
      </c>
      <c r="C409" s="16" t="n">
        <f aca="false">a25_gp/a25_rev</f>
        <v>0.379046832240409</v>
      </c>
      <c r="D409" s="16" t="n">
        <f aca="false">a26_gp/a26_rev</f>
        <v>0.394271023573375</v>
      </c>
      <c r="E409" s="16" t="n">
        <f aca="false">gm_27</f>
        <v>0.41</v>
      </c>
      <c r="F409" s="16" t="n">
        <f aca="false">gm_28</f>
        <v>0.42</v>
      </c>
      <c r="G409" s="16" t="n">
        <f aca="false">gm_29</f>
        <v>0.42</v>
      </c>
      <c r="H409" s="8" t="s">
        <v>522</v>
      </c>
    </row>
    <row r="410" customFormat="false" ht="15" hidden="false" customHeight="false" outlineLevel="0" collapsed="false">
      <c r="A410" s="5" t="s">
        <v>523</v>
      </c>
      <c r="B410" s="0" t="s">
        <v>27</v>
      </c>
      <c r="C410" s="19" t="n">
        <f aca="false">C405*C409</f>
        <v>2.2023</v>
      </c>
      <c r="D410" s="19" t="n">
        <f aca="false">D405*D409</f>
        <v>2.8065</v>
      </c>
      <c r="E410" s="19" t="n">
        <f aca="false">E405*E409</f>
        <v>4.63524420798707</v>
      </c>
      <c r="F410" s="19" t="n">
        <f aca="false">F405*F409</f>
        <v>6.09692137685385</v>
      </c>
      <c r="G410" s="19" t="n">
        <f aca="false">G405*G409</f>
        <v>7.37715205268079</v>
      </c>
    </row>
    <row r="411" customFormat="false" ht="15" hidden="false" customHeight="false" outlineLevel="0" collapsed="false">
      <c r="A411" s="5" t="s">
        <v>524</v>
      </c>
      <c r="B411" s="0" t="s">
        <v>27</v>
      </c>
      <c r="C411" s="19" t="n">
        <f aca="false">a25_opx</f>
        <v>1.1653</v>
      </c>
      <c r="D411" s="19" t="n">
        <f aca="false">a26_opx</f>
        <v>1.3496</v>
      </c>
      <c r="E411" s="19" t="n">
        <f aca="false">D411*(1+MAX(0,phi*E406))</f>
        <v>1.90729465325357</v>
      </c>
      <c r="F411" s="19" t="n">
        <f aca="false">E411*(1+MAX(0,phi*F406))</f>
        <v>2.28783470007436</v>
      </c>
      <c r="G411" s="19" t="n">
        <f aca="false">F411*(1+MAX(0,phi*G406))</f>
        <v>2.62530264572334</v>
      </c>
    </row>
    <row r="412" customFormat="false" ht="15" hidden="false" customHeight="false" outlineLevel="0" collapsed="false">
      <c r="A412" s="5" t="s">
        <v>525</v>
      </c>
      <c r="B412" s="0" t="s">
        <v>27</v>
      </c>
      <c r="C412" s="19" t="n">
        <f aca="false">C411</f>
        <v>1.1653</v>
      </c>
      <c r="D412" s="19" t="n">
        <f aca="false">D411</f>
        <v>1.3496</v>
      </c>
      <c r="E412" s="19" t="n">
        <f aca="false">E411+0*E405</f>
        <v>1.90729465325357</v>
      </c>
      <c r="F412" s="19" t="n">
        <f aca="false">F411+0*F405</f>
        <v>2.28783470007436</v>
      </c>
      <c r="G412" s="19" t="n">
        <f aca="false">G411+0*G405</f>
        <v>2.62530264572334</v>
      </c>
    </row>
    <row r="413" customFormat="false" ht="15" hidden="false" customHeight="false" outlineLevel="0" collapsed="false">
      <c r="A413" s="5" t="s">
        <v>526</v>
      </c>
      <c r="B413" s="0" t="s">
        <v>27</v>
      </c>
      <c r="C413" s="19" t="n">
        <f aca="false">C410-C412</f>
        <v>1.037</v>
      </c>
      <c r="D413" s="19" t="n">
        <f aca="false">D410-D412</f>
        <v>1.4569</v>
      </c>
      <c r="E413" s="19" t="n">
        <f aca="false">E410-E412</f>
        <v>2.7279495547335</v>
      </c>
      <c r="F413" s="19" t="n">
        <f aca="false">F410-F412</f>
        <v>3.80908667677949</v>
      </c>
      <c r="G413" s="19" t="n">
        <f aca="false">G410-G412</f>
        <v>4.75184940695744</v>
      </c>
    </row>
    <row r="414" customFormat="false" ht="15" hidden="false" customHeight="false" outlineLevel="0" collapsed="false">
      <c r="A414" s="5" t="s">
        <v>491</v>
      </c>
      <c r="B414" s="0" t="s">
        <v>60</v>
      </c>
      <c r="C414" s="16" t="n">
        <f aca="false">C413/C405</f>
        <v>0.178482298067159</v>
      </c>
      <c r="D414" s="16" t="n">
        <f aca="false">D413/D405</f>
        <v>0.204672529572083</v>
      </c>
      <c r="E414" s="16" t="n">
        <f aca="false">E413/E405</f>
        <v>0.241294582821224</v>
      </c>
      <c r="F414" s="16" t="n">
        <f aca="false">F413/F405</f>
        <v>0.262397414262365</v>
      </c>
      <c r="G414" s="16" t="n">
        <f aca="false">G413/G405</f>
        <v>0.270534853649503</v>
      </c>
    </row>
    <row r="415" customFormat="false" ht="15" hidden="false" customHeight="false" outlineLevel="0" collapsed="false">
      <c r="A415" s="5" t="s">
        <v>527</v>
      </c>
      <c r="B415" s="0" t="s">
        <v>27</v>
      </c>
      <c r="C415" s="19" t="n">
        <f aca="false">a25_int</f>
        <v>0.1673</v>
      </c>
      <c r="D415" s="19" t="n">
        <f aca="false">a26_int</f>
        <v>0.1181</v>
      </c>
      <c r="E415" s="19" t="n">
        <f aca="false">int_f</f>
        <v>0.08</v>
      </c>
      <c r="F415" s="19" t="n">
        <f aca="false">int_f</f>
        <v>0.08</v>
      </c>
      <c r="G415" s="19" t="n">
        <f aca="false">int_f</f>
        <v>0.08</v>
      </c>
    </row>
    <row r="416" customFormat="false" ht="15" hidden="false" customHeight="false" outlineLevel="0" collapsed="false">
      <c r="A416" s="5" t="s">
        <v>528</v>
      </c>
      <c r="B416" s="0" t="s">
        <v>27</v>
      </c>
      <c r="C416" s="19" t="n">
        <f aca="false">C413-C415</f>
        <v>0.8697</v>
      </c>
      <c r="D416" s="19" t="n">
        <f aca="false">D413-D415</f>
        <v>1.3388</v>
      </c>
      <c r="E416" s="19" t="n">
        <f aca="false">E413-E415</f>
        <v>2.6479495547335</v>
      </c>
      <c r="F416" s="19" t="n">
        <f aca="false">F413-F415</f>
        <v>3.72908667677949</v>
      </c>
      <c r="G416" s="19" t="n">
        <f aca="false">G413-G415</f>
        <v>4.67184940695744</v>
      </c>
    </row>
    <row r="417" customFormat="false" ht="17.15" hidden="false" customHeight="false" outlineLevel="0" collapsed="false">
      <c r="A417" s="5" t="s">
        <v>529</v>
      </c>
      <c r="B417" s="0" t="s">
        <v>27</v>
      </c>
      <c r="C417" s="19" t="n">
        <f aca="false">a25_ni</f>
        <v>0.6926</v>
      </c>
      <c r="D417" s="19" t="n">
        <f aca="false">a26_ni</f>
        <v>1.0966</v>
      </c>
      <c r="E417" s="19" t="n">
        <f aca="false">E416*(1-tx)+nci</f>
        <v>2.15703913933414</v>
      </c>
      <c r="F417" s="19" t="n">
        <f aca="false">F416*(1-tx)+nci</f>
        <v>3.03276020819138</v>
      </c>
      <c r="G417" s="19" t="n">
        <f aca="false">G416*(1-tx)+nci</f>
        <v>3.79639801963553</v>
      </c>
    </row>
    <row r="418" customFormat="false" ht="15" hidden="false" customHeight="false" outlineLevel="0" collapsed="false">
      <c r="A418" s="5" t="s">
        <v>530</v>
      </c>
      <c r="B418" s="0" t="s">
        <v>60</v>
      </c>
      <c r="C418" s="16" t="n">
        <f aca="false">C417/C405</f>
        <v>0.119206209875906</v>
      </c>
      <c r="D418" s="16" t="n">
        <f aca="false">D417/D405</f>
        <v>0.154055800623753</v>
      </c>
      <c r="E418" s="16" t="n">
        <f aca="false">E417/E405</f>
        <v>0.190795998537271</v>
      </c>
      <c r="F418" s="16" t="n">
        <f aca="false">F417/F405</f>
        <v>0.208918437471744</v>
      </c>
      <c r="G418" s="16" t="n">
        <f aca="false">G417/G405</f>
        <v>0.216138579882937</v>
      </c>
    </row>
    <row r="419" customFormat="false" ht="15" hidden="false" customHeight="false" outlineLevel="0" collapsed="false">
      <c r="A419" s="5" t="s">
        <v>531</v>
      </c>
      <c r="B419" s="0" t="s">
        <v>27</v>
      </c>
      <c r="C419" s="10" t="n">
        <f aca="false">a25_pref</f>
        <v>0.130624</v>
      </c>
      <c r="D419" s="10" t="n">
        <f aca="false">0</f>
        <v>0</v>
      </c>
      <c r="E419" s="10" t="n">
        <f aca="false">0</f>
        <v>0</v>
      </c>
      <c r="F419" s="10" t="n">
        <f aca="false">0</f>
        <v>0</v>
      </c>
      <c r="G419" s="10" t="n">
        <f aca="false">0</f>
        <v>0</v>
      </c>
    </row>
    <row r="420" customFormat="false" ht="15" hidden="false" customHeight="false" outlineLevel="0" collapsed="false">
      <c r="A420" s="5" t="s">
        <v>532</v>
      </c>
      <c r="B420" s="5" t="s">
        <v>251</v>
      </c>
      <c r="C420" s="17" t="n">
        <f aca="false">a25_sh</f>
        <v>0.1592</v>
      </c>
      <c r="D420" s="17" t="n">
        <f aca="false">a26_sh</f>
        <v>0.1954</v>
      </c>
      <c r="E420" s="17" t="n">
        <f aca="false">sh_q4*(1+sh_g)</f>
        <v>0.204222</v>
      </c>
      <c r="F420" s="17" t="n">
        <f aca="false">E420*(1+sh_g)</f>
        <v>0.20626422</v>
      </c>
      <c r="G420" s="17" t="n">
        <f aca="false">F420*(1+sh_g)</f>
        <v>0.2083268622</v>
      </c>
    </row>
    <row r="421" customFormat="false" ht="15" hidden="false" customHeight="false" outlineLevel="0" collapsed="false">
      <c r="A421" s="0" t="s">
        <v>493</v>
      </c>
      <c r="B421" s="0" t="s">
        <v>188</v>
      </c>
      <c r="C421" s="19" t="n">
        <f aca="false">(C417-C419)/C420</f>
        <v>3.53</v>
      </c>
      <c r="D421" s="19" t="n">
        <f aca="false">(D417-D419)/D420</f>
        <v>5.61207778915046</v>
      </c>
      <c r="E421" s="19" t="n">
        <f aca="false">(E417-E419)/E420</f>
        <v>10.5622270829496</v>
      </c>
      <c r="F421" s="19" t="n">
        <f aca="false">(F417-F419)/F420</f>
        <v>14.7032781943053</v>
      </c>
      <c r="G421" s="19" t="n">
        <f aca="false">(G417-G419)/G420</f>
        <v>18.2232765354612</v>
      </c>
    </row>
    <row r="422" customFormat="false" ht="17.15" hidden="false" customHeight="false" outlineLevel="0" collapsed="false">
      <c r="A422" s="0" t="s">
        <v>533</v>
      </c>
      <c r="B422" s="0" t="s">
        <v>60</v>
      </c>
      <c r="D422" s="16" t="n">
        <f aca="false">D421/C421-1</f>
        <v>0.589823736303247</v>
      </c>
      <c r="E422" s="16" t="n">
        <f aca="false">E421/D421-1</f>
        <v>0.882052865227389</v>
      </c>
      <c r="F422" s="16" t="n">
        <f aca="false">F421/E421-1</f>
        <v>0.39206230644676</v>
      </c>
      <c r="G422" s="16" t="n">
        <f aca="false">G421/F421-1</f>
        <v>0.239402281221837</v>
      </c>
    </row>
    <row r="425" customFormat="false" ht="17.15" hidden="false" customHeight="false" outlineLevel="0" collapsed="false">
      <c r="A425" s="3" t="s">
        <v>808</v>
      </c>
    </row>
    <row r="426" customFormat="false" ht="17.15" hidden="false" customHeight="false" outlineLevel="0" collapsed="false">
      <c r="A426" s="6" t="s">
        <v>16</v>
      </c>
      <c r="B426" s="6" t="s">
        <v>17</v>
      </c>
      <c r="C426" s="15" t="s">
        <v>412</v>
      </c>
      <c r="D426" s="15" t="s">
        <v>477</v>
      </c>
      <c r="E426" s="15" t="s">
        <v>478</v>
      </c>
      <c r="F426" s="15" t="s">
        <v>479</v>
      </c>
      <c r="G426" s="15" t="s">
        <v>480</v>
      </c>
      <c r="H426" s="6" t="s">
        <v>418</v>
      </c>
    </row>
    <row r="427" customFormat="false" ht="17.15" hidden="false" customHeight="false" outlineLevel="0" collapsed="false">
      <c r="A427" s="1" t="s">
        <v>503</v>
      </c>
    </row>
    <row r="428" customFormat="false" ht="17.15" hidden="false" customHeight="false" outlineLevel="0" collapsed="false">
      <c r="A428" s="0" t="s">
        <v>504</v>
      </c>
      <c r="B428" s="0" t="s">
        <v>27</v>
      </c>
      <c r="D428" s="19" t="n">
        <f aca="false">mpl_26*1</f>
        <v>29.753262</v>
      </c>
      <c r="E428" s="19" t="n">
        <f aca="false">mpl_27*1*1</f>
        <v>54.688309</v>
      </c>
      <c r="F428" s="19" t="n">
        <f aca="false">mpl_28*um28_A*1</f>
        <v>61.21325</v>
      </c>
      <c r="G428" s="19" t="n">
        <f aca="false">mpl_29*um29_A*1</f>
        <v>78.80848</v>
      </c>
      <c r="H428" s="5" t="s">
        <v>505</v>
      </c>
    </row>
    <row r="429" customFormat="false" ht="17.15" hidden="false" customHeight="false" outlineLevel="0" collapsed="false">
      <c r="A429" s="0" t="s">
        <v>506</v>
      </c>
      <c r="B429" s="0" t="s">
        <v>27</v>
      </c>
      <c r="D429" s="19" t="n">
        <f aca="false">mcp_26*1</f>
        <v>0.300538</v>
      </c>
      <c r="E429" s="19" t="n">
        <f aca="false">mcp_27*1</f>
        <v>1.691391</v>
      </c>
      <c r="F429" s="19" t="n">
        <f aca="false">mcp_28*um28_A</f>
        <v>3.22175</v>
      </c>
      <c r="G429" s="19" t="n">
        <f aca="false">mcp_29*um29_A</f>
        <v>5.87368</v>
      </c>
    </row>
    <row r="430" customFormat="false" ht="17.15" hidden="false" customHeight="false" outlineLevel="0" collapsed="false">
      <c r="A430" s="0" t="s">
        <v>507</v>
      </c>
      <c r="B430" s="0" t="s">
        <v>60</v>
      </c>
      <c r="D430" s="16" t="n">
        <f aca="false">dc_cy26/D428</f>
        <v>0.146339576728919</v>
      </c>
      <c r="H430" s="8" t="s">
        <v>508</v>
      </c>
    </row>
    <row r="431" customFormat="false" ht="17.15" hidden="false" customHeight="false" outlineLevel="0" collapsed="false">
      <c r="A431" s="5" t="s">
        <v>509</v>
      </c>
      <c r="B431" s="0" t="s">
        <v>71</v>
      </c>
      <c r="D431" s="9" t="n">
        <f aca="false">1</f>
        <v>1</v>
      </c>
      <c r="E431" s="9" t="n">
        <f aca="false">rel_27</f>
        <v>1.1</v>
      </c>
      <c r="F431" s="9" t="n">
        <f aca="false">rel_28</f>
        <v>1.15</v>
      </c>
      <c r="G431" s="9" t="n">
        <f aca="false">rel_29</f>
        <v>1.15</v>
      </c>
    </row>
    <row r="432" customFormat="false" ht="15" hidden="false" customHeight="false" outlineLevel="0" collapsed="false">
      <c r="A432" s="5" t="s">
        <v>510</v>
      </c>
      <c r="B432" s="0" t="s">
        <v>60</v>
      </c>
      <c r="D432" s="16" t="n">
        <f aca="false">$D$430*D431</f>
        <v>0.146339576728919</v>
      </c>
      <c r="E432" s="16" t="n">
        <f aca="false">$D$430*E431</f>
        <v>0.16097353440181</v>
      </c>
      <c r="F432" s="16" t="n">
        <f aca="false">$D$430*F431</f>
        <v>0.168290513238256</v>
      </c>
      <c r="G432" s="16" t="n">
        <f aca="false">$D$430*G431</f>
        <v>0.168290513238256</v>
      </c>
    </row>
    <row r="433" customFormat="false" ht="15" hidden="false" customHeight="false" outlineLevel="0" collapsed="false">
      <c r="A433" s="5" t="s">
        <v>511</v>
      </c>
      <c r="B433" s="0" t="s">
        <v>71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0" t="s">
        <v>512</v>
      </c>
      <c r="B434" s="0" t="s">
        <v>60</v>
      </c>
      <c r="D434" s="16" t="n">
        <f aca="false">0</f>
        <v>0</v>
      </c>
      <c r="E434" s="16" t="n">
        <f aca="false">cpo_27</f>
        <v>0.1</v>
      </c>
      <c r="F434" s="16" t="n">
        <f aca="false">cpo_28</f>
        <v>0.15</v>
      </c>
      <c r="G434" s="16" t="n">
        <f aca="false">cpo_29</f>
        <v>0.2</v>
      </c>
    </row>
    <row r="435" customFormat="false" ht="15" hidden="false" customHeight="false" outlineLevel="0" collapsed="false">
      <c r="A435" s="5" t="s">
        <v>513</v>
      </c>
      <c r="B435" s="0" t="s">
        <v>27</v>
      </c>
      <c r="D435" s="19" t="n">
        <f aca="false">dc_cy26</f>
        <v>4.35407976738462</v>
      </c>
      <c r="E435" s="19" t="n">
        <f aca="false">E428*E432*E433+E429*E434</f>
        <v>8.97250949018834</v>
      </c>
      <c r="F435" s="19" t="n">
        <f aca="false">F428*F432*F433+F429*F434</f>
        <v>10.7848717594817</v>
      </c>
      <c r="G435" s="19" t="n">
        <f aca="false">G428*G432*G433+G429*G434</f>
        <v>14.4374555467269</v>
      </c>
    </row>
    <row r="436" customFormat="false" ht="17.15" hidden="false" customHeight="false" outlineLevel="0" collapsed="false">
      <c r="A436" s="1" t="s">
        <v>514</v>
      </c>
    </row>
    <row r="437" customFormat="false" ht="17.15" hidden="false" customHeight="false" outlineLevel="0" collapsed="false">
      <c r="A437" s="5" t="s">
        <v>515</v>
      </c>
      <c r="B437" s="0" t="s">
        <v>27</v>
      </c>
      <c r="C437" s="19" t="n">
        <f aca="false">a25_dc</f>
        <v>2.27542010638806</v>
      </c>
      <c r="D437" s="19" t="n">
        <f aca="false">a26_dc</f>
        <v>3.19608300307692</v>
      </c>
      <c r="E437" s="19" t="n">
        <f aca="false">h1_27+hw*E435</f>
        <v>6.69591290210202</v>
      </c>
      <c r="F437" s="19" t="n">
        <f aca="false">(1-hw)*E435+hw*F435</f>
        <v>9.80619613406329</v>
      </c>
      <c r="G437" s="19" t="n">
        <f aca="false">(1-hw)*F435+hw*G435</f>
        <v>12.4650603016145</v>
      </c>
      <c r="H437" s="8" t="s">
        <v>516</v>
      </c>
    </row>
    <row r="438" customFormat="false" ht="15" hidden="false" customHeight="false" outlineLevel="0" collapsed="false">
      <c r="A438" s="5" t="s">
        <v>517</v>
      </c>
      <c r="B438" s="0" t="s">
        <v>27</v>
      </c>
      <c r="C438" s="19" t="n">
        <f aca="false">a25_com</f>
        <v>1.47977989361194</v>
      </c>
      <c r="D438" s="19" t="n">
        <f aca="false">a26_com</f>
        <v>2.07851699692308</v>
      </c>
      <c r="E438" s="19" t="n">
        <f aca="false">D438*(1+GCLO_27)</f>
        <v>2.28636869661538</v>
      </c>
      <c r="F438" s="19" t="n">
        <f aca="false">E438*(1+GCLO_28)</f>
        <v>2.28636869661538</v>
      </c>
      <c r="G438" s="19" t="n">
        <f aca="false">F438*(1+GCLO_29)</f>
        <v>2.17205026178462</v>
      </c>
    </row>
    <row r="439" customFormat="false" ht="17.15" hidden="false" customHeight="false" outlineLevel="0" collapsed="false">
      <c r="A439" s="5" t="s">
        <v>518</v>
      </c>
      <c r="B439" s="0" t="s">
        <v>27</v>
      </c>
      <c r="C439" s="19" t="n">
        <f aca="false">a25_ind</f>
        <v>2.0549</v>
      </c>
      <c r="D439" s="19" t="n">
        <f aca="false">a26_ind</f>
        <v>1.8436</v>
      </c>
      <c r="E439" s="19" t="n">
        <f aca="false">ind_run*(1+g_ind_27)</f>
        <v>1.75644</v>
      </c>
      <c r="F439" s="19" t="n">
        <f aca="false">E439*(1+g_ind_28)</f>
        <v>1.844262</v>
      </c>
      <c r="G439" s="19" t="n">
        <f aca="false">F439*(1+g_ind_29)</f>
        <v>1.9364751</v>
      </c>
    </row>
    <row r="440" customFormat="false" ht="15" hidden="false" customHeight="false" outlineLevel="0" collapsed="false">
      <c r="A440" s="5" t="s">
        <v>419</v>
      </c>
      <c r="B440" s="0" t="s">
        <v>27</v>
      </c>
      <c r="C440" s="19" t="n">
        <f aca="false">C437+C438+C439</f>
        <v>5.8101</v>
      </c>
      <c r="D440" s="19" t="n">
        <f aca="false">D437+D438+D439</f>
        <v>7.1182</v>
      </c>
      <c r="E440" s="19" t="n">
        <f aca="false">E437+E438+E439</f>
        <v>10.7387215987174</v>
      </c>
      <c r="F440" s="19" t="n">
        <f aca="false">F437+F438+F439</f>
        <v>13.9368268306787</v>
      </c>
      <c r="G440" s="19" t="n">
        <f aca="false">G437+G438+G439</f>
        <v>16.5735856633991</v>
      </c>
    </row>
    <row r="441" customFormat="false" ht="15" hidden="false" customHeight="false" outlineLevel="0" collapsed="false">
      <c r="A441" s="5" t="s">
        <v>519</v>
      </c>
      <c r="B441" s="0" t="s">
        <v>60</v>
      </c>
      <c r="D441" s="16" t="n">
        <f aca="false">D440/C440-1</f>
        <v>0.225142424398892</v>
      </c>
      <c r="E441" s="16" t="n">
        <f aca="false">E440/D440-1</f>
        <v>0.508628810474194</v>
      </c>
      <c r="F441" s="16" t="n">
        <f aca="false">F440/E440-1</f>
        <v>0.297810610188762</v>
      </c>
      <c r="G441" s="16" t="n">
        <f aca="false">G440/F440-1</f>
        <v>0.189193628130344</v>
      </c>
    </row>
    <row r="442" customFormat="false" ht="17.15" hidden="false" customHeight="false" outlineLevel="0" collapsed="false">
      <c r="A442" s="5" t="s">
        <v>520</v>
      </c>
      <c r="B442" s="0" t="s">
        <v>60</v>
      </c>
      <c r="C442" s="16" t="n">
        <f aca="false">C437/C440</f>
        <v>0.391631831876914</v>
      </c>
      <c r="D442" s="16" t="n">
        <f aca="false">D437/D440</f>
        <v>0.449001573863747</v>
      </c>
      <c r="E442" s="16" t="n">
        <f aca="false">E437/E440</f>
        <v>0.623529797336562</v>
      </c>
      <c r="F442" s="16" t="n">
        <f aca="false">F437/F440</f>
        <v>0.703617563251718</v>
      </c>
      <c r="G442" s="16" t="n">
        <f aca="false">G437/G440</f>
        <v>0.752104013867208</v>
      </c>
    </row>
    <row r="443" customFormat="false" ht="17.15" hidden="false" customHeight="false" outlineLevel="0" collapsed="false">
      <c r="A443" s="1" t="s">
        <v>521</v>
      </c>
    </row>
    <row r="444" customFormat="false" ht="17.15" hidden="false" customHeight="false" outlineLevel="0" collapsed="false">
      <c r="A444" s="5" t="s">
        <v>490</v>
      </c>
      <c r="B444" s="0" t="s">
        <v>60</v>
      </c>
      <c r="C444" s="16" t="n">
        <f aca="false">a25_gp/a25_rev</f>
        <v>0.379046832240409</v>
      </c>
      <c r="D444" s="16" t="n">
        <f aca="false">a26_gp/a26_rev</f>
        <v>0.394271023573375</v>
      </c>
      <c r="E444" s="16" t="n">
        <f aca="false">gm_27</f>
        <v>0.41</v>
      </c>
      <c r="F444" s="16" t="n">
        <f aca="false">gm_28</f>
        <v>0.42</v>
      </c>
      <c r="G444" s="16" t="n">
        <f aca="false">gm_29</f>
        <v>0.42</v>
      </c>
      <c r="H444" s="8" t="s">
        <v>522</v>
      </c>
    </row>
    <row r="445" customFormat="false" ht="15" hidden="false" customHeight="false" outlineLevel="0" collapsed="false">
      <c r="A445" s="5" t="s">
        <v>523</v>
      </c>
      <c r="B445" s="0" t="s">
        <v>27</v>
      </c>
      <c r="C445" s="19" t="n">
        <f aca="false">C440*C444</f>
        <v>2.2023</v>
      </c>
      <c r="D445" s="19" t="n">
        <f aca="false">D440*D444</f>
        <v>2.8065</v>
      </c>
      <c r="E445" s="19" t="n">
        <f aca="false">E440*E444</f>
        <v>4.40287585547414</v>
      </c>
      <c r="F445" s="19" t="n">
        <f aca="false">F440*F444</f>
        <v>5.85346726888504</v>
      </c>
      <c r="G445" s="19" t="n">
        <f aca="false">G440*G444</f>
        <v>6.96090597862762</v>
      </c>
    </row>
    <row r="446" customFormat="false" ht="15" hidden="false" customHeight="false" outlineLevel="0" collapsed="false">
      <c r="A446" s="5" t="s">
        <v>524</v>
      </c>
      <c r="B446" s="0" t="s">
        <v>27</v>
      </c>
      <c r="C446" s="19" t="n">
        <f aca="false">a25_opx</f>
        <v>1.1653</v>
      </c>
      <c r="D446" s="19" t="n">
        <f aca="false">a26_opx</f>
        <v>1.3496</v>
      </c>
      <c r="E446" s="19" t="n">
        <f aca="false">D446*(1+MAX(0,phi*E441))</f>
        <v>1.83181007100493</v>
      </c>
      <c r="F446" s="19" t="n">
        <f aca="false">E446*(1+MAX(0,phi*F441))</f>
        <v>2.21503244698978</v>
      </c>
      <c r="G446" s="19" t="n">
        <f aca="false">F446*(1+MAX(0,phi*G441))</f>
        <v>2.50941824082083</v>
      </c>
    </row>
    <row r="447" customFormat="false" ht="15" hidden="false" customHeight="false" outlineLevel="0" collapsed="false">
      <c r="A447" s="5" t="s">
        <v>525</v>
      </c>
      <c r="B447" s="0" t="s">
        <v>27</v>
      </c>
      <c r="C447" s="19" t="n">
        <f aca="false">C446</f>
        <v>1.1653</v>
      </c>
      <c r="D447" s="19" t="n">
        <f aca="false">D446</f>
        <v>1.3496</v>
      </c>
      <c r="E447" s="19" t="n">
        <f aca="false">E446+0*E440</f>
        <v>1.83181007100493</v>
      </c>
      <c r="F447" s="19" t="n">
        <f aca="false">F446+0*F440</f>
        <v>2.21503244698978</v>
      </c>
      <c r="G447" s="19" t="n">
        <f aca="false">G446+0*G440</f>
        <v>2.50941824082083</v>
      </c>
    </row>
    <row r="448" customFormat="false" ht="15" hidden="false" customHeight="false" outlineLevel="0" collapsed="false">
      <c r="A448" s="5" t="s">
        <v>526</v>
      </c>
      <c r="B448" s="0" t="s">
        <v>27</v>
      </c>
      <c r="C448" s="19" t="n">
        <f aca="false">C445-C447</f>
        <v>1.037</v>
      </c>
      <c r="D448" s="19" t="n">
        <f aca="false">D445-D447</f>
        <v>1.4569</v>
      </c>
      <c r="E448" s="19" t="n">
        <f aca="false">E445-E447</f>
        <v>2.57106578446921</v>
      </c>
      <c r="F448" s="19" t="n">
        <f aca="false">F445-F447</f>
        <v>3.63843482189526</v>
      </c>
      <c r="G448" s="19" t="n">
        <f aca="false">G445-G447</f>
        <v>4.45148773780678</v>
      </c>
    </row>
    <row r="449" customFormat="false" ht="15" hidden="false" customHeight="false" outlineLevel="0" collapsed="false">
      <c r="A449" s="5" t="s">
        <v>491</v>
      </c>
      <c r="B449" s="0" t="s">
        <v>60</v>
      </c>
      <c r="C449" s="16" t="n">
        <f aca="false">C448/C440</f>
        <v>0.178482298067159</v>
      </c>
      <c r="D449" s="16" t="n">
        <f aca="false">D448/D440</f>
        <v>0.204672529572083</v>
      </c>
      <c r="E449" s="16" t="n">
        <f aca="false">E448/E440</f>
        <v>0.239420098643426</v>
      </c>
      <c r="F449" s="16" t="n">
        <f aca="false">F448/F440</f>
        <v>0.261066228783592</v>
      </c>
      <c r="G449" s="16" t="n">
        <f aca="false">G448/G440</f>
        <v>0.268589297947601</v>
      </c>
    </row>
    <row r="450" customFormat="false" ht="15" hidden="false" customHeight="false" outlineLevel="0" collapsed="false">
      <c r="A450" s="5" t="s">
        <v>527</v>
      </c>
      <c r="B450" s="0" t="s">
        <v>27</v>
      </c>
      <c r="C450" s="19" t="n">
        <f aca="false">a25_int</f>
        <v>0.1673</v>
      </c>
      <c r="D450" s="19" t="n">
        <f aca="false">a26_int</f>
        <v>0.1181</v>
      </c>
      <c r="E450" s="19" t="n">
        <f aca="false">int_f</f>
        <v>0.08</v>
      </c>
      <c r="F450" s="19" t="n">
        <f aca="false">int_f</f>
        <v>0.08</v>
      </c>
      <c r="G450" s="19" t="n">
        <f aca="false">int_f</f>
        <v>0.08</v>
      </c>
    </row>
    <row r="451" customFormat="false" ht="15" hidden="false" customHeight="false" outlineLevel="0" collapsed="false">
      <c r="A451" s="5" t="s">
        <v>528</v>
      </c>
      <c r="B451" s="0" t="s">
        <v>27</v>
      </c>
      <c r="C451" s="19" t="n">
        <f aca="false">C448-C450</f>
        <v>0.8697</v>
      </c>
      <c r="D451" s="19" t="n">
        <f aca="false">D448-D450</f>
        <v>1.3388</v>
      </c>
      <c r="E451" s="19" t="n">
        <f aca="false">E448-E450</f>
        <v>2.49106578446921</v>
      </c>
      <c r="F451" s="19" t="n">
        <f aca="false">F448-F450</f>
        <v>3.55843482189526</v>
      </c>
      <c r="G451" s="19" t="n">
        <f aca="false">G448-G450</f>
        <v>4.37148773780678</v>
      </c>
    </row>
    <row r="452" customFormat="false" ht="17.15" hidden="false" customHeight="false" outlineLevel="0" collapsed="false">
      <c r="A452" s="5" t="s">
        <v>529</v>
      </c>
      <c r="B452" s="0" t="s">
        <v>27</v>
      </c>
      <c r="C452" s="19" t="n">
        <f aca="false">a25_ni</f>
        <v>0.6926</v>
      </c>
      <c r="D452" s="19" t="n">
        <f aca="false">a26_ni</f>
        <v>1.0966</v>
      </c>
      <c r="E452" s="19" t="n">
        <f aca="false">E451*(1-tx)+nci</f>
        <v>2.02996328542006</v>
      </c>
      <c r="F452" s="19" t="n">
        <f aca="false">F451*(1-tx)+nci</f>
        <v>2.89453220573516</v>
      </c>
      <c r="G452" s="19" t="n">
        <f aca="false">G451*(1-tx)+nci</f>
        <v>3.55310506762349</v>
      </c>
    </row>
    <row r="453" customFormat="false" ht="15" hidden="false" customHeight="false" outlineLevel="0" collapsed="false">
      <c r="A453" s="5" t="s">
        <v>530</v>
      </c>
      <c r="B453" s="0" t="s">
        <v>60</v>
      </c>
      <c r="C453" s="16" t="n">
        <f aca="false">C452/C440</f>
        <v>0.119206209875906</v>
      </c>
      <c r="D453" s="16" t="n">
        <f aca="false">D452/D440</f>
        <v>0.154055800623753</v>
      </c>
      <c r="E453" s="16" t="n">
        <f aca="false">E452/E440</f>
        <v>0.189032117720838</v>
      </c>
      <c r="F453" s="16" t="n">
        <f aca="false">F452/F440</f>
        <v>0.207689471993978</v>
      </c>
      <c r="G453" s="16" t="n">
        <f aca="false">G452/G440</f>
        <v>0.214383606528196</v>
      </c>
    </row>
    <row r="454" customFormat="false" ht="15" hidden="false" customHeight="false" outlineLevel="0" collapsed="false">
      <c r="A454" s="5" t="s">
        <v>531</v>
      </c>
      <c r="B454" s="0" t="s">
        <v>27</v>
      </c>
      <c r="C454" s="10" t="n">
        <f aca="false">a25_pref</f>
        <v>0.130624</v>
      </c>
      <c r="D454" s="10" t="n">
        <f aca="false">0</f>
        <v>0</v>
      </c>
      <c r="E454" s="10" t="n">
        <f aca="false">0</f>
        <v>0</v>
      </c>
      <c r="F454" s="10" t="n">
        <f aca="false">0</f>
        <v>0</v>
      </c>
      <c r="G454" s="10" t="n">
        <f aca="false">0</f>
        <v>0</v>
      </c>
    </row>
    <row r="455" customFormat="false" ht="15" hidden="false" customHeight="false" outlineLevel="0" collapsed="false">
      <c r="A455" s="5" t="s">
        <v>532</v>
      </c>
      <c r="B455" s="5" t="s">
        <v>251</v>
      </c>
      <c r="C455" s="17" t="n">
        <f aca="false">a25_sh</f>
        <v>0.1592</v>
      </c>
      <c r="D455" s="17" t="n">
        <f aca="false">a26_sh</f>
        <v>0.1954</v>
      </c>
      <c r="E455" s="17" t="n">
        <f aca="false">sh_q4*(1+sh_g)</f>
        <v>0.204222</v>
      </c>
      <c r="F455" s="17" t="n">
        <f aca="false">E455*(1+sh_g)</f>
        <v>0.20626422</v>
      </c>
      <c r="G455" s="17" t="n">
        <f aca="false">F455*(1+sh_g)</f>
        <v>0.2083268622</v>
      </c>
    </row>
    <row r="456" customFormat="false" ht="15" hidden="false" customHeight="false" outlineLevel="0" collapsed="false">
      <c r="A456" s="0" t="s">
        <v>493</v>
      </c>
      <c r="B456" s="0" t="s">
        <v>188</v>
      </c>
      <c r="C456" s="19" t="n">
        <f aca="false">(C452-C454)/C455</f>
        <v>3.53</v>
      </c>
      <c r="D456" s="19" t="n">
        <f aca="false">(D452-D454)/D455</f>
        <v>5.61207778915046</v>
      </c>
      <c r="E456" s="19" t="n">
        <f aca="false">(E452-E454)/E455</f>
        <v>9.9399833779909</v>
      </c>
      <c r="F456" s="19" t="n">
        <f aca="false">(F452-F454)/F455</f>
        <v>14.0331280225682</v>
      </c>
      <c r="G456" s="19" t="n">
        <f aca="false">(G452-G454)/G455</f>
        <v>17.0554340909355</v>
      </c>
    </row>
    <row r="457" customFormat="false" ht="17.15" hidden="false" customHeight="false" outlineLevel="0" collapsed="false">
      <c r="A457" s="0" t="s">
        <v>533</v>
      </c>
      <c r="B457" s="0" t="s">
        <v>60</v>
      </c>
      <c r="D457" s="16" t="n">
        <f aca="false">D456/C456-1</f>
        <v>0.589823736303247</v>
      </c>
      <c r="E457" s="16" t="n">
        <f aca="false">E456/D456-1</f>
        <v>0.771177049114921</v>
      </c>
      <c r="F457" s="16" t="n">
        <f aca="false">F456/E456-1</f>
        <v>0.411785864113242</v>
      </c>
      <c r="G457" s="16" t="n">
        <f aca="false">G456/F456-1</f>
        <v>0.215369379051258</v>
      </c>
    </row>
    <row r="460" customFormat="false" ht="17.15" hidden="false" customHeight="false" outlineLevel="0" collapsed="false">
      <c r="A460" s="3" t="s">
        <v>809</v>
      </c>
    </row>
    <row r="461" customFormat="false" ht="17.15" hidden="false" customHeight="false" outlineLevel="0" collapsed="false">
      <c r="A461" s="6" t="s">
        <v>16</v>
      </c>
      <c r="B461" s="6" t="s">
        <v>17</v>
      </c>
      <c r="C461" s="15" t="s">
        <v>412</v>
      </c>
      <c r="D461" s="15" t="s">
        <v>477</v>
      </c>
      <c r="E461" s="15" t="s">
        <v>478</v>
      </c>
      <c r="F461" s="15" t="s">
        <v>479</v>
      </c>
      <c r="G461" s="15" t="s">
        <v>480</v>
      </c>
      <c r="H461" s="6" t="s">
        <v>418</v>
      </c>
    </row>
    <row r="462" customFormat="false" ht="17.15" hidden="false" customHeight="false" outlineLevel="0" collapsed="false">
      <c r="A462" s="1" t="s">
        <v>503</v>
      </c>
    </row>
    <row r="463" customFormat="false" ht="17.15" hidden="false" customHeight="false" outlineLevel="0" collapsed="false">
      <c r="A463" s="0" t="s">
        <v>504</v>
      </c>
      <c r="B463" s="0" t="s">
        <v>27</v>
      </c>
      <c r="D463" s="19" t="n">
        <f aca="false">mpl_26*1</f>
        <v>29.753262</v>
      </c>
      <c r="E463" s="19" t="n">
        <f aca="false">mpl_27*1*1</f>
        <v>54.688309</v>
      </c>
      <c r="F463" s="19" t="n">
        <f aca="false">mpl_28*um28_A*1</f>
        <v>61.21325</v>
      </c>
      <c r="G463" s="19" t="n">
        <f aca="false">mpl_29*um29_A*1</f>
        <v>78.80848</v>
      </c>
      <c r="H463" s="5" t="s">
        <v>505</v>
      </c>
    </row>
    <row r="464" customFormat="false" ht="17.15" hidden="false" customHeight="false" outlineLevel="0" collapsed="false">
      <c r="A464" s="0" t="s">
        <v>506</v>
      </c>
      <c r="B464" s="0" t="s">
        <v>27</v>
      </c>
      <c r="D464" s="19" t="n">
        <f aca="false">mcp_26*1</f>
        <v>0.300538</v>
      </c>
      <c r="E464" s="19" t="n">
        <f aca="false">mcp_27*1</f>
        <v>1.691391</v>
      </c>
      <c r="F464" s="19" t="n">
        <f aca="false">mcp_28*um28_A</f>
        <v>3.22175</v>
      </c>
      <c r="G464" s="19" t="n">
        <f aca="false">mcp_29*um29_A</f>
        <v>5.87368</v>
      </c>
    </row>
    <row r="465" customFormat="false" ht="17.15" hidden="false" customHeight="false" outlineLevel="0" collapsed="false">
      <c r="A465" s="0" t="s">
        <v>507</v>
      </c>
      <c r="B465" s="0" t="s">
        <v>60</v>
      </c>
      <c r="D465" s="16" t="n">
        <f aca="false">dc_cy26/D463</f>
        <v>0.146339576728919</v>
      </c>
      <c r="H465" s="8" t="s">
        <v>508</v>
      </c>
    </row>
    <row r="466" customFormat="false" ht="17.15" hidden="false" customHeight="false" outlineLevel="0" collapsed="false">
      <c r="A466" s="5" t="s">
        <v>509</v>
      </c>
      <c r="B466" s="0" t="s">
        <v>71</v>
      </c>
      <c r="D466" s="9" t="n">
        <f aca="false">1</f>
        <v>1</v>
      </c>
      <c r="E466" s="9" t="n">
        <f aca="false">rel_27</f>
        <v>1.1</v>
      </c>
      <c r="F466" s="9" t="n">
        <f aca="false">rel_28</f>
        <v>1.15</v>
      </c>
      <c r="G466" s="9" t="n">
        <f aca="false">rel_29</f>
        <v>1.15</v>
      </c>
    </row>
    <row r="467" customFormat="false" ht="15" hidden="false" customHeight="false" outlineLevel="0" collapsed="false">
      <c r="A467" s="5" t="s">
        <v>510</v>
      </c>
      <c r="B467" s="0" t="s">
        <v>60</v>
      </c>
      <c r="D467" s="16" t="n">
        <f aca="false">$D$465*D466</f>
        <v>0.146339576728919</v>
      </c>
      <c r="E467" s="16" t="n">
        <f aca="false">$D$465*E466</f>
        <v>0.16097353440181</v>
      </c>
      <c r="F467" s="16" t="n">
        <f aca="false">$D$465*F466</f>
        <v>0.168290513238256</v>
      </c>
      <c r="G467" s="16" t="n">
        <f aca="false">$D$465*G466</f>
        <v>0.168290513238256</v>
      </c>
    </row>
    <row r="468" customFormat="false" ht="15" hidden="false" customHeight="false" outlineLevel="0" collapsed="false">
      <c r="A468" s="5" t="s">
        <v>511</v>
      </c>
      <c r="B468" s="0" t="s">
        <v>71</v>
      </c>
      <c r="D468" s="9" t="n">
        <f aca="false">1</f>
        <v>1</v>
      </c>
      <c r="E468" s="9" t="n">
        <f aca="false">pxr_27</f>
        <v>1</v>
      </c>
      <c r="F468" s="9" t="n">
        <f aca="false">pxr_28</f>
        <v>1</v>
      </c>
      <c r="G468" s="9" t="n">
        <f aca="false">pxr_29</f>
        <v>1</v>
      </c>
    </row>
    <row r="469" customFormat="false" ht="17.15" hidden="false" customHeight="false" outlineLevel="0" collapsed="false">
      <c r="A469" s="0" t="s">
        <v>512</v>
      </c>
      <c r="B469" s="0" t="s">
        <v>60</v>
      </c>
      <c r="D469" s="16" t="n">
        <f aca="false">0</f>
        <v>0</v>
      </c>
      <c r="E469" s="16" t="n">
        <f aca="false">cpo_27</f>
        <v>0.1</v>
      </c>
      <c r="F469" s="16" t="n">
        <f aca="false">cpo_28</f>
        <v>0.15</v>
      </c>
      <c r="G469" s="16" t="n">
        <f aca="false">cpo_29</f>
        <v>0.2</v>
      </c>
    </row>
    <row r="470" customFormat="false" ht="15" hidden="false" customHeight="false" outlineLevel="0" collapsed="false">
      <c r="A470" s="5" t="s">
        <v>513</v>
      </c>
      <c r="B470" s="0" t="s">
        <v>27</v>
      </c>
      <c r="D470" s="19" t="n">
        <f aca="false">dc_cy26</f>
        <v>4.35407976738462</v>
      </c>
      <c r="E470" s="19" t="n">
        <f aca="false">E463*E467*E468+E464*E469</f>
        <v>8.97250949018834</v>
      </c>
      <c r="F470" s="19" t="n">
        <f aca="false">F463*F467*F468+F464*F469</f>
        <v>10.7848717594817</v>
      </c>
      <c r="G470" s="19" t="n">
        <f aca="false">G463*G467*G468+G464*G469</f>
        <v>14.4374555467269</v>
      </c>
    </row>
    <row r="471" customFormat="false" ht="17.15" hidden="false" customHeight="false" outlineLevel="0" collapsed="false">
      <c r="A471" s="1" t="s">
        <v>514</v>
      </c>
    </row>
    <row r="472" customFormat="false" ht="17.15" hidden="false" customHeight="false" outlineLevel="0" collapsed="false">
      <c r="A472" s="5" t="s">
        <v>515</v>
      </c>
      <c r="B472" s="0" t="s">
        <v>27</v>
      </c>
      <c r="C472" s="19" t="n">
        <f aca="false">a25_dc</f>
        <v>2.27542010638806</v>
      </c>
      <c r="D472" s="19" t="n">
        <f aca="false">a26_dc</f>
        <v>3.19608300307692</v>
      </c>
      <c r="E472" s="19" t="n">
        <f aca="false">h1_27+hw*E470</f>
        <v>6.69591290210202</v>
      </c>
      <c r="F472" s="19" t="n">
        <f aca="false">(1-hw)*E470+hw*F470</f>
        <v>9.80619613406329</v>
      </c>
      <c r="G472" s="19" t="n">
        <f aca="false">(1-hw)*F470+hw*G470</f>
        <v>12.4650603016145</v>
      </c>
      <c r="H472" s="8" t="s">
        <v>516</v>
      </c>
    </row>
    <row r="473" customFormat="false" ht="15" hidden="false" customHeight="false" outlineLevel="0" collapsed="false">
      <c r="A473" s="5" t="s">
        <v>517</v>
      </c>
      <c r="B473" s="0" t="s">
        <v>27</v>
      </c>
      <c r="C473" s="19" t="n">
        <f aca="false">a25_com</f>
        <v>1.47977989361194</v>
      </c>
      <c r="D473" s="19" t="n">
        <f aca="false">a26_com</f>
        <v>2.07851699692308</v>
      </c>
      <c r="E473" s="19" t="n">
        <f aca="false">D473*(1+g_com_27)</f>
        <v>2.49422039630769</v>
      </c>
      <c r="F473" s="19" t="n">
        <f aca="false">E473*(1+g_com_28)</f>
        <v>2.79352684386461</v>
      </c>
      <c r="G473" s="19" t="n">
        <f aca="false">F473*(1+g_com_29)</f>
        <v>3.01700899137378</v>
      </c>
    </row>
    <row r="474" customFormat="false" ht="17.15" hidden="false" customHeight="false" outlineLevel="0" collapsed="false">
      <c r="A474" s="5" t="s">
        <v>518</v>
      </c>
      <c r="B474" s="0" t="s">
        <v>27</v>
      </c>
      <c r="C474" s="19" t="n">
        <f aca="false">a25_ind</f>
        <v>2.0549</v>
      </c>
      <c r="D474" s="19" t="n">
        <f aca="false">a26_ind</f>
        <v>1.8436</v>
      </c>
      <c r="E474" s="19" t="n">
        <f aca="false">ind_run*(1+g_ind_27)</f>
        <v>1.75644</v>
      </c>
      <c r="F474" s="19" t="n">
        <f aca="false">E474*(1+g_ind_28)</f>
        <v>1.844262</v>
      </c>
      <c r="G474" s="19" t="n">
        <f aca="false">F474*(1+g_ind_29)</f>
        <v>1.9364751</v>
      </c>
    </row>
    <row r="475" customFormat="false" ht="15" hidden="false" customHeight="false" outlineLevel="0" collapsed="false">
      <c r="A475" s="5" t="s">
        <v>419</v>
      </c>
      <c r="B475" s="0" t="s">
        <v>27</v>
      </c>
      <c r="C475" s="19" t="n">
        <f aca="false">C472+C473+C474</f>
        <v>5.8101</v>
      </c>
      <c r="D475" s="19" t="n">
        <f aca="false">D472+D473+D474</f>
        <v>7.1182</v>
      </c>
      <c r="E475" s="19" t="n">
        <f aca="false">E472+E473+E474</f>
        <v>10.9465732984097</v>
      </c>
      <c r="F475" s="19" t="n">
        <f aca="false">F472+F473+F474</f>
        <v>14.4439849779279</v>
      </c>
      <c r="G475" s="19" t="n">
        <f aca="false">G472+G473+G474</f>
        <v>17.4185443929883</v>
      </c>
    </row>
    <row r="476" customFormat="false" ht="15" hidden="false" customHeight="false" outlineLevel="0" collapsed="false">
      <c r="A476" s="5" t="s">
        <v>519</v>
      </c>
      <c r="B476" s="0" t="s">
        <v>60</v>
      </c>
      <c r="D476" s="16" t="n">
        <f aca="false">D475/C475-1</f>
        <v>0.225142424398892</v>
      </c>
      <c r="E476" s="16" t="n">
        <f aca="false">E475/D475-1</f>
        <v>0.537828846957055</v>
      </c>
      <c r="F476" s="16" t="n">
        <f aca="false">F475/E475-1</f>
        <v>0.319498310948713</v>
      </c>
      <c r="G476" s="16" t="n">
        <f aca="false">G475/F475-1</f>
        <v>0.205937587141348</v>
      </c>
    </row>
    <row r="477" customFormat="false" ht="17.15" hidden="false" customHeight="false" outlineLevel="0" collapsed="false">
      <c r="A477" s="5" t="s">
        <v>520</v>
      </c>
      <c r="B477" s="0" t="s">
        <v>60</v>
      </c>
      <c r="C477" s="16" t="n">
        <f aca="false">C472/C475</f>
        <v>0.391631831876914</v>
      </c>
      <c r="D477" s="16" t="n">
        <f aca="false">D472/D475</f>
        <v>0.449001573863747</v>
      </c>
      <c r="E477" s="16" t="n">
        <f aca="false">E472/E475</f>
        <v>0.611690318017127</v>
      </c>
      <c r="F477" s="16" t="n">
        <f aca="false">F472/F475</f>
        <v>0.678912097253514</v>
      </c>
      <c r="G477" s="16" t="n">
        <f aca="false">G472/G475</f>
        <v>0.715620089737936</v>
      </c>
    </row>
    <row r="478" customFormat="false" ht="17.15" hidden="false" customHeight="false" outlineLevel="0" collapsed="false">
      <c r="A478" s="1" t="s">
        <v>521</v>
      </c>
    </row>
    <row r="479" customFormat="false" ht="17.15" hidden="false" customHeight="false" outlineLevel="0" collapsed="false">
      <c r="A479" s="5" t="s">
        <v>490</v>
      </c>
      <c r="B479" s="0" t="s">
        <v>60</v>
      </c>
      <c r="C479" s="16" t="n">
        <f aca="false">a25_gp/a25_rev</f>
        <v>0.379046832240409</v>
      </c>
      <c r="D479" s="16" t="n">
        <f aca="false">a26_gp/a26_rev</f>
        <v>0.394271023573375</v>
      </c>
      <c r="E479" s="16" t="n">
        <f aca="false">gm_27</f>
        <v>0.41</v>
      </c>
      <c r="F479" s="16" t="n">
        <f aca="false">gm_28</f>
        <v>0.42</v>
      </c>
      <c r="G479" s="16" t="n">
        <f aca="false">gm_29</f>
        <v>0.42</v>
      </c>
      <c r="H479" s="8" t="s">
        <v>522</v>
      </c>
    </row>
    <row r="480" customFormat="false" ht="15" hidden="false" customHeight="false" outlineLevel="0" collapsed="false">
      <c r="A480" s="5" t="s">
        <v>523</v>
      </c>
      <c r="B480" s="0" t="s">
        <v>27</v>
      </c>
      <c r="C480" s="19" t="n">
        <f aca="false">C475*C479</f>
        <v>2.2023</v>
      </c>
      <c r="D480" s="19" t="n">
        <f aca="false">D475*D479</f>
        <v>2.8065</v>
      </c>
      <c r="E480" s="19" t="n">
        <f aca="false">E475*E479</f>
        <v>4.48809505234798</v>
      </c>
      <c r="F480" s="19" t="n">
        <f aca="false">F475*F479</f>
        <v>6.06647369072972</v>
      </c>
      <c r="G480" s="19" t="n">
        <f aca="false">G475*G479</f>
        <v>7.31578864505507</v>
      </c>
    </row>
    <row r="481" customFormat="false" ht="15" hidden="false" customHeight="false" outlineLevel="0" collapsed="false">
      <c r="A481" s="5" t="s">
        <v>524</v>
      </c>
      <c r="B481" s="0" t="s">
        <v>27</v>
      </c>
      <c r="C481" s="19" t="n">
        <f aca="false">a25_opx</f>
        <v>1.1653</v>
      </c>
      <c r="D481" s="19" t="n">
        <f aca="false">a26_opx</f>
        <v>1.3496</v>
      </c>
      <c r="E481" s="19" t="n">
        <f aca="false">D481*(1+MAX(0,phi*E476))</f>
        <v>1.859493425498</v>
      </c>
      <c r="F481" s="19" t="n">
        <f aca="false">E481*(1+MAX(0,phi*F476))</f>
        <v>2.27683674315755</v>
      </c>
      <c r="G481" s="19" t="n">
        <f aca="false">F481*(1+MAX(0,phi*G476))</f>
        <v>2.60621715010436</v>
      </c>
    </row>
    <row r="482" customFormat="false" ht="15" hidden="false" customHeight="false" outlineLevel="0" collapsed="false">
      <c r="A482" s="5" t="s">
        <v>525</v>
      </c>
      <c r="B482" s="0" t="s">
        <v>27</v>
      </c>
      <c r="C482" s="19" t="n">
        <f aca="false">C481</f>
        <v>1.1653</v>
      </c>
      <c r="D482" s="19" t="n">
        <f aca="false">D481</f>
        <v>1.3496</v>
      </c>
      <c r="E482" s="19" t="n">
        <f aca="false">E481+opx_adj_hi*E475</f>
        <v>2.0784248914662</v>
      </c>
      <c r="F482" s="19" t="n">
        <f aca="false">F481+opx_adj_hi*F475</f>
        <v>2.5657164427161</v>
      </c>
      <c r="G482" s="19" t="n">
        <f aca="false">G481+opx_adj_hi*G475</f>
        <v>2.95458803796412</v>
      </c>
    </row>
    <row r="483" customFormat="false" ht="15" hidden="false" customHeight="false" outlineLevel="0" collapsed="false">
      <c r="A483" s="5" t="s">
        <v>526</v>
      </c>
      <c r="B483" s="0" t="s">
        <v>27</v>
      </c>
      <c r="C483" s="19" t="n">
        <f aca="false">C480-C482</f>
        <v>1.037</v>
      </c>
      <c r="D483" s="19" t="n">
        <f aca="false">D480-D482</f>
        <v>1.4569</v>
      </c>
      <c r="E483" s="19" t="n">
        <f aca="false">E480-E482</f>
        <v>2.40967016088179</v>
      </c>
      <c r="F483" s="19" t="n">
        <f aca="false">F480-F482</f>
        <v>3.50075724801361</v>
      </c>
      <c r="G483" s="19" t="n">
        <f aca="false">G480-G482</f>
        <v>4.36120060709095</v>
      </c>
    </row>
    <row r="484" customFormat="false" ht="15" hidden="false" customHeight="false" outlineLevel="0" collapsed="false">
      <c r="A484" s="5" t="s">
        <v>491</v>
      </c>
      <c r="B484" s="0" t="s">
        <v>60</v>
      </c>
      <c r="C484" s="16" t="n">
        <f aca="false">C483/C475</f>
        <v>0.178482298067159</v>
      </c>
      <c r="D484" s="16" t="n">
        <f aca="false">D483/D475</f>
        <v>0.204672529572083</v>
      </c>
      <c r="E484" s="16" t="n">
        <f aca="false">E483/E475</f>
        <v>0.220130089589941</v>
      </c>
      <c r="F484" s="16" t="n">
        <f aca="false">F483/F475</f>
        <v>0.242367826701785</v>
      </c>
      <c r="G484" s="16" t="n">
        <f aca="false">G483/G475</f>
        <v>0.250376868967681</v>
      </c>
    </row>
    <row r="485" customFormat="false" ht="15" hidden="false" customHeight="false" outlineLevel="0" collapsed="false">
      <c r="A485" s="5" t="s">
        <v>527</v>
      </c>
      <c r="B485" s="0" t="s">
        <v>27</v>
      </c>
      <c r="C485" s="19" t="n">
        <f aca="false">a25_int</f>
        <v>0.1673</v>
      </c>
      <c r="D485" s="19" t="n">
        <f aca="false">a26_int</f>
        <v>0.1181</v>
      </c>
      <c r="E485" s="19" t="n">
        <f aca="false">int_f</f>
        <v>0.08</v>
      </c>
      <c r="F485" s="19" t="n">
        <f aca="false">int_f</f>
        <v>0.08</v>
      </c>
      <c r="G485" s="19" t="n">
        <f aca="false">int_f</f>
        <v>0.08</v>
      </c>
    </row>
    <row r="486" customFormat="false" ht="15" hidden="false" customHeight="false" outlineLevel="0" collapsed="false">
      <c r="A486" s="5" t="s">
        <v>528</v>
      </c>
      <c r="B486" s="0" t="s">
        <v>27</v>
      </c>
      <c r="C486" s="19" t="n">
        <f aca="false">C483-C485</f>
        <v>0.8697</v>
      </c>
      <c r="D486" s="19" t="n">
        <f aca="false">D483-D485</f>
        <v>1.3388</v>
      </c>
      <c r="E486" s="19" t="n">
        <f aca="false">E483-E485</f>
        <v>2.32967016088179</v>
      </c>
      <c r="F486" s="19" t="n">
        <f aca="false">F483-F485</f>
        <v>3.42075724801361</v>
      </c>
      <c r="G486" s="19" t="n">
        <f aca="false">G483-G485</f>
        <v>4.28120060709095</v>
      </c>
    </row>
    <row r="487" customFormat="false" ht="17.15" hidden="false" customHeight="false" outlineLevel="0" collapsed="false">
      <c r="A487" s="5" t="s">
        <v>529</v>
      </c>
      <c r="B487" s="0" t="s">
        <v>27</v>
      </c>
      <c r="C487" s="19" t="n">
        <f aca="false">a25_ni</f>
        <v>0.6926</v>
      </c>
      <c r="D487" s="19" t="n">
        <f aca="false">a26_ni</f>
        <v>1.0966</v>
      </c>
      <c r="E487" s="19" t="n">
        <f aca="false">E486*(1-tx)+nci</f>
        <v>1.89923283031425</v>
      </c>
      <c r="F487" s="19" t="n">
        <f aca="false">F486*(1-tx)+nci</f>
        <v>2.78301337089103</v>
      </c>
      <c r="G487" s="19" t="n">
        <f aca="false">G486*(1-tx)+nci</f>
        <v>3.47997249174367</v>
      </c>
    </row>
    <row r="488" customFormat="false" ht="15" hidden="false" customHeight="false" outlineLevel="0" collapsed="false">
      <c r="A488" s="5" t="s">
        <v>530</v>
      </c>
      <c r="B488" s="0" t="s">
        <v>60</v>
      </c>
      <c r="C488" s="16" t="n">
        <f aca="false">C487/C475</f>
        <v>0.119206209875906</v>
      </c>
      <c r="D488" s="16" t="n">
        <f aca="false">D487/D475</f>
        <v>0.154055800623753</v>
      </c>
      <c r="E488" s="16" t="n">
        <f aca="false">E487/E475</f>
        <v>0.173500215870309</v>
      </c>
      <c r="F488" s="16" t="n">
        <f aca="false">F487/F475</f>
        <v>0.192676285328723</v>
      </c>
      <c r="G488" s="16" t="n">
        <f aca="false">G487/G475</f>
        <v>0.199785493737612</v>
      </c>
    </row>
    <row r="489" customFormat="false" ht="15" hidden="false" customHeight="false" outlineLevel="0" collapsed="false">
      <c r="A489" s="5" t="s">
        <v>531</v>
      </c>
      <c r="B489" s="0" t="s">
        <v>27</v>
      </c>
      <c r="C489" s="10" t="n">
        <f aca="false">a25_pref</f>
        <v>0.130624</v>
      </c>
      <c r="D489" s="10" t="n">
        <f aca="false">0</f>
        <v>0</v>
      </c>
      <c r="E489" s="10" t="n">
        <f aca="false">0</f>
        <v>0</v>
      </c>
      <c r="F489" s="10" t="n">
        <f aca="false">0</f>
        <v>0</v>
      </c>
      <c r="G489" s="10" t="n">
        <f aca="false">0</f>
        <v>0</v>
      </c>
    </row>
    <row r="490" customFormat="false" ht="15" hidden="false" customHeight="false" outlineLevel="0" collapsed="false">
      <c r="A490" s="5" t="s">
        <v>532</v>
      </c>
      <c r="B490" s="5" t="s">
        <v>251</v>
      </c>
      <c r="C490" s="17" t="n">
        <f aca="false">a25_sh</f>
        <v>0.1592</v>
      </c>
      <c r="D490" s="17" t="n">
        <f aca="false">a26_sh</f>
        <v>0.1954</v>
      </c>
      <c r="E490" s="17" t="n">
        <f aca="false">sh_q4*(1+sh_g)</f>
        <v>0.204222</v>
      </c>
      <c r="F490" s="17" t="n">
        <f aca="false">E490*(1+sh_g)</f>
        <v>0.20626422</v>
      </c>
      <c r="G490" s="17" t="n">
        <f aca="false">F490*(1+sh_g)</f>
        <v>0.2083268622</v>
      </c>
    </row>
    <row r="491" customFormat="false" ht="15" hidden="false" customHeight="false" outlineLevel="0" collapsed="false">
      <c r="A491" s="0" t="s">
        <v>493</v>
      </c>
      <c r="B491" s="0" t="s">
        <v>188</v>
      </c>
      <c r="C491" s="19" t="n">
        <f aca="false">(C487-C489)/C490</f>
        <v>3.53</v>
      </c>
      <c r="D491" s="19" t="n">
        <f aca="false">(D487-D489)/D490</f>
        <v>5.61207778915046</v>
      </c>
      <c r="E491" s="19" t="n">
        <f aca="false">(E487-E489)/E490</f>
        <v>9.29984443553705</v>
      </c>
      <c r="F491" s="19" t="n">
        <f aca="false">(F487-F489)/F490</f>
        <v>13.4924679175624</v>
      </c>
      <c r="G491" s="19" t="n">
        <f aca="false">(G487-G489)/G490</f>
        <v>16.7043868226786</v>
      </c>
    </row>
    <row r="492" customFormat="false" ht="17.15" hidden="false" customHeight="false" outlineLevel="0" collapsed="false">
      <c r="A492" s="0" t="s">
        <v>533</v>
      </c>
      <c r="B492" s="0" t="s">
        <v>60</v>
      </c>
      <c r="D492" s="16" t="n">
        <f aca="false">D491/C491-1</f>
        <v>0.589823736303247</v>
      </c>
      <c r="E492" s="16" t="n">
        <f aca="false">E491/D491-1</f>
        <v>0.657112532102808</v>
      </c>
      <c r="F492" s="16" t="n">
        <f aca="false">F491/E491-1</f>
        <v>0.45082727040081</v>
      </c>
      <c r="G492" s="16" t="n">
        <f aca="false">G491/F491-1</f>
        <v>0.2380527361444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810</v>
      </c>
    </row>
    <row r="2" customFormat="false" ht="17.15" hidden="false" customHeight="false" outlineLevel="0" collapsed="false">
      <c r="A2" s="5" t="s">
        <v>811</v>
      </c>
      <c r="B2" s="0" t="s">
        <v>812</v>
      </c>
    </row>
    <row r="3" customFormat="false" ht="17.15" hidden="false" customHeight="false" outlineLevel="0" collapsed="false">
      <c r="A3" s="5" t="s">
        <v>813</v>
      </c>
      <c r="B3" s="0" t="s">
        <v>814</v>
      </c>
    </row>
    <row r="4" customFormat="false" ht="17.15" hidden="false" customHeight="false" outlineLevel="0" collapsed="false">
      <c r="A4" s="5" t="s">
        <v>815</v>
      </c>
      <c r="B4" s="0" t="s">
        <v>816</v>
      </c>
    </row>
    <row r="5" customFormat="false" ht="17.15" hidden="false" customHeight="false" outlineLevel="0" collapsed="false">
      <c r="A5" s="5" t="s">
        <v>817</v>
      </c>
      <c r="B5" s="0" t="s">
        <v>167</v>
      </c>
    </row>
    <row r="6" customFormat="false" ht="17.15" hidden="false" customHeight="false" outlineLevel="0" collapsed="false">
      <c r="A6" s="5" t="s">
        <v>818</v>
      </c>
      <c r="B6" s="0" t="s">
        <v>168</v>
      </c>
    </row>
    <row r="7" customFormat="false" ht="17.15" hidden="false" customHeight="false" outlineLevel="0" collapsed="false">
      <c r="A7" s="5" t="s">
        <v>819</v>
      </c>
      <c r="B7" s="0" t="s">
        <v>820</v>
      </c>
    </row>
    <row r="8" customFormat="false" ht="17.15" hidden="false" customHeight="false" outlineLevel="0" collapsed="false">
      <c r="A8" s="5" t="s">
        <v>821</v>
      </c>
      <c r="B8" s="0" t="s">
        <v>822</v>
      </c>
    </row>
    <row r="9" customFormat="false" ht="17.15" hidden="false" customHeight="false" outlineLevel="0" collapsed="false">
      <c r="A9" s="5" t="s">
        <v>823</v>
      </c>
      <c r="B9" s="0" t="s">
        <v>824</v>
      </c>
    </row>
    <row r="10" customFormat="false" ht="17.15" hidden="false" customHeight="false" outlineLevel="0" collapsed="false">
      <c r="A10" s="5" t="s">
        <v>825</v>
      </c>
      <c r="B10" s="0" t="s">
        <v>347</v>
      </c>
    </row>
    <row r="11" customFormat="false" ht="17.15" hidden="false" customHeight="false" outlineLevel="0" collapsed="false">
      <c r="A11" s="5" t="s">
        <v>826</v>
      </c>
      <c r="B11" s="0" t="s">
        <v>827</v>
      </c>
    </row>
    <row r="12" customFormat="false" ht="17.15" hidden="false" customHeight="false" outlineLevel="0" collapsed="false">
      <c r="A12" s="5" t="s">
        <v>828</v>
      </c>
      <c r="B12" s="0" t="s">
        <v>829</v>
      </c>
    </row>
    <row r="13" customFormat="false" ht="17.15" hidden="false" customHeight="false" outlineLevel="0" collapsed="false">
      <c r="A13" s="5" t="s">
        <v>830</v>
      </c>
      <c r="B13" s="0" t="s">
        <v>831</v>
      </c>
    </row>
    <row r="14" customFormat="false" ht="17.15" hidden="false" customHeight="false" outlineLevel="0" collapsed="false">
      <c r="A14" s="5" t="s">
        <v>832</v>
      </c>
      <c r="B14" s="0" t="s">
        <v>833</v>
      </c>
    </row>
    <row r="15" customFormat="false" ht="17.15" hidden="false" customHeight="false" outlineLevel="0" collapsed="false">
      <c r="A15" s="5" t="s">
        <v>834</v>
      </c>
      <c r="B15" s="0" t="s">
        <v>835</v>
      </c>
    </row>
    <row r="16" customFormat="false" ht="17.15" hidden="false" customHeight="false" outlineLevel="0" collapsed="false">
      <c r="A16" s="5" t="s">
        <v>836</v>
      </c>
      <c r="B16" s="0" t="s">
        <v>837</v>
      </c>
    </row>
    <row r="17" customFormat="false" ht="17.15" hidden="false" customHeight="false" outlineLevel="0" collapsed="false">
      <c r="A17" s="5" t="s">
        <v>838</v>
      </c>
    </row>
    <row r="18" customFormat="false" ht="17.15" hidden="false" customHeight="false" outlineLevel="0" collapsed="false">
      <c r="A18" s="5" t="s">
        <v>839</v>
      </c>
      <c r="B18" s="5" t="s">
        <v>840</v>
      </c>
    </row>
    <row r="19" customFormat="false" ht="15" hidden="false" customHeight="false" outlineLevel="0" collapsed="false">
      <c r="A19" s="0" t="s">
        <v>841</v>
      </c>
      <c r="B19" s="5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2026-10-25T04:20:23Z</dcterms:created>
  <dc:creator>openpyxl</dc:creator>
  <dc:description/>
  <dc:language>en-US</dc:language>
  <cp:lastModifiedBy/>
  <dcterms:modified xsi:type="dcterms:W3CDTF">2026-10-25T04:20:23Z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