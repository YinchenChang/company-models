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說明" sheetId="1" state="visible" r:id="rId1"/>
    <sheet xmlns:r="http://schemas.openxmlformats.org/officeDocument/2006/relationships" name="稽核" sheetId="2" state="visible" r:id="rId2"/>
    <sheet xmlns:r="http://schemas.openxmlformats.org/officeDocument/2006/relationships" name="統計" sheetId="3" state="visible" r:id="rId3"/>
  </sheets>
  <definedNames>
    <definedName name="_xlnm._FilterDatabase" localSheetId="1" hidden="1">'稽核'!$A$1:$I$66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6F78"/>
      </patternFill>
    </fill>
    <fill>
      <patternFill patternType="solid">
        <fgColor rgb="00F8D7DA"/>
      </patternFill>
    </fill>
    <fill>
      <patternFill patternType="solid">
        <fgColor rgb="00D9F2E6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個股模型稽核：命題＋營收分部原則（2026-10-27）</t>
        </is>
      </c>
    </row>
    <row r="2">
      <c r="A2" t="inlineStr">
        <is>
          <t>依據：company-models docs/plan/個股模型原則_命題加營收分部.md（Andy 2026-10-27 13:44）。</t>
        </is>
      </c>
    </row>
    <row r="3">
      <c r="A3" t="inlineStr">
        <is>
          <t>判定：符合＝營收列對得上官方分部或公司固定揭露的拆分；部分符合＝結構大致對，但缺分部或以 AI／非 AI 殘差取代部分官方拆分；不符＝主結構與官方分部無關。</t>
        </is>
      </c>
    </row>
    <row r="4">
      <c r="A4" t="inlineStr">
        <is>
          <t>官方分部來源：本次研究代理的公開資料整理（10-K／20-F／年報／法說），台股多家年報未能取得，標『未找到』者待補。</t>
        </is>
      </c>
    </row>
    <row r="5">
      <c r="A5" t="inlineStr">
        <is>
          <t>權威：算力收支模型由本專案重建；AI半導體 模型依 Andy 2026-10-27 同意的預設，以交流寄給 AI半導體 由其重建。</t>
        </is>
      </c>
    </row>
    <row r="6">
      <c r="A6" t="inlineStr">
        <is>
          <t>『補 segments.json』：結構已符合，只需加分部宣告檔讓檢查程式核對（tools/segment_check/check_segments.py）。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9" customWidth="1" min="2" max="2"/>
    <col width="12" customWidth="1" min="3" max="3"/>
    <col width="10" customWidth="1" min="4" max="4"/>
    <col width="48" customWidth="1" min="5" max="5"/>
    <col width="44" customWidth="1" min="6" max="6"/>
    <col width="10" customWidth="1" min="7" max="7"/>
    <col width="44" customWidth="1" min="8" max="8"/>
    <col width="34" customWidth="1" min="9" max="9"/>
  </cols>
  <sheetData>
    <row r="1">
      <c r="A1" s="2" t="inlineStr">
        <is>
          <t>資料夾</t>
        </is>
      </c>
      <c r="B1" s="2" t="inlineStr">
        <is>
          <t>代號</t>
        </is>
      </c>
      <c r="C1" s="2" t="inlineStr">
        <is>
          <t>公司</t>
        </is>
      </c>
      <c r="D1" s="2" t="inlineStr">
        <is>
          <t>模型權威</t>
        </is>
      </c>
      <c r="E1" s="2" t="inlineStr">
        <is>
          <t>官方分部／公司固定拆分</t>
        </is>
      </c>
      <c r="F1" s="2" t="inlineStr">
        <is>
          <t>模型現有營收列</t>
        </is>
      </c>
      <c r="G1" s="2" t="inlineStr">
        <is>
          <t>判定</t>
        </is>
      </c>
      <c r="H1" s="2" t="inlineStr">
        <is>
          <t>理由</t>
        </is>
      </c>
      <c r="I1" s="2" t="inlineStr">
        <is>
          <t>處理</t>
        </is>
      </c>
    </row>
    <row r="2">
      <c r="A2" s="3" t="inlineStr">
        <is>
          <t>microsoft</t>
        </is>
      </c>
      <c r="B2" s="3" t="inlineStr">
        <is>
          <t>MSFT</t>
        </is>
      </c>
      <c r="C2" s="3" t="inlineStr">
        <is>
          <t>Microsoft</t>
        </is>
      </c>
      <c r="D2" s="3" t="inlineStr">
        <is>
          <t>算力收支</t>
        </is>
      </c>
      <c r="E2" s="3" t="inlineStr">
        <is>
          <t>Agents and Infra／Devices and Consumer（FY27 起，8-K 2026-09-02）；8 條產品線</t>
        </is>
      </c>
      <c r="F2" s="3" t="inlineStr">
        <is>
          <t>AI 雲端（MW×每 MW）＋6 條非 AI 成長率線（CRWV 引擎）</t>
        </is>
      </c>
      <c r="G2" s="4" t="inlineStr">
        <is>
          <t>不符</t>
        </is>
      </c>
      <c r="H2" s="3" t="inlineStr">
        <is>
          <t>主軸是算力出租的 MW 引擎，官方分部與產品線只是成長率線</t>
        </is>
      </c>
      <c r="I2" s="3" t="inlineStr">
        <is>
          <t>重建 v0.3（進行中）</t>
        </is>
      </c>
    </row>
    <row r="3">
      <c r="A3" s="3" t="inlineStr">
        <is>
          <t>alphabet</t>
        </is>
      </c>
      <c r="B3" s="3" t="inlineStr">
        <is>
          <t>GOOGL</t>
        </is>
      </c>
      <c r="C3" s="3" t="inlineStr">
        <is>
          <t>Alphabet</t>
        </is>
      </c>
      <c r="D3" s="3" t="inlineStr">
        <is>
          <t>算力收支</t>
        </is>
      </c>
      <c r="E3" s="3" t="inlineStr">
        <is>
          <t>Google Services（Search、YouTube、Network、Subscriptions）／Google Cloud／Other Bets</t>
        </is>
      </c>
      <c r="F3" s="3" t="inlineStr">
        <is>
          <t>AI 雲端（MW）＋非雲端成長率線（CRWV 引擎）</t>
        </is>
      </c>
      <c r="G3" s="4" t="inlineStr">
        <is>
          <t>不符</t>
        </is>
      </c>
      <c r="H3" s="3" t="inlineStr">
        <is>
          <t>搜尋、YouTube 為營收大宗卻只是一條成長率</t>
        </is>
      </c>
      <c r="I3" s="3" t="inlineStr">
        <is>
          <t>重建 v0.3（進行中）</t>
        </is>
      </c>
    </row>
    <row r="4">
      <c r="A4" s="3" t="inlineStr">
        <is>
          <t>amazon</t>
        </is>
      </c>
      <c r="B4" s="3" t="inlineStr">
        <is>
          <t>AMZN</t>
        </is>
      </c>
      <c r="C4" s="3" t="inlineStr">
        <is>
          <t>Amazon</t>
        </is>
      </c>
      <c r="D4" s="3" t="inlineStr">
        <is>
          <t>算力收支</t>
        </is>
      </c>
      <c r="E4" s="3" t="inlineStr">
        <is>
          <t>North America／International／AWS；七條營收線</t>
        </is>
      </c>
      <c r="F4" s="3" t="inlineStr">
        <is>
          <t>AI 雲端（MW）＋非雲端成長率線（CRWV 引擎）</t>
        </is>
      </c>
      <c r="G4" s="4" t="inlineStr">
        <is>
          <t>不符</t>
        </is>
      </c>
      <c r="H4" s="3" t="inlineStr">
        <is>
          <t>零售、廣告、訂閱未依官方分部建模</t>
        </is>
      </c>
      <c r="I4" s="3" t="inlineStr">
        <is>
          <t>重建 v0.3（進行中）</t>
        </is>
      </c>
    </row>
    <row r="5">
      <c r="A5" s="3" t="inlineStr">
        <is>
          <t>oracle</t>
        </is>
      </c>
      <c r="B5" s="3" t="inlineStr">
        <is>
          <t>ORCL</t>
        </is>
      </c>
      <c r="C5" s="3" t="inlineStr">
        <is>
          <t>Oracle</t>
        </is>
      </c>
      <c r="D5" s="3" t="inlineStr">
        <is>
          <t>算力收支</t>
        </is>
      </c>
      <c r="E5" s="3" t="inlineStr">
        <is>
          <t>Cloud（IaaS、SaaS）／license／support／hardware／services</t>
        </is>
      </c>
      <c r="F5" s="3" t="inlineStr">
        <is>
          <t>算力收入（MW）＋非算力服務＋傳統事業</t>
        </is>
      </c>
      <c r="G5" s="4" t="inlineStr">
        <is>
          <t>不符</t>
        </is>
      </c>
      <c r="H5" s="3" t="inlineStr">
        <is>
          <t>OCI 只占 FY26 營收 27%，SaaS 與 support 未依營收線建模</t>
        </is>
      </c>
      <c r="I5" s="3" t="inlineStr">
        <is>
          <t>重建 v0.4（進行中）</t>
        </is>
      </c>
    </row>
    <row r="6">
      <c r="A6" s="3" t="inlineStr">
        <is>
          <t>coreweave</t>
        </is>
      </c>
      <c r="B6" s="3" t="inlineStr">
        <is>
          <t>CRWV</t>
        </is>
      </c>
      <c r="C6" s="3" t="inlineStr">
        <is>
          <t>CoreWeave</t>
        </is>
      </c>
      <c r="D6" s="3" t="inlineStr">
        <is>
          <t>算力收支</t>
        </is>
      </c>
      <c r="E6" s="3" t="inlineStr">
        <is>
          <t>單一分部</t>
        </is>
      </c>
      <c r="F6" s="3" t="inlineStr">
        <is>
          <t>算力收入＋非算力服務</t>
        </is>
      </c>
      <c r="G6" s="5" t="inlineStr">
        <is>
          <t>符合</t>
        </is>
      </c>
      <c r="H6" s="3" t="inlineStr">
        <is>
          <t>單一分部公司，命題（算力出租）即全部業務</t>
        </is>
      </c>
      <c r="I6" s="3" t="inlineStr">
        <is>
          <t>補 segments.json</t>
        </is>
      </c>
    </row>
    <row r="7">
      <c r="A7" s="3" t="inlineStr">
        <is>
          <t>nebius</t>
        </is>
      </c>
      <c r="B7" s="3" t="inlineStr">
        <is>
          <t>NBIS</t>
        </is>
      </c>
      <c r="C7" s="3" t="inlineStr">
        <is>
          <t>Nebius</t>
        </is>
      </c>
      <c r="D7" s="3" t="inlineStr">
        <is>
          <t>算力收支</t>
        </is>
      </c>
      <c r="E7" s="3" t="inlineStr">
        <is>
          <t>Nebius AI cloud／TripleTen／Avride</t>
        </is>
      </c>
      <c r="F7" s="3" t="inlineStr">
        <is>
          <t>算力收入＋非算力服務</t>
        </is>
      </c>
      <c r="G7" s="6" t="inlineStr">
        <is>
          <t>部分符合</t>
        </is>
      </c>
      <c r="H7" s="3" t="inlineStr">
        <is>
          <t>AI cloud 占 98%，但列名未對應三個官方分部</t>
        </is>
      </c>
      <c r="I7" s="3" t="inlineStr">
        <is>
          <t>下一版改列：AI cloud、TripleTen、Avride</t>
        </is>
      </c>
    </row>
    <row r="8">
      <c r="A8" s="3" t="inlineStr">
        <is>
          <t>whitefiber</t>
        </is>
      </c>
      <c r="B8" s="3" t="inlineStr">
        <is>
          <t>WYFI</t>
        </is>
      </c>
      <c r="C8" s="3" t="inlineStr">
        <is>
          <t>WhiteFiber</t>
        </is>
      </c>
      <c r="D8" s="3" t="inlineStr">
        <is>
          <t>算力收支</t>
        </is>
      </c>
      <c r="E8" s="3" t="inlineStr">
        <is>
          <t>Cloud services／Colocation services／Other</t>
        </is>
      </c>
      <c r="F8" s="3" t="inlineStr">
        <is>
          <t>算力收入＋非算力服務＋託管</t>
        </is>
      </c>
      <c r="G8" s="5" t="inlineStr">
        <is>
          <t>符合</t>
        </is>
      </c>
      <c r="H8" s="3" t="inlineStr">
        <is>
          <t>三列可對應官方三條（列名需改）</t>
        </is>
      </c>
      <c r="I8" s="3" t="inlineStr">
        <is>
          <t>補 segments.json，下一版改列名</t>
        </is>
      </c>
    </row>
    <row r="9">
      <c r="A9" s="3" t="inlineStr">
        <is>
          <t>openai</t>
        </is>
      </c>
      <c r="B9" s="3" t="inlineStr">
        <is>
          <t>OpenAI</t>
        </is>
      </c>
      <c r="C9" s="3" t="inlineStr">
        <is>
          <t>OpenAI</t>
        </is>
      </c>
      <c r="D9" s="3" t="inlineStr">
        <is>
          <t>算力收支</t>
        </is>
      </c>
      <c r="E9" s="3" t="inlineStr">
        <is>
          <t>未上市：消費／企業訂閱、API（媒體揭露）</t>
        </is>
      </c>
      <c r="F9" s="3" t="inlineStr">
        <is>
          <t>訂閱營收＋API 營收</t>
        </is>
      </c>
      <c r="G9" s="5" t="inlineStr">
        <is>
          <t>符合</t>
        </is>
      </c>
      <c r="H9" s="3" t="inlineStr">
        <is>
          <t>未上市公司依揭露的營收組成（原則第 5 條）</t>
        </is>
      </c>
      <c r="I9" s="3" t="inlineStr">
        <is>
          <t>補 segments.json</t>
        </is>
      </c>
    </row>
    <row r="10">
      <c r="A10" s="3" t="inlineStr">
        <is>
          <t>anthropic</t>
        </is>
      </c>
      <c r="B10" s="3" t="inlineStr">
        <is>
          <t>Anthropic</t>
        </is>
      </c>
      <c r="C10" s="3" t="inlineStr">
        <is>
          <t>Anthropic</t>
        </is>
      </c>
      <c r="D10" s="3" t="inlineStr">
        <is>
          <t>算力收支</t>
        </is>
      </c>
      <c r="E10" s="3" t="inlineStr">
        <is>
          <t>未上市：訂閱、API（媒體揭露）</t>
        </is>
      </c>
      <c r="F10" s="3" t="inlineStr">
        <is>
          <t>訂閱營收＋API 營收</t>
        </is>
      </c>
      <c r="G10" s="5" t="inlineStr">
        <is>
          <t>符合</t>
        </is>
      </c>
      <c r="H10" s="3" t="inlineStr">
        <is>
          <t>同上</t>
        </is>
      </c>
      <c r="I10" s="3" t="inlineStr">
        <is>
          <t>補 segments.json</t>
        </is>
      </c>
    </row>
    <row r="11">
      <c r="A11" s="3" t="inlineStr">
        <is>
          <t>minimax</t>
        </is>
      </c>
      <c r="B11" s="3" t="inlineStr">
        <is>
          <t>00100</t>
        </is>
      </c>
      <c r="C11" s="3" t="inlineStr">
        <is>
          <t>MiniMax</t>
        </is>
      </c>
      <c r="D11" s="3" t="inlineStr">
        <is>
          <t>算力收支</t>
        </is>
      </c>
      <c r="E11" s="3" t="inlineStr">
        <is>
          <t>AI 原生產品／開放平台及企業服務</t>
        </is>
      </c>
      <c r="F11" s="3" t="inlineStr">
        <is>
          <t>消費端＋企業端（API）</t>
        </is>
      </c>
      <c r="G11" s="5" t="inlineStr">
        <is>
          <t>符合</t>
        </is>
      </c>
      <c r="H11" s="3" t="inlineStr">
        <is>
          <t>與招股書及中報兩分類一致</t>
        </is>
      </c>
      <c r="I11" s="3" t="inlineStr">
        <is>
          <t>補 segments.json</t>
        </is>
      </c>
    </row>
    <row r="12">
      <c r="A12" s="3" t="inlineStr">
        <is>
          <t>zhipu</t>
        </is>
      </c>
      <c r="B12" s="3" t="inlineStr">
        <is>
          <t>02513</t>
        </is>
      </c>
      <c r="C12" s="3" t="inlineStr">
        <is>
          <t>智譜</t>
        </is>
      </c>
      <c r="D12" s="3" t="inlineStr">
        <is>
          <t>算力收支</t>
        </is>
      </c>
      <c r="E12" s="3" t="inlineStr">
        <is>
          <t>本地化部署／雲端部署（另按業務形態三類）</t>
        </is>
      </c>
      <c r="F12" s="3" t="inlineStr">
        <is>
          <t>API 與 Coding Plan（token 量價）</t>
        </is>
      </c>
      <c r="G12" s="6" t="inlineStr">
        <is>
          <t>部分符合</t>
        </is>
      </c>
      <c r="H12" s="3" t="inlineStr">
        <is>
          <t>官方主要拆分是部署方式，模型按產品計價</t>
        </is>
      </c>
      <c r="I12" s="3" t="inlineStr">
        <is>
          <t>下一版加部署方式兩列對帳</t>
        </is>
      </c>
    </row>
    <row r="13">
      <c r="A13" s="3" t="inlineStr">
        <is>
          <t>nvidia</t>
        </is>
      </c>
      <c r="B13" s="3" t="inlineStr">
        <is>
          <t>NVDA</t>
        </is>
      </c>
      <c r="C13" s="3" t="inlineStr">
        <is>
          <t>NVIDIA</t>
        </is>
      </c>
      <c r="D13" s="3" t="inlineStr">
        <is>
          <t>AI半導體</t>
        </is>
      </c>
      <c r="E13" s="3" t="inlineStr">
        <is>
          <t>分部 Compute &amp; Networking／Graphics；FY27 起平台改為 Data Center（Hyperscale、ACIE）／Edge Computing</t>
        </is>
      </c>
      <c r="F13" s="3" t="inlineStr">
        <is>
          <t>Data Center＋Edge Computing</t>
        </is>
      </c>
      <c r="G13" s="5" t="inlineStr">
        <is>
          <t>符合</t>
        </is>
      </c>
      <c r="H13" s="3" t="inlineStr">
        <is>
          <t>已用 FY27 新平台口徑（Andy 列的四平台為 FY26 舊口徑）</t>
        </is>
      </c>
      <c r="I13" s="3" t="inlineStr">
        <is>
          <t>可加 Hyperscale／ACIE 子列</t>
        </is>
      </c>
    </row>
    <row r="14">
      <c r="A14" s="3" t="inlineStr">
        <is>
          <t>amd</t>
        </is>
      </c>
      <c r="B14" s="3" t="inlineStr">
        <is>
          <t>AMD</t>
        </is>
      </c>
      <c r="C14" s="3" t="inlineStr">
        <is>
          <t>AMD</t>
        </is>
      </c>
      <c r="D14" s="3" t="inlineStr">
        <is>
          <t>AI半導體</t>
        </is>
      </c>
      <c r="E14" s="3" t="inlineStr">
        <is>
          <t>Data Center／Client and Gaming／Embedded</t>
        </is>
      </c>
      <c r="F14" s="3" t="inlineStr">
        <is>
          <t>Data Center（GPU、非 GPU）／Client＋Gaming／Embedded</t>
        </is>
      </c>
      <c r="G14" s="5" t="inlineStr">
        <is>
          <t>符合</t>
        </is>
      </c>
      <c r="H14" s="3" t="inlineStr">
        <is>
          <t>—</t>
        </is>
      </c>
      <c r="I14" s="3" t="inlineStr">
        <is>
          <t>補 segments.json</t>
        </is>
      </c>
    </row>
    <row r="15">
      <c r="A15" s="3" t="inlineStr">
        <is>
          <t>avgo</t>
        </is>
      </c>
      <c r="B15" s="3" t="inlineStr">
        <is>
          <t>AVGO</t>
        </is>
      </c>
      <c r="C15" s="3" t="inlineStr">
        <is>
          <t>Broadcom</t>
        </is>
      </c>
      <c r="D15" s="3" t="inlineStr">
        <is>
          <t>AI半導體</t>
        </is>
      </c>
      <c r="E15" s="3" t="inlineStr">
        <is>
          <t>Semiconductor solutions／Infrastructure software</t>
        </is>
      </c>
      <c r="F15" s="3" t="inlineStr">
        <is>
          <t>AI 半導體（XPU、AI 網通）＋基礎架構軟體</t>
        </is>
      </c>
      <c r="G15" s="6" t="inlineStr">
        <is>
          <t>部分符合</t>
        </is>
      </c>
      <c r="H15" s="3" t="inlineStr">
        <is>
          <t>Semiconductor solutions 只建 AI 部分，未見非 AI 半導體列</t>
        </is>
      </c>
      <c r="I15" s="3" t="inlineStr">
        <is>
          <t>補非 AI 半導體子列</t>
        </is>
      </c>
    </row>
    <row r="16">
      <c r="A16" s="3" t="inlineStr">
        <is>
          <t>mrvl</t>
        </is>
      </c>
      <c r="B16" s="3" t="inlineStr">
        <is>
          <t>MRVL</t>
        </is>
      </c>
      <c r="C16" s="3" t="inlineStr">
        <is>
          <t>Marvell</t>
        </is>
      </c>
      <c r="D16" s="3" t="inlineStr">
        <is>
          <t>AI半導體</t>
        </is>
      </c>
      <c r="E16" s="3" t="inlineStr">
        <is>
          <t>單一分部；終端市場 Data center／Communications &amp; other</t>
        </is>
      </c>
      <c r="F16" s="3" t="inlineStr">
        <is>
          <t>資料中心（客製、光互連）＋通訊與其他</t>
        </is>
      </c>
      <c r="G16" s="5" t="inlineStr">
        <is>
          <t>符合</t>
        </is>
      </c>
      <c r="H16" s="3" t="inlineStr">
        <is>
          <t>—</t>
        </is>
      </c>
      <c r="I16" s="3" t="inlineStr">
        <is>
          <t>補 segments.json</t>
        </is>
      </c>
    </row>
    <row r="17">
      <c r="A17" s="3" t="inlineStr">
        <is>
          <t>alab</t>
        </is>
      </c>
      <c r="B17" s="3" t="inlineStr">
        <is>
          <t>ALAB</t>
        </is>
      </c>
      <c r="C17" s="3" t="inlineStr">
        <is>
          <t>Astera Labs</t>
        </is>
      </c>
      <c r="D17" s="3" t="inlineStr">
        <is>
          <t>AI半導體</t>
        </is>
      </c>
      <c r="E17" s="3" t="inlineStr">
        <is>
          <t>單一分部；產品族</t>
        </is>
      </c>
      <c r="F17" s="3" t="inlineStr">
        <is>
          <t>Scorpio X＋PCIe 與訊號調節</t>
        </is>
      </c>
      <c r="G17" s="5" t="inlineStr">
        <is>
          <t>符合</t>
        </is>
      </c>
      <c r="H17" s="3" t="inlineStr">
        <is>
          <t>—</t>
        </is>
      </c>
      <c r="I17" s="3" t="inlineStr">
        <is>
          <t>補 segments.json</t>
        </is>
      </c>
    </row>
    <row r="18">
      <c r="A18" s="3" t="inlineStr">
        <is>
          <t>crdo</t>
        </is>
      </c>
      <c r="B18" s="3" t="inlineStr">
        <is>
          <t>CRDO</t>
        </is>
      </c>
      <c r="C18" s="3" t="inlineStr">
        <is>
          <t>Credo</t>
        </is>
      </c>
      <c r="D18" s="3" t="inlineStr">
        <is>
          <t>AI半導體</t>
        </is>
      </c>
      <c r="E18" s="3" t="inlineStr">
        <is>
          <t>單一分部；產品 AEC／光學／IC 與 IP</t>
        </is>
      </c>
      <c r="F18" s="3" t="inlineStr">
        <is>
          <t>AEC＋光學＋其他 IC 與 IP</t>
        </is>
      </c>
      <c r="G18" s="5" t="inlineStr">
        <is>
          <t>符合</t>
        </is>
      </c>
      <c r="H18" s="3" t="inlineStr">
        <is>
          <t>—</t>
        </is>
      </c>
      <c r="I18" s="3" t="inlineStr">
        <is>
          <t>補 segments.json</t>
        </is>
      </c>
    </row>
    <row r="19">
      <c r="A19" s="3" t="inlineStr">
        <is>
          <t>micron</t>
        </is>
      </c>
      <c r="B19" s="3" t="inlineStr">
        <is>
          <t>MU</t>
        </is>
      </c>
      <c r="C19" s="3" t="inlineStr">
        <is>
          <t>美光</t>
        </is>
      </c>
      <c r="D19" s="3" t="inlineStr">
        <is>
          <t>AI半導體</t>
        </is>
      </c>
      <c r="E19" s="3" t="inlineStr">
        <is>
          <t>CMBU／CDBU／MCBU／AEBU 四事業單位</t>
        </is>
      </c>
      <c r="F19" s="3" t="inlineStr">
        <is>
          <t>一般 DRAM／HBM／NAND／其他</t>
        </is>
      </c>
      <c r="G19" s="6" t="inlineStr">
        <is>
          <t>部分符合</t>
        </is>
      </c>
      <c r="H19" s="3" t="inlineStr">
        <is>
          <t>按產品而非官方四事業單位</t>
        </is>
      </c>
      <c r="I19" s="3" t="inlineStr">
        <is>
          <t>加四事業單位對帳列</t>
        </is>
      </c>
    </row>
    <row r="20">
      <c r="A20" s="3" t="inlineStr">
        <is>
          <t>sndk</t>
        </is>
      </c>
      <c r="B20" s="3" t="inlineStr">
        <is>
          <t>SNDK</t>
        </is>
      </c>
      <c r="C20" s="3" t="inlineStr">
        <is>
          <t>SanDisk</t>
        </is>
      </c>
      <c r="D20" s="3" t="inlineStr">
        <is>
          <t>AI半導體</t>
        </is>
      </c>
      <c r="E20" s="3" t="inlineStr">
        <is>
          <t>終端市場（資料中心、邊緣、消費）</t>
        </is>
      </c>
      <c r="F20" s="3" t="inlineStr">
        <is>
          <t>營收一列</t>
        </is>
      </c>
      <c r="G20" s="4" t="inlineStr">
        <is>
          <t>不符</t>
        </is>
      </c>
      <c r="H20" s="3" t="inlineStr">
        <is>
          <t>沒有任何營收拆分</t>
        </is>
      </c>
      <c r="I20" s="3" t="inlineStr">
        <is>
          <t>依終端市場重建營收層</t>
        </is>
      </c>
    </row>
    <row r="21">
      <c r="A21" s="3" t="inlineStr">
        <is>
          <t>arista</t>
        </is>
      </c>
      <c r="B21" s="3" t="inlineStr">
        <is>
          <t>ANET</t>
        </is>
      </c>
      <c r="C21" s="3" t="inlineStr">
        <is>
          <t>Arista</t>
        </is>
      </c>
      <c r="D21" s="3" t="inlineStr">
        <is>
          <t>AI半導體</t>
        </is>
      </c>
      <c r="E21" s="3" t="inlineStr">
        <is>
          <t>單一分部；產品／服務</t>
        </is>
      </c>
      <c r="F21" s="3" t="inlineStr">
        <is>
          <t>AI＋非 AI</t>
        </is>
      </c>
      <c r="G21" s="6" t="inlineStr">
        <is>
          <t>部分符合</t>
        </is>
      </c>
      <c r="H21" s="3" t="inlineStr">
        <is>
          <t>AI／非 AI 殘差取代公司產品與服務拆分</t>
        </is>
      </c>
      <c r="I21" s="3" t="inlineStr">
        <is>
          <t>改為產品、服務兩列，AI 為子列</t>
        </is>
      </c>
    </row>
    <row r="22">
      <c r="A22" s="3" t="inlineStr">
        <is>
          <t>amat</t>
        </is>
      </c>
      <c r="B22" s="3" t="inlineStr">
        <is>
          <t>AMAT</t>
        </is>
      </c>
      <c r="C22" s="3" t="inlineStr">
        <is>
          <t>應用材料</t>
        </is>
      </c>
      <c r="D22" s="3" t="inlineStr">
        <is>
          <t>AI半導體</t>
        </is>
      </c>
      <c r="E22" s="3" t="inlineStr">
        <is>
          <t>Semiconductor Systems／AGS／Other（Display）</t>
        </is>
      </c>
      <c r="F22" s="3" t="inlineStr">
        <is>
          <t>半導體系統＋AGS</t>
        </is>
      </c>
      <c r="G22" s="6" t="inlineStr">
        <is>
          <t>部分符合</t>
        </is>
      </c>
      <c r="H22" s="3" t="inlineStr">
        <is>
          <t>缺 Other（Display）</t>
        </is>
      </c>
      <c r="I22" s="3" t="inlineStr">
        <is>
          <t>補 Other 列</t>
        </is>
      </c>
    </row>
    <row r="23">
      <c r="A23" s="3" t="inlineStr">
        <is>
          <t>lrcx</t>
        </is>
      </c>
      <c r="B23" s="3" t="inlineStr">
        <is>
          <t>LRCX</t>
        </is>
      </c>
      <c r="C23" s="3" t="inlineStr">
        <is>
          <t>科林研發</t>
        </is>
      </c>
      <c r="D23" s="3" t="inlineStr">
        <is>
          <t>AI半導體</t>
        </is>
      </c>
      <c r="E23" s="3" t="inlineStr">
        <is>
          <t>單一分部；系統／客戶支援（CSBG）</t>
        </is>
      </c>
      <c r="F23" s="3" t="inlineStr">
        <is>
          <t>系統＋CSBG</t>
        </is>
      </c>
      <c r="G23" s="5" t="inlineStr">
        <is>
          <t>符合</t>
        </is>
      </c>
      <c r="H23" s="3" t="inlineStr">
        <is>
          <t>—</t>
        </is>
      </c>
      <c r="I23" s="3" t="inlineStr">
        <is>
          <t>補 segments.json</t>
        </is>
      </c>
    </row>
    <row r="24">
      <c r="A24" s="3" t="inlineStr">
        <is>
          <t>klac</t>
        </is>
      </c>
      <c r="B24" s="3" t="inlineStr">
        <is>
          <t>KLAC</t>
        </is>
      </c>
      <c r="C24" s="3" t="inlineStr">
        <is>
          <t>科磊</t>
        </is>
      </c>
      <c r="D24" s="3" t="inlineStr">
        <is>
          <t>AI半導體</t>
        </is>
      </c>
      <c r="E24" s="3" t="inlineStr">
        <is>
          <t>Process Control／Specialty Semi Process／PCB and Component Inspection</t>
        </is>
      </c>
      <c r="F24" s="3" t="inlineStr">
        <is>
          <t>製程控制系統＋服務＋SPTS＋PCB</t>
        </is>
      </c>
      <c r="G24" s="5" t="inlineStr">
        <is>
          <t>符合</t>
        </is>
      </c>
      <c r="H24" s="3" t="inlineStr">
        <is>
          <t>—</t>
        </is>
      </c>
      <c r="I24" s="3" t="inlineStr">
        <is>
          <t>補 segments.json</t>
        </is>
      </c>
    </row>
    <row r="25">
      <c r="A25" s="3" t="inlineStr">
        <is>
          <t>ter</t>
        </is>
      </c>
      <c r="B25" s="3" t="inlineStr">
        <is>
          <t>TER</t>
        </is>
      </c>
      <c r="C25" s="3" t="inlineStr">
        <is>
          <t>泰瑞達</t>
        </is>
      </c>
      <c r="D25" s="3" t="inlineStr">
        <is>
          <t>AI半導體</t>
        </is>
      </c>
      <c r="E25" s="3" t="inlineStr">
        <is>
          <t>Semiconductor Test／Product Test／Robotics</t>
        </is>
      </c>
      <c r="F25" s="3" t="inlineStr">
        <is>
          <t>SoC 測試機＋記憶體測試機＋機器人</t>
        </is>
      </c>
      <c r="G25" s="6" t="inlineStr">
        <is>
          <t>部分符合</t>
        </is>
      </c>
      <c r="H25" s="3" t="inlineStr">
        <is>
          <t>缺 Product Test 分部</t>
        </is>
      </c>
      <c r="I25" s="3" t="inlineStr">
        <is>
          <t>補 Product Test 列</t>
        </is>
      </c>
    </row>
    <row r="26">
      <c r="A26" s="3" t="inlineStr">
        <is>
          <t>amkr</t>
        </is>
      </c>
      <c r="B26" s="3" t="inlineStr">
        <is>
          <t>AMKR</t>
        </is>
      </c>
      <c r="C26" s="3" t="inlineStr">
        <is>
          <t>艾克爾</t>
        </is>
      </c>
      <c r="D26" s="3" t="inlineStr">
        <is>
          <t>AI半導體</t>
        </is>
      </c>
      <c r="E26" s="3" t="inlineStr">
        <is>
          <t>單一分部；終端市場</t>
        </is>
      </c>
      <c r="F26" s="3" t="inlineStr">
        <is>
          <t>AI 先進封裝＋運算＋通訊＋車用工業其他＋亞利桑那廠</t>
        </is>
      </c>
      <c r="G26" s="5" t="inlineStr">
        <is>
          <t>符合</t>
        </is>
      </c>
      <c r="H26" s="3" t="inlineStr">
        <is>
          <t>—</t>
        </is>
      </c>
      <c r="I26" s="3" t="inlineStr">
        <is>
          <t>補 segments.json</t>
        </is>
      </c>
    </row>
    <row r="27">
      <c r="A27" s="3" t="inlineStr">
        <is>
          <t>cohr</t>
        </is>
      </c>
      <c r="B27" s="3" t="inlineStr">
        <is>
          <t>COHR</t>
        </is>
      </c>
      <c r="C27" s="3" t="inlineStr">
        <is>
          <t>Coherent</t>
        </is>
      </c>
      <c r="D27" s="3" t="inlineStr">
        <is>
          <t>AI半導體</t>
        </is>
      </c>
      <c r="E27" s="3" t="inlineStr">
        <is>
          <t>Datacenter &amp; Communications／Industrial</t>
        </is>
      </c>
      <c r="F27" s="3" t="inlineStr">
        <is>
          <t>資料中心＋通訊＋工業</t>
        </is>
      </c>
      <c r="G27" s="5" t="inlineStr">
        <is>
          <t>符合</t>
        </is>
      </c>
      <c r="H27" s="3" t="inlineStr">
        <is>
          <t>前兩列為 D&amp;C 子列</t>
        </is>
      </c>
      <c r="I27" s="3" t="inlineStr">
        <is>
          <t>補 segments.json</t>
        </is>
      </c>
    </row>
    <row r="28">
      <c r="A28" s="3" t="inlineStr">
        <is>
          <t>lite</t>
        </is>
      </c>
      <c r="B28" s="3" t="inlineStr">
        <is>
          <t>LITE</t>
        </is>
      </c>
      <c r="C28" s="3" t="inlineStr">
        <is>
          <t>Lumentum</t>
        </is>
      </c>
      <c r="D28" s="3" t="inlineStr">
        <is>
          <t>AI半導體</t>
        </is>
      </c>
      <c r="E28" s="3" t="inlineStr">
        <is>
          <t>單一分部；Components／Systems</t>
        </is>
      </c>
      <c r="F28" s="3" t="inlineStr">
        <is>
          <t>AI 相關＋電信 DCI 工業</t>
        </is>
      </c>
      <c r="G28" s="6" t="inlineStr">
        <is>
          <t>部分符合</t>
        </is>
      </c>
      <c r="H28" s="3" t="inlineStr">
        <is>
          <t>AI／非 AI 取代公司元件／系統拆分</t>
        </is>
      </c>
      <c r="I28" s="3" t="inlineStr">
        <is>
          <t>改為元件、系統兩列</t>
        </is>
      </c>
    </row>
    <row r="29">
      <c r="A29" s="3" t="inlineStr">
        <is>
          <t>fabrinet</t>
        </is>
      </c>
      <c r="B29" s="3" t="inlineStr">
        <is>
          <t>FN</t>
        </is>
      </c>
      <c r="C29" s="3" t="inlineStr">
        <is>
          <t>Fabrinet</t>
        </is>
      </c>
      <c r="D29" s="3" t="inlineStr">
        <is>
          <t>AI半導體</t>
        </is>
      </c>
      <c r="E29" s="3" t="inlineStr">
        <is>
          <t>單一分部；終端市場</t>
        </is>
      </c>
      <c r="F29" s="3" t="inlineStr">
        <is>
          <t>資料中心、DCI、HPC、通訊、車用工業</t>
        </is>
      </c>
      <c r="G29" s="5" t="inlineStr">
        <is>
          <t>符合</t>
        </is>
      </c>
      <c r="H29" s="3" t="inlineStr">
        <is>
          <t>—</t>
        </is>
      </c>
      <c r="I29" s="3" t="inlineStr">
        <is>
          <t>補 segments.json</t>
        </is>
      </c>
    </row>
    <row r="30">
      <c r="A30" s="3" t="inlineStr">
        <is>
          <t>dell</t>
        </is>
      </c>
      <c r="B30" s="3" t="inlineStr">
        <is>
          <t>DELL</t>
        </is>
      </c>
      <c r="C30" s="3" t="inlineStr">
        <is>
          <t>戴爾</t>
        </is>
      </c>
      <c r="D30" s="3" t="inlineStr">
        <is>
          <t>AI半導體</t>
        </is>
      </c>
      <c r="E30" s="3" t="inlineStr">
        <is>
          <t>ISG／CSG</t>
        </is>
      </c>
      <c r="F30" s="3" t="inlineStr">
        <is>
          <t>AI 伺服器＋傳統伺服器網通＋儲存＋CSG</t>
        </is>
      </c>
      <c r="G30" s="5" t="inlineStr">
        <is>
          <t>符合</t>
        </is>
      </c>
      <c r="H30" s="3" t="inlineStr">
        <is>
          <t>前三列為 ISG 子列</t>
        </is>
      </c>
      <c r="I30" s="3" t="inlineStr">
        <is>
          <t>補 segments.json</t>
        </is>
      </c>
    </row>
    <row r="31">
      <c r="A31" s="3" t="inlineStr">
        <is>
          <t>smci</t>
        </is>
      </c>
      <c r="B31" s="3" t="inlineStr">
        <is>
          <t>SMCI</t>
        </is>
      </c>
      <c r="C31" s="3" t="inlineStr">
        <is>
          <t>美超微</t>
        </is>
      </c>
      <c r="D31" s="3" t="inlineStr">
        <is>
          <t>AI半導體</t>
        </is>
      </c>
      <c r="E31" s="3" t="inlineStr">
        <is>
          <t>單一分部；無產品拆分</t>
        </is>
      </c>
      <c r="F31" s="3" t="inlineStr">
        <is>
          <t>AI GPU 平台＋非 AI</t>
        </is>
      </c>
      <c r="G31" s="5" t="inlineStr">
        <is>
          <t>符合</t>
        </is>
      </c>
      <c r="H31" s="3" t="inlineStr">
        <is>
          <t>公司不揭露產品拆分，AI 子列可接受</t>
        </is>
      </c>
      <c r="I31" s="3" t="inlineStr">
        <is>
          <t>補 segments.json</t>
        </is>
      </c>
    </row>
    <row r="32">
      <c r="A32" s="3" t="inlineStr">
        <is>
          <t>asml</t>
        </is>
      </c>
      <c r="B32" s="3" t="inlineStr">
        <is>
          <t>ASML</t>
        </is>
      </c>
      <c r="C32" s="3" t="inlineStr">
        <is>
          <t>ASML</t>
        </is>
      </c>
      <c r="D32" s="3" t="inlineStr">
        <is>
          <t>AI半導體</t>
        </is>
      </c>
      <c r="E32" s="3" t="inlineStr">
        <is>
          <t>單一分部；系統銷售／裝機服務</t>
        </is>
      </c>
      <c r="F32" s="3" t="inlineStr">
        <is>
          <t>系統營收＋IBM</t>
        </is>
      </c>
      <c r="G32" s="5" t="inlineStr">
        <is>
          <t>符合</t>
        </is>
      </c>
      <c r="H32" s="3" t="inlineStr">
        <is>
          <t>—</t>
        </is>
      </c>
      <c r="I32" s="3" t="inlineStr">
        <is>
          <t>補 segments.json</t>
        </is>
      </c>
    </row>
    <row r="33">
      <c r="A33" s="3" t="inlineStr">
        <is>
          <t>besi</t>
        </is>
      </c>
      <c r="B33" s="3" t="inlineStr">
        <is>
          <t>BESI</t>
        </is>
      </c>
      <c r="C33" s="3" t="inlineStr">
        <is>
          <t>BESI</t>
        </is>
      </c>
      <c r="D33" s="3" t="inlineStr">
        <is>
          <t>AI半導體</t>
        </is>
      </c>
      <c r="E33" s="3" t="inlineStr">
        <is>
          <t>單一分部；無產品拆分</t>
        </is>
      </c>
      <c r="F33" s="3" t="inlineStr">
        <is>
          <t>混合鍵合＋主流業務</t>
        </is>
      </c>
      <c r="G33" s="5" t="inlineStr">
        <is>
          <t>符合</t>
        </is>
      </c>
      <c r="H33" s="3" t="inlineStr">
        <is>
          <t>—</t>
        </is>
      </c>
      <c r="I33" s="3" t="inlineStr">
        <is>
          <t>補 segments.json</t>
        </is>
      </c>
    </row>
    <row r="34">
      <c r="A34" s="3" t="inlineStr">
        <is>
          <t>tsmc</t>
        </is>
      </c>
      <c r="B34" s="3" t="inlineStr">
        <is>
          <t>2330</t>
        </is>
      </c>
      <c r="C34" s="3" t="inlineStr">
        <is>
          <t>台積電</t>
        </is>
      </c>
      <c r="D34" s="3" t="inlineStr">
        <is>
          <t>AI半導體</t>
        </is>
      </c>
      <c r="E34" s="3" t="inlineStr">
        <is>
          <t>按平台：HPC／智慧型手機／IoT／車用／DCE／其他</t>
        </is>
      </c>
      <c r="F34" s="3" t="inlineStr">
        <is>
          <t>AI 相關＋非 AI</t>
        </is>
      </c>
      <c r="G34" s="4" t="inlineStr">
        <is>
          <t>不符</t>
        </is>
      </c>
      <c r="H34" s="3" t="inlineStr">
        <is>
          <t>AI／非 AI 殘差取代平台拆分，無法與法說口徑比較</t>
        </is>
      </c>
      <c r="I34" s="3" t="inlineStr">
        <is>
          <t>依平台重建營收層，AI 為 HPC 子列</t>
        </is>
      </c>
    </row>
    <row r="35">
      <c r="A35" s="3" t="inlineStr">
        <is>
          <t>mediatek</t>
        </is>
      </c>
      <c r="B35" s="3" t="inlineStr">
        <is>
          <t>2454</t>
        </is>
      </c>
      <c r="C35" s="3" t="inlineStr">
        <is>
          <t>聯發科</t>
        </is>
      </c>
      <c r="D35" s="3" t="inlineStr">
        <is>
          <t>AI半導體</t>
        </is>
      </c>
      <c r="E35" s="3" t="inlineStr">
        <is>
          <t>按產品：手機／智慧邊緣平台／電源 IC</t>
        </is>
      </c>
      <c r="F35" s="3" t="inlineStr">
        <is>
          <t>AI ASIC＋手機＋智慧邊緣（不含 ASIC）＋電源 IC</t>
        </is>
      </c>
      <c r="G35" s="5" t="inlineStr">
        <is>
          <t>符合</t>
        </is>
      </c>
      <c r="H35" s="3" t="inlineStr">
        <is>
          <t>—</t>
        </is>
      </c>
      <c r="I35" s="3" t="inlineStr">
        <is>
          <t>補 segments.json</t>
        </is>
      </c>
    </row>
    <row r="36">
      <c r="A36" s="3" t="inlineStr">
        <is>
          <t>guc</t>
        </is>
      </c>
      <c r="B36" s="3" t="inlineStr">
        <is>
          <t>3443</t>
        </is>
      </c>
      <c r="C36" s="3" t="inlineStr">
        <is>
          <t>創意</t>
        </is>
      </c>
      <c r="D36" s="3" t="inlineStr">
        <is>
          <t>AI半導體</t>
        </is>
      </c>
      <c r="E36" s="3" t="inlineStr">
        <is>
          <t>NRE／量產（turnkey）</t>
        </is>
      </c>
      <c r="F36" s="3" t="inlineStr">
        <is>
          <t>Google CPU＋AI ASIC＋車用＋其他</t>
        </is>
      </c>
      <c r="G36" s="6" t="inlineStr">
        <is>
          <t>部分符合</t>
        </is>
      </c>
      <c r="H36" s="3" t="inlineStr">
        <is>
          <t>未按公司 NRE／量產拆分</t>
        </is>
      </c>
      <c r="I36" s="3" t="inlineStr">
        <is>
          <t>加 NRE、量產兩列</t>
        </is>
      </c>
    </row>
    <row r="37">
      <c r="A37" s="3" t="inlineStr">
        <is>
          <t>alchip</t>
        </is>
      </c>
      <c r="B37" s="3" t="inlineStr">
        <is>
          <t>3661</t>
        </is>
      </c>
      <c r="C37" s="3" t="inlineStr">
        <is>
          <t>世芯-KY</t>
        </is>
      </c>
      <c r="D37" s="3" t="inlineStr">
        <is>
          <t>AI半導體</t>
        </is>
      </c>
      <c r="E37" s="3" t="inlineStr">
        <is>
          <t>NRE／量產；按應用</t>
        </is>
      </c>
      <c r="F37" s="3" t="inlineStr">
        <is>
          <t>Trainium 量產＋其他</t>
        </is>
      </c>
      <c r="G37" s="6" t="inlineStr">
        <is>
          <t>部分符合</t>
        </is>
      </c>
      <c r="H37" s="3" t="inlineStr">
        <is>
          <t>同上</t>
        </is>
      </c>
      <c r="I37" s="3" t="inlineStr">
        <is>
          <t>加 NRE、量產兩列</t>
        </is>
      </c>
    </row>
    <row r="38">
      <c r="A38" s="3" t="inlineStr">
        <is>
          <t>kyec</t>
        </is>
      </c>
      <c r="B38" s="3" t="inlineStr">
        <is>
          <t>2449</t>
        </is>
      </c>
      <c r="C38" s="3" t="inlineStr">
        <is>
          <t>京元電</t>
        </is>
      </c>
      <c r="D38" s="3" t="inlineStr">
        <is>
          <t>AI半導體</t>
        </is>
      </c>
      <c r="E38" s="3" t="inlineStr">
        <is>
          <t>測試服務約 98%；按應用</t>
        </is>
      </c>
      <c r="F38" s="3" t="inlineStr">
        <is>
          <t>AI 加速器測試＋非 AI</t>
        </is>
      </c>
      <c r="G38" s="6" t="inlineStr">
        <is>
          <t>部分符合</t>
        </is>
      </c>
      <c r="H38" s="3" t="inlineStr">
        <is>
          <t>應以測試類別或應用別為主列</t>
        </is>
      </c>
      <c r="I38" s="3" t="inlineStr">
        <is>
          <t>改按應用別</t>
        </is>
      </c>
    </row>
    <row r="39">
      <c r="A39" s="3" t="inlineStr">
        <is>
          <t>foxconn</t>
        </is>
      </c>
      <c r="B39" s="3" t="inlineStr">
        <is>
          <t>2317</t>
        </is>
      </c>
      <c r="C39" s="3" t="inlineStr">
        <is>
          <t>鴻海</t>
        </is>
      </c>
      <c r="D39" s="3" t="inlineStr">
        <is>
          <t>AI半導體</t>
        </is>
      </c>
      <c r="E39" s="3" t="inlineStr">
        <is>
          <t>雲端網路／消費智能／電腦終端／元件及其他</t>
        </is>
      </c>
      <c r="F39" s="3" t="inlineStr">
        <is>
          <t>AI 伺服器＋非 AI</t>
        </is>
      </c>
      <c r="G39" s="4" t="inlineStr">
        <is>
          <t>不符</t>
        </is>
      </c>
      <c r="H39" s="3" t="inlineStr">
        <is>
          <t>四大產品類別未建模</t>
        </is>
      </c>
      <c r="I39" s="3" t="inlineStr">
        <is>
          <t>依四大產品重建，AI 伺服器為雲端網路子列</t>
        </is>
      </c>
    </row>
    <row r="40">
      <c r="A40" s="3" t="inlineStr">
        <is>
          <t>quanta</t>
        </is>
      </c>
      <c r="B40" s="3" t="inlineStr">
        <is>
          <t>2382</t>
        </is>
      </c>
      <c r="C40" s="3" t="inlineStr">
        <is>
          <t>廣達</t>
        </is>
      </c>
      <c r="D40" s="3" t="inlineStr">
        <is>
          <t>AI半導體</t>
        </is>
      </c>
      <c r="E40" s="3" t="inlineStr">
        <is>
          <t>筆電／雲端伺服器／其他</t>
        </is>
      </c>
      <c r="F40" s="3" t="inlineStr">
        <is>
          <t>AI 伺服器＋非 AI</t>
        </is>
      </c>
      <c r="G40" s="6" t="inlineStr">
        <is>
          <t>部分符合</t>
        </is>
      </c>
      <c r="H40" s="3" t="inlineStr">
        <is>
          <t>筆電未單列</t>
        </is>
      </c>
      <c r="I40" s="3" t="inlineStr">
        <is>
          <t>改為筆電、伺服器、其他</t>
        </is>
      </c>
    </row>
    <row r="41">
      <c r="A41" s="3" t="inlineStr">
        <is>
          <t>wistron</t>
        </is>
      </c>
      <c r="B41" s="3" t="inlineStr">
        <is>
          <t>3231</t>
        </is>
      </c>
      <c r="C41" s="3" t="inlineStr">
        <is>
          <t>緯創</t>
        </is>
      </c>
      <c r="D41" s="3" t="inlineStr">
        <is>
          <t>AI半導體</t>
        </is>
      </c>
      <c r="E41" s="3" t="inlineStr">
        <is>
          <t>未找到官方分部；本體與緯穎</t>
        </is>
      </c>
      <c r="F41" s="3" t="inlineStr">
        <is>
          <t>本體 AI 系統＋GPU 基板＋緯穎</t>
        </is>
      </c>
      <c r="G41" s="6" t="inlineStr">
        <is>
          <t>部分符合</t>
        </is>
      </c>
      <c r="H41" s="3" t="inlineStr">
        <is>
          <t>官方分部待查</t>
        </is>
      </c>
      <c r="I41" s="3" t="inlineStr">
        <is>
          <t>查年報後定</t>
        </is>
      </c>
    </row>
    <row r="42">
      <c r="A42" s="3" t="inlineStr">
        <is>
          <t>wiwynn</t>
        </is>
      </c>
      <c r="B42" s="3" t="inlineStr">
        <is>
          <t>6669</t>
        </is>
      </c>
      <c r="C42" s="3" t="inlineStr">
        <is>
          <t>緯穎</t>
        </is>
      </c>
      <c r="D42" s="3" t="inlineStr">
        <is>
          <t>AI半導體</t>
        </is>
      </c>
      <c r="E42" s="3" t="inlineStr">
        <is>
          <t>AI 產品／一般伺服器（公司口徑）</t>
        </is>
      </c>
      <c r="F42" s="3" t="inlineStr">
        <is>
          <t>AI 伺服器＋通用伺服器</t>
        </is>
      </c>
      <c r="G42" s="5" t="inlineStr">
        <is>
          <t>符合</t>
        </is>
      </c>
      <c r="H42" s="3" t="inlineStr">
        <is>
          <t>—</t>
        </is>
      </c>
      <c r="I42" s="3" t="inlineStr">
        <is>
          <t>補 segments.json</t>
        </is>
      </c>
    </row>
    <row r="43">
      <c r="A43" s="3" t="inlineStr">
        <is>
          <t>delta</t>
        </is>
      </c>
      <c r="B43" s="3" t="inlineStr">
        <is>
          <t>2308</t>
        </is>
      </c>
      <c r="C43" s="3" t="inlineStr">
        <is>
          <t>台達電</t>
        </is>
      </c>
      <c r="D43" s="3" t="inlineStr">
        <is>
          <t>AI半導體</t>
        </is>
      </c>
      <c r="E43" s="3" t="inlineStr">
        <is>
          <t>電源及零組件／基礎設施／自動化／交通</t>
        </is>
      </c>
      <c r="F43" s="3" t="inlineStr">
        <is>
          <t>AI 電源＋液冷＋非 AI</t>
        </is>
      </c>
      <c r="G43" s="4" t="inlineStr">
        <is>
          <t>不符</t>
        </is>
      </c>
      <c r="H43" s="3" t="inlineStr">
        <is>
          <t>四個事業群未建模</t>
        </is>
      </c>
      <c r="I43" s="3" t="inlineStr">
        <is>
          <t>依事業群重建，AI 為子列</t>
        </is>
      </c>
    </row>
    <row r="44">
      <c r="A44" s="3" t="inlineStr">
        <is>
          <t>liteon</t>
        </is>
      </c>
      <c r="B44" s="3" t="inlineStr">
        <is>
          <t>2301</t>
        </is>
      </c>
      <c r="C44" s="3" t="inlineStr">
        <is>
          <t>光寶</t>
        </is>
      </c>
      <c r="D44" s="3" t="inlineStr">
        <is>
          <t>AI半導體</t>
        </is>
      </c>
      <c r="E44" s="3" t="inlineStr">
        <is>
          <t>雲端及物聯網／光電／資訊及消費性電子</t>
        </is>
      </c>
      <c r="F44" s="3" t="inlineStr">
        <is>
          <t>AI 相關＋非 AI</t>
        </is>
      </c>
      <c r="G44" s="4" t="inlineStr">
        <is>
          <t>不符</t>
        </is>
      </c>
      <c r="H44" s="3" t="inlineStr">
        <is>
          <t>三大事業群未建模</t>
        </is>
      </c>
      <c r="I44" s="3" t="inlineStr">
        <is>
          <t>依事業群重建</t>
        </is>
      </c>
    </row>
    <row r="45">
      <c r="A45" s="3" t="inlineStr">
        <is>
          <t>avc</t>
        </is>
      </c>
      <c r="B45" s="3" t="inlineStr">
        <is>
          <t>3017</t>
        </is>
      </c>
      <c r="C45" s="3" t="inlineStr">
        <is>
          <t>奇鋐</t>
        </is>
      </c>
      <c r="D45" s="3" t="inlineStr">
        <is>
          <t>AI半導體</t>
        </is>
      </c>
      <c r="E45" s="3" t="inlineStr">
        <is>
          <t>散熱／機殼；按應用</t>
        </is>
      </c>
      <c r="F45" s="3" t="inlineStr">
        <is>
          <t>液冷＋AI 氣冷＋一般伺服器網通＋非伺服器</t>
        </is>
      </c>
      <c r="G45" s="6" t="inlineStr">
        <is>
          <t>部分符合</t>
        </is>
      </c>
      <c r="H45" s="3" t="inlineStr">
        <is>
          <t>按應用拆分可接受，但未對應公司產品別</t>
        </is>
      </c>
      <c r="I45" s="3" t="inlineStr">
        <is>
          <t>加產品別對帳</t>
        </is>
      </c>
    </row>
    <row r="46">
      <c r="A46" s="3" t="inlineStr">
        <is>
          <t>auras</t>
        </is>
      </c>
      <c r="B46" s="3" t="inlineStr">
        <is>
          <t>3324</t>
        </is>
      </c>
      <c r="C46" s="3" t="inlineStr">
        <is>
          <t>雙鴻</t>
        </is>
      </c>
      <c r="D46" s="3" t="inlineStr">
        <is>
          <t>AI半導體</t>
        </is>
      </c>
      <c r="E46" s="3" t="inlineStr">
        <is>
          <t>按應用：伺服器／PC／顯卡</t>
        </is>
      </c>
      <c r="F46" s="3" t="inlineStr">
        <is>
          <t>液冷＋伺服器氣冷＋筆電桌機＋電競顯卡</t>
        </is>
      </c>
      <c r="G46" s="5" t="inlineStr">
        <is>
          <t>符合</t>
        </is>
      </c>
      <c r="H46" s="3" t="inlineStr">
        <is>
          <t>—</t>
        </is>
      </c>
      <c r="I46" s="3" t="inlineStr">
        <is>
          <t>補 segments.json</t>
        </is>
      </c>
    </row>
    <row r="47">
      <c r="A47" s="3" t="inlineStr">
        <is>
          <t>jentech</t>
        </is>
      </c>
      <c r="B47" s="3" t="inlineStr">
        <is>
          <t>3653</t>
        </is>
      </c>
      <c r="C47" s="3" t="inlineStr">
        <is>
          <t>健策</t>
        </is>
      </c>
      <c r="D47" s="3" t="inlineStr">
        <is>
          <t>AI半導體</t>
        </is>
      </c>
      <c r="E47" s="3" t="inlineStr">
        <is>
          <t>散熱／導線架</t>
        </is>
      </c>
      <c r="F47" s="3" t="inlineStr">
        <is>
          <t>均熱片＋液冷冷板＋其他散熱＋導線架</t>
        </is>
      </c>
      <c r="G47" s="5" t="inlineStr">
        <is>
          <t>符合</t>
        </is>
      </c>
      <c r="H47" s="3" t="inlineStr">
        <is>
          <t>—</t>
        </is>
      </c>
      <c r="I47" s="3" t="inlineStr">
        <is>
          <t>補 segments.json</t>
        </is>
      </c>
    </row>
    <row r="48">
      <c r="A48" s="3" t="inlineStr">
        <is>
          <t>gce</t>
        </is>
      </c>
      <c r="B48" s="3" t="inlineStr">
        <is>
          <t>2368</t>
        </is>
      </c>
      <c r="C48" s="3" t="inlineStr">
        <is>
          <t>金像電</t>
        </is>
      </c>
      <c r="D48" s="3" t="inlineStr">
        <is>
          <t>AI半導體</t>
        </is>
      </c>
      <c r="E48" s="3" t="inlineStr">
        <is>
          <t>按應用：伺服器／網通／筆電</t>
        </is>
      </c>
      <c r="F48" s="3" t="inlineStr">
        <is>
          <t>AI 相關＋非 AI</t>
        </is>
      </c>
      <c r="G48" s="6" t="inlineStr">
        <is>
          <t>部分符合</t>
        </is>
      </c>
      <c r="H48" s="3" t="inlineStr">
        <is>
          <t>應按應用別</t>
        </is>
      </c>
      <c r="I48" s="3" t="inlineStr">
        <is>
          <t>改按應用別</t>
        </is>
      </c>
    </row>
    <row r="49">
      <c r="A49" s="3" t="inlineStr">
        <is>
          <t>emc</t>
        </is>
      </c>
      <c r="B49" s="3" t="inlineStr">
        <is>
          <t>2383</t>
        </is>
      </c>
      <c r="C49" s="3" t="inlineStr">
        <is>
          <t>台光電</t>
        </is>
      </c>
      <c r="D49" s="3" t="inlineStr">
        <is>
          <t>AI半導體</t>
        </is>
      </c>
      <c r="E49" s="3" t="inlineStr">
        <is>
          <t>按應用：基礎設施／手機／其他</t>
        </is>
      </c>
      <c r="F49" s="3" t="inlineStr">
        <is>
          <t>AI 相關＋非 AI</t>
        </is>
      </c>
      <c r="G49" s="6" t="inlineStr">
        <is>
          <t>部分符合</t>
        </is>
      </c>
      <c r="H49" s="3" t="inlineStr">
        <is>
          <t>應按應用別</t>
        </is>
      </c>
      <c r="I49" s="3" t="inlineStr">
        <is>
          <t>改按應用別</t>
        </is>
      </c>
    </row>
    <row r="50">
      <c r="A50" s="3" t="inlineStr">
        <is>
          <t>unimicron</t>
        </is>
      </c>
      <c r="B50" s="3" t="inlineStr">
        <is>
          <t>3037</t>
        </is>
      </c>
      <c r="C50" s="3" t="inlineStr">
        <is>
          <t>欣興</t>
        </is>
      </c>
      <c r="D50" s="3" t="inlineStr">
        <is>
          <t>AI半導體</t>
        </is>
      </c>
      <c r="E50" s="3" t="inlineStr">
        <is>
          <t>按產品：ABF／HDI／PCB／BT 等</t>
        </is>
      </c>
      <c r="F50" s="3" t="inlineStr">
        <is>
          <t>ABF 載板（含 AI 載板）</t>
        </is>
      </c>
      <c r="G50" s="6" t="inlineStr">
        <is>
          <t>部分符合</t>
        </is>
      </c>
      <c r="H50" s="3" t="inlineStr">
        <is>
          <t>非 ABF 產品未列</t>
        </is>
      </c>
      <c r="I50" s="3" t="inlineStr">
        <is>
          <t>補非 ABF 產品列</t>
        </is>
      </c>
    </row>
    <row r="51">
      <c r="A51" s="3" t="inlineStr">
        <is>
          <t>nanya_pcb</t>
        </is>
      </c>
      <c r="B51" s="3" t="inlineStr">
        <is>
          <t>8046</t>
        </is>
      </c>
      <c r="C51" s="3" t="inlineStr">
        <is>
          <t>南電</t>
        </is>
      </c>
      <c r="D51" s="3" t="inlineStr">
        <is>
          <t>AI半導體</t>
        </is>
      </c>
      <c r="E51" s="3" t="inlineStr">
        <is>
          <t>ABF／BT／PCB</t>
        </is>
      </c>
      <c r="F51" s="3" t="inlineStr">
        <is>
          <t>ABF 載板（含 AI 載板）</t>
        </is>
      </c>
      <c r="G51" s="6" t="inlineStr">
        <is>
          <t>部分符合</t>
        </is>
      </c>
      <c r="H51" s="3" t="inlineStr">
        <is>
          <t>BT、PCB 未列</t>
        </is>
      </c>
      <c r="I51" s="3" t="inlineStr">
        <is>
          <t>補 BT、PCB 列</t>
        </is>
      </c>
    </row>
    <row r="52">
      <c r="A52" s="3" t="inlineStr">
        <is>
          <t>accton</t>
        </is>
      </c>
      <c r="B52" s="3" t="inlineStr">
        <is>
          <t>2345</t>
        </is>
      </c>
      <c r="C52" s="3" t="inlineStr">
        <is>
          <t>智邦</t>
        </is>
      </c>
      <c r="D52" s="3" t="inlineStr">
        <is>
          <t>AI半導體</t>
        </is>
      </c>
      <c r="E52" s="3" t="inlineStr">
        <is>
          <t>未找到官方分部</t>
        </is>
      </c>
      <c r="F52" s="3" t="inlineStr">
        <is>
          <t>AI 交換器＋網路應用產品＋非 AI</t>
        </is>
      </c>
      <c r="G52" s="6" t="inlineStr">
        <is>
          <t>部分符合</t>
        </is>
      </c>
      <c r="H52" s="3" t="inlineStr">
        <is>
          <t>官方產品別待查</t>
        </is>
      </c>
      <c r="I52" s="3" t="inlineStr">
        <is>
          <t>查年報後定</t>
        </is>
      </c>
    </row>
    <row r="53">
      <c r="A53" s="3" t="inlineStr">
        <is>
          <t>ibiden</t>
        </is>
      </c>
      <c r="B53" s="3" t="inlineStr">
        <is>
          <t>4062</t>
        </is>
      </c>
      <c r="C53" s="3" t="inlineStr">
        <is>
          <t>Ibiden</t>
        </is>
      </c>
      <c r="D53" s="3" t="inlineStr">
        <is>
          <t>AI半導體</t>
        </is>
      </c>
      <c r="E53" s="3" t="inlineStr">
        <is>
          <t>電子／陶瓷／其他</t>
        </is>
      </c>
      <c r="F53" s="3" t="inlineStr">
        <is>
          <t>AI 伺服器載板＋電子事業</t>
        </is>
      </c>
      <c r="G53" s="6" t="inlineStr">
        <is>
          <t>部分符合</t>
        </is>
      </c>
      <c r="H53" s="3" t="inlineStr">
        <is>
          <t>陶瓷、其他未列</t>
        </is>
      </c>
      <c r="I53" s="3" t="inlineStr">
        <is>
          <t>補陶瓷、其他列</t>
        </is>
      </c>
    </row>
    <row r="54">
      <c r="A54" s="3" t="inlineStr">
        <is>
          <t>disco</t>
        </is>
      </c>
      <c r="B54" s="3" t="inlineStr">
        <is>
          <t>6146</t>
        </is>
      </c>
      <c r="C54" s="3" t="inlineStr">
        <is>
          <t>Disco</t>
        </is>
      </c>
      <c r="D54" s="3" t="inlineStr">
        <is>
          <t>AI半導體</t>
        </is>
      </c>
      <c r="E54" s="3" t="inlineStr">
        <is>
          <t>單一分部；裝置／消耗品</t>
        </is>
      </c>
      <c r="F54" s="3" t="inlineStr">
        <is>
          <t>HBM 裝置＋先進封裝＋非 AI 裝置＋消耗品＋其他</t>
        </is>
      </c>
      <c r="G54" s="5" t="inlineStr">
        <is>
          <t>符合</t>
        </is>
      </c>
      <c r="H54" s="3" t="inlineStr">
        <is>
          <t>—</t>
        </is>
      </c>
      <c r="I54" s="3" t="inlineStr">
        <is>
          <t>補 segments.json</t>
        </is>
      </c>
    </row>
    <row r="55">
      <c r="A55" s="3" t="inlineStr">
        <is>
          <t>towa</t>
        </is>
      </c>
      <c r="B55" s="3" t="inlineStr">
        <is>
          <t>6315</t>
        </is>
      </c>
      <c r="C55" s="3" t="inlineStr">
        <is>
          <t>TOWA</t>
        </is>
      </c>
      <c r="D55" s="3" t="inlineStr">
        <is>
          <t>AI半導體</t>
        </is>
      </c>
      <c r="E55" s="3" t="inlineStr">
        <is>
          <t>半導體製造裝置／醫療器材／雷射加工</t>
        </is>
      </c>
      <c r="F55" s="3" t="inlineStr">
        <is>
          <t>AI 封膠＋非 AI 封膠＋其他半導體＋新事業＋雷射</t>
        </is>
      </c>
      <c r="G55" s="6" t="inlineStr">
        <is>
          <t>部分符合</t>
        </is>
      </c>
      <c r="H55" s="3" t="inlineStr">
        <is>
          <t>醫療器材併在新事業</t>
        </is>
      </c>
      <c r="I55" s="3" t="inlineStr">
        <is>
          <t>醫療器材單列</t>
        </is>
      </c>
    </row>
    <row r="56">
      <c r="A56" s="3" t="inlineStr">
        <is>
          <t>advantest</t>
        </is>
      </c>
      <c r="B56" s="3" t="inlineStr">
        <is>
          <t>6857</t>
        </is>
      </c>
      <c r="C56" s="3" t="inlineStr">
        <is>
          <t>Advantest</t>
        </is>
      </c>
      <c r="D56" s="3" t="inlineStr">
        <is>
          <t>AI半導體</t>
        </is>
      </c>
      <c r="E56" s="3" t="inlineStr">
        <is>
          <t>テストシステム／サービス他（FY25 起兩分部）</t>
        </is>
      </c>
      <c r="F56" s="3" t="inlineStr">
        <is>
          <t>SoC 測試機＋記憶體測試機</t>
        </is>
      </c>
      <c r="G56" s="6" t="inlineStr">
        <is>
          <t>部分符合</t>
        </is>
      </c>
      <c r="H56" s="3" t="inlineStr">
        <is>
          <t>缺服務他分部</t>
        </is>
      </c>
      <c r="I56" s="3" t="inlineStr">
        <is>
          <t>補服務他列</t>
        </is>
      </c>
    </row>
    <row r="57">
      <c r="A57" s="3" t="inlineStr">
        <is>
          <t>accretech</t>
        </is>
      </c>
      <c r="B57" s="3" t="inlineStr">
        <is>
          <t>7729</t>
        </is>
      </c>
      <c r="C57" s="3" t="inlineStr">
        <is>
          <t>東京精密</t>
        </is>
      </c>
      <c r="D57" s="3" t="inlineStr">
        <is>
          <t>AI半導體</t>
        </is>
      </c>
      <c r="E57" s="3" t="inlineStr">
        <is>
          <t>半導體製造裝置／計測機器</t>
        </is>
      </c>
      <c r="F57" s="3" t="inlineStr">
        <is>
          <t>探針台＋加工裝置＋計測機器</t>
        </is>
      </c>
      <c r="G57" s="5" t="inlineStr">
        <is>
          <t>符合</t>
        </is>
      </c>
      <c r="H57" s="3" t="inlineStr">
        <is>
          <t>前兩列為半導體製造裝置子列</t>
        </is>
      </c>
      <c r="I57" s="3" t="inlineStr">
        <is>
          <t>補 segments.json</t>
        </is>
      </c>
    </row>
    <row r="58">
      <c r="A58" s="3" t="inlineStr">
        <is>
          <t>skhynix</t>
        </is>
      </c>
      <c r="B58" s="3" t="inlineStr">
        <is>
          <t>000660</t>
        </is>
      </c>
      <c r="C58" s="3" t="inlineStr">
        <is>
          <t>SK 海力士</t>
        </is>
      </c>
      <c r="D58" s="3" t="inlineStr">
        <is>
          <t>AI半導體</t>
        </is>
      </c>
      <c r="E58" s="3" t="inlineStr">
        <is>
          <t>單一分部；DRAM（含 HBM）／NAND</t>
        </is>
      </c>
      <c r="F58" s="3" t="inlineStr">
        <is>
          <t>一般 DRAM＋HBM＋NAND＋其他</t>
        </is>
      </c>
      <c r="G58" s="5" t="inlineStr">
        <is>
          <t>符合</t>
        </is>
      </c>
      <c r="H58" s="3" t="inlineStr">
        <is>
          <t>—</t>
        </is>
      </c>
      <c r="I58" s="3" t="inlineStr">
        <is>
          <t>補 segments.json</t>
        </is>
      </c>
    </row>
    <row r="59">
      <c r="A59" s="3" t="inlineStr">
        <is>
          <t>samsung</t>
        </is>
      </c>
      <c r="B59" s="3" t="inlineStr">
        <is>
          <t>005930</t>
        </is>
      </c>
      <c r="C59" s="3" t="inlineStr">
        <is>
          <t>三星電子</t>
        </is>
      </c>
      <c r="D59" s="3" t="inlineStr">
        <is>
          <t>AI半導體</t>
        </is>
      </c>
      <c r="E59" s="3" t="inlineStr">
        <is>
          <t>DX／DS／SDC／Harman</t>
        </is>
      </c>
      <c r="F59" s="3" t="inlineStr">
        <is>
          <t>記憶體（DRAM、HBM、NAND）＋非記憶體一列</t>
        </is>
      </c>
      <c r="G59" s="6" t="inlineStr">
        <is>
          <t>部分符合</t>
        </is>
      </c>
      <c r="H59" s="3" t="inlineStr">
        <is>
          <t>DS 只建記憶體，DX、SDC、Harman 併一列</t>
        </is>
      </c>
      <c r="I59" s="3" t="inlineStr">
        <is>
          <t>補四部門列</t>
        </is>
      </c>
    </row>
    <row r="60">
      <c r="A60" s="3" t="inlineStr">
        <is>
          <t>hanmi</t>
        </is>
      </c>
      <c r="B60" s="3" t="inlineStr">
        <is>
          <t>042700</t>
        </is>
      </c>
      <c r="C60" s="3" t="inlineStr">
        <is>
          <t>韓美半導體</t>
        </is>
      </c>
      <c r="D60" s="3" t="inlineStr">
        <is>
          <t>AI半導體</t>
        </is>
      </c>
      <c r="E60" s="3" t="inlineStr">
        <is>
          <t>未揭露產品別</t>
        </is>
      </c>
      <c r="F60" s="3" t="inlineStr">
        <is>
          <t>HBM TC 鍵合機＋其他</t>
        </is>
      </c>
      <c r="G60" s="5" t="inlineStr">
        <is>
          <t>符合</t>
        </is>
      </c>
      <c r="H60" s="3" t="inlineStr">
        <is>
          <t>公司不揭露拆分</t>
        </is>
      </c>
      <c r="I60" s="3" t="inlineStr">
        <is>
          <t>補 segments.json</t>
        </is>
      </c>
    </row>
    <row r="61">
      <c r="A61" s="3" t="inlineStr">
        <is>
          <t>kioxia</t>
        </is>
      </c>
      <c r="B61" s="3" t="inlineStr">
        <is>
          <t>285A</t>
        </is>
      </c>
      <c r="C61" s="3" t="inlineStr">
        <is>
          <t>Kioxia</t>
        </is>
      </c>
      <c r="D61" s="3" t="inlineStr">
        <is>
          <t>AI半導體</t>
        </is>
      </c>
      <c r="E61" s="3" t="inlineStr">
        <is>
          <t>單一分部；SSD &amp; Storage／Smart Devices／Other</t>
        </is>
      </c>
      <c r="F61" s="3" t="inlineStr">
        <is>
          <t>營收一列</t>
        </is>
      </c>
      <c r="G61" s="4" t="inlineStr">
        <is>
          <t>不符</t>
        </is>
      </c>
      <c r="H61" s="3" t="inlineStr">
        <is>
          <t>沒有任何營收拆分</t>
        </is>
      </c>
      <c r="I61" s="3" t="inlineStr">
        <is>
          <t>依應用別重建</t>
        </is>
      </c>
    </row>
    <row r="62">
      <c r="A62" s="3" t="inlineStr">
        <is>
          <t>innolight</t>
        </is>
      </c>
      <c r="B62" s="3" t="inlineStr">
        <is>
          <t>300308</t>
        </is>
      </c>
      <c r="C62" s="3" t="inlineStr">
        <is>
          <t>中際旭創</t>
        </is>
      </c>
      <c r="D62" s="3" t="inlineStr">
        <is>
          <t>AI半導體</t>
        </is>
      </c>
      <c r="E62" s="3" t="inlineStr">
        <is>
          <t>按產品：光通信收發模組／其他</t>
        </is>
      </c>
      <c r="F62" s="3" t="inlineStr">
        <is>
          <t>AI＋其他</t>
        </is>
      </c>
      <c r="G62" s="6" t="inlineStr">
        <is>
          <t>部分符合</t>
        </is>
      </c>
      <c r="H62" s="3" t="inlineStr">
        <is>
          <t>應以公司產品別為主列</t>
        </is>
      </c>
      <c r="I62" s="3" t="inlineStr">
        <is>
          <t>改按產品別</t>
        </is>
      </c>
    </row>
    <row r="63">
      <c r="A63" s="3" t="inlineStr">
        <is>
          <t>eoptolink</t>
        </is>
      </c>
      <c r="B63" s="3" t="inlineStr">
        <is>
          <t>300502</t>
        </is>
      </c>
      <c r="C63" s="3" t="inlineStr">
        <is>
          <t>新易盛</t>
        </is>
      </c>
      <c r="D63" s="3" t="inlineStr">
        <is>
          <t>AI半導體</t>
        </is>
      </c>
      <c r="E63" s="3" t="inlineStr">
        <is>
          <t>按產品：光模組／其他</t>
        </is>
      </c>
      <c r="F63" s="3" t="inlineStr">
        <is>
          <t>AI＋其他</t>
        </is>
      </c>
      <c r="G63" s="6" t="inlineStr">
        <is>
          <t>部分符合</t>
        </is>
      </c>
      <c r="H63" s="3" t="inlineStr">
        <is>
          <t>同上</t>
        </is>
      </c>
      <c r="I63" s="3" t="inlineStr">
        <is>
          <t>改按產品別</t>
        </is>
      </c>
    </row>
    <row r="64">
      <c r="A64" s="3" t="inlineStr">
        <is>
          <t>victory_giant</t>
        </is>
      </c>
      <c r="B64" s="3" t="inlineStr">
        <is>
          <t>300476</t>
        </is>
      </c>
      <c r="C64" s="3" t="inlineStr">
        <is>
          <t>勝宏科技</t>
        </is>
      </c>
      <c r="D64" s="3" t="inlineStr">
        <is>
          <t>AI半導體</t>
        </is>
      </c>
      <c r="E64" s="3" t="inlineStr">
        <is>
          <t>按產品（PCB）；按應用 AI／HPC 揭露</t>
        </is>
      </c>
      <c r="F64" s="3" t="inlineStr">
        <is>
          <t>AI 相關＋非 AI</t>
        </is>
      </c>
      <c r="G64" s="5" t="inlineStr">
        <is>
          <t>符合</t>
        </is>
      </c>
      <c r="H64" s="3" t="inlineStr">
        <is>
          <t>公司揭露 AI／HPC 占比，與模型一致</t>
        </is>
      </c>
      <c r="I64" s="3" t="inlineStr">
        <is>
          <t>補 segments.json</t>
        </is>
      </c>
    </row>
    <row r="65">
      <c r="A65" s="3" t="inlineStr">
        <is>
          <t>ajinomoto</t>
        </is>
      </c>
      <c r="B65" s="3" t="inlineStr">
        <is>
          <t>2802</t>
        </is>
      </c>
      <c r="C65" s="3" t="inlineStr">
        <is>
          <t>味之素</t>
        </is>
      </c>
      <c r="D65" s="3" t="inlineStr">
        <is>
          <t>AI半導體</t>
        </is>
      </c>
      <c r="E65" s="3" t="inlineStr">
        <is>
          <t>調味料・食品／冷凍食品／ヘルスケア等</t>
        </is>
      </c>
      <c r="F65" s="3" t="inlineStr">
        <is>
          <t>FM（ABF）＋事業利益合計</t>
        </is>
      </c>
      <c r="G65" s="6" t="inlineStr">
        <is>
          <t>部分符合</t>
        </is>
      </c>
      <c r="H65" s="3" t="inlineStr">
        <is>
          <t>三個報告分部未單列</t>
        </is>
      </c>
      <c r="I65" s="3" t="inlineStr">
        <is>
          <t>補三分部列，FM 為ヘルスケア等子列</t>
        </is>
      </c>
    </row>
    <row r="66">
      <c r="A66" s="3" t="inlineStr">
        <is>
          <t>kinsus</t>
        </is>
      </c>
      <c r="B66" s="3" t="inlineStr">
        <is>
          <t>3189</t>
        </is>
      </c>
      <c r="C66" s="3" t="inlineStr">
        <is>
          <t>景碩</t>
        </is>
      </c>
      <c r="D66" s="3" t="inlineStr">
        <is>
          <t>AI半導體</t>
        </is>
      </c>
      <c r="E66" s="3" t="inlineStr">
        <is>
          <t>ABF／BT（未取得官方資料）</t>
        </is>
      </c>
      <c r="F66" s="3" t="inlineStr">
        <is>
          <t>ABF 載板（含 AI 載板）</t>
        </is>
      </c>
      <c r="G66" s="6" t="inlineStr">
        <is>
          <t>部分符合</t>
        </is>
      </c>
      <c r="H66" s="3" t="inlineStr">
        <is>
          <t>BT 未列（模型 BT 以情境年增推，列名待確認）</t>
        </is>
      </c>
      <c r="I66" s="3" t="inlineStr">
        <is>
          <t>查年報後定</t>
        </is>
      </c>
    </row>
  </sheetData>
  <autoFilter ref="A1:I6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模型權威</t>
        </is>
      </c>
      <c r="B1" s="7" t="inlineStr">
        <is>
          <t>判定</t>
        </is>
      </c>
      <c r="C1" s="7" t="inlineStr">
        <is>
          <t>家數</t>
        </is>
      </c>
    </row>
    <row r="2">
      <c r="A2" t="inlineStr">
        <is>
          <t>算力收支</t>
        </is>
      </c>
      <c r="B2" t="inlineStr">
        <is>
          <t>符合</t>
        </is>
      </c>
      <c r="C2">
        <f>COUNTIFS(稽核!D2:D66,"算力收支",稽核!G2:G66,"符合")</f>
        <v/>
      </c>
    </row>
    <row r="3">
      <c r="A3" t="inlineStr">
        <is>
          <t>算力收支</t>
        </is>
      </c>
      <c r="B3" t="inlineStr">
        <is>
          <t>部分符合</t>
        </is>
      </c>
      <c r="C3">
        <f>COUNTIFS(稽核!D2:D66,"算力收支",稽核!G2:G66,"部分符合")</f>
        <v/>
      </c>
    </row>
    <row r="4">
      <c r="A4" t="inlineStr">
        <is>
          <t>算力收支</t>
        </is>
      </c>
      <c r="B4" t="inlineStr">
        <is>
          <t>不符</t>
        </is>
      </c>
      <c r="C4">
        <f>COUNTIFS(稽核!D2:D66,"算力收支",稽核!G2:G66,"不符")</f>
        <v/>
      </c>
    </row>
    <row r="5">
      <c r="A5" t="inlineStr">
        <is>
          <t>AI半導體</t>
        </is>
      </c>
      <c r="B5" t="inlineStr">
        <is>
          <t>符合</t>
        </is>
      </c>
      <c r="C5">
        <f>COUNTIFS(稽核!D2:D66,"AI半導體",稽核!G2:G66,"符合")</f>
        <v/>
      </c>
    </row>
    <row r="6">
      <c r="A6" t="inlineStr">
        <is>
          <t>AI半導體</t>
        </is>
      </c>
      <c r="B6" t="inlineStr">
        <is>
          <t>部分符合</t>
        </is>
      </c>
      <c r="C6">
        <f>COUNTIFS(稽核!D2:D66,"AI半導體",稽核!G2:G66,"部分符合")</f>
        <v/>
      </c>
    </row>
    <row r="7">
      <c r="A7" t="inlineStr">
        <is>
          <t>AI半導體</t>
        </is>
      </c>
      <c r="B7" t="inlineStr">
        <is>
          <t>不符</t>
        </is>
      </c>
      <c r="C7">
        <f>COUNTIFS(稽核!D2:D66,"AI半導體",稽核!G2:G66,"不符")</f>
        <v/>
      </c>
    </row>
    <row r="8">
      <c r="A8" t="inlineStr">
        <is>
          <t>合計</t>
        </is>
      </c>
      <c r="B8" t="inlineStr"/>
      <c r="C8">
        <f>COUNTA(稽核!A2:A66)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2026-10-27T06:03:31Z</dcterms:created>
  <dcterms:modified xmlns:dcterms="http://purl.org/dc/terms/" xmlns:xsi="http://www.w3.org/2001/XMLSchema-instance" xsi:type="dcterms:W3CDTF">2026-10-27T06:03:31Z</dcterms:modified>
</cp:coreProperties>
</file>