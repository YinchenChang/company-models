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營收_EPS_利益" sheetId="1" state="visible" r:id="rId3"/>
    <sheet name="估值隱含股價" sheetId="2" state="visible" r:id="rId4"/>
    <sheet name="總覽谷底規則" sheetId="3" state="visible" r:id="rId5"/>
    <sheet name="HBM位元與市場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<sst xmlns="http://schemas.openxmlformats.org/spreadsheetml/2006/main" count="1169" uniqueCount="73">
  <si>
    <t xml:space="preserve">模型</t>
  </si>
  <si>
    <t xml:space="preserve">項目</t>
  </si>
  <si>
    <t xml:space="preserve">情境</t>
  </si>
  <si>
    <t xml:space="preserve">年度</t>
  </si>
  <si>
    <r>
      <rPr>
        <b val="true"/>
        <sz val="11"/>
        <rFont val="WenQuanYi Zen Hei"/>
        <family val="2"/>
      </rPr>
      <t xml:space="preserve">前（</t>
    </r>
    <r>
      <rPr>
        <b val="true"/>
        <sz val="11"/>
        <rFont val="Cambria"/>
        <family val="0"/>
        <charset val="1"/>
      </rPr>
      <t xml:space="preserve">v0.3.1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</si>
  <si>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後（</t>
    </r>
    <r>
      <rPr>
        <b val="true"/>
        <sz val="11"/>
        <rFont val="Cambria"/>
        <family val="0"/>
        <charset val="1"/>
      </rPr>
      <t xml:space="preserve">v0.4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v0.3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WenQuanYi Zen Hei"/>
        <family val="2"/>
      </rPr>
      <t xml:space="preserve">）</t>
    </r>
  </si>
  <si>
    <r>
      <rPr>
        <b val="true"/>
        <sz val="11"/>
        <rFont val="WenQuanYi Zen Hei"/>
        <family val="2"/>
      </rPr>
      <t xml:space="preserve">變動 </t>
    </r>
    <r>
      <rPr>
        <b val="true"/>
        <sz val="11"/>
        <rFont val="Cambria"/>
        <family val="0"/>
        <charset val="1"/>
      </rPr>
      <t xml:space="preserve">%</t>
    </r>
  </si>
  <si>
    <t xml:space="preserve">單位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</si>
  <si>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</t>
    </r>
  </si>
  <si>
    <t xml:space="preserve">營收</t>
  </si>
  <si>
    <t xml:space="preserve">A</t>
  </si>
  <si>
    <t xml:space="preserve">2027</t>
  </si>
  <si>
    <t xml:space="preserve">兆韓元</t>
  </si>
  <si>
    <t xml:space="preserve">2028</t>
  </si>
  <si>
    <t xml:space="preserve">2029</t>
  </si>
  <si>
    <t xml:space="preserve">B</t>
  </si>
  <si>
    <t xml:space="preserve">C</t>
  </si>
  <si>
    <t xml:space="preserve">EPS</t>
  </si>
  <si>
    <t xml:space="preserve">韓元</t>
  </si>
  <si>
    <t xml:space="preserve">營業利益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</si>
  <si>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營收</t>
    </r>
  </si>
  <si>
    <t xml:space="preserve">美光</t>
  </si>
  <si>
    <t xml:space="preserve">FY2027</t>
  </si>
  <si>
    <t xml:space="preserve">十億美元</t>
  </si>
  <si>
    <t xml:space="preserve">FY2028</t>
  </si>
  <si>
    <t xml:space="preserve">FY2029</t>
  </si>
  <si>
    <t xml:space="preserve">美元</t>
  </si>
  <si>
    <t xml:space="preserve">三星電子</t>
  </si>
  <si>
    <t xml:space="preserve">Advantest</t>
  </si>
  <si>
    <t xml:space="preserve">FY2025</t>
  </si>
  <si>
    <t xml:space="preserve">¥B</t>
  </si>
  <si>
    <t xml:space="preserve">FY2026</t>
  </si>
  <si>
    <t xml:space="preserve">日圓</t>
  </si>
  <si>
    <t xml:space="preserve">台積電</t>
  </si>
  <si>
    <t xml:space="preserve">6</t>
  </si>
  <si>
    <t xml:space="preserve">202</t>
  </si>
  <si>
    <t xml:space="preserve">$B</t>
  </si>
  <si>
    <t xml:space="preserve">新台幣</t>
  </si>
  <si>
    <t xml:space="preserve">方法</t>
  </si>
  <si>
    <t xml:space="preserve">基準年</t>
  </si>
  <si>
    <t xml:space="preserve">前</t>
  </si>
  <si>
    <t xml:space="preserve">後</t>
  </si>
  <si>
    <r>
      <rPr>
        <sz val="11"/>
        <color theme="1"/>
        <rFont val="Calibri"/>
        <family val="2"/>
        <charset val="1"/>
      </rPr>
      <t xml:space="preserve">PB</t>
    </r>
    <r>
      <rPr>
        <sz val="11"/>
        <color theme="1"/>
        <rFont val="WenQuanYi Zen Hei"/>
        <family val="2"/>
      </rPr>
      <t xml:space="preserve">中位</t>
    </r>
  </si>
  <si>
    <t xml:space="preserve">PE8x</t>
  </si>
  <si>
    <t xml:space="preserve">PE25</t>
  </si>
  <si>
    <r>
      <rPr>
        <sz val="11"/>
        <color theme="1"/>
        <rFont val="Calibri"/>
        <family val="2"/>
        <charset val="1"/>
      </rPr>
      <t xml:space="preserve">PE</t>
    </r>
    <r>
      <rPr>
        <sz val="11"/>
        <color theme="1"/>
        <rFont val="WenQuanYi Zen Hei"/>
        <family val="2"/>
      </rPr>
      <t xml:space="preserve">中位</t>
    </r>
  </si>
  <si>
    <t xml:space="preserve">PE20.5</t>
  </si>
  <si>
    <t xml:space="preserve">公司</t>
  </si>
  <si>
    <t xml:space="preserve">倍數／基準</t>
  </si>
  <si>
    <t xml:space="preserve">前 相對現價</t>
  </si>
  <si>
    <t xml:space="preserve">後 相對現價</t>
  </si>
  <si>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WenQuanYi Zen Hei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</si>
  <si>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</si>
  <si>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美光（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</si>
  <si>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</si>
  <si>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美光（買回加回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</si>
  <si>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WenQuanYi Zen Hei"/>
        <family val="2"/>
      </rPr>
      <t xml:space="preserve">年底調整每股淨值（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</si>
  <si>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WenQuanYi Zen Hei"/>
        <family val="2"/>
      </rPr>
      <t xml:space="preserve">海力士（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</si>
  <si>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2028 EPS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</si>
  <si>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三星電子（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WenQuanYi Zen Hei"/>
        <family val="2"/>
      </rPr>
      <t xml:space="preserve">）</t>
    </r>
  </si>
  <si>
    <t xml:space="preserve">版本</t>
  </si>
  <si>
    <t xml:space="preserve">2025</t>
  </si>
  <si>
    <t xml:space="preserve">2026</t>
  </si>
  <si>
    <t xml:space="preserve">供給（三情境相同）</t>
  </si>
  <si>
    <t xml:space="preserve">前後相同</t>
  </si>
  <si>
    <t xml:space="preserve">EB</t>
  </si>
  <si>
    <t xml:space="preserve">出貨（三情境相同）</t>
  </si>
  <si>
    <r>
      <rPr>
        <sz val="11"/>
        <color theme="1"/>
        <rFont val="WenQuanYi Zen Hei"/>
        <family val="2"/>
      </rPr>
      <t xml:space="preserve">出貨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</si>
  <si>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WenQuanYi Zen Hei"/>
        <family val="2"/>
      </rPr>
      <t xml:space="preserve">出貨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</si>
  <si>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WenQuanYi Zen Hei"/>
        <family val="2"/>
      </rPr>
      <t xml:space="preserve">出貨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</si>
  <si>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</si>
  <si>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</si>
  <si>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WenQuanYi Zen Hei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C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</si>
</sst>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WenQuanYi Zen Hei"/>
      <family val="2"/>
    </font>
    <font>
      <b val="true"/>
      <sz val="11"/>
      <name val="Cambria"/>
      <family val="0"/>
      <charset val="1"/>
    </font>
    <font>
      <sz val="11"/>
      <color theme="1"/>
      <name val="WenQuanYi Zen He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8" min="3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2" t="s">
        <v>9</v>
      </c>
      <c r="C2" s="0" t="s">
        <v>10</v>
      </c>
      <c r="D2" s="0" t="s">
        <v>11</v>
      </c>
      <c r="E2" s="0" t="n">
        <v>531.511774306725</v>
      </c>
      <c r="F2" s="0" t="n">
        <v>531.511774306725</v>
      </c>
      <c r="G2" s="3" t="n">
        <f aca="false">IF(E2=0,"",F2/E2-1)</f>
        <v>0</v>
      </c>
      <c r="H2" s="2" t="s">
        <v>12</v>
      </c>
    </row>
    <row r="3" customFormat="false" ht="15" hidden="false" customHeight="false" outlineLevel="0" collapsed="false">
      <c r="A3" s="0" t="s">
        <v>8</v>
      </c>
      <c r="B3" s="2" t="s">
        <v>9</v>
      </c>
      <c r="C3" s="0" t="s">
        <v>10</v>
      </c>
      <c r="D3" s="0" t="s">
        <v>13</v>
      </c>
      <c r="E3" s="0" t="n">
        <v>587.501270002768</v>
      </c>
      <c r="F3" s="0" t="n">
        <v>587.501270002768</v>
      </c>
      <c r="G3" s="3" t="n">
        <f aca="false">IF(E3=0,"",F3/E3-1)</f>
        <v>0</v>
      </c>
      <c r="H3" s="2" t="s">
        <v>12</v>
      </c>
    </row>
    <row r="4" customFormat="false" ht="15" hidden="false" customHeight="false" outlineLevel="0" collapsed="false">
      <c r="A4" s="0" t="s">
        <v>8</v>
      </c>
      <c r="B4" s="2" t="s">
        <v>9</v>
      </c>
      <c r="C4" s="0" t="s">
        <v>10</v>
      </c>
      <c r="D4" s="0" t="s">
        <v>14</v>
      </c>
      <c r="E4" s="0" t="n">
        <v>634.346098476078</v>
      </c>
      <c r="F4" s="0" t="n">
        <v>634.346098476078</v>
      </c>
      <c r="G4" s="3" t="n">
        <f aca="false">IF(E4=0,"",F4/E4-1)</f>
        <v>0</v>
      </c>
      <c r="H4" s="2" t="s">
        <v>12</v>
      </c>
    </row>
    <row r="5" customFormat="false" ht="15" hidden="false" customHeight="false" outlineLevel="0" collapsed="false">
      <c r="A5" s="0" t="s">
        <v>8</v>
      </c>
      <c r="B5" s="2" t="s">
        <v>9</v>
      </c>
      <c r="C5" s="0" t="s">
        <v>15</v>
      </c>
      <c r="D5" s="0" t="s">
        <v>11</v>
      </c>
      <c r="E5" s="0" t="n">
        <v>520.522081420466</v>
      </c>
      <c r="F5" s="0" t="n">
        <v>520.522081420466</v>
      </c>
      <c r="G5" s="3" t="n">
        <f aca="false">IF(E5=0,"",F5/E5-1)</f>
        <v>0</v>
      </c>
      <c r="H5" s="2" t="s">
        <v>12</v>
      </c>
    </row>
    <row r="6" customFormat="false" ht="15" hidden="false" customHeight="false" outlineLevel="0" collapsed="false">
      <c r="A6" s="0" t="s">
        <v>8</v>
      </c>
      <c r="B6" s="2" t="s">
        <v>9</v>
      </c>
      <c r="C6" s="0" t="s">
        <v>15</v>
      </c>
      <c r="D6" s="0" t="s">
        <v>13</v>
      </c>
      <c r="E6" s="0" t="n">
        <v>341.105709513835</v>
      </c>
      <c r="F6" s="0" t="n">
        <v>337.986178187734</v>
      </c>
      <c r="G6" s="3" t="n">
        <f aca="false">IF(E6=0,"",F6/E6-1)</f>
        <v>-0.00914535066137445</v>
      </c>
      <c r="H6" s="2" t="s">
        <v>12</v>
      </c>
    </row>
    <row r="7" customFormat="false" ht="15" hidden="false" customHeight="false" outlineLevel="0" collapsed="false">
      <c r="A7" s="0" t="s">
        <v>8</v>
      </c>
      <c r="B7" s="2" t="s">
        <v>9</v>
      </c>
      <c r="C7" s="0" t="s">
        <v>15</v>
      </c>
      <c r="D7" s="0" t="s">
        <v>14</v>
      </c>
      <c r="E7" s="0" t="n">
        <v>590.63558606827</v>
      </c>
      <c r="F7" s="0" t="n">
        <v>589.301041891434</v>
      </c>
      <c r="G7" s="3" t="n">
        <f aca="false">IF(E7=0,"",F7/E7-1)</f>
        <v>-0.00225950519798457</v>
      </c>
      <c r="H7" s="2" t="s">
        <v>12</v>
      </c>
    </row>
    <row r="8" customFormat="false" ht="15" hidden="false" customHeight="false" outlineLevel="0" collapsed="false">
      <c r="A8" s="0" t="s">
        <v>8</v>
      </c>
      <c r="B8" s="2" t="s">
        <v>9</v>
      </c>
      <c r="C8" s="0" t="s">
        <v>16</v>
      </c>
      <c r="D8" s="0" t="s">
        <v>11</v>
      </c>
      <c r="E8" s="0" t="n">
        <v>520.522081420466</v>
      </c>
      <c r="F8" s="0" t="n">
        <v>520.522081420466</v>
      </c>
      <c r="G8" s="3" t="n">
        <f aca="false">IF(E8=0,"",F8/E8-1)</f>
        <v>0</v>
      </c>
      <c r="H8" s="2" t="s">
        <v>12</v>
      </c>
    </row>
    <row r="9" customFormat="false" ht="15" hidden="false" customHeight="false" outlineLevel="0" collapsed="false">
      <c r="A9" s="0" t="s">
        <v>8</v>
      </c>
      <c r="B9" s="2" t="s">
        <v>9</v>
      </c>
      <c r="C9" s="0" t="s">
        <v>16</v>
      </c>
      <c r="D9" s="0" t="s">
        <v>13</v>
      </c>
      <c r="E9" s="0" t="n">
        <v>253.587590356783</v>
      </c>
      <c r="F9" s="0" t="n">
        <v>232.680297370142</v>
      </c>
      <c r="G9" s="3" t="n">
        <f aca="false">IF(E9=0,"",F9/E9-1)</f>
        <v>-0.0824460414534705</v>
      </c>
      <c r="H9" s="2" t="s">
        <v>12</v>
      </c>
    </row>
    <row r="10" customFormat="false" ht="15" hidden="false" customHeight="false" outlineLevel="0" collapsed="false">
      <c r="A10" s="0" t="s">
        <v>8</v>
      </c>
      <c r="B10" s="2" t="s">
        <v>9</v>
      </c>
      <c r="C10" s="0" t="s">
        <v>16</v>
      </c>
      <c r="D10" s="0" t="s">
        <v>14</v>
      </c>
      <c r="E10" s="0" t="n">
        <v>456.610629139991</v>
      </c>
      <c r="F10" s="0" t="n">
        <v>424.074703633121</v>
      </c>
      <c r="G10" s="3" t="n">
        <f aca="false">IF(E10=0,"",F10/E10-1)</f>
        <v>-0.0712552959359492</v>
      </c>
      <c r="H10" s="2" t="s">
        <v>12</v>
      </c>
    </row>
    <row r="11" customFormat="false" ht="15" hidden="false" customHeight="false" outlineLevel="0" collapsed="false">
      <c r="A11" s="0" t="s">
        <v>8</v>
      </c>
      <c r="B11" s="0" t="s">
        <v>17</v>
      </c>
      <c r="C11" s="0" t="s">
        <v>10</v>
      </c>
      <c r="D11" s="0" t="s">
        <v>11</v>
      </c>
      <c r="E11" s="0" t="n">
        <v>550035.776345727</v>
      </c>
      <c r="F11" s="0" t="n">
        <v>550035.776345727</v>
      </c>
      <c r="G11" s="3" t="n">
        <f aca="false">IF(E11=0,"",F11/E11-1)</f>
        <v>0</v>
      </c>
      <c r="H11" s="2" t="s">
        <v>18</v>
      </c>
    </row>
    <row r="12" customFormat="false" ht="15" hidden="false" customHeight="false" outlineLevel="0" collapsed="false">
      <c r="A12" s="0" t="s">
        <v>8</v>
      </c>
      <c r="B12" s="0" t="s">
        <v>17</v>
      </c>
      <c r="C12" s="0" t="s">
        <v>10</v>
      </c>
      <c r="D12" s="0" t="s">
        <v>13</v>
      </c>
      <c r="E12" s="0" t="n">
        <v>714922.652491223</v>
      </c>
      <c r="F12" s="0" t="n">
        <v>714922.652491223</v>
      </c>
      <c r="G12" s="3" t="n">
        <f aca="false">IF(E12=0,"",F12/E12-1)</f>
        <v>0</v>
      </c>
      <c r="H12" s="2" t="s">
        <v>18</v>
      </c>
    </row>
    <row r="13" customFormat="false" ht="15" hidden="false" customHeight="false" outlineLevel="0" collapsed="false">
      <c r="A13" s="0" t="s">
        <v>8</v>
      </c>
      <c r="B13" s="0" t="s">
        <v>17</v>
      </c>
      <c r="C13" s="0" t="s">
        <v>10</v>
      </c>
      <c r="D13" s="0" t="s">
        <v>14</v>
      </c>
      <c r="E13" s="0" t="n">
        <v>782645.465932861</v>
      </c>
      <c r="F13" s="0" t="n">
        <v>782645.465932861</v>
      </c>
      <c r="G13" s="3" t="n">
        <f aca="false">IF(E13=0,"",F13/E13-1)</f>
        <v>0</v>
      </c>
      <c r="H13" s="2" t="s">
        <v>18</v>
      </c>
    </row>
    <row r="14" customFormat="false" ht="15" hidden="false" customHeight="false" outlineLevel="0" collapsed="false">
      <c r="A14" s="0" t="s">
        <v>8</v>
      </c>
      <c r="B14" s="0" t="s">
        <v>17</v>
      </c>
      <c r="C14" s="0" t="s">
        <v>15</v>
      </c>
      <c r="D14" s="0" t="s">
        <v>11</v>
      </c>
      <c r="E14" s="0" t="n">
        <v>534990.126304986</v>
      </c>
      <c r="F14" s="0" t="n">
        <v>534990.126304986</v>
      </c>
      <c r="G14" s="3" t="n">
        <f aca="false">IF(E14=0,"",F14/E14-1)</f>
        <v>0</v>
      </c>
      <c r="H14" s="2" t="s">
        <v>18</v>
      </c>
    </row>
    <row r="15" customFormat="false" ht="15" hidden="false" customHeight="false" outlineLevel="0" collapsed="false">
      <c r="A15" s="0" t="s">
        <v>8</v>
      </c>
      <c r="B15" s="0" t="s">
        <v>17</v>
      </c>
      <c r="C15" s="0" t="s">
        <v>15</v>
      </c>
      <c r="D15" s="0" t="s">
        <v>13</v>
      </c>
      <c r="E15" s="0" t="n">
        <v>334762.923231578</v>
      </c>
      <c r="F15" s="0" t="n">
        <v>331149.264031978</v>
      </c>
      <c r="G15" s="3" t="n">
        <f aca="false">IF(E15=0,"",F15/E15-1)</f>
        <v>-0.010794681695082</v>
      </c>
      <c r="H15" s="2" t="s">
        <v>18</v>
      </c>
    </row>
    <row r="16" customFormat="false" ht="15" hidden="false" customHeight="false" outlineLevel="0" collapsed="false">
      <c r="A16" s="0" t="s">
        <v>8</v>
      </c>
      <c r="B16" s="0" t="s">
        <v>17</v>
      </c>
      <c r="C16" s="0" t="s">
        <v>15</v>
      </c>
      <c r="D16" s="0" t="s">
        <v>14</v>
      </c>
      <c r="E16" s="0" t="n">
        <v>704534.268197091</v>
      </c>
      <c r="F16" s="0" t="n">
        <v>702674.017468054</v>
      </c>
      <c r="G16" s="3" t="n">
        <f aca="false">IF(E16=0,"",F16/E16-1)</f>
        <v>-0.00264039779611769</v>
      </c>
      <c r="H16" s="2" t="s">
        <v>18</v>
      </c>
    </row>
    <row r="17" customFormat="false" ht="15" hidden="false" customHeight="false" outlineLevel="0" collapsed="false">
      <c r="A17" s="0" t="s">
        <v>8</v>
      </c>
      <c r="B17" s="0" t="s">
        <v>17</v>
      </c>
      <c r="C17" s="0" t="s">
        <v>16</v>
      </c>
      <c r="D17" s="0" t="s">
        <v>11</v>
      </c>
      <c r="E17" s="0" t="n">
        <v>534990.126304986</v>
      </c>
      <c r="F17" s="0" t="n">
        <v>534990.126304986</v>
      </c>
      <c r="G17" s="3" t="n">
        <f aca="false">IF(E17=0,"",F17/E17-1)</f>
        <v>0</v>
      </c>
      <c r="H17" s="2" t="s">
        <v>18</v>
      </c>
    </row>
    <row r="18" customFormat="false" ht="15" hidden="false" customHeight="false" outlineLevel="0" collapsed="false">
      <c r="A18" s="0" t="s">
        <v>8</v>
      </c>
      <c r="B18" s="0" t="s">
        <v>17</v>
      </c>
      <c r="C18" s="0" t="s">
        <v>16</v>
      </c>
      <c r="D18" s="0" t="s">
        <v>13</v>
      </c>
      <c r="E18" s="0" t="n">
        <v>216843.226021837</v>
      </c>
      <c r="F18" s="0" t="n">
        <v>195351.00901838</v>
      </c>
      <c r="G18" s="3" t="n">
        <f aca="false">IF(E18=0,"",F18/E18-1)</f>
        <v>-0.0991140807012928</v>
      </c>
      <c r="H18" s="2" t="s">
        <v>18</v>
      </c>
    </row>
    <row r="19" customFormat="false" ht="15" hidden="false" customHeight="false" outlineLevel="0" collapsed="false">
      <c r="A19" s="0" t="s">
        <v>8</v>
      </c>
      <c r="B19" s="0" t="s">
        <v>17</v>
      </c>
      <c r="C19" s="0" t="s">
        <v>16</v>
      </c>
      <c r="D19" s="0" t="s">
        <v>14</v>
      </c>
      <c r="E19" s="0" t="n">
        <v>491843.006920675</v>
      </c>
      <c r="F19" s="0" t="n">
        <v>452940.806626123</v>
      </c>
      <c r="G19" s="3" t="n">
        <f aca="false">IF(E19=0,"",F19/E19-1)</f>
        <v>-0.0790947512664872</v>
      </c>
      <c r="H19" s="2" t="s">
        <v>18</v>
      </c>
    </row>
    <row r="20" customFormat="false" ht="15" hidden="false" customHeight="false" outlineLevel="0" collapsed="false">
      <c r="A20" s="0" t="s">
        <v>8</v>
      </c>
      <c r="B20" s="2" t="s">
        <v>19</v>
      </c>
      <c r="C20" s="0" t="s">
        <v>10</v>
      </c>
      <c r="D20" s="0" t="s">
        <v>11</v>
      </c>
      <c r="E20" s="0" t="n">
        <v>438.724703748353</v>
      </c>
      <c r="F20" s="0" t="n">
        <v>438.724703748353</v>
      </c>
      <c r="G20" s="3" t="n">
        <f aca="false">IF(E20=0,"",F20/E20-1)</f>
        <v>0</v>
      </c>
      <c r="H20" s="2" t="s">
        <v>12</v>
      </c>
    </row>
    <row r="21" customFormat="false" ht="15" hidden="false" customHeight="false" outlineLevel="0" collapsed="false">
      <c r="A21" s="0" t="s">
        <v>8</v>
      </c>
      <c r="B21" s="2" t="s">
        <v>19</v>
      </c>
      <c r="C21" s="0" t="s">
        <v>10</v>
      </c>
      <c r="D21" s="0" t="s">
        <v>13</v>
      </c>
      <c r="E21" s="0" t="n">
        <v>479.967003928052</v>
      </c>
      <c r="F21" s="0" t="n">
        <v>479.967003928052</v>
      </c>
      <c r="G21" s="3" t="n">
        <f aca="false">IF(E21=0,"",F21/E21-1)</f>
        <v>0</v>
      </c>
      <c r="H21" s="2" t="s">
        <v>12</v>
      </c>
    </row>
    <row r="22" customFormat="false" ht="15" hidden="false" customHeight="false" outlineLevel="0" collapsed="false">
      <c r="A22" s="0" t="s">
        <v>8</v>
      </c>
      <c r="B22" s="2" t="s">
        <v>19</v>
      </c>
      <c r="C22" s="0" t="s">
        <v>10</v>
      </c>
      <c r="D22" s="0" t="s">
        <v>14</v>
      </c>
      <c r="E22" s="0" t="n">
        <v>518.605513062959</v>
      </c>
      <c r="F22" s="0" t="n">
        <v>518.605513062959</v>
      </c>
      <c r="G22" s="3" t="n">
        <f aca="false">IF(E22=0,"",F22/E22-1)</f>
        <v>0</v>
      </c>
      <c r="H22" s="2" t="s">
        <v>12</v>
      </c>
    </row>
    <row r="23" customFormat="false" ht="15" hidden="false" customHeight="false" outlineLevel="0" collapsed="false">
      <c r="A23" s="0" t="s">
        <v>8</v>
      </c>
      <c r="B23" s="2" t="s">
        <v>19</v>
      </c>
      <c r="C23" s="0" t="s">
        <v>15</v>
      </c>
      <c r="D23" s="0" t="s">
        <v>11</v>
      </c>
      <c r="E23" s="0" t="n">
        <v>428.251526427748</v>
      </c>
      <c r="F23" s="0" t="n">
        <v>428.251526427748</v>
      </c>
      <c r="G23" s="3" t="n">
        <f aca="false">IF(E23=0,"",F23/E23-1)</f>
        <v>0</v>
      </c>
      <c r="H23" s="2" t="s">
        <v>12</v>
      </c>
    </row>
    <row r="24" customFormat="false" ht="15" hidden="false" customHeight="false" outlineLevel="0" collapsed="false">
      <c r="A24" s="0" t="s">
        <v>8</v>
      </c>
      <c r="B24" s="2" t="s">
        <v>19</v>
      </c>
      <c r="C24" s="0" t="s">
        <v>15</v>
      </c>
      <c r="D24" s="0" t="s">
        <v>13</v>
      </c>
      <c r="E24" s="0" t="n">
        <v>245.152034782098</v>
      </c>
      <c r="F24" s="0" t="n">
        <v>242.673437914031</v>
      </c>
      <c r="G24" s="3" t="n">
        <f aca="false">IF(E24=0,"",F24/E24-1)</f>
        <v>-0.0101104478707268</v>
      </c>
      <c r="H24" s="2" t="s">
        <v>12</v>
      </c>
    </row>
    <row r="25" customFormat="false" ht="15" hidden="false" customHeight="false" outlineLevel="0" collapsed="false">
      <c r="A25" s="0" t="s">
        <v>8</v>
      </c>
      <c r="B25" s="2" t="s">
        <v>19</v>
      </c>
      <c r="C25" s="0" t="s">
        <v>15</v>
      </c>
      <c r="D25" s="0" t="s">
        <v>14</v>
      </c>
      <c r="E25" s="0" t="n">
        <v>476.949394738318</v>
      </c>
      <c r="F25" s="0" t="n">
        <v>475.88904410509</v>
      </c>
      <c r="G25" s="3" t="n">
        <f aca="false">IF(E25=0,"",F25/E25-1)</f>
        <v>-0.00222319316247321</v>
      </c>
      <c r="H25" s="2" t="s">
        <v>12</v>
      </c>
    </row>
    <row r="26" customFormat="false" ht="15" hidden="false" customHeight="false" outlineLevel="0" collapsed="false">
      <c r="A26" s="0" t="s">
        <v>8</v>
      </c>
      <c r="B26" s="2" t="s">
        <v>19</v>
      </c>
      <c r="C26" s="0" t="s">
        <v>16</v>
      </c>
      <c r="D26" s="0" t="s">
        <v>11</v>
      </c>
      <c r="E26" s="0" t="n">
        <v>428.251526427748</v>
      </c>
      <c r="F26" s="0" t="n">
        <v>428.251526427748</v>
      </c>
      <c r="G26" s="3" t="n">
        <f aca="false">IF(E26=0,"",F26/E26-1)</f>
        <v>0</v>
      </c>
      <c r="H26" s="2" t="s">
        <v>12</v>
      </c>
    </row>
    <row r="27" customFormat="false" ht="15" hidden="false" customHeight="false" outlineLevel="0" collapsed="false">
      <c r="A27" s="0" t="s">
        <v>8</v>
      </c>
      <c r="B27" s="2" t="s">
        <v>19</v>
      </c>
      <c r="C27" s="0" t="s">
        <v>16</v>
      </c>
      <c r="D27" s="0" t="s">
        <v>13</v>
      </c>
      <c r="E27" s="0" t="n">
        <v>161.747267225427</v>
      </c>
      <c r="F27" s="0" t="n">
        <v>145.963791802123</v>
      </c>
      <c r="G27" s="3" t="n">
        <f aca="false">IF(E27=0,"",F27/E27-1)</f>
        <v>-0.0975810948404252</v>
      </c>
      <c r="H27" s="2" t="s">
        <v>12</v>
      </c>
    </row>
    <row r="28" customFormat="false" ht="15" hidden="false" customHeight="false" outlineLevel="0" collapsed="false">
      <c r="A28" s="0" t="s">
        <v>8</v>
      </c>
      <c r="B28" s="2" t="s">
        <v>19</v>
      </c>
      <c r="C28" s="0" t="s">
        <v>16</v>
      </c>
      <c r="D28" s="0" t="s">
        <v>14</v>
      </c>
      <c r="E28" s="0" t="n">
        <v>349.223610785668</v>
      </c>
      <c r="F28" s="0" t="n">
        <v>324.35448849421</v>
      </c>
      <c r="G28" s="3" t="n">
        <f aca="false">IF(E28=0,"",F28/E28-1)</f>
        <v>-0.0712126028234704</v>
      </c>
      <c r="H28" s="2" t="s">
        <v>12</v>
      </c>
    </row>
    <row r="29" customFormat="false" ht="15" hidden="false" customHeight="false" outlineLevel="0" collapsed="false">
      <c r="A29" s="0" t="s">
        <v>8</v>
      </c>
      <c r="B29" s="0" t="s">
        <v>20</v>
      </c>
      <c r="C29" s="0" t="s">
        <v>10</v>
      </c>
      <c r="D29" s="0" t="s">
        <v>11</v>
      </c>
      <c r="E29" s="0" t="n">
        <v>91.895875404732</v>
      </c>
      <c r="F29" s="0" t="n">
        <v>91.895875404732</v>
      </c>
      <c r="G29" s="3" t="n">
        <f aca="false">IF(E29=0,"",F29/E29-1)</f>
        <v>0</v>
      </c>
      <c r="H29" s="2" t="s">
        <v>12</v>
      </c>
    </row>
    <row r="30" customFormat="false" ht="15" hidden="false" customHeight="false" outlineLevel="0" collapsed="false">
      <c r="A30" s="0" t="s">
        <v>8</v>
      </c>
      <c r="B30" s="0" t="s">
        <v>20</v>
      </c>
      <c r="C30" s="0" t="s">
        <v>10</v>
      </c>
      <c r="D30" s="0" t="s">
        <v>13</v>
      </c>
      <c r="E30" s="0" t="n">
        <v>139.594210733855</v>
      </c>
      <c r="F30" s="0" t="n">
        <v>139.594210733855</v>
      </c>
      <c r="G30" s="3" t="n">
        <f aca="false">IF(E30=0,"",F30/E30-1)</f>
        <v>0</v>
      </c>
      <c r="H30" s="2" t="s">
        <v>12</v>
      </c>
    </row>
    <row r="31" customFormat="false" ht="15" hidden="false" customHeight="false" outlineLevel="0" collapsed="false">
      <c r="A31" s="0" t="s">
        <v>8</v>
      </c>
      <c r="B31" s="0" t="s">
        <v>20</v>
      </c>
      <c r="C31" s="0" t="s">
        <v>10</v>
      </c>
      <c r="D31" s="0" t="s">
        <v>14</v>
      </c>
      <c r="E31" s="0" t="n">
        <v>179.029575266169</v>
      </c>
      <c r="F31" s="0" t="n">
        <v>179.029575266169</v>
      </c>
      <c r="G31" s="3" t="n">
        <f aca="false">IF(E31=0,"",F31/E31-1)</f>
        <v>0</v>
      </c>
      <c r="H31" s="2" t="s">
        <v>12</v>
      </c>
    </row>
    <row r="32" customFormat="false" ht="15" hidden="false" customHeight="false" outlineLevel="0" collapsed="false">
      <c r="A32" s="0" t="s">
        <v>8</v>
      </c>
      <c r="B32" s="0" t="s">
        <v>20</v>
      </c>
      <c r="C32" s="0" t="s">
        <v>15</v>
      </c>
      <c r="D32" s="0" t="s">
        <v>11</v>
      </c>
      <c r="E32" s="0" t="n">
        <v>91.895875404732</v>
      </c>
      <c r="F32" s="0" t="n">
        <v>91.895875404732</v>
      </c>
      <c r="G32" s="3" t="n">
        <f aca="false">IF(E32=0,"",F32/E32-1)</f>
        <v>0</v>
      </c>
      <c r="H32" s="2" t="s">
        <v>12</v>
      </c>
    </row>
    <row r="33" customFormat="false" ht="15" hidden="false" customHeight="false" outlineLevel="0" collapsed="false">
      <c r="A33" s="0" t="s">
        <v>8</v>
      </c>
      <c r="B33" s="0" t="s">
        <v>20</v>
      </c>
      <c r="C33" s="0" t="s">
        <v>15</v>
      </c>
      <c r="D33" s="0" t="s">
        <v>13</v>
      </c>
      <c r="E33" s="0" t="n">
        <v>95.177870954901</v>
      </c>
      <c r="F33" s="0" t="n">
        <v>92.0583396288</v>
      </c>
      <c r="G33" s="3" t="n">
        <f aca="false">IF(E33=0,"",F33/E33-1)</f>
        <v>-0.03277580486728</v>
      </c>
      <c r="H33" s="2" t="s">
        <v>12</v>
      </c>
    </row>
    <row r="34" customFormat="false" ht="15" hidden="false" customHeight="false" outlineLevel="0" collapsed="false">
      <c r="A34" s="0" t="s">
        <v>8</v>
      </c>
      <c r="B34" s="0" t="s">
        <v>20</v>
      </c>
      <c r="C34" s="0" t="s">
        <v>15</v>
      </c>
      <c r="D34" s="0" t="s">
        <v>14</v>
      </c>
      <c r="E34" s="0" t="n">
        <v>128.490125789116</v>
      </c>
      <c r="F34" s="0" t="n">
        <v>127.15558161228</v>
      </c>
      <c r="G34" s="3" t="n">
        <f aca="false">IF(E34=0,"",F34/E34-1)</f>
        <v>-0.0103863559058719</v>
      </c>
      <c r="H34" s="2" t="s">
        <v>12</v>
      </c>
    </row>
    <row r="35" customFormat="false" ht="15" hidden="false" customHeight="false" outlineLevel="0" collapsed="false">
      <c r="A35" s="0" t="s">
        <v>8</v>
      </c>
      <c r="B35" s="0" t="s">
        <v>20</v>
      </c>
      <c r="C35" s="0" t="s">
        <v>16</v>
      </c>
      <c r="D35" s="0" t="s">
        <v>11</v>
      </c>
      <c r="E35" s="0" t="n">
        <v>91.895875404732</v>
      </c>
      <c r="F35" s="0" t="n">
        <v>91.895875404732</v>
      </c>
      <c r="G35" s="3" t="n">
        <f aca="false">IF(E35=0,"",F35/E35-1)</f>
        <v>0</v>
      </c>
      <c r="H35" s="2" t="s">
        <v>12</v>
      </c>
    </row>
    <row r="36" customFormat="false" ht="15" hidden="false" customHeight="false" outlineLevel="0" collapsed="false">
      <c r="A36" s="0" t="s">
        <v>8</v>
      </c>
      <c r="B36" s="0" t="s">
        <v>20</v>
      </c>
      <c r="C36" s="0" t="s">
        <v>16</v>
      </c>
      <c r="D36" s="0" t="s">
        <v>13</v>
      </c>
      <c r="E36" s="0" t="n">
        <v>76.1422967639208</v>
      </c>
      <c r="F36" s="0" t="n">
        <v>55.23500377728</v>
      </c>
      <c r="G36" s="3" t="n">
        <f aca="false">IF(E36=0,"",F36/E36-1)</f>
        <v>-0.27458185365046</v>
      </c>
      <c r="H36" s="2" t="s">
        <v>12</v>
      </c>
    </row>
    <row r="37" customFormat="false" ht="15" hidden="false" customHeight="false" outlineLevel="0" collapsed="false">
      <c r="A37" s="0" t="s">
        <v>8</v>
      </c>
      <c r="B37" s="0" t="s">
        <v>20</v>
      </c>
      <c r="C37" s="0" t="s">
        <v>16</v>
      </c>
      <c r="D37" s="0" t="s">
        <v>14</v>
      </c>
      <c r="E37" s="0" t="n">
        <v>107.931705662858</v>
      </c>
      <c r="F37" s="0" t="n">
        <v>75.3957801559872</v>
      </c>
      <c r="G37" s="3" t="n">
        <f aca="false">IF(E37=0,"",F37/E37-1)</f>
        <v>-0.301449192404148</v>
      </c>
      <c r="H37" s="2" t="s">
        <v>12</v>
      </c>
    </row>
    <row r="38" customFormat="false" ht="15" hidden="false" customHeight="false" outlineLevel="0" collapsed="false">
      <c r="A38" s="2" t="s">
        <v>21</v>
      </c>
      <c r="B38" s="2" t="s">
        <v>9</v>
      </c>
      <c r="C38" s="0" t="s">
        <v>10</v>
      </c>
      <c r="D38" s="0" t="s">
        <v>22</v>
      </c>
      <c r="E38" s="0" t="n">
        <v>267.765729405049</v>
      </c>
      <c r="F38" s="0" t="n">
        <v>267.765729405049</v>
      </c>
      <c r="G38" s="3" t="n">
        <f aca="false">IF(E38=0,"",F38/E38-1)</f>
        <v>0</v>
      </c>
      <c r="H38" s="2" t="s">
        <v>23</v>
      </c>
    </row>
    <row r="39" customFormat="false" ht="15" hidden="false" customHeight="false" outlineLevel="0" collapsed="false">
      <c r="A39" s="2" t="s">
        <v>21</v>
      </c>
      <c r="B39" s="2" t="s">
        <v>9</v>
      </c>
      <c r="C39" s="0" t="s">
        <v>10</v>
      </c>
      <c r="D39" s="0" t="s">
        <v>24</v>
      </c>
      <c r="E39" s="0" t="n">
        <v>297.348666752872</v>
      </c>
      <c r="F39" s="0" t="n">
        <v>297.348666752872</v>
      </c>
      <c r="G39" s="3" t="n">
        <f aca="false">IF(E39=0,"",F39/E39-1)</f>
        <v>0</v>
      </c>
      <c r="H39" s="2" t="s">
        <v>23</v>
      </c>
    </row>
    <row r="40" customFormat="false" ht="15" hidden="false" customHeight="false" outlineLevel="0" collapsed="false">
      <c r="A40" s="2" t="s">
        <v>21</v>
      </c>
      <c r="B40" s="2" t="s">
        <v>9</v>
      </c>
      <c r="C40" s="0" t="s">
        <v>10</v>
      </c>
      <c r="D40" s="0" t="s">
        <v>25</v>
      </c>
      <c r="E40" s="0" t="n">
        <v>308.910550770756</v>
      </c>
      <c r="F40" s="0" t="n">
        <v>308.910550770756</v>
      </c>
      <c r="G40" s="3" t="n">
        <f aca="false">IF(E40=0,"",F40/E40-1)</f>
        <v>0</v>
      </c>
      <c r="H40" s="2" t="s">
        <v>23</v>
      </c>
    </row>
    <row r="41" customFormat="false" ht="15" hidden="false" customHeight="false" outlineLevel="0" collapsed="false">
      <c r="A41" s="2" t="s">
        <v>21</v>
      </c>
      <c r="B41" s="2" t="s">
        <v>9</v>
      </c>
      <c r="C41" s="0" t="s">
        <v>15</v>
      </c>
      <c r="D41" s="0" t="s">
        <v>22</v>
      </c>
      <c r="E41" s="0" t="n">
        <v>270.117981428991</v>
      </c>
      <c r="F41" s="0" t="n">
        <v>270.117981428991</v>
      </c>
      <c r="G41" s="3" t="n">
        <f aca="false">IF(E41=0,"",F41/E41-1)</f>
        <v>0</v>
      </c>
      <c r="H41" s="2" t="s">
        <v>23</v>
      </c>
    </row>
    <row r="42" customFormat="false" ht="15" hidden="false" customHeight="false" outlineLevel="0" collapsed="false">
      <c r="A42" s="2" t="s">
        <v>21</v>
      </c>
      <c r="B42" s="2" t="s">
        <v>9</v>
      </c>
      <c r="C42" s="0" t="s">
        <v>15</v>
      </c>
      <c r="D42" s="0" t="s">
        <v>24</v>
      </c>
      <c r="E42" s="0" t="n">
        <v>196.294579869748</v>
      </c>
      <c r="F42" s="0" t="n">
        <v>195.470759977292</v>
      </c>
      <c r="G42" s="3" t="n">
        <f aca="false">IF(E42=0,"",F42/E42-1)</f>
        <v>-0.00419685501760991</v>
      </c>
      <c r="H42" s="2" t="s">
        <v>23</v>
      </c>
    </row>
    <row r="43" customFormat="false" ht="15" hidden="false" customHeight="false" outlineLevel="0" collapsed="false">
      <c r="A43" s="2" t="s">
        <v>21</v>
      </c>
      <c r="B43" s="2" t="s">
        <v>9</v>
      </c>
      <c r="C43" s="0" t="s">
        <v>15</v>
      </c>
      <c r="D43" s="0" t="s">
        <v>25</v>
      </c>
      <c r="E43" s="0" t="n">
        <v>252.457973251697</v>
      </c>
      <c r="F43" s="0" t="n">
        <v>251.830934179813</v>
      </c>
      <c r="G43" s="3" t="n">
        <f aca="false">IF(E43=0,"",F43/E43-1)</f>
        <v>-0.00248373645643929</v>
      </c>
      <c r="H43" s="2" t="s">
        <v>23</v>
      </c>
    </row>
    <row r="44" customFormat="false" ht="15" hidden="false" customHeight="false" outlineLevel="0" collapsed="false">
      <c r="A44" s="2" t="s">
        <v>21</v>
      </c>
      <c r="B44" s="2" t="s">
        <v>9</v>
      </c>
      <c r="C44" s="0" t="s">
        <v>16</v>
      </c>
      <c r="D44" s="0" t="s">
        <v>22</v>
      </c>
      <c r="E44" s="0" t="n">
        <v>270.117981428991</v>
      </c>
      <c r="F44" s="0" t="n">
        <v>270.117981428991</v>
      </c>
      <c r="G44" s="3" t="n">
        <f aca="false">IF(E44=0,"",F44/E44-1)</f>
        <v>0</v>
      </c>
      <c r="H44" s="2" t="s">
        <v>23</v>
      </c>
    </row>
    <row r="45" customFormat="false" ht="15" hidden="false" customHeight="false" outlineLevel="0" collapsed="false">
      <c r="A45" s="2" t="s">
        <v>21</v>
      </c>
      <c r="B45" s="2" t="s">
        <v>9</v>
      </c>
      <c r="C45" s="0" t="s">
        <v>16</v>
      </c>
      <c r="D45" s="0" t="s">
        <v>24</v>
      </c>
      <c r="E45" s="0" t="n">
        <v>166.116059874983</v>
      </c>
      <c r="F45" s="0" t="n">
        <v>160.594767713018</v>
      </c>
      <c r="G45" s="3" t="n">
        <f aca="false">IF(E45=0,"",F45/E45-1)</f>
        <v>-0.0332375579225769</v>
      </c>
      <c r="H45" s="2" t="s">
        <v>23</v>
      </c>
    </row>
    <row r="46" customFormat="false" ht="15" hidden="false" customHeight="false" outlineLevel="0" collapsed="false">
      <c r="A46" s="2" t="s">
        <v>21</v>
      </c>
      <c r="B46" s="2" t="s">
        <v>9</v>
      </c>
      <c r="C46" s="0" t="s">
        <v>16</v>
      </c>
      <c r="D46" s="0" t="s">
        <v>25</v>
      </c>
      <c r="E46" s="0" t="n">
        <v>166.463761727662</v>
      </c>
      <c r="F46" s="0" t="n">
        <v>156.031097158362</v>
      </c>
      <c r="G46" s="3" t="n">
        <f aca="false">IF(E46=0,"",F46/E46-1)</f>
        <v>-0.0626722865146352</v>
      </c>
      <c r="H46" s="2" t="s">
        <v>23</v>
      </c>
    </row>
    <row r="47" customFormat="false" ht="15" hidden="false" customHeight="false" outlineLevel="0" collapsed="false">
      <c r="A47" s="2" t="s">
        <v>21</v>
      </c>
      <c r="B47" s="0" t="s">
        <v>17</v>
      </c>
      <c r="C47" s="0" t="s">
        <v>10</v>
      </c>
      <c r="D47" s="0" t="s">
        <v>22</v>
      </c>
      <c r="E47" s="0" t="n">
        <v>190.72605328606</v>
      </c>
      <c r="F47" s="0" t="n">
        <v>190.72605328606</v>
      </c>
      <c r="G47" s="3" t="n">
        <f aca="false">IF(E47=0,"",F47/E47-1)</f>
        <v>0</v>
      </c>
      <c r="H47" s="2" t="s">
        <v>26</v>
      </c>
    </row>
    <row r="48" customFormat="false" ht="15" hidden="false" customHeight="false" outlineLevel="0" collapsed="false">
      <c r="A48" s="2" t="s">
        <v>21</v>
      </c>
      <c r="B48" s="0" t="s">
        <v>17</v>
      </c>
      <c r="C48" s="0" t="s">
        <v>10</v>
      </c>
      <c r="D48" s="0" t="s">
        <v>24</v>
      </c>
      <c r="E48" s="0" t="n">
        <v>236.415122377886</v>
      </c>
      <c r="F48" s="0" t="n">
        <v>236.415122377886</v>
      </c>
      <c r="G48" s="3" t="n">
        <f aca="false">IF(E48=0,"",F48/E48-1)</f>
        <v>0</v>
      </c>
      <c r="H48" s="2" t="s">
        <v>26</v>
      </c>
    </row>
    <row r="49" customFormat="false" ht="15" hidden="false" customHeight="false" outlineLevel="0" collapsed="false">
      <c r="A49" s="2" t="s">
        <v>21</v>
      </c>
      <c r="B49" s="0" t="s">
        <v>17</v>
      </c>
      <c r="C49" s="0" t="s">
        <v>10</v>
      </c>
      <c r="D49" s="0" t="s">
        <v>25</v>
      </c>
      <c r="E49" s="0" t="n">
        <v>245.691427809272</v>
      </c>
      <c r="F49" s="0" t="n">
        <v>245.691427809272</v>
      </c>
      <c r="G49" s="3" t="n">
        <f aca="false">IF(E49=0,"",F49/E49-1)</f>
        <v>0</v>
      </c>
      <c r="H49" s="2" t="s">
        <v>26</v>
      </c>
    </row>
    <row r="50" customFormat="false" ht="15" hidden="false" customHeight="false" outlineLevel="0" collapsed="false">
      <c r="A50" s="2" t="s">
        <v>21</v>
      </c>
      <c r="B50" s="0" t="s">
        <v>17</v>
      </c>
      <c r="C50" s="0" t="s">
        <v>15</v>
      </c>
      <c r="D50" s="0" t="s">
        <v>22</v>
      </c>
      <c r="E50" s="0" t="n">
        <v>192.921929125613</v>
      </c>
      <c r="F50" s="0" t="n">
        <v>192.921929125613</v>
      </c>
      <c r="G50" s="3" t="n">
        <f aca="false">IF(E50=0,"",F50/E50-1)</f>
        <v>0</v>
      </c>
      <c r="H50" s="2" t="s">
        <v>26</v>
      </c>
    </row>
    <row r="51" customFormat="false" ht="15" hidden="false" customHeight="false" outlineLevel="0" collapsed="false">
      <c r="A51" s="2" t="s">
        <v>21</v>
      </c>
      <c r="B51" s="0" t="s">
        <v>17</v>
      </c>
      <c r="C51" s="0" t="s">
        <v>15</v>
      </c>
      <c r="D51" s="0" t="s">
        <v>24</v>
      </c>
      <c r="E51" s="0" t="n">
        <v>133.125363791214</v>
      </c>
      <c r="F51" s="0" t="n">
        <v>132.481143613658</v>
      </c>
      <c r="G51" s="3" t="n">
        <f aca="false">IF(E51=0,"",F51/E51-1)</f>
        <v>-0.00483919937726041</v>
      </c>
      <c r="H51" s="2" t="s">
        <v>26</v>
      </c>
    </row>
    <row r="52" customFormat="false" ht="15" hidden="false" customHeight="false" outlineLevel="0" collapsed="false">
      <c r="A52" s="2" t="s">
        <v>21</v>
      </c>
      <c r="B52" s="0" t="s">
        <v>17</v>
      </c>
      <c r="C52" s="0" t="s">
        <v>15</v>
      </c>
      <c r="D52" s="0" t="s">
        <v>25</v>
      </c>
      <c r="E52" s="0" t="n">
        <v>185.798479175169</v>
      </c>
      <c r="F52" s="0" t="n">
        <v>185.272947188891</v>
      </c>
      <c r="G52" s="3" t="n">
        <f aca="false">IF(E52=0,"",F52/E52-1)</f>
        <v>-0.00282850531721812</v>
      </c>
      <c r="H52" s="2" t="s">
        <v>26</v>
      </c>
    </row>
    <row r="53" customFormat="false" ht="15" hidden="false" customHeight="false" outlineLevel="0" collapsed="false">
      <c r="A53" s="2" t="s">
        <v>21</v>
      </c>
      <c r="B53" s="0" t="s">
        <v>17</v>
      </c>
      <c r="C53" s="0" t="s">
        <v>16</v>
      </c>
      <c r="D53" s="0" t="s">
        <v>22</v>
      </c>
      <c r="E53" s="0" t="n">
        <v>192.921929125613</v>
      </c>
      <c r="F53" s="0" t="n">
        <v>192.921929125613</v>
      </c>
      <c r="G53" s="3" t="n">
        <f aca="false">IF(E53=0,"",F53/E53-1)</f>
        <v>0</v>
      </c>
      <c r="H53" s="2" t="s">
        <v>26</v>
      </c>
    </row>
    <row r="54" customFormat="false" ht="15" hidden="false" customHeight="false" outlineLevel="0" collapsed="false">
      <c r="A54" s="2" t="s">
        <v>21</v>
      </c>
      <c r="B54" s="0" t="s">
        <v>17</v>
      </c>
      <c r="C54" s="0" t="s">
        <v>16</v>
      </c>
      <c r="D54" s="0" t="s">
        <v>24</v>
      </c>
      <c r="E54" s="0" t="n">
        <v>104.721348889886</v>
      </c>
      <c r="F54" s="0" t="n">
        <v>100.810402001366</v>
      </c>
      <c r="G54" s="3" t="n">
        <f aca="false">IF(E54=0,"",F54/E54-1)</f>
        <v>-0.0373462233821333</v>
      </c>
      <c r="H54" s="2" t="s">
        <v>26</v>
      </c>
    </row>
    <row r="55" customFormat="false" ht="15" hidden="false" customHeight="false" outlineLevel="0" collapsed="false">
      <c r="A55" s="2" t="s">
        <v>21</v>
      </c>
      <c r="B55" s="0" t="s">
        <v>17</v>
      </c>
      <c r="C55" s="0" t="s">
        <v>16</v>
      </c>
      <c r="D55" s="0" t="s">
        <v>25</v>
      </c>
      <c r="E55" s="0" t="n">
        <v>102.161652815373</v>
      </c>
      <c r="F55" s="0" t="n">
        <v>94.7298446165957</v>
      </c>
      <c r="G55" s="3" t="n">
        <f aca="false">IF(E55=0,"",F55/E55-1)</f>
        <v>-0.0727455752131193</v>
      </c>
      <c r="H55" s="2" t="s">
        <v>26</v>
      </c>
    </row>
    <row r="56" customFormat="false" ht="15" hidden="false" customHeight="false" outlineLevel="0" collapsed="false">
      <c r="A56" s="2" t="s">
        <v>21</v>
      </c>
      <c r="B56" s="2" t="s">
        <v>19</v>
      </c>
      <c r="C56" s="0" t="s">
        <v>10</v>
      </c>
      <c r="D56" s="0" t="s">
        <v>22</v>
      </c>
      <c r="E56" s="0" t="n">
        <v>227.059011794927</v>
      </c>
      <c r="F56" s="0" t="n">
        <v>227.059011794927</v>
      </c>
      <c r="G56" s="3" t="n">
        <f aca="false">IF(E56=0,"",F56/E56-1)</f>
        <v>0</v>
      </c>
      <c r="H56" s="2" t="s">
        <v>23</v>
      </c>
    </row>
    <row r="57" customFormat="false" ht="15" hidden="false" customHeight="false" outlineLevel="0" collapsed="false">
      <c r="A57" s="2" t="s">
        <v>21</v>
      </c>
      <c r="B57" s="2" t="s">
        <v>19</v>
      </c>
      <c r="C57" s="0" t="s">
        <v>10</v>
      </c>
      <c r="D57" s="0" t="s">
        <v>24</v>
      </c>
      <c r="E57" s="0" t="n">
        <v>245.621011680631</v>
      </c>
      <c r="F57" s="0" t="n">
        <v>245.621011680631</v>
      </c>
      <c r="G57" s="3" t="n">
        <f aca="false">IF(E57=0,"",F57/E57-1)</f>
        <v>0</v>
      </c>
      <c r="H57" s="2" t="s">
        <v>23</v>
      </c>
    </row>
    <row r="58" customFormat="false" ht="15" hidden="false" customHeight="false" outlineLevel="0" collapsed="false">
      <c r="A58" s="2" t="s">
        <v>21</v>
      </c>
      <c r="B58" s="2" t="s">
        <v>19</v>
      </c>
      <c r="C58" s="0" t="s">
        <v>10</v>
      </c>
      <c r="D58" s="0" t="s">
        <v>25</v>
      </c>
      <c r="E58" s="0" t="n">
        <v>253.945097120929</v>
      </c>
      <c r="F58" s="0" t="n">
        <v>253.945097120929</v>
      </c>
      <c r="G58" s="3" t="n">
        <f aca="false">IF(E58=0,"",F58/E58-1)</f>
        <v>0</v>
      </c>
      <c r="H58" s="2" t="s">
        <v>23</v>
      </c>
    </row>
    <row r="59" customFormat="false" ht="15" hidden="false" customHeight="false" outlineLevel="0" collapsed="false">
      <c r="A59" s="2" t="s">
        <v>21</v>
      </c>
      <c r="B59" s="2" t="s">
        <v>19</v>
      </c>
      <c r="C59" s="0" t="s">
        <v>15</v>
      </c>
      <c r="D59" s="0" t="s">
        <v>22</v>
      </c>
      <c r="E59" s="0" t="n">
        <v>229.37598003851</v>
      </c>
      <c r="F59" s="0" t="n">
        <v>229.37598003851</v>
      </c>
      <c r="G59" s="3" t="n">
        <f aca="false">IF(E59=0,"",F59/E59-1)</f>
        <v>0</v>
      </c>
      <c r="H59" s="2" t="s">
        <v>23</v>
      </c>
    </row>
    <row r="60" customFormat="false" ht="15" hidden="false" customHeight="false" outlineLevel="0" collapsed="false">
      <c r="A60" s="2" t="s">
        <v>21</v>
      </c>
      <c r="B60" s="2" t="s">
        <v>19</v>
      </c>
      <c r="C60" s="0" t="s">
        <v>15</v>
      </c>
      <c r="D60" s="0" t="s">
        <v>24</v>
      </c>
      <c r="E60" s="0" t="n">
        <v>146.082736100754</v>
      </c>
      <c r="F60" s="0" t="n">
        <v>145.421076043654</v>
      </c>
      <c r="G60" s="3" t="n">
        <f aca="false">IF(E60=0,"",F60/E60-1)</f>
        <v>-0.00452935148095557</v>
      </c>
      <c r="H60" s="2" t="s">
        <v>23</v>
      </c>
    </row>
    <row r="61" customFormat="false" ht="15" hidden="false" customHeight="false" outlineLevel="0" collapsed="false">
      <c r="A61" s="2" t="s">
        <v>21</v>
      </c>
      <c r="B61" s="2" t="s">
        <v>19</v>
      </c>
      <c r="C61" s="0" t="s">
        <v>15</v>
      </c>
      <c r="D61" s="0" t="s">
        <v>25</v>
      </c>
      <c r="E61" s="0" t="n">
        <v>198.339308264656</v>
      </c>
      <c r="F61" s="0" t="n">
        <v>197.835694899762</v>
      </c>
      <c r="G61" s="3" t="n">
        <f aca="false">IF(E61=0,"",F61/E61-1)</f>
        <v>-0.00253915055618736</v>
      </c>
      <c r="H61" s="2" t="s">
        <v>23</v>
      </c>
    </row>
    <row r="62" customFormat="false" ht="15" hidden="false" customHeight="false" outlineLevel="0" collapsed="false">
      <c r="A62" s="2" t="s">
        <v>21</v>
      </c>
      <c r="B62" s="2" t="s">
        <v>19</v>
      </c>
      <c r="C62" s="0" t="s">
        <v>16</v>
      </c>
      <c r="D62" s="0" t="s">
        <v>22</v>
      </c>
      <c r="E62" s="0" t="n">
        <v>229.37598003851</v>
      </c>
      <c r="F62" s="0" t="n">
        <v>229.37598003851</v>
      </c>
      <c r="G62" s="3" t="n">
        <f aca="false">IF(E62=0,"",F62/E62-1)</f>
        <v>0</v>
      </c>
      <c r="H62" s="2" t="s">
        <v>23</v>
      </c>
    </row>
    <row r="63" customFormat="false" ht="15" hidden="false" customHeight="false" outlineLevel="0" collapsed="false">
      <c r="A63" s="2" t="s">
        <v>21</v>
      </c>
      <c r="B63" s="2" t="s">
        <v>19</v>
      </c>
      <c r="C63" s="0" t="s">
        <v>16</v>
      </c>
      <c r="D63" s="0" t="s">
        <v>24</v>
      </c>
      <c r="E63" s="0" t="n">
        <v>116.35689390591</v>
      </c>
      <c r="F63" s="0" t="n">
        <v>112.173403527243</v>
      </c>
      <c r="G63" s="3" t="n">
        <f aca="false">IF(E63=0,"",F63/E63-1)</f>
        <v>-0.0359539537214693</v>
      </c>
      <c r="H63" s="2" t="s">
        <v>23</v>
      </c>
    </row>
    <row r="64" customFormat="false" ht="15" hidden="false" customHeight="false" outlineLevel="0" collapsed="false">
      <c r="A64" s="2" t="s">
        <v>21</v>
      </c>
      <c r="B64" s="2" t="s">
        <v>19</v>
      </c>
      <c r="C64" s="0" t="s">
        <v>16</v>
      </c>
      <c r="D64" s="0" t="s">
        <v>25</v>
      </c>
      <c r="E64" s="0" t="n">
        <v>113.635009913482</v>
      </c>
      <c r="F64" s="0" t="n">
        <v>105.637166000433</v>
      </c>
      <c r="G64" s="3" t="n">
        <f aca="false">IF(E64=0,"",F64/E64-1)</f>
        <v>-0.0703818648771915</v>
      </c>
      <c r="H64" s="2" t="s">
        <v>23</v>
      </c>
    </row>
    <row r="65" customFormat="false" ht="15" hidden="false" customHeight="false" outlineLevel="0" collapsed="false">
      <c r="A65" s="2" t="s">
        <v>21</v>
      </c>
      <c r="B65" s="0" t="s">
        <v>20</v>
      </c>
      <c r="C65" s="0" t="s">
        <v>10</v>
      </c>
      <c r="D65" s="0" t="s">
        <v>22</v>
      </c>
      <c r="E65" s="0" t="n">
        <v>25.735943702</v>
      </c>
      <c r="F65" s="0" t="n">
        <v>25.735943702</v>
      </c>
      <c r="G65" s="3" t="n">
        <f aca="false">IF(E65=0,"",F65/E65-1)</f>
        <v>0</v>
      </c>
      <c r="H65" s="2" t="s">
        <v>23</v>
      </c>
    </row>
    <row r="66" customFormat="false" ht="15" hidden="false" customHeight="false" outlineLevel="0" collapsed="false">
      <c r="A66" s="2" t="s">
        <v>21</v>
      </c>
      <c r="B66" s="0" t="s">
        <v>20</v>
      </c>
      <c r="C66" s="0" t="s">
        <v>10</v>
      </c>
      <c r="D66" s="0" t="s">
        <v>24</v>
      </c>
      <c r="E66" s="0" t="n">
        <v>44.5688832341025</v>
      </c>
      <c r="F66" s="0" t="n">
        <v>44.5688832341025</v>
      </c>
      <c r="G66" s="3" t="n">
        <f aca="false">IF(E66=0,"",F66/E66-1)</f>
        <v>0</v>
      </c>
      <c r="H66" s="2" t="s">
        <v>23</v>
      </c>
    </row>
    <row r="67" customFormat="false" ht="15" hidden="false" customHeight="false" outlineLevel="0" collapsed="false">
      <c r="A67" s="2" t="s">
        <v>21</v>
      </c>
      <c r="B67" s="0" t="s">
        <v>20</v>
      </c>
      <c r="C67" s="0" t="s">
        <v>10</v>
      </c>
      <c r="D67" s="0" t="s">
        <v>25</v>
      </c>
      <c r="E67" s="0" t="n">
        <v>59.5671599060177</v>
      </c>
      <c r="F67" s="0" t="n">
        <v>59.5671599060177</v>
      </c>
      <c r="G67" s="3" t="n">
        <f aca="false">IF(E67=0,"",F67/E67-1)</f>
        <v>0</v>
      </c>
      <c r="H67" s="2" t="s">
        <v>23</v>
      </c>
    </row>
    <row r="68" customFormat="false" ht="15" hidden="false" customHeight="false" outlineLevel="0" collapsed="false">
      <c r="A68" s="2" t="s">
        <v>21</v>
      </c>
      <c r="B68" s="0" t="s">
        <v>20</v>
      </c>
      <c r="C68" s="0" t="s">
        <v>15</v>
      </c>
      <c r="D68" s="0" t="s">
        <v>22</v>
      </c>
      <c r="E68" s="0" t="n">
        <v>25.735943702</v>
      </c>
      <c r="F68" s="0" t="n">
        <v>25.735943702</v>
      </c>
      <c r="G68" s="3" t="n">
        <f aca="false">IF(E68=0,"",F68/E68-1)</f>
        <v>0</v>
      </c>
      <c r="H68" s="2" t="s">
        <v>23</v>
      </c>
    </row>
    <row r="69" customFormat="false" ht="15" hidden="false" customHeight="false" outlineLevel="0" collapsed="false">
      <c r="A69" s="2" t="s">
        <v>21</v>
      </c>
      <c r="B69" s="0" t="s">
        <v>20</v>
      </c>
      <c r="C69" s="0" t="s">
        <v>15</v>
      </c>
      <c r="D69" s="0" t="s">
        <v>24</v>
      </c>
      <c r="E69" s="0" t="n">
        <v>32.8392160389563</v>
      </c>
      <c r="F69" s="0" t="n">
        <v>32.0153961465</v>
      </c>
      <c r="G69" s="3" t="n">
        <f aca="false">IF(E69=0,"",F69/E69-1)</f>
        <v>-0.0250864664819959</v>
      </c>
      <c r="H69" s="2" t="s">
        <v>23</v>
      </c>
    </row>
    <row r="70" customFormat="false" ht="15" hidden="false" customHeight="false" outlineLevel="0" collapsed="false">
      <c r="A70" s="2" t="s">
        <v>21</v>
      </c>
      <c r="B70" s="0" t="s">
        <v>20</v>
      </c>
      <c r="C70" s="0" t="s">
        <v>15</v>
      </c>
      <c r="D70" s="0" t="s">
        <v>25</v>
      </c>
      <c r="E70" s="0" t="n">
        <v>42.3105852396347</v>
      </c>
      <c r="F70" s="0" t="n">
        <v>41.68354616775</v>
      </c>
      <c r="G70" s="3" t="n">
        <f aca="false">IF(E70=0,"",F70/E70-1)</f>
        <v>-0.014819910155658</v>
      </c>
      <c r="H70" s="2" t="s">
        <v>23</v>
      </c>
    </row>
    <row r="71" customFormat="false" ht="15" hidden="false" customHeight="false" outlineLevel="0" collapsed="false">
      <c r="A71" s="2" t="s">
        <v>21</v>
      </c>
      <c r="B71" s="0" t="s">
        <v>20</v>
      </c>
      <c r="C71" s="0" t="s">
        <v>16</v>
      </c>
      <c r="D71" s="0" t="s">
        <v>22</v>
      </c>
      <c r="E71" s="0" t="n">
        <v>25.735943702</v>
      </c>
      <c r="F71" s="0" t="n">
        <v>25.735943702</v>
      </c>
      <c r="G71" s="3" t="n">
        <f aca="false">IF(E71=0,"",F71/E71-1)</f>
        <v>0</v>
      </c>
      <c r="H71" s="2" t="s">
        <v>23</v>
      </c>
    </row>
    <row r="72" customFormat="false" ht="15" hidden="false" customHeight="false" outlineLevel="0" collapsed="false">
      <c r="A72" s="2" t="s">
        <v>21</v>
      </c>
      <c r="B72" s="0" t="s">
        <v>20</v>
      </c>
      <c r="C72" s="0" t="s">
        <v>16</v>
      </c>
      <c r="D72" s="0" t="s">
        <v>24</v>
      </c>
      <c r="E72" s="0" t="n">
        <v>27.812215812465</v>
      </c>
      <c r="F72" s="0" t="n">
        <v>22.2909236505</v>
      </c>
      <c r="G72" s="3" t="n">
        <f aca="false">IF(E72=0,"",F72/E72-1)</f>
        <v>-0.198520398345623</v>
      </c>
      <c r="H72" s="2" t="s">
        <v>23</v>
      </c>
    </row>
    <row r="73" customFormat="false" ht="15" hidden="false" customHeight="false" outlineLevel="0" collapsed="false">
      <c r="A73" s="2" t="s">
        <v>21</v>
      </c>
      <c r="B73" s="0" t="s">
        <v>20</v>
      </c>
      <c r="C73" s="0" t="s">
        <v>16</v>
      </c>
      <c r="D73" s="0" t="s">
        <v>25</v>
      </c>
      <c r="E73" s="0" t="n">
        <v>35.2057582528604</v>
      </c>
      <c r="F73" s="0" t="n">
        <v>24.77309368356</v>
      </c>
      <c r="G73" s="3" t="n">
        <f aca="false">IF(E73=0,"",F73/E73-1)</f>
        <v>-0.296334039857039</v>
      </c>
      <c r="H73" s="2" t="s">
        <v>23</v>
      </c>
    </row>
    <row r="74" customFormat="false" ht="15" hidden="false" customHeight="false" outlineLevel="0" collapsed="false">
      <c r="A74" s="2" t="s">
        <v>27</v>
      </c>
      <c r="B74" s="2" t="s">
        <v>9</v>
      </c>
      <c r="C74" s="0" t="s">
        <v>10</v>
      </c>
      <c r="D74" s="0" t="s">
        <v>11</v>
      </c>
      <c r="E74" s="0" t="n">
        <v>1028.43360693799</v>
      </c>
      <c r="F74" s="0" t="n">
        <v>1028.43360693799</v>
      </c>
      <c r="G74" s="3" t="n">
        <f aca="false">IF(E74=0,"",F74/E74-1)</f>
        <v>0</v>
      </c>
      <c r="H74" s="2" t="s">
        <v>12</v>
      </c>
    </row>
    <row r="75" customFormat="false" ht="15" hidden="false" customHeight="false" outlineLevel="0" collapsed="false">
      <c r="A75" s="2" t="s">
        <v>27</v>
      </c>
      <c r="B75" s="2" t="s">
        <v>9</v>
      </c>
      <c r="C75" s="0" t="s">
        <v>10</v>
      </c>
      <c r="D75" s="0" t="s">
        <v>13</v>
      </c>
      <c r="E75" s="0" t="n">
        <v>1115.55174121758</v>
      </c>
      <c r="F75" s="0" t="n">
        <v>1115.55174121758</v>
      </c>
      <c r="G75" s="3" t="n">
        <f aca="false">IF(E75=0,"",F75/E75-1)</f>
        <v>0</v>
      </c>
      <c r="H75" s="2" t="s">
        <v>12</v>
      </c>
    </row>
    <row r="76" customFormat="false" ht="15" hidden="false" customHeight="false" outlineLevel="0" collapsed="false">
      <c r="A76" s="2" t="s">
        <v>27</v>
      </c>
      <c r="B76" s="2" t="s">
        <v>9</v>
      </c>
      <c r="C76" s="0" t="s">
        <v>10</v>
      </c>
      <c r="D76" s="0" t="s">
        <v>14</v>
      </c>
      <c r="E76" s="0" t="n">
        <v>1165.45528230989</v>
      </c>
      <c r="F76" s="0" t="n">
        <v>1165.45528230989</v>
      </c>
      <c r="G76" s="3" t="n">
        <f aca="false">IF(E76=0,"",F76/E76-1)</f>
        <v>0</v>
      </c>
      <c r="H76" s="2" t="s">
        <v>12</v>
      </c>
    </row>
    <row r="77" customFormat="false" ht="15" hidden="false" customHeight="false" outlineLevel="0" collapsed="false">
      <c r="A77" s="2" t="s">
        <v>27</v>
      </c>
      <c r="B77" s="2" t="s">
        <v>9</v>
      </c>
      <c r="C77" s="0" t="s">
        <v>15</v>
      </c>
      <c r="D77" s="0" t="s">
        <v>11</v>
      </c>
      <c r="E77" s="0" t="n">
        <v>1010.5436213969</v>
      </c>
      <c r="F77" s="0" t="n">
        <v>1010.5436213969</v>
      </c>
      <c r="G77" s="3" t="n">
        <f aca="false">IF(E77=0,"",F77/E77-1)</f>
        <v>0</v>
      </c>
      <c r="H77" s="2" t="s">
        <v>12</v>
      </c>
    </row>
    <row r="78" customFormat="false" ht="15" hidden="false" customHeight="false" outlineLevel="0" collapsed="false">
      <c r="A78" s="2" t="s">
        <v>27</v>
      </c>
      <c r="B78" s="2" t="s">
        <v>9</v>
      </c>
      <c r="C78" s="0" t="s">
        <v>15</v>
      </c>
      <c r="D78" s="0" t="s">
        <v>13</v>
      </c>
      <c r="E78" s="0" t="n">
        <v>736.637915864983</v>
      </c>
      <c r="F78" s="0" t="n">
        <v>733.518384538882</v>
      </c>
      <c r="G78" s="3" t="n">
        <f aca="false">IF(E78=0,"",F78/E78-1)</f>
        <v>-0.00423482318641988</v>
      </c>
      <c r="H78" s="2" t="s">
        <v>12</v>
      </c>
    </row>
    <row r="79" customFormat="false" ht="15" hidden="false" customHeight="false" outlineLevel="0" collapsed="false">
      <c r="A79" s="2" t="s">
        <v>27</v>
      </c>
      <c r="B79" s="2" t="s">
        <v>9</v>
      </c>
      <c r="C79" s="0" t="s">
        <v>15</v>
      </c>
      <c r="D79" s="0" t="s">
        <v>14</v>
      </c>
      <c r="E79" s="0" t="n">
        <v>1123.98098847205</v>
      </c>
      <c r="F79" s="0" t="n">
        <v>1122.64644429522</v>
      </c>
      <c r="G79" s="3" t="n">
        <f aca="false">IF(E79=0,"",F79/E79-1)</f>
        <v>-0.00118733696612106</v>
      </c>
      <c r="H79" s="2" t="s">
        <v>12</v>
      </c>
    </row>
    <row r="80" customFormat="false" ht="15" hidden="false" customHeight="false" outlineLevel="0" collapsed="false">
      <c r="A80" s="2" t="s">
        <v>27</v>
      </c>
      <c r="B80" s="2" t="s">
        <v>9</v>
      </c>
      <c r="C80" s="0" t="s">
        <v>16</v>
      </c>
      <c r="D80" s="0" t="s">
        <v>11</v>
      </c>
      <c r="E80" s="0" t="n">
        <v>1010.5436213969</v>
      </c>
      <c r="F80" s="0" t="n">
        <v>1010.5436213969</v>
      </c>
      <c r="G80" s="3" t="n">
        <f aca="false">IF(E80=0,"",F80/E80-1)</f>
        <v>0</v>
      </c>
      <c r="H80" s="2" t="s">
        <v>12</v>
      </c>
    </row>
    <row r="81" customFormat="false" ht="15" hidden="false" customHeight="false" outlineLevel="0" collapsed="false">
      <c r="A81" s="2" t="s">
        <v>27</v>
      </c>
      <c r="B81" s="2" t="s">
        <v>9</v>
      </c>
      <c r="C81" s="0" t="s">
        <v>16</v>
      </c>
      <c r="D81" s="0" t="s">
        <v>13</v>
      </c>
      <c r="E81" s="0" t="n">
        <v>606.133627841348</v>
      </c>
      <c r="F81" s="0" t="n">
        <v>585.226334854707</v>
      </c>
      <c r="G81" s="3" t="n">
        <f aca="false">IF(E81=0,"",F81/E81-1)</f>
        <v>-0.0344928775212474</v>
      </c>
      <c r="H81" s="2" t="s">
        <v>12</v>
      </c>
    </row>
    <row r="82" customFormat="false" ht="15" hidden="false" customHeight="false" outlineLevel="0" collapsed="false">
      <c r="A82" s="2" t="s">
        <v>27</v>
      </c>
      <c r="B82" s="2" t="s">
        <v>9</v>
      </c>
      <c r="C82" s="0" t="s">
        <v>16</v>
      </c>
      <c r="D82" s="0" t="s">
        <v>14</v>
      </c>
      <c r="E82" s="0" t="n">
        <v>921.70480486238</v>
      </c>
      <c r="F82" s="0" t="n">
        <v>889.168879355509</v>
      </c>
      <c r="G82" s="3" t="n">
        <f aca="false">IF(E82=0,"",F82/E82-1)</f>
        <v>-0.0352997243100288</v>
      </c>
      <c r="H82" s="2" t="s">
        <v>12</v>
      </c>
    </row>
    <row r="83" customFormat="false" ht="15" hidden="false" customHeight="false" outlineLevel="0" collapsed="false">
      <c r="A83" s="2" t="s">
        <v>27</v>
      </c>
      <c r="B83" s="0" t="s">
        <v>17</v>
      </c>
      <c r="C83" s="0" t="s">
        <v>10</v>
      </c>
      <c r="D83" s="0" t="s">
        <v>11</v>
      </c>
      <c r="E83" s="0" t="n">
        <v>95824.2770879819</v>
      </c>
      <c r="F83" s="0" t="n">
        <v>95824.2770879819</v>
      </c>
      <c r="G83" s="3" t="n">
        <f aca="false">IF(E83=0,"",F83/E83-1)</f>
        <v>0</v>
      </c>
      <c r="H83" s="2" t="s">
        <v>18</v>
      </c>
    </row>
    <row r="84" customFormat="false" ht="15" hidden="false" customHeight="false" outlineLevel="0" collapsed="false">
      <c r="A84" s="2" t="s">
        <v>27</v>
      </c>
      <c r="B84" s="0" t="s">
        <v>17</v>
      </c>
      <c r="C84" s="0" t="s">
        <v>10</v>
      </c>
      <c r="D84" s="0" t="s">
        <v>13</v>
      </c>
      <c r="E84" s="0" t="n">
        <v>129982.274469612</v>
      </c>
      <c r="F84" s="0" t="n">
        <v>129982.274469612</v>
      </c>
      <c r="G84" s="3" t="n">
        <f aca="false">IF(E84=0,"",F84/E84-1)</f>
        <v>0</v>
      </c>
      <c r="H84" s="2" t="s">
        <v>18</v>
      </c>
    </row>
    <row r="85" customFormat="false" ht="15" hidden="false" customHeight="false" outlineLevel="0" collapsed="false">
      <c r="A85" s="2" t="s">
        <v>27</v>
      </c>
      <c r="B85" s="0" t="s">
        <v>17</v>
      </c>
      <c r="C85" s="0" t="s">
        <v>10</v>
      </c>
      <c r="D85" s="0" t="s">
        <v>14</v>
      </c>
      <c r="E85" s="0" t="n">
        <v>137391.697262649</v>
      </c>
      <c r="F85" s="0" t="n">
        <v>137391.697262649</v>
      </c>
      <c r="G85" s="3" t="n">
        <f aca="false">IF(E85=0,"",F85/E85-1)</f>
        <v>0</v>
      </c>
      <c r="H85" s="2" t="s">
        <v>18</v>
      </c>
    </row>
    <row r="86" customFormat="false" ht="15" hidden="false" customHeight="false" outlineLevel="0" collapsed="false">
      <c r="A86" s="2" t="s">
        <v>27</v>
      </c>
      <c r="B86" s="0" t="s">
        <v>17</v>
      </c>
      <c r="C86" s="0" t="s">
        <v>15</v>
      </c>
      <c r="D86" s="0" t="s">
        <v>11</v>
      </c>
      <c r="E86" s="0" t="n">
        <v>92985.9024745533</v>
      </c>
      <c r="F86" s="0" t="n">
        <v>92985.9024745533</v>
      </c>
      <c r="G86" s="3" t="n">
        <f aca="false">IF(E86=0,"",F86/E86-1)</f>
        <v>0</v>
      </c>
      <c r="H86" s="2" t="s">
        <v>18</v>
      </c>
    </row>
    <row r="87" customFormat="false" ht="15" hidden="false" customHeight="false" outlineLevel="0" collapsed="false">
      <c r="A87" s="2" t="s">
        <v>27</v>
      </c>
      <c r="B87" s="0" t="s">
        <v>17</v>
      </c>
      <c r="C87" s="0" t="s">
        <v>15</v>
      </c>
      <c r="D87" s="0" t="s">
        <v>13</v>
      </c>
      <c r="E87" s="0" t="n">
        <v>59713.1818446528</v>
      </c>
      <c r="F87" s="0" t="n">
        <v>59278.3331982183</v>
      </c>
      <c r="G87" s="3" t="n">
        <f aca="false">IF(E87=0,"",F87/E87-1)</f>
        <v>-0.0072822889854669</v>
      </c>
      <c r="H87" s="2" t="s">
        <v>18</v>
      </c>
    </row>
    <row r="88" customFormat="false" ht="15" hidden="false" customHeight="false" outlineLevel="0" collapsed="false">
      <c r="A88" s="2" t="s">
        <v>27</v>
      </c>
      <c r="B88" s="0" t="s">
        <v>17</v>
      </c>
      <c r="C88" s="0" t="s">
        <v>15</v>
      </c>
      <c r="D88" s="0" t="s">
        <v>14</v>
      </c>
      <c r="E88" s="0" t="n">
        <v>127969.952056573</v>
      </c>
      <c r="F88" s="0" t="n">
        <v>127737.781651334</v>
      </c>
      <c r="G88" s="3" t="n">
        <f aca="false">IF(E88=0,"",F88/E88-1)</f>
        <v>-0.00181425718700257</v>
      </c>
      <c r="H88" s="2" t="s">
        <v>18</v>
      </c>
    </row>
    <row r="89" customFormat="false" ht="15" hidden="false" customHeight="false" outlineLevel="0" collapsed="false">
      <c r="A89" s="2" t="s">
        <v>27</v>
      </c>
      <c r="B89" s="0" t="s">
        <v>17</v>
      </c>
      <c r="C89" s="0" t="s">
        <v>16</v>
      </c>
      <c r="D89" s="0" t="s">
        <v>11</v>
      </c>
      <c r="E89" s="0" t="n">
        <v>92985.9024745533</v>
      </c>
      <c r="F89" s="0" t="n">
        <v>92985.9024745533</v>
      </c>
      <c r="G89" s="3" t="n">
        <f aca="false">IF(E89=0,"",F89/E89-1)</f>
        <v>0</v>
      </c>
      <c r="H89" s="2" t="s">
        <v>18</v>
      </c>
    </row>
    <row r="90" customFormat="false" ht="15" hidden="false" customHeight="false" outlineLevel="0" collapsed="false">
      <c r="A90" s="2" t="s">
        <v>27</v>
      </c>
      <c r="B90" s="0" t="s">
        <v>17</v>
      </c>
      <c r="C90" s="0" t="s">
        <v>16</v>
      </c>
      <c r="D90" s="0" t="s">
        <v>13</v>
      </c>
      <c r="E90" s="0" t="n">
        <v>39081.6783185674</v>
      </c>
      <c r="F90" s="0" t="n">
        <v>36498.1594400924</v>
      </c>
      <c r="G90" s="3" t="n">
        <f aca="false">IF(E90=0,"",F90/E90-1)</f>
        <v>-0.0661056277423887</v>
      </c>
      <c r="H90" s="2" t="s">
        <v>18</v>
      </c>
    </row>
    <row r="91" customFormat="false" ht="15" hidden="false" customHeight="false" outlineLevel="0" collapsed="false">
      <c r="A91" s="2" t="s">
        <v>27</v>
      </c>
      <c r="B91" s="0" t="s">
        <v>17</v>
      </c>
      <c r="C91" s="0" t="s">
        <v>16</v>
      </c>
      <c r="D91" s="0" t="s">
        <v>14</v>
      </c>
      <c r="E91" s="0" t="n">
        <v>89081.0717638106</v>
      </c>
      <c r="F91" s="0" t="n">
        <v>84278.7472803109</v>
      </c>
      <c r="G91" s="3" t="n">
        <f aca="false">IF(E91=0,"",F91/E91-1)</f>
        <v>-0.0539095948040744</v>
      </c>
      <c r="H91" s="2" t="s">
        <v>18</v>
      </c>
    </row>
    <row r="92" customFormat="false" ht="15" hidden="false" customHeight="false" outlineLevel="0" collapsed="false">
      <c r="A92" s="2" t="s">
        <v>27</v>
      </c>
      <c r="B92" s="2" t="s">
        <v>19</v>
      </c>
      <c r="C92" s="0" t="s">
        <v>10</v>
      </c>
      <c r="D92" s="0" t="s">
        <v>11</v>
      </c>
      <c r="E92" s="0" t="n">
        <v>653.426874025271</v>
      </c>
      <c r="F92" s="0" t="n">
        <v>653.426874025271</v>
      </c>
      <c r="G92" s="3" t="n">
        <f aca="false">IF(E92=0,"",F92/E92-1)</f>
        <v>0</v>
      </c>
      <c r="H92" s="2" t="s">
        <v>12</v>
      </c>
    </row>
    <row r="93" customFormat="false" ht="15" hidden="false" customHeight="false" outlineLevel="0" collapsed="false">
      <c r="A93" s="2" t="s">
        <v>27</v>
      </c>
      <c r="B93" s="2" t="s">
        <v>19</v>
      </c>
      <c r="C93" s="0" t="s">
        <v>10</v>
      </c>
      <c r="D93" s="0" t="s">
        <v>13</v>
      </c>
      <c r="E93" s="0" t="n">
        <v>713.271804821957</v>
      </c>
      <c r="F93" s="0" t="n">
        <v>713.271804821957</v>
      </c>
      <c r="G93" s="3" t="n">
        <f aca="false">IF(E93=0,"",F93/E93-1)</f>
        <v>0</v>
      </c>
      <c r="H93" s="2" t="s">
        <v>12</v>
      </c>
    </row>
    <row r="94" customFormat="false" ht="15" hidden="false" customHeight="false" outlineLevel="0" collapsed="false">
      <c r="A94" s="2" t="s">
        <v>27</v>
      </c>
      <c r="B94" s="2" t="s">
        <v>19</v>
      </c>
      <c r="C94" s="0" t="s">
        <v>10</v>
      </c>
      <c r="D94" s="0" t="s">
        <v>14</v>
      </c>
      <c r="E94" s="0" t="n">
        <v>746.597437879262</v>
      </c>
      <c r="F94" s="0" t="n">
        <v>746.597437879262</v>
      </c>
      <c r="G94" s="3" t="n">
        <f aca="false">IF(E94=0,"",F94/E94-1)</f>
        <v>0</v>
      </c>
      <c r="H94" s="2" t="s">
        <v>12</v>
      </c>
    </row>
    <row r="95" customFormat="false" ht="15" hidden="false" customHeight="false" outlineLevel="0" collapsed="false">
      <c r="A95" s="2" t="s">
        <v>27</v>
      </c>
      <c r="B95" s="2" t="s">
        <v>19</v>
      </c>
      <c r="C95" s="0" t="s">
        <v>15</v>
      </c>
      <c r="D95" s="0" t="s">
        <v>11</v>
      </c>
      <c r="E95" s="0" t="n">
        <v>636.610287616647</v>
      </c>
      <c r="F95" s="0" t="n">
        <v>636.610287616647</v>
      </c>
      <c r="G95" s="3" t="n">
        <f aca="false">IF(E95=0,"",F95/E95-1)</f>
        <v>0</v>
      </c>
      <c r="H95" s="2" t="s">
        <v>12</v>
      </c>
    </row>
    <row r="96" customFormat="false" ht="15" hidden="false" customHeight="false" outlineLevel="0" collapsed="false">
      <c r="A96" s="2" t="s">
        <v>27</v>
      </c>
      <c r="B96" s="2" t="s">
        <v>19</v>
      </c>
      <c r="C96" s="0" t="s">
        <v>15</v>
      </c>
      <c r="D96" s="0" t="s">
        <v>13</v>
      </c>
      <c r="E96" s="0" t="n">
        <v>357.092808990513</v>
      </c>
      <c r="F96" s="0" t="n">
        <v>354.596746628536</v>
      </c>
      <c r="G96" s="3" t="n">
        <f aca="false">IF(E96=0,"",F96/E96-1)</f>
        <v>-0.00698995414954806</v>
      </c>
      <c r="H96" s="2" t="s">
        <v>12</v>
      </c>
    </row>
    <row r="97" customFormat="false" ht="15" hidden="false" customHeight="false" outlineLevel="0" collapsed="false">
      <c r="A97" s="2" t="s">
        <v>27</v>
      </c>
      <c r="B97" s="2" t="s">
        <v>19</v>
      </c>
      <c r="C97" s="0" t="s">
        <v>15</v>
      </c>
      <c r="D97" s="0" t="s">
        <v>14</v>
      </c>
      <c r="E97" s="0" t="n">
        <v>707.611601671698</v>
      </c>
      <c r="F97" s="0" t="n">
        <v>706.543779251604</v>
      </c>
      <c r="G97" s="3" t="n">
        <f aca="false">IF(E97=0,"",F97/E97-1)</f>
        <v>-0.00150905160058346</v>
      </c>
      <c r="H97" s="2" t="s">
        <v>12</v>
      </c>
    </row>
    <row r="98" customFormat="false" ht="15" hidden="false" customHeight="false" outlineLevel="0" collapsed="false">
      <c r="A98" s="2" t="s">
        <v>27</v>
      </c>
      <c r="B98" s="2" t="s">
        <v>19</v>
      </c>
      <c r="C98" s="0" t="s">
        <v>16</v>
      </c>
      <c r="D98" s="0" t="s">
        <v>11</v>
      </c>
      <c r="E98" s="0" t="n">
        <v>636.610287616647</v>
      </c>
      <c r="F98" s="0" t="n">
        <v>636.610287616647</v>
      </c>
      <c r="G98" s="3" t="n">
        <f aca="false">IF(E98=0,"",F98/E98-1)</f>
        <v>0</v>
      </c>
      <c r="H98" s="2" t="s">
        <v>12</v>
      </c>
    </row>
    <row r="99" customFormat="false" ht="15" hidden="false" customHeight="false" outlineLevel="0" collapsed="false">
      <c r="A99" s="2" t="s">
        <v>27</v>
      </c>
      <c r="B99" s="2" t="s">
        <v>19</v>
      </c>
      <c r="C99" s="0" t="s">
        <v>16</v>
      </c>
      <c r="D99" s="0" t="s">
        <v>13</v>
      </c>
      <c r="E99" s="0" t="n">
        <v>234.418778248296</v>
      </c>
      <c r="F99" s="0" t="n">
        <v>218.421035589582</v>
      </c>
      <c r="G99" s="3" t="n">
        <f aca="false">IF(E99=0,"",F99/E99-1)</f>
        <v>-0.0682442881848365</v>
      </c>
      <c r="H99" s="2" t="s">
        <v>12</v>
      </c>
    </row>
    <row r="100" customFormat="false" ht="15" hidden="false" customHeight="false" outlineLevel="0" collapsed="false">
      <c r="A100" s="2" t="s">
        <v>27</v>
      </c>
      <c r="B100" s="2" t="s">
        <v>19</v>
      </c>
      <c r="C100" s="0" t="s">
        <v>16</v>
      </c>
      <c r="D100" s="0" t="s">
        <v>14</v>
      </c>
      <c r="E100" s="0" t="n">
        <v>517.471989078605</v>
      </c>
      <c r="F100" s="0" t="n">
        <v>492.305443662555</v>
      </c>
      <c r="G100" s="3" t="n">
        <f aca="false">IF(E100=0,"",F100/E100-1)</f>
        <v>-0.0486336380464976</v>
      </c>
      <c r="H100" s="2" t="s">
        <v>12</v>
      </c>
    </row>
    <row r="101" customFormat="false" ht="15" hidden="false" customHeight="false" outlineLevel="0" collapsed="false">
      <c r="A101" s="2" t="s">
        <v>27</v>
      </c>
      <c r="B101" s="0" t="s">
        <v>20</v>
      </c>
      <c r="C101" s="0" t="s">
        <v>10</v>
      </c>
      <c r="D101" s="0" t="s">
        <v>11</v>
      </c>
      <c r="E101" s="0" t="n">
        <v>83.143887270948</v>
      </c>
      <c r="F101" s="0" t="n">
        <v>83.143887270948</v>
      </c>
      <c r="G101" s="3" t="n">
        <f aca="false">IF(E101=0,"",F101/E101-1)</f>
        <v>0</v>
      </c>
      <c r="H101" s="2" t="s">
        <v>12</v>
      </c>
    </row>
    <row r="102" customFormat="false" ht="15" hidden="false" customHeight="false" outlineLevel="0" collapsed="false">
      <c r="A102" s="2" t="s">
        <v>27</v>
      </c>
      <c r="B102" s="0" t="s">
        <v>20</v>
      </c>
      <c r="C102" s="0" t="s">
        <v>10</v>
      </c>
      <c r="D102" s="0" t="s">
        <v>13</v>
      </c>
      <c r="E102" s="0" t="n">
        <v>139.594210733855</v>
      </c>
      <c r="F102" s="0" t="n">
        <v>139.594210733855</v>
      </c>
      <c r="G102" s="3" t="n">
        <f aca="false">IF(E102=0,"",F102/E102-1)</f>
        <v>0</v>
      </c>
      <c r="H102" s="2" t="s">
        <v>12</v>
      </c>
    </row>
    <row r="103" customFormat="false" ht="15" hidden="false" customHeight="false" outlineLevel="0" collapsed="false">
      <c r="A103" s="2" t="s">
        <v>27</v>
      </c>
      <c r="B103" s="0" t="s">
        <v>20</v>
      </c>
      <c r="C103" s="0" t="s">
        <v>10</v>
      </c>
      <c r="D103" s="0" t="s">
        <v>14</v>
      </c>
      <c r="E103" s="0" t="n">
        <v>179.029575266169</v>
      </c>
      <c r="F103" s="0" t="n">
        <v>179.029575266169</v>
      </c>
      <c r="G103" s="3" t="n">
        <f aca="false">IF(E103=0,"",F103/E103-1)</f>
        <v>0</v>
      </c>
      <c r="H103" s="2" t="s">
        <v>12</v>
      </c>
    </row>
    <row r="104" customFormat="false" ht="15" hidden="false" customHeight="false" outlineLevel="0" collapsed="false">
      <c r="A104" s="2" t="s">
        <v>27</v>
      </c>
      <c r="B104" s="0" t="s">
        <v>20</v>
      </c>
      <c r="C104" s="0" t="s">
        <v>15</v>
      </c>
      <c r="D104" s="0" t="s">
        <v>11</v>
      </c>
      <c r="E104" s="0" t="n">
        <v>83.143887270948</v>
      </c>
      <c r="F104" s="0" t="n">
        <v>83.143887270948</v>
      </c>
      <c r="G104" s="3" t="n">
        <f aca="false">IF(E104=0,"",F104/E104-1)</f>
        <v>0</v>
      </c>
      <c r="H104" s="2" t="s">
        <v>12</v>
      </c>
    </row>
    <row r="105" customFormat="false" ht="15" hidden="false" customHeight="false" outlineLevel="0" collapsed="false">
      <c r="A105" s="2" t="s">
        <v>27</v>
      </c>
      <c r="B105" s="0" t="s">
        <v>20</v>
      </c>
      <c r="C105" s="0" t="s">
        <v>15</v>
      </c>
      <c r="D105" s="0" t="s">
        <v>13</v>
      </c>
      <c r="E105" s="0" t="n">
        <v>95.177870954901</v>
      </c>
      <c r="F105" s="0" t="n">
        <v>92.0583396288</v>
      </c>
      <c r="G105" s="3" t="n">
        <f aca="false">IF(E105=0,"",F105/E105-1)</f>
        <v>-0.03277580486728</v>
      </c>
      <c r="H105" s="2" t="s">
        <v>12</v>
      </c>
    </row>
    <row r="106" customFormat="false" ht="15" hidden="false" customHeight="false" outlineLevel="0" collapsed="false">
      <c r="A106" s="2" t="s">
        <v>27</v>
      </c>
      <c r="B106" s="0" t="s">
        <v>20</v>
      </c>
      <c r="C106" s="0" t="s">
        <v>15</v>
      </c>
      <c r="D106" s="0" t="s">
        <v>14</v>
      </c>
      <c r="E106" s="0" t="n">
        <v>128.490125789116</v>
      </c>
      <c r="F106" s="0" t="n">
        <v>127.15558161228</v>
      </c>
      <c r="G106" s="3" t="n">
        <f aca="false">IF(E106=0,"",F106/E106-1)</f>
        <v>-0.0103863559058719</v>
      </c>
      <c r="H106" s="2" t="s">
        <v>12</v>
      </c>
    </row>
    <row r="107" customFormat="false" ht="15" hidden="false" customHeight="false" outlineLevel="0" collapsed="false">
      <c r="A107" s="2" t="s">
        <v>27</v>
      </c>
      <c r="B107" s="0" t="s">
        <v>20</v>
      </c>
      <c r="C107" s="0" t="s">
        <v>16</v>
      </c>
      <c r="D107" s="0" t="s">
        <v>11</v>
      </c>
      <c r="E107" s="0" t="n">
        <v>83.143887270948</v>
      </c>
      <c r="F107" s="0" t="n">
        <v>83.143887270948</v>
      </c>
      <c r="G107" s="3" t="n">
        <f aca="false">IF(E107=0,"",F107/E107-1)</f>
        <v>0</v>
      </c>
      <c r="H107" s="2" t="s">
        <v>12</v>
      </c>
    </row>
    <row r="108" customFormat="false" ht="15" hidden="false" customHeight="false" outlineLevel="0" collapsed="false">
      <c r="A108" s="2" t="s">
        <v>27</v>
      </c>
      <c r="B108" s="0" t="s">
        <v>20</v>
      </c>
      <c r="C108" s="0" t="s">
        <v>16</v>
      </c>
      <c r="D108" s="0" t="s">
        <v>13</v>
      </c>
      <c r="E108" s="0" t="n">
        <v>76.1422967639208</v>
      </c>
      <c r="F108" s="0" t="n">
        <v>55.23500377728</v>
      </c>
      <c r="G108" s="3" t="n">
        <f aca="false">IF(E108=0,"",F108/E108-1)</f>
        <v>-0.27458185365046</v>
      </c>
      <c r="H108" s="2" t="s">
        <v>12</v>
      </c>
    </row>
    <row r="109" customFormat="false" ht="15" hidden="false" customHeight="false" outlineLevel="0" collapsed="false">
      <c r="A109" s="2" t="s">
        <v>27</v>
      </c>
      <c r="B109" s="0" t="s">
        <v>20</v>
      </c>
      <c r="C109" s="0" t="s">
        <v>16</v>
      </c>
      <c r="D109" s="0" t="s">
        <v>14</v>
      </c>
      <c r="E109" s="0" t="n">
        <v>107.931705662858</v>
      </c>
      <c r="F109" s="0" t="n">
        <v>75.3957801559872</v>
      </c>
      <c r="G109" s="3" t="n">
        <f aca="false">IF(E109=0,"",F109/E109-1)</f>
        <v>-0.301449192404148</v>
      </c>
      <c r="H109" s="2" t="s">
        <v>12</v>
      </c>
    </row>
    <row r="110" customFormat="false" ht="15" hidden="false" customHeight="false" outlineLevel="0" collapsed="false">
      <c r="A110" s="0" t="s">
        <v>28</v>
      </c>
      <c r="B110" s="2" t="s">
        <v>9</v>
      </c>
      <c r="C110" s="0" t="s">
        <v>10</v>
      </c>
      <c r="D110" s="0" t="s">
        <v>29</v>
      </c>
      <c r="E110" s="0" t="n">
        <v>1128.6</v>
      </c>
      <c r="F110" s="0" t="n">
        <v>1128.6</v>
      </c>
      <c r="G110" s="3" t="n">
        <f aca="false">IF(E110=0,"",F110/E110-1)</f>
        <v>0</v>
      </c>
      <c r="H110" s="4" t="s">
        <v>30</v>
      </c>
    </row>
    <row r="111" customFormat="false" ht="15" hidden="false" customHeight="false" outlineLevel="0" collapsed="false">
      <c r="A111" s="0" t="s">
        <v>28</v>
      </c>
      <c r="B111" s="2" t="s">
        <v>9</v>
      </c>
      <c r="C111" s="0" t="s">
        <v>10</v>
      </c>
      <c r="D111" s="0" t="s">
        <v>31</v>
      </c>
      <c r="E111" s="0" t="n">
        <v>1669.83529186934</v>
      </c>
      <c r="F111" s="0" t="n">
        <v>1669.83529186934</v>
      </c>
      <c r="G111" s="3" t="n">
        <f aca="false">IF(E111=0,"",F111/E111-1)</f>
        <v>0</v>
      </c>
      <c r="H111" s="4" t="s">
        <v>30</v>
      </c>
    </row>
    <row r="112" customFormat="false" ht="15" hidden="false" customHeight="false" outlineLevel="0" collapsed="false">
      <c r="A112" s="0" t="s">
        <v>28</v>
      </c>
      <c r="B112" s="2" t="s">
        <v>9</v>
      </c>
      <c r="C112" s="0" t="s">
        <v>10</v>
      </c>
      <c r="D112" s="0" t="s">
        <v>22</v>
      </c>
      <c r="E112" s="0" t="n">
        <v>2169.04943786263</v>
      </c>
      <c r="F112" s="0" t="n">
        <v>2169.04943786263</v>
      </c>
      <c r="G112" s="3" t="n">
        <f aca="false">IF(E112=0,"",F112/E112-1)</f>
        <v>0</v>
      </c>
      <c r="H112" s="4" t="s">
        <v>30</v>
      </c>
    </row>
    <row r="113" customFormat="false" ht="15" hidden="false" customHeight="false" outlineLevel="0" collapsed="false">
      <c r="A113" s="0" t="s">
        <v>28</v>
      </c>
      <c r="B113" s="2" t="s">
        <v>9</v>
      </c>
      <c r="C113" s="0" t="s">
        <v>10</v>
      </c>
      <c r="D113" s="0" t="s">
        <v>24</v>
      </c>
      <c r="E113" s="0" t="n">
        <v>2482.1403900367</v>
      </c>
      <c r="F113" s="0" t="n">
        <v>2482.1403900367</v>
      </c>
      <c r="G113" s="3" t="n">
        <f aca="false">IF(E113=0,"",F113/E113-1)</f>
        <v>0</v>
      </c>
      <c r="H113" s="4" t="s">
        <v>30</v>
      </c>
    </row>
    <row r="114" customFormat="false" ht="15" hidden="false" customHeight="false" outlineLevel="0" collapsed="false">
      <c r="A114" s="0" t="s">
        <v>28</v>
      </c>
      <c r="B114" s="2" t="s">
        <v>9</v>
      </c>
      <c r="C114" s="0" t="s">
        <v>10</v>
      </c>
      <c r="D114" s="0" t="s">
        <v>25</v>
      </c>
      <c r="E114" s="0" t="n">
        <v>2737.79199174048</v>
      </c>
      <c r="F114" s="0" t="n">
        <v>2737.79199174048</v>
      </c>
      <c r="G114" s="3" t="n">
        <f aca="false">IF(E114=0,"",F114/E114-1)</f>
        <v>0</v>
      </c>
      <c r="H114" s="4" t="s">
        <v>30</v>
      </c>
    </row>
    <row r="115" customFormat="false" ht="15" hidden="false" customHeight="false" outlineLevel="0" collapsed="false">
      <c r="A115" s="0" t="s">
        <v>28</v>
      </c>
      <c r="B115" s="2" t="s">
        <v>9</v>
      </c>
      <c r="C115" s="0" t="s">
        <v>15</v>
      </c>
      <c r="D115" s="0" t="s">
        <v>22</v>
      </c>
      <c r="E115" s="0" t="n">
        <v>2094.35688081503</v>
      </c>
      <c r="F115" s="0" t="n">
        <v>2092.43745509893</v>
      </c>
      <c r="G115" s="3" t="n">
        <f aca="false">IF(E115=0,"",F115/E115-1)</f>
        <v>-0.00091647499701808</v>
      </c>
      <c r="H115" s="4" t="s">
        <v>30</v>
      </c>
    </row>
    <row r="116" customFormat="false" ht="15" hidden="false" customHeight="false" outlineLevel="0" collapsed="false">
      <c r="A116" s="0" t="s">
        <v>28</v>
      </c>
      <c r="B116" s="2" t="s">
        <v>9</v>
      </c>
      <c r="C116" s="0" t="s">
        <v>15</v>
      </c>
      <c r="D116" s="0" t="s">
        <v>24</v>
      </c>
      <c r="E116" s="0" t="n">
        <v>2203.18395864187</v>
      </c>
      <c r="F116" s="0" t="n">
        <v>2196.60454583425</v>
      </c>
      <c r="G116" s="3" t="n">
        <f aca="false">IF(E116=0,"",F116/E116-1)</f>
        <v>-0.00298632022161049</v>
      </c>
      <c r="H116" s="4" t="s">
        <v>30</v>
      </c>
    </row>
    <row r="117" customFormat="false" ht="15" hidden="false" customHeight="false" outlineLevel="0" collapsed="false">
      <c r="A117" s="0" t="s">
        <v>28</v>
      </c>
      <c r="B117" s="2" t="s">
        <v>9</v>
      </c>
      <c r="C117" s="0" t="s">
        <v>15</v>
      </c>
      <c r="D117" s="0" t="s">
        <v>25</v>
      </c>
      <c r="E117" s="0" t="n">
        <v>2464.44387393238</v>
      </c>
      <c r="F117" s="0" t="n">
        <v>2461.15933129503</v>
      </c>
      <c r="G117" s="3" t="n">
        <f aca="false">IF(E117=0,"",F117/E117-1)</f>
        <v>-0.00133277234352636</v>
      </c>
      <c r="H117" s="4" t="s">
        <v>30</v>
      </c>
    </row>
    <row r="118" customFormat="false" ht="15" hidden="false" customHeight="false" outlineLevel="0" collapsed="false">
      <c r="A118" s="0" t="s">
        <v>28</v>
      </c>
      <c r="B118" s="2" t="s">
        <v>9</v>
      </c>
      <c r="C118" s="0" t="s">
        <v>16</v>
      </c>
      <c r="D118" s="0" t="s">
        <v>22</v>
      </c>
      <c r="E118" s="0" t="n">
        <v>2008.87330285602</v>
      </c>
      <c r="F118" s="0" t="n">
        <v>1992.79316468082</v>
      </c>
      <c r="G118" s="3" t="n">
        <f aca="false">IF(E118=0,"",F118/E118-1)</f>
        <v>-0.00800455566428149</v>
      </c>
      <c r="H118" s="4" t="s">
        <v>30</v>
      </c>
    </row>
    <row r="119" customFormat="false" ht="15" hidden="false" customHeight="false" outlineLevel="0" collapsed="false">
      <c r="A119" s="0" t="s">
        <v>28</v>
      </c>
      <c r="B119" s="2" t="s">
        <v>9</v>
      </c>
      <c r="C119" s="0" t="s">
        <v>16</v>
      </c>
      <c r="D119" s="0" t="s">
        <v>24</v>
      </c>
      <c r="E119" s="0" t="n">
        <v>1772.14849171143</v>
      </c>
      <c r="F119" s="0" t="n">
        <v>1700.07578378049</v>
      </c>
      <c r="G119" s="3" t="n">
        <f aca="false">IF(E119=0,"",F119/E119-1)</f>
        <v>-0.0406696776641651</v>
      </c>
      <c r="H119" s="4" t="s">
        <v>30</v>
      </c>
    </row>
    <row r="120" customFormat="false" ht="15" hidden="false" customHeight="false" outlineLevel="0" collapsed="false">
      <c r="A120" s="0" t="s">
        <v>28</v>
      </c>
      <c r="B120" s="2" t="s">
        <v>9</v>
      </c>
      <c r="C120" s="0" t="s">
        <v>16</v>
      </c>
      <c r="D120" s="0" t="s">
        <v>25</v>
      </c>
      <c r="E120" s="0" t="n">
        <v>1830.63229496318</v>
      </c>
      <c r="F120" s="0" t="n">
        <v>1735.3031213417</v>
      </c>
      <c r="G120" s="3" t="n">
        <f aca="false">IF(E120=0,"",F120/E120-1)</f>
        <v>-0.0520744520260947</v>
      </c>
      <c r="H120" s="4" t="s">
        <v>30</v>
      </c>
    </row>
    <row r="121" customFormat="false" ht="15" hidden="false" customHeight="false" outlineLevel="0" collapsed="false">
      <c r="A121" s="0" t="s">
        <v>28</v>
      </c>
      <c r="B121" s="0" t="s">
        <v>17</v>
      </c>
      <c r="C121" s="0" t="s">
        <v>10</v>
      </c>
      <c r="D121" s="0" t="s">
        <v>29</v>
      </c>
      <c r="E121" s="0" t="n">
        <v>515.15</v>
      </c>
      <c r="F121" s="0" t="n">
        <v>515.15</v>
      </c>
      <c r="G121" s="3" t="n">
        <f aca="false">IF(E121=0,"",F121/E121-1)</f>
        <v>0</v>
      </c>
      <c r="H121" s="2" t="s">
        <v>32</v>
      </c>
    </row>
    <row r="122" customFormat="false" ht="15" hidden="false" customHeight="false" outlineLevel="0" collapsed="false">
      <c r="A122" s="0" t="s">
        <v>28</v>
      </c>
      <c r="B122" s="0" t="s">
        <v>17</v>
      </c>
      <c r="C122" s="0" t="s">
        <v>10</v>
      </c>
      <c r="D122" s="0" t="s">
        <v>31</v>
      </c>
      <c r="E122" s="0" t="n">
        <v>847.063406812065</v>
      </c>
      <c r="F122" s="0" t="n">
        <v>847.063406812065</v>
      </c>
      <c r="G122" s="3" t="n">
        <f aca="false">IF(E122=0,"",F122/E122-1)</f>
        <v>0</v>
      </c>
      <c r="H122" s="2" t="s">
        <v>32</v>
      </c>
    </row>
    <row r="123" customFormat="false" ht="15" hidden="false" customHeight="false" outlineLevel="0" collapsed="false">
      <c r="A123" s="0" t="s">
        <v>28</v>
      </c>
      <c r="B123" s="0" t="s">
        <v>17</v>
      </c>
      <c r="C123" s="0" t="s">
        <v>10</v>
      </c>
      <c r="D123" s="0" t="s">
        <v>22</v>
      </c>
      <c r="E123" s="0" t="n">
        <v>1138.5516066225</v>
      </c>
      <c r="F123" s="0" t="n">
        <v>1138.5516066225</v>
      </c>
      <c r="G123" s="3" t="n">
        <f aca="false">IF(E123=0,"",F123/E123-1)</f>
        <v>0</v>
      </c>
      <c r="H123" s="2" t="s">
        <v>32</v>
      </c>
    </row>
    <row r="124" customFormat="false" ht="15" hidden="false" customHeight="false" outlineLevel="0" collapsed="false">
      <c r="A124" s="0" t="s">
        <v>28</v>
      </c>
      <c r="B124" s="0" t="s">
        <v>17</v>
      </c>
      <c r="C124" s="0" t="s">
        <v>10</v>
      </c>
      <c r="D124" s="0" t="s">
        <v>24</v>
      </c>
      <c r="E124" s="0" t="n">
        <v>1297.80745615567</v>
      </c>
      <c r="F124" s="0" t="n">
        <v>1297.80745615567</v>
      </c>
      <c r="G124" s="3" t="n">
        <f aca="false">IF(E124=0,"",F124/E124-1)</f>
        <v>0</v>
      </c>
      <c r="H124" s="2" t="s">
        <v>32</v>
      </c>
    </row>
    <row r="125" customFormat="false" ht="15" hidden="false" customHeight="false" outlineLevel="0" collapsed="false">
      <c r="A125" s="0" t="s">
        <v>28</v>
      </c>
      <c r="B125" s="0" t="s">
        <v>17</v>
      </c>
      <c r="C125" s="0" t="s">
        <v>10</v>
      </c>
      <c r="D125" s="0" t="s">
        <v>25</v>
      </c>
      <c r="E125" s="0" t="n">
        <v>1425.4328164761</v>
      </c>
      <c r="F125" s="0" t="n">
        <v>1425.4328164761</v>
      </c>
      <c r="G125" s="3" t="n">
        <f aca="false">IF(E125=0,"",F125/E125-1)</f>
        <v>0</v>
      </c>
      <c r="H125" s="2" t="s">
        <v>32</v>
      </c>
    </row>
    <row r="126" customFormat="false" ht="15" hidden="false" customHeight="false" outlineLevel="0" collapsed="false">
      <c r="A126" s="0" t="s">
        <v>28</v>
      </c>
      <c r="B126" s="0" t="s">
        <v>17</v>
      </c>
      <c r="C126" s="0" t="s">
        <v>15</v>
      </c>
      <c r="D126" s="0" t="s">
        <v>22</v>
      </c>
      <c r="E126" s="0" t="n">
        <v>1091.63196606399</v>
      </c>
      <c r="F126" s="0" t="n">
        <v>1091.23377630333</v>
      </c>
      <c r="G126" s="3" t="n">
        <f aca="false">IF(E126=0,"",F126/E126-1)</f>
        <v>-0.000364765573965142</v>
      </c>
      <c r="H126" s="2" t="s">
        <v>32</v>
      </c>
    </row>
    <row r="127" customFormat="false" ht="15" hidden="false" customHeight="false" outlineLevel="0" collapsed="false">
      <c r="A127" s="0" t="s">
        <v>28</v>
      </c>
      <c r="B127" s="0" t="s">
        <v>17</v>
      </c>
      <c r="C127" s="0" t="s">
        <v>15</v>
      </c>
      <c r="D127" s="0" t="s">
        <v>24</v>
      </c>
      <c r="E127" s="0" t="n">
        <v>1118.83277026502</v>
      </c>
      <c r="F127" s="0" t="n">
        <v>1117.46785429604</v>
      </c>
      <c r="G127" s="3" t="n">
        <f aca="false">IF(E127=0,"",F127/E127-1)</f>
        <v>-0.00121994636308032</v>
      </c>
      <c r="H127" s="2" t="s">
        <v>32</v>
      </c>
    </row>
    <row r="128" customFormat="false" ht="15" hidden="false" customHeight="false" outlineLevel="0" collapsed="false">
      <c r="A128" s="0" t="s">
        <v>28</v>
      </c>
      <c r="B128" s="0" t="s">
        <v>17</v>
      </c>
      <c r="C128" s="0" t="s">
        <v>15</v>
      </c>
      <c r="D128" s="0" t="s">
        <v>25</v>
      </c>
      <c r="E128" s="0" t="n">
        <v>1261.40195052209</v>
      </c>
      <c r="F128" s="0" t="n">
        <v>1260.72056377413</v>
      </c>
      <c r="G128" s="3" t="n">
        <f aca="false">IF(E128=0,"",F128/E128-1)</f>
        <v>-0.000540182094754149</v>
      </c>
      <c r="H128" s="2" t="s">
        <v>32</v>
      </c>
    </row>
    <row r="129" customFormat="false" ht="15" hidden="false" customHeight="false" outlineLevel="0" collapsed="false">
      <c r="A129" s="0" t="s">
        <v>28</v>
      </c>
      <c r="B129" s="0" t="s">
        <v>17</v>
      </c>
      <c r="C129" s="0" t="s">
        <v>16</v>
      </c>
      <c r="D129" s="0" t="s">
        <v>22</v>
      </c>
      <c r="E129" s="0" t="n">
        <v>1042.47370069287</v>
      </c>
      <c r="F129" s="0" t="n">
        <v>1039.137835013</v>
      </c>
      <c r="G129" s="3" t="n">
        <f aca="false">IF(E129=0,"",F129/E129-1)</f>
        <v>-0.00319995188142652</v>
      </c>
      <c r="H129" s="2" t="s">
        <v>32</v>
      </c>
    </row>
    <row r="130" customFormat="false" ht="15" hidden="false" customHeight="false" outlineLevel="0" collapsed="false">
      <c r="A130" s="0" t="s">
        <v>28</v>
      </c>
      <c r="B130" s="0" t="s">
        <v>17</v>
      </c>
      <c r="C130" s="0" t="s">
        <v>16</v>
      </c>
      <c r="D130" s="0" t="s">
        <v>24</v>
      </c>
      <c r="E130" s="0" t="n">
        <v>824.771087677296</v>
      </c>
      <c r="F130" s="0" t="n">
        <v>810.568205304863</v>
      </c>
      <c r="G130" s="3" t="n">
        <f aca="false">IF(E130=0,"",F130/E130-1)</f>
        <v>-0.0172203931304513</v>
      </c>
      <c r="H130" s="2" t="s">
        <v>32</v>
      </c>
    </row>
    <row r="131" customFormat="false" ht="15" hidden="false" customHeight="false" outlineLevel="0" collapsed="false">
      <c r="A131" s="0" t="s">
        <v>28</v>
      </c>
      <c r="B131" s="0" t="s">
        <v>17</v>
      </c>
      <c r="C131" s="0" t="s">
        <v>16</v>
      </c>
      <c r="D131" s="0" t="s">
        <v>25</v>
      </c>
      <c r="E131" s="0" t="n">
        <v>811.179747148664</v>
      </c>
      <c r="F131" s="0" t="n">
        <v>793.384273000746</v>
      </c>
      <c r="G131" s="3" t="n">
        <f aca="false">IF(E131=0,"",F131/E131-1)</f>
        <v>-0.0219377692927738</v>
      </c>
      <c r="H131" s="2" t="s">
        <v>32</v>
      </c>
    </row>
    <row r="132" customFormat="false" ht="15" hidden="false" customHeight="false" outlineLevel="0" collapsed="false">
      <c r="A132" s="0" t="s">
        <v>28</v>
      </c>
      <c r="B132" s="2" t="s">
        <v>19</v>
      </c>
      <c r="C132" s="0" t="s">
        <v>10</v>
      </c>
      <c r="D132" s="0" t="s">
        <v>29</v>
      </c>
      <c r="E132" s="0" t="n">
        <v>499.1</v>
      </c>
      <c r="F132" s="0" t="n">
        <v>499.1</v>
      </c>
      <c r="G132" s="3" t="n">
        <f aca="false">IF(E132=0,"",F132/E132-1)</f>
        <v>0</v>
      </c>
      <c r="H132" s="4" t="s">
        <v>30</v>
      </c>
    </row>
    <row r="133" customFormat="false" ht="15" hidden="false" customHeight="false" outlineLevel="0" collapsed="false">
      <c r="A133" s="0" t="s">
        <v>28</v>
      </c>
      <c r="B133" s="2" t="s">
        <v>19</v>
      </c>
      <c r="C133" s="0" t="s">
        <v>10</v>
      </c>
      <c r="D133" s="0" t="s">
        <v>31</v>
      </c>
      <c r="E133" s="0" t="n">
        <v>815.323171713486</v>
      </c>
      <c r="F133" s="0" t="n">
        <v>815.323171713486</v>
      </c>
      <c r="G133" s="3" t="n">
        <f aca="false">IF(E133=0,"",F133/E133-1)</f>
        <v>0</v>
      </c>
      <c r="H133" s="4" t="s">
        <v>30</v>
      </c>
    </row>
    <row r="134" customFormat="false" ht="15" hidden="false" customHeight="false" outlineLevel="0" collapsed="false">
      <c r="A134" s="0" t="s">
        <v>28</v>
      </c>
      <c r="B134" s="2" t="s">
        <v>19</v>
      </c>
      <c r="C134" s="0" t="s">
        <v>10</v>
      </c>
      <c r="D134" s="0" t="s">
        <v>22</v>
      </c>
      <c r="E134" s="0" t="n">
        <v>1095.88904396728</v>
      </c>
      <c r="F134" s="0" t="n">
        <v>1095.88904396728</v>
      </c>
      <c r="G134" s="3" t="n">
        <f aca="false">IF(E134=0,"",F134/E134-1)</f>
        <v>0</v>
      </c>
      <c r="H134" s="4" t="s">
        <v>30</v>
      </c>
    </row>
    <row r="135" customFormat="false" ht="15" hidden="false" customHeight="false" outlineLevel="0" collapsed="false">
      <c r="A135" s="0" t="s">
        <v>28</v>
      </c>
      <c r="B135" s="2" t="s">
        <v>19</v>
      </c>
      <c r="C135" s="0" t="s">
        <v>10</v>
      </c>
      <c r="D135" s="0" t="s">
        <v>24</v>
      </c>
      <c r="E135" s="0" t="n">
        <v>1249.17743219312</v>
      </c>
      <c r="F135" s="0" t="n">
        <v>1249.17743219312</v>
      </c>
      <c r="G135" s="3" t="n">
        <f aca="false">IF(E135=0,"",F135/E135-1)</f>
        <v>0</v>
      </c>
      <c r="H135" s="4" t="s">
        <v>30</v>
      </c>
    </row>
    <row r="136" customFormat="false" ht="15" hidden="false" customHeight="false" outlineLevel="0" collapsed="false">
      <c r="A136" s="0" t="s">
        <v>28</v>
      </c>
      <c r="B136" s="2" t="s">
        <v>19</v>
      </c>
      <c r="C136" s="0" t="s">
        <v>10</v>
      </c>
      <c r="D136" s="0" t="s">
        <v>25</v>
      </c>
      <c r="E136" s="0" t="n">
        <v>1372.02055436168</v>
      </c>
      <c r="F136" s="0" t="n">
        <v>1372.02055436168</v>
      </c>
      <c r="G136" s="3" t="n">
        <f aca="false">IF(E136=0,"",F136/E136-1)</f>
        <v>0</v>
      </c>
      <c r="H136" s="4" t="s">
        <v>30</v>
      </c>
    </row>
    <row r="137" customFormat="false" ht="15" hidden="false" customHeight="false" outlineLevel="0" collapsed="false">
      <c r="A137" s="0" t="s">
        <v>28</v>
      </c>
      <c r="B137" s="2" t="s">
        <v>19</v>
      </c>
      <c r="C137" s="0" t="s">
        <v>15</v>
      </c>
      <c r="D137" s="0" t="s">
        <v>22</v>
      </c>
      <c r="E137" s="0" t="n">
        <v>1050.72752494972</v>
      </c>
      <c r="F137" s="0" t="n">
        <v>1050.344255721</v>
      </c>
      <c r="G137" s="3" t="n">
        <f aca="false">IF(E137=0,"",F137/E137-1)</f>
        <v>-0.000364765573965697</v>
      </c>
      <c r="H137" s="4" t="s">
        <v>30</v>
      </c>
    </row>
    <row r="138" customFormat="false" ht="15" hidden="false" customHeight="false" outlineLevel="0" collapsed="false">
      <c r="A138" s="0" t="s">
        <v>28</v>
      </c>
      <c r="B138" s="2" t="s">
        <v>19</v>
      </c>
      <c r="C138" s="0" t="s">
        <v>15</v>
      </c>
      <c r="D138" s="0" t="s">
        <v>24</v>
      </c>
      <c r="E138" s="0" t="n">
        <v>1076.90909031542</v>
      </c>
      <c r="F138" s="0" t="n">
        <v>1075.59531898732</v>
      </c>
      <c r="G138" s="3" t="n">
        <f aca="false">IF(E138=0,"",F138/E138-1)</f>
        <v>-0.00121994636308165</v>
      </c>
      <c r="H138" s="4" t="s">
        <v>30</v>
      </c>
    </row>
    <row r="139" customFormat="false" ht="15" hidden="false" customHeight="false" outlineLevel="0" collapsed="false">
      <c r="A139" s="0" t="s">
        <v>28</v>
      </c>
      <c r="B139" s="2" t="s">
        <v>19</v>
      </c>
      <c r="C139" s="0" t="s">
        <v>15</v>
      </c>
      <c r="D139" s="0" t="s">
        <v>25</v>
      </c>
      <c r="E139" s="0" t="n">
        <v>1214.13607391663</v>
      </c>
      <c r="F139" s="0" t="n">
        <v>1213.4802193489</v>
      </c>
      <c r="G139" s="3" t="n">
        <f aca="false">IF(E139=0,"",F139/E139-1)</f>
        <v>-0.000540182094758479</v>
      </c>
      <c r="H139" s="4" t="s">
        <v>30</v>
      </c>
    </row>
    <row r="140" customFormat="false" ht="15" hidden="false" customHeight="false" outlineLevel="0" collapsed="false">
      <c r="A140" s="0" t="s">
        <v>28</v>
      </c>
      <c r="B140" s="2" t="s">
        <v>19</v>
      </c>
      <c r="C140" s="0" t="s">
        <v>16</v>
      </c>
      <c r="D140" s="0" t="s">
        <v>22</v>
      </c>
      <c r="E140" s="0" t="n">
        <v>1003.41126442424</v>
      </c>
      <c r="F140" s="0" t="n">
        <v>1000.20039666081</v>
      </c>
      <c r="G140" s="3" t="n">
        <f aca="false">IF(E140=0,"",F140/E140-1)</f>
        <v>-0.00319995188141764</v>
      </c>
      <c r="H140" s="4" t="s">
        <v>30</v>
      </c>
    </row>
    <row r="141" customFormat="false" ht="15" hidden="false" customHeight="false" outlineLevel="0" collapsed="false">
      <c r="A141" s="0" t="s">
        <v>28</v>
      </c>
      <c r="B141" s="2" t="s">
        <v>19</v>
      </c>
      <c r="C141" s="0" t="s">
        <v>16</v>
      </c>
      <c r="D141" s="0" t="s">
        <v>24</v>
      </c>
      <c r="E141" s="0" t="n">
        <v>793.866166021064</v>
      </c>
      <c r="F141" s="0" t="n">
        <v>780.195478549216</v>
      </c>
      <c r="G141" s="3" t="n">
        <f aca="false">IF(E141=0,"",F141/E141-1)</f>
        <v>-0.0172203931304529</v>
      </c>
      <c r="H141" s="4" t="s">
        <v>30</v>
      </c>
    </row>
    <row r="142" customFormat="false" ht="15" hidden="false" customHeight="false" outlineLevel="0" collapsed="false">
      <c r="A142" s="0" t="s">
        <v>28</v>
      </c>
      <c r="B142" s="2" t="s">
        <v>19</v>
      </c>
      <c r="C142" s="0" t="s">
        <v>16</v>
      </c>
      <c r="D142" s="0" t="s">
        <v>25</v>
      </c>
      <c r="E142" s="0" t="n">
        <v>780.78410536477</v>
      </c>
      <c r="F142" s="0" t="n">
        <v>763.655443793812</v>
      </c>
      <c r="G142" s="3" t="n">
        <f aca="false">IF(E142=0,"",F142/E142-1)</f>
        <v>-0.0219377692927749</v>
      </c>
      <c r="H142" s="4" t="s">
        <v>30</v>
      </c>
    </row>
    <row r="143" customFormat="false" ht="15" hidden="false" customHeight="false" outlineLevel="0" collapsed="false">
      <c r="A143" s="2" t="s">
        <v>33</v>
      </c>
      <c r="B143" s="2" t="s">
        <v>9</v>
      </c>
      <c r="C143" s="0" t="s">
        <v>34</v>
      </c>
      <c r="D143" s="0" t="s">
        <v>35</v>
      </c>
      <c r="E143" s="0" t="n">
        <v>176.12</v>
      </c>
      <c r="F143" s="0" t="n">
        <v>176.12</v>
      </c>
      <c r="G143" s="3" t="n">
        <f aca="false">IF(E143=0,"",F143/E143-1)</f>
        <v>0</v>
      </c>
      <c r="H143" s="4" t="s">
        <v>36</v>
      </c>
    </row>
    <row r="144" customFormat="false" ht="15" hidden="false" customHeight="false" outlineLevel="0" collapsed="false">
      <c r="A144" s="2" t="s">
        <v>33</v>
      </c>
      <c r="B144" s="2" t="s">
        <v>9</v>
      </c>
      <c r="C144" s="0" t="s">
        <v>10</v>
      </c>
      <c r="D144" s="0" t="s">
        <v>11</v>
      </c>
      <c r="E144" s="0" t="n">
        <v>225.63296</v>
      </c>
      <c r="F144" s="0" t="n">
        <v>225.63296</v>
      </c>
      <c r="G144" s="3" t="n">
        <f aca="false">IF(E144=0,"",F144/E144-1)</f>
        <v>0</v>
      </c>
      <c r="H144" s="4" t="s">
        <v>36</v>
      </c>
    </row>
    <row r="145" customFormat="false" ht="15" hidden="false" customHeight="false" outlineLevel="0" collapsed="false">
      <c r="A145" s="2" t="s">
        <v>33</v>
      </c>
      <c r="B145" s="2" t="s">
        <v>9</v>
      </c>
      <c r="C145" s="0" t="s">
        <v>10</v>
      </c>
      <c r="D145" s="0" t="s">
        <v>13</v>
      </c>
      <c r="E145" s="0" t="n">
        <v>263.160352</v>
      </c>
      <c r="F145" s="0" t="n">
        <v>263.160352</v>
      </c>
      <c r="G145" s="3" t="n">
        <f aca="false">IF(E145=0,"",F145/E145-1)</f>
        <v>0</v>
      </c>
      <c r="H145" s="4" t="s">
        <v>36</v>
      </c>
    </row>
    <row r="146" customFormat="false" ht="15" hidden="false" customHeight="false" outlineLevel="0" collapsed="false">
      <c r="A146" s="2" t="s">
        <v>33</v>
      </c>
      <c r="B146" s="2" t="s">
        <v>9</v>
      </c>
      <c r="C146" s="0" t="s">
        <v>10</v>
      </c>
      <c r="D146" s="0" t="s">
        <v>14</v>
      </c>
      <c r="E146" s="0" t="n">
        <v>294.35386176</v>
      </c>
      <c r="F146" s="0" t="n">
        <v>294.35386176</v>
      </c>
      <c r="G146" s="3" t="n">
        <f aca="false">IF(E146=0,"",F146/E146-1)</f>
        <v>0</v>
      </c>
      <c r="H146" s="4" t="s">
        <v>36</v>
      </c>
    </row>
    <row r="147" customFormat="false" ht="15" hidden="false" customHeight="false" outlineLevel="0" collapsed="false">
      <c r="A147" s="2" t="s">
        <v>33</v>
      </c>
      <c r="B147" s="2" t="s">
        <v>9</v>
      </c>
      <c r="C147" s="0" t="s">
        <v>15</v>
      </c>
      <c r="D147" s="0" t="s">
        <v>11</v>
      </c>
      <c r="E147" s="0" t="n">
        <v>225.63296</v>
      </c>
      <c r="F147" s="0" t="n">
        <v>225.63296</v>
      </c>
      <c r="G147" s="3" t="n">
        <f aca="false">IF(E147=0,"",F147/E147-1)</f>
        <v>0</v>
      </c>
      <c r="H147" s="4" t="s">
        <v>36</v>
      </c>
    </row>
    <row r="148" customFormat="false" ht="15" hidden="false" customHeight="false" outlineLevel="0" collapsed="false">
      <c r="A148" s="2" t="s">
        <v>33</v>
      </c>
      <c r="B148" s="2" t="s">
        <v>9</v>
      </c>
      <c r="C148" s="0" t="s">
        <v>15</v>
      </c>
      <c r="D148" s="0" t="s">
        <v>13</v>
      </c>
      <c r="E148" s="0" t="n">
        <v>237.5258592</v>
      </c>
      <c r="F148" s="0" t="n">
        <v>237.5258592</v>
      </c>
      <c r="G148" s="3" t="n">
        <f aca="false">IF(E148=0,"",F148/E148-1)</f>
        <v>0</v>
      </c>
      <c r="H148" s="4" t="s">
        <v>36</v>
      </c>
    </row>
    <row r="149" customFormat="false" ht="15" hidden="false" customHeight="false" outlineLevel="0" collapsed="false">
      <c r="A149" s="2" t="s">
        <v>33</v>
      </c>
      <c r="B149" s="2" t="s">
        <v>9</v>
      </c>
      <c r="C149" s="0" t="s">
        <v>15</v>
      </c>
      <c r="D149" s="0" t="s">
        <v>14</v>
      </c>
      <c r="E149" s="0" t="n">
        <v>261.587407872</v>
      </c>
      <c r="F149" s="0" t="n">
        <v>261.587407872</v>
      </c>
      <c r="G149" s="3" t="n">
        <f aca="false">IF(E149=0,"",F149/E149-1)</f>
        <v>0</v>
      </c>
      <c r="H149" s="4" t="s">
        <v>36</v>
      </c>
    </row>
    <row r="150" customFormat="false" ht="15" hidden="false" customHeight="false" outlineLevel="0" collapsed="false">
      <c r="A150" s="2" t="s">
        <v>33</v>
      </c>
      <c r="B150" s="2" t="s">
        <v>9</v>
      </c>
      <c r="C150" s="0" t="s">
        <v>16</v>
      </c>
      <c r="D150" s="0" t="s">
        <v>11</v>
      </c>
      <c r="E150" s="0" t="n">
        <v>225.63296</v>
      </c>
      <c r="F150" s="0" t="n">
        <v>225.63296</v>
      </c>
      <c r="G150" s="3" t="n">
        <f aca="false">IF(E150=0,"",F150/E150-1)</f>
        <v>0</v>
      </c>
      <c r="H150" s="4" t="s">
        <v>36</v>
      </c>
    </row>
    <row r="151" customFormat="false" ht="15" hidden="false" customHeight="false" outlineLevel="0" collapsed="false">
      <c r="A151" s="2" t="s">
        <v>33</v>
      </c>
      <c r="B151" s="2" t="s">
        <v>9</v>
      </c>
      <c r="C151" s="0" t="s">
        <v>16</v>
      </c>
      <c r="D151" s="0" t="s">
        <v>13</v>
      </c>
      <c r="E151" s="0" t="n">
        <v>211.8913664</v>
      </c>
      <c r="F151" s="0" t="n">
        <v>211.8913664</v>
      </c>
      <c r="G151" s="3" t="n">
        <f aca="false">IF(E151=0,"",F151/E151-1)</f>
        <v>0</v>
      </c>
      <c r="H151" s="4" t="s">
        <v>36</v>
      </c>
    </row>
    <row r="152" customFormat="false" ht="15" hidden="false" customHeight="false" outlineLevel="0" collapsed="false">
      <c r="A152" s="2" t="s">
        <v>33</v>
      </c>
      <c r="B152" s="2" t="s">
        <v>9</v>
      </c>
      <c r="C152" s="0" t="s">
        <v>16</v>
      </c>
      <c r="D152" s="0" t="s">
        <v>14</v>
      </c>
      <c r="E152" s="0" t="n">
        <v>217.458063872</v>
      </c>
      <c r="F152" s="0" t="n">
        <v>217.458063872</v>
      </c>
      <c r="G152" s="3" t="n">
        <f aca="false">IF(E152=0,"",F152/E152-1)</f>
        <v>0</v>
      </c>
      <c r="H152" s="4" t="s">
        <v>36</v>
      </c>
    </row>
    <row r="153" customFormat="false" ht="15" hidden="false" customHeight="false" outlineLevel="0" collapsed="false">
      <c r="A153" s="2" t="s">
        <v>33</v>
      </c>
      <c r="B153" s="0" t="s">
        <v>17</v>
      </c>
      <c r="C153" s="0" t="s">
        <v>34</v>
      </c>
      <c r="D153" s="0" t="s">
        <v>35</v>
      </c>
      <c r="E153" s="0" t="n">
        <v>112.095299667786</v>
      </c>
      <c r="F153" s="0" t="n">
        <v>112.095299667786</v>
      </c>
      <c r="G153" s="3" t="n">
        <f aca="false">IF(E153=0,"",F153/E153-1)</f>
        <v>0</v>
      </c>
      <c r="H153" s="2" t="s">
        <v>37</v>
      </c>
    </row>
    <row r="154" customFormat="false" ht="15" hidden="false" customHeight="false" outlineLevel="0" collapsed="false">
      <c r="A154" s="2" t="s">
        <v>33</v>
      </c>
      <c r="B154" s="0" t="s">
        <v>17</v>
      </c>
      <c r="C154" s="0" t="s">
        <v>10</v>
      </c>
      <c r="D154" s="0" t="s">
        <v>11</v>
      </c>
      <c r="E154" s="0" t="n">
        <v>137.595667217436</v>
      </c>
      <c r="F154" s="0" t="n">
        <v>137.595667217436</v>
      </c>
      <c r="G154" s="3" t="n">
        <f aca="false">IF(E154=0,"",F154/E154-1)</f>
        <v>0</v>
      </c>
      <c r="H154" s="2" t="s">
        <v>37</v>
      </c>
    </row>
    <row r="155" customFormat="false" ht="15" hidden="false" customHeight="false" outlineLevel="0" collapsed="false">
      <c r="A155" s="2" t="s">
        <v>33</v>
      </c>
      <c r="B155" s="0" t="s">
        <v>17</v>
      </c>
      <c r="C155" s="0" t="s">
        <v>10</v>
      </c>
      <c r="D155" s="0" t="s">
        <v>13</v>
      </c>
      <c r="E155" s="0" t="n">
        <v>157.640285107059</v>
      </c>
      <c r="F155" s="0" t="n">
        <v>157.640285107059</v>
      </c>
      <c r="G155" s="3" t="n">
        <f aca="false">IF(E155=0,"",F155/E155-1)</f>
        <v>0</v>
      </c>
      <c r="H155" s="2" t="s">
        <v>37</v>
      </c>
    </row>
    <row r="156" customFormat="false" ht="15" hidden="false" customHeight="false" outlineLevel="0" collapsed="false">
      <c r="A156" s="2" t="s">
        <v>33</v>
      </c>
      <c r="B156" s="0" t="s">
        <v>17</v>
      </c>
      <c r="C156" s="0" t="s">
        <v>10</v>
      </c>
      <c r="D156" s="0" t="s">
        <v>14</v>
      </c>
      <c r="E156" s="0" t="n">
        <v>173.149008925301</v>
      </c>
      <c r="F156" s="0" t="n">
        <v>173.149008925301</v>
      </c>
      <c r="G156" s="3" t="n">
        <f aca="false">IF(E156=0,"",F156/E156-1)</f>
        <v>0</v>
      </c>
      <c r="H156" s="2" t="s">
        <v>37</v>
      </c>
    </row>
    <row r="157" customFormat="false" ht="15" hidden="false" customHeight="false" outlineLevel="0" collapsed="false">
      <c r="A157" s="2" t="s">
        <v>33</v>
      </c>
      <c r="B157" s="0" t="s">
        <v>17</v>
      </c>
      <c r="C157" s="0" t="s">
        <v>15</v>
      </c>
      <c r="D157" s="0" t="s">
        <v>11</v>
      </c>
      <c r="E157" s="0" t="n">
        <v>137.595667217436</v>
      </c>
      <c r="F157" s="0" t="n">
        <v>137.595667217436</v>
      </c>
      <c r="G157" s="3" t="n">
        <f aca="false">IF(E157=0,"",F157/E157-1)</f>
        <v>0</v>
      </c>
      <c r="H157" s="2" t="s">
        <v>37</v>
      </c>
    </row>
    <row r="158" customFormat="false" ht="15" hidden="false" customHeight="false" outlineLevel="0" collapsed="false">
      <c r="A158" s="2" t="s">
        <v>33</v>
      </c>
      <c r="B158" s="0" t="s">
        <v>17</v>
      </c>
      <c r="C158" s="0" t="s">
        <v>15</v>
      </c>
      <c r="D158" s="0" t="s">
        <v>13</v>
      </c>
      <c r="E158" s="0" t="n">
        <v>129.466094073693</v>
      </c>
      <c r="F158" s="0" t="n">
        <v>129.466094073693</v>
      </c>
      <c r="G158" s="3" t="n">
        <f aca="false">IF(E158=0,"",F158/E158-1)</f>
        <v>0</v>
      </c>
      <c r="H158" s="2" t="s">
        <v>37</v>
      </c>
    </row>
    <row r="159" customFormat="false" ht="15" hidden="false" customHeight="false" outlineLevel="0" collapsed="false">
      <c r="A159" s="2" t="s">
        <v>33</v>
      </c>
      <c r="B159" s="0" t="s">
        <v>17</v>
      </c>
      <c r="C159" s="0" t="s">
        <v>15</v>
      </c>
      <c r="D159" s="0" t="s">
        <v>14</v>
      </c>
      <c r="E159" s="0" t="n">
        <v>136.934330526341</v>
      </c>
      <c r="F159" s="0" t="n">
        <v>136.934330526341</v>
      </c>
      <c r="G159" s="3" t="n">
        <f aca="false">IF(E159=0,"",F159/E159-1)</f>
        <v>0</v>
      </c>
      <c r="H159" s="2" t="s">
        <v>37</v>
      </c>
    </row>
    <row r="160" customFormat="false" ht="15" hidden="false" customHeight="false" outlineLevel="0" collapsed="false">
      <c r="A160" s="2" t="s">
        <v>33</v>
      </c>
      <c r="B160" s="0" t="s">
        <v>17</v>
      </c>
      <c r="C160" s="0" t="s">
        <v>16</v>
      </c>
      <c r="D160" s="0" t="s">
        <v>11</v>
      </c>
      <c r="E160" s="0" t="n">
        <v>137.595667217436</v>
      </c>
      <c r="F160" s="0" t="n">
        <v>137.595667217436</v>
      </c>
      <c r="G160" s="3" t="n">
        <f aca="false">IF(E160=0,"",F160/E160-1)</f>
        <v>0</v>
      </c>
      <c r="H160" s="2" t="s">
        <v>37</v>
      </c>
    </row>
    <row r="161" customFormat="false" ht="15" hidden="false" customHeight="false" outlineLevel="0" collapsed="false">
      <c r="A161" s="2" t="s">
        <v>33</v>
      </c>
      <c r="B161" s="0" t="s">
        <v>17</v>
      </c>
      <c r="C161" s="0" t="s">
        <v>16</v>
      </c>
      <c r="D161" s="0" t="s">
        <v>13</v>
      </c>
      <c r="E161" s="0" t="n">
        <v>106.34571226785</v>
      </c>
      <c r="F161" s="0" t="n">
        <v>106.34571226785</v>
      </c>
      <c r="G161" s="3" t="n">
        <f aca="false">IF(E161=0,"",F161/E161-1)</f>
        <v>0</v>
      </c>
      <c r="H161" s="2" t="s">
        <v>37</v>
      </c>
    </row>
    <row r="162" customFormat="false" ht="15" hidden="false" customHeight="false" outlineLevel="0" collapsed="false">
      <c r="A162" s="2" t="s">
        <v>33</v>
      </c>
      <c r="B162" s="0" t="s">
        <v>17</v>
      </c>
      <c r="C162" s="0" t="s">
        <v>16</v>
      </c>
      <c r="D162" s="0" t="s">
        <v>14</v>
      </c>
      <c r="E162" s="0" t="n">
        <v>104.445395286083</v>
      </c>
      <c r="F162" s="0" t="n">
        <v>104.445395286083</v>
      </c>
      <c r="G162" s="3" t="n">
        <f aca="false">IF(E162=0,"",F162/E162-1)</f>
        <v>0</v>
      </c>
      <c r="H162" s="2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8" min="3" style="0" width="22"/>
  </cols>
  <sheetData>
    <row r="1" customFormat="false" ht="15" hidden="false" customHeight="false" outlineLevel="0" collapsed="false">
      <c r="A1" s="1" t="s">
        <v>0</v>
      </c>
      <c r="B1" s="1" t="s">
        <v>38</v>
      </c>
      <c r="C1" s="1" t="s">
        <v>39</v>
      </c>
      <c r="D1" s="1" t="s">
        <v>2</v>
      </c>
      <c r="E1" s="1" t="s">
        <v>40</v>
      </c>
      <c r="F1" s="1" t="s">
        <v>41</v>
      </c>
      <c r="G1" s="1" t="s">
        <v>6</v>
      </c>
    </row>
    <row r="2" customFormat="false" ht="15" hidden="false" customHeight="false" outlineLevel="0" collapsed="false">
      <c r="A2" s="0" t="s">
        <v>8</v>
      </c>
      <c r="B2" s="0" t="s">
        <v>42</v>
      </c>
      <c r="C2" s="0" t="s">
        <v>11</v>
      </c>
      <c r="D2" s="0" t="s">
        <v>10</v>
      </c>
      <c r="E2" s="0" t="n">
        <v>1506838.96463759</v>
      </c>
      <c r="F2" s="0" t="n">
        <v>1506838.96463759</v>
      </c>
      <c r="G2" s="3" t="n">
        <f aca="false">F2/E2-1</f>
        <v>0</v>
      </c>
    </row>
    <row r="3" customFormat="false" ht="15" hidden="false" customHeight="false" outlineLevel="0" collapsed="false">
      <c r="A3" s="0" t="s">
        <v>8</v>
      </c>
      <c r="B3" s="0" t="s">
        <v>42</v>
      </c>
      <c r="C3" s="0" t="s">
        <v>11</v>
      </c>
      <c r="D3" s="0" t="s">
        <v>15</v>
      </c>
      <c r="E3" s="0" t="n">
        <v>1490785.75006386</v>
      </c>
      <c r="F3" s="0" t="n">
        <v>1490785.75006386</v>
      </c>
      <c r="G3" s="3" t="n">
        <f aca="false">F3/E3-1</f>
        <v>0</v>
      </c>
    </row>
    <row r="4" customFormat="false" ht="15" hidden="false" customHeight="false" outlineLevel="0" collapsed="false">
      <c r="A4" s="0" t="s">
        <v>8</v>
      </c>
      <c r="B4" s="0" t="s">
        <v>42</v>
      </c>
      <c r="C4" s="0" t="s">
        <v>11</v>
      </c>
      <c r="D4" s="0" t="s">
        <v>16</v>
      </c>
      <c r="E4" s="0" t="n">
        <v>1490785.75006386</v>
      </c>
      <c r="F4" s="0" t="n">
        <v>1490785.75006386</v>
      </c>
      <c r="G4" s="3" t="n">
        <f aca="false">F4/E4-1</f>
        <v>0</v>
      </c>
    </row>
    <row r="5" customFormat="false" ht="15" hidden="false" customHeight="false" outlineLevel="0" collapsed="false">
      <c r="A5" s="0" t="s">
        <v>8</v>
      </c>
      <c r="B5" s="0" t="s">
        <v>42</v>
      </c>
      <c r="C5" s="0" t="s">
        <v>13</v>
      </c>
      <c r="D5" s="0" t="s">
        <v>10</v>
      </c>
      <c r="E5" s="0" t="n">
        <v>2413855.16223557</v>
      </c>
      <c r="F5" s="0" t="n">
        <v>2413855.16223557</v>
      </c>
      <c r="G5" s="3" t="n">
        <f aca="false">F5/E5-1</f>
        <v>0</v>
      </c>
    </row>
    <row r="6" customFormat="false" ht="15" hidden="false" customHeight="false" outlineLevel="0" collapsed="false">
      <c r="A6" s="0" t="s">
        <v>8</v>
      </c>
      <c r="B6" s="0" t="s">
        <v>42</v>
      </c>
      <c r="C6" s="0" t="s">
        <v>13</v>
      </c>
      <c r="D6" s="0" t="s">
        <v>15</v>
      </c>
      <c r="E6" s="0" t="n">
        <v>1924111.97081954</v>
      </c>
      <c r="F6" s="0" t="n">
        <v>1919637.94773231</v>
      </c>
      <c r="G6" s="3" t="n">
        <f aca="false">F6/E6-1</f>
        <v>-0.00232524050319405</v>
      </c>
    </row>
    <row r="7" customFormat="false" ht="15" hidden="false" customHeight="false" outlineLevel="0" collapsed="false">
      <c r="A7" s="0" t="s">
        <v>8</v>
      </c>
      <c r="B7" s="0" t="s">
        <v>42</v>
      </c>
      <c r="C7" s="0" t="s">
        <v>13</v>
      </c>
      <c r="D7" s="0" t="s">
        <v>16</v>
      </c>
      <c r="E7" s="0" t="n">
        <v>1778117.17202568</v>
      </c>
      <c r="F7" s="0" t="n">
        <v>1751507.94582089</v>
      </c>
      <c r="G7" s="3" t="n">
        <f aca="false">F7/E7-1</f>
        <v>-0.0149648328149692</v>
      </c>
    </row>
    <row r="8" customFormat="false" ht="15" hidden="false" customHeight="false" outlineLevel="0" collapsed="false">
      <c r="A8" s="0" t="s">
        <v>8</v>
      </c>
      <c r="B8" s="0" t="s">
        <v>42</v>
      </c>
      <c r="C8" s="0" t="s">
        <v>14</v>
      </c>
      <c r="D8" s="0" t="s">
        <v>10</v>
      </c>
      <c r="E8" s="0" t="n">
        <v>2500055.52540578</v>
      </c>
      <c r="F8" s="0" t="n">
        <v>2500055.52540578</v>
      </c>
      <c r="G8" s="3" t="n">
        <f aca="false">F8/E8-1</f>
        <v>0</v>
      </c>
    </row>
    <row r="9" customFormat="false" ht="15" hidden="false" customHeight="false" outlineLevel="0" collapsed="false">
      <c r="A9" s="0" t="s">
        <v>8</v>
      </c>
      <c r="B9" s="0" t="s">
        <v>42</v>
      </c>
      <c r="C9" s="0" t="s">
        <v>14</v>
      </c>
      <c r="D9" s="0" t="s">
        <v>15</v>
      </c>
      <c r="E9" s="0" t="n">
        <v>2383955.75895613</v>
      </c>
      <c r="F9" s="0" t="n">
        <v>2381651.69542348</v>
      </c>
      <c r="G9" s="3" t="n">
        <f aca="false">F9/E9-1</f>
        <v>-0.000966487538199501</v>
      </c>
    </row>
    <row r="10" customFormat="false" ht="15" hidden="false" customHeight="false" outlineLevel="0" collapsed="false">
      <c r="A10" s="0" t="s">
        <v>8</v>
      </c>
      <c r="B10" s="0" t="s">
        <v>42</v>
      </c>
      <c r="C10" s="0" t="s">
        <v>14</v>
      </c>
      <c r="D10" s="0" t="s">
        <v>16</v>
      </c>
      <c r="E10" s="0" t="n">
        <v>2120521.28145661</v>
      </c>
      <c r="F10" s="0" t="n">
        <v>2072337.9158276</v>
      </c>
      <c r="G10" s="3" t="n">
        <f aca="false">F10/E10-1</f>
        <v>-0.0227224154977178</v>
      </c>
    </row>
    <row r="11" customFormat="false" ht="15" hidden="false" customHeight="false" outlineLevel="0" collapsed="false">
      <c r="A11" s="0" t="s">
        <v>8</v>
      </c>
      <c r="B11" s="0" t="s">
        <v>43</v>
      </c>
      <c r="C11" s="0" t="s">
        <v>11</v>
      </c>
      <c r="D11" s="0" t="s">
        <v>10</v>
      </c>
      <c r="E11" s="0" t="n">
        <v>4400286.21076582</v>
      </c>
      <c r="F11" s="0" t="n">
        <v>4400286.21076582</v>
      </c>
      <c r="G11" s="3" t="n">
        <f aca="false">F11/E11-1</f>
        <v>0</v>
      </c>
    </row>
    <row r="12" customFormat="false" ht="15" hidden="false" customHeight="false" outlineLevel="0" collapsed="false">
      <c r="A12" s="0" t="s">
        <v>8</v>
      </c>
      <c r="B12" s="0" t="s">
        <v>43</v>
      </c>
      <c r="C12" s="0" t="s">
        <v>11</v>
      </c>
      <c r="D12" s="0" t="s">
        <v>15</v>
      </c>
      <c r="E12" s="0" t="n">
        <v>4279921.01043989</v>
      </c>
      <c r="F12" s="0" t="n">
        <v>4279921.01043989</v>
      </c>
      <c r="G12" s="3" t="n">
        <f aca="false">F12/E12-1</f>
        <v>0</v>
      </c>
    </row>
    <row r="13" customFormat="false" ht="15" hidden="false" customHeight="false" outlineLevel="0" collapsed="false">
      <c r="A13" s="0" t="s">
        <v>8</v>
      </c>
      <c r="B13" s="0" t="s">
        <v>43</v>
      </c>
      <c r="C13" s="0" t="s">
        <v>11</v>
      </c>
      <c r="D13" s="0" t="s">
        <v>16</v>
      </c>
      <c r="E13" s="0" t="n">
        <v>4279921.01043989</v>
      </c>
      <c r="F13" s="0" t="n">
        <v>4279921.01043989</v>
      </c>
      <c r="G13" s="3" t="n">
        <f aca="false">F13/E13-1</f>
        <v>0</v>
      </c>
    </row>
    <row r="14" customFormat="false" ht="15" hidden="false" customHeight="false" outlineLevel="0" collapsed="false">
      <c r="A14" s="0" t="s">
        <v>8</v>
      </c>
      <c r="B14" s="0" t="s">
        <v>43</v>
      </c>
      <c r="C14" s="0" t="s">
        <v>13</v>
      </c>
      <c r="D14" s="0" t="s">
        <v>10</v>
      </c>
      <c r="E14" s="0" t="n">
        <v>5719381.21992978</v>
      </c>
      <c r="F14" s="0" t="n">
        <v>5719381.21992978</v>
      </c>
      <c r="G14" s="3" t="n">
        <f aca="false">F14/E14-1</f>
        <v>0</v>
      </c>
    </row>
    <row r="15" customFormat="false" ht="15" hidden="false" customHeight="false" outlineLevel="0" collapsed="false">
      <c r="A15" s="0" t="s">
        <v>8</v>
      </c>
      <c r="B15" s="0" t="s">
        <v>43</v>
      </c>
      <c r="C15" s="0" t="s">
        <v>13</v>
      </c>
      <c r="D15" s="0" t="s">
        <v>15</v>
      </c>
      <c r="E15" s="0" t="n">
        <v>2678103.38585262</v>
      </c>
      <c r="F15" s="0" t="n">
        <v>2649194.11225582</v>
      </c>
      <c r="G15" s="3" t="n">
        <f aca="false">F15/E15-1</f>
        <v>-0.0107946816950818</v>
      </c>
    </row>
    <row r="16" customFormat="false" ht="15" hidden="false" customHeight="false" outlineLevel="0" collapsed="false">
      <c r="A16" s="0" t="s">
        <v>8</v>
      </c>
      <c r="B16" s="0" t="s">
        <v>43</v>
      </c>
      <c r="C16" s="0" t="s">
        <v>13</v>
      </c>
      <c r="D16" s="0" t="s">
        <v>16</v>
      </c>
      <c r="E16" s="0" t="n">
        <v>1734745.8081747</v>
      </c>
      <c r="F16" s="0" t="n">
        <v>1562808.07214704</v>
      </c>
      <c r="G16" s="3" t="n">
        <f aca="false">F16/E16-1</f>
        <v>-0.0991140807012948</v>
      </c>
    </row>
    <row r="17" customFormat="false" ht="15" hidden="false" customHeight="false" outlineLevel="0" collapsed="false">
      <c r="A17" s="0" t="s">
        <v>8</v>
      </c>
      <c r="B17" s="0" t="s">
        <v>43</v>
      </c>
      <c r="C17" s="0" t="s">
        <v>14</v>
      </c>
      <c r="D17" s="0" t="s">
        <v>10</v>
      </c>
      <c r="E17" s="0" t="n">
        <v>6261163.72746288</v>
      </c>
      <c r="F17" s="0" t="n">
        <v>6261163.72746288</v>
      </c>
      <c r="G17" s="3" t="n">
        <f aca="false">F17/E17-1</f>
        <v>0</v>
      </c>
    </row>
    <row r="18" customFormat="false" ht="15" hidden="false" customHeight="false" outlineLevel="0" collapsed="false">
      <c r="A18" s="0" t="s">
        <v>8</v>
      </c>
      <c r="B18" s="0" t="s">
        <v>43</v>
      </c>
      <c r="C18" s="0" t="s">
        <v>14</v>
      </c>
      <c r="D18" s="0" t="s">
        <v>15</v>
      </c>
      <c r="E18" s="0" t="n">
        <v>5636274.14557673</v>
      </c>
      <c r="F18" s="0" t="n">
        <v>5621392.13974443</v>
      </c>
      <c r="G18" s="3" t="n">
        <f aca="false">F18/E18-1</f>
        <v>-0.00264039779611847</v>
      </c>
    </row>
    <row r="19" customFormat="false" ht="15" hidden="false" customHeight="false" outlineLevel="0" collapsed="false">
      <c r="A19" s="0" t="s">
        <v>8</v>
      </c>
      <c r="B19" s="0" t="s">
        <v>43</v>
      </c>
      <c r="C19" s="0" t="s">
        <v>14</v>
      </c>
      <c r="D19" s="0" t="s">
        <v>16</v>
      </c>
      <c r="E19" s="0" t="n">
        <v>3934744.0553654</v>
      </c>
      <c r="F19" s="0" t="n">
        <v>3623526.45300899</v>
      </c>
      <c r="G19" s="3" t="n">
        <f aca="false">F19/E19-1</f>
        <v>-0.0790947512664858</v>
      </c>
    </row>
    <row r="20" customFormat="false" ht="15" hidden="false" customHeight="false" outlineLevel="0" collapsed="false">
      <c r="A20" s="2" t="s">
        <v>27</v>
      </c>
      <c r="B20" s="0" t="s">
        <v>42</v>
      </c>
      <c r="C20" s="0" t="s">
        <v>11</v>
      </c>
      <c r="D20" s="0" t="s">
        <v>10</v>
      </c>
      <c r="E20" s="0" t="n">
        <v>250551.353811629</v>
      </c>
      <c r="F20" s="0" t="n">
        <v>250551.353811629</v>
      </c>
      <c r="G20" s="3" t="n">
        <f aca="false">F20/E20-1</f>
        <v>0</v>
      </c>
    </row>
    <row r="21" customFormat="false" ht="15" hidden="false" customHeight="false" outlineLevel="0" collapsed="false">
      <c r="A21" s="2" t="s">
        <v>27</v>
      </c>
      <c r="B21" s="0" t="s">
        <v>42</v>
      </c>
      <c r="C21" s="0" t="s">
        <v>11</v>
      </c>
      <c r="D21" s="0" t="s">
        <v>15</v>
      </c>
      <c r="E21" s="0" t="n">
        <v>247724.303508828</v>
      </c>
      <c r="F21" s="0" t="n">
        <v>247724.303508828</v>
      </c>
      <c r="G21" s="3" t="n">
        <f aca="false">F21/E21-1</f>
        <v>0</v>
      </c>
    </row>
    <row r="22" customFormat="false" ht="15" hidden="false" customHeight="false" outlineLevel="0" collapsed="false">
      <c r="A22" s="2" t="s">
        <v>27</v>
      </c>
      <c r="B22" s="0" t="s">
        <v>42</v>
      </c>
      <c r="C22" s="0" t="s">
        <v>11</v>
      </c>
      <c r="D22" s="0" t="s">
        <v>16</v>
      </c>
      <c r="E22" s="0" t="n">
        <v>247724.303508828</v>
      </c>
      <c r="F22" s="0" t="n">
        <v>247724.303508828</v>
      </c>
      <c r="G22" s="3" t="n">
        <f aca="false">F22/E22-1</f>
        <v>0</v>
      </c>
    </row>
    <row r="23" customFormat="false" ht="15" hidden="false" customHeight="false" outlineLevel="0" collapsed="false">
      <c r="A23" s="2" t="s">
        <v>27</v>
      </c>
      <c r="B23" s="0" t="s">
        <v>42</v>
      </c>
      <c r="C23" s="0" t="s">
        <v>13</v>
      </c>
      <c r="D23" s="0" t="s">
        <v>10</v>
      </c>
      <c r="E23" s="0" t="n">
        <v>403345.220859305</v>
      </c>
      <c r="F23" s="0" t="n">
        <v>403345.220859305</v>
      </c>
      <c r="G23" s="3" t="n">
        <f aca="false">F23/E23-1</f>
        <v>0</v>
      </c>
    </row>
    <row r="24" customFormat="false" ht="15" hidden="false" customHeight="false" outlineLevel="0" collapsed="false">
      <c r="A24" s="2" t="s">
        <v>27</v>
      </c>
      <c r="B24" s="0" t="s">
        <v>42</v>
      </c>
      <c r="C24" s="0" t="s">
        <v>13</v>
      </c>
      <c r="D24" s="0" t="s">
        <v>15</v>
      </c>
      <c r="E24" s="0" t="n">
        <v>317488.018385788</v>
      </c>
      <c r="F24" s="0" t="n">
        <v>316978.244531399</v>
      </c>
      <c r="G24" s="3" t="n">
        <f aca="false">F24/E24-1</f>
        <v>-0.00160564753586889</v>
      </c>
    </row>
    <row r="25" customFormat="false" ht="15" hidden="false" customHeight="false" outlineLevel="0" collapsed="false">
      <c r="A25" s="2" t="s">
        <v>27</v>
      </c>
      <c r="B25" s="0" t="s">
        <v>42</v>
      </c>
      <c r="C25" s="0" t="s">
        <v>13</v>
      </c>
      <c r="D25" s="0" t="s">
        <v>16</v>
      </c>
      <c r="E25" s="0" t="n">
        <v>293301.66950196</v>
      </c>
      <c r="F25" s="0" t="n">
        <v>290273.005649917</v>
      </c>
      <c r="G25" s="3" t="n">
        <f aca="false">F25/E25-1</f>
        <v>-0.0103261050548598</v>
      </c>
    </row>
    <row r="26" customFormat="false" ht="15" hidden="false" customHeight="false" outlineLevel="0" collapsed="false">
      <c r="A26" s="2" t="s">
        <v>27</v>
      </c>
      <c r="B26" s="0" t="s">
        <v>42</v>
      </c>
      <c r="C26" s="0" t="s">
        <v>14</v>
      </c>
      <c r="D26" s="0" t="s">
        <v>10</v>
      </c>
      <c r="E26" s="0" t="n">
        <v>412070.734953722</v>
      </c>
      <c r="F26" s="0" t="n">
        <v>412070.734953722</v>
      </c>
      <c r="G26" s="3" t="n">
        <f aca="false">F26/E26-1</f>
        <v>0</v>
      </c>
    </row>
    <row r="27" customFormat="false" ht="15" hidden="false" customHeight="false" outlineLevel="0" collapsed="false">
      <c r="A27" s="2" t="s">
        <v>27</v>
      </c>
      <c r="B27" s="0" t="s">
        <v>42</v>
      </c>
      <c r="C27" s="0" t="s">
        <v>14</v>
      </c>
      <c r="D27" s="0" t="s">
        <v>15</v>
      </c>
      <c r="E27" s="0" t="n">
        <v>397505.553508302</v>
      </c>
      <c r="F27" s="0" t="n">
        <v>397233.379722494</v>
      </c>
      <c r="G27" s="3" t="n">
        <f aca="false">F27/E27-1</f>
        <v>-0.000684704360494837</v>
      </c>
    </row>
    <row r="28" customFormat="false" ht="15" hidden="false" customHeight="false" outlineLevel="0" collapsed="false">
      <c r="A28" s="2" t="s">
        <v>27</v>
      </c>
      <c r="B28" s="0" t="s">
        <v>42</v>
      </c>
      <c r="C28" s="0" t="s">
        <v>14</v>
      </c>
      <c r="D28" s="0" t="s">
        <v>16</v>
      </c>
      <c r="E28" s="0" t="n">
        <v>351916.048832941</v>
      </c>
      <c r="F28" s="0" t="n">
        <v>346286.275158695</v>
      </c>
      <c r="G28" s="3" t="n">
        <f aca="false">F28/E28-1</f>
        <v>-0.0159974905745731</v>
      </c>
    </row>
    <row r="29" customFormat="false" ht="15" hidden="false" customHeight="false" outlineLevel="0" collapsed="false">
      <c r="A29" s="2" t="s">
        <v>27</v>
      </c>
      <c r="B29" s="0" t="s">
        <v>43</v>
      </c>
      <c r="C29" s="0" t="s">
        <v>11</v>
      </c>
      <c r="D29" s="0" t="s">
        <v>10</v>
      </c>
      <c r="E29" s="0" t="n">
        <v>766594.216703855</v>
      </c>
      <c r="F29" s="0" t="n">
        <v>766594.216703855</v>
      </c>
      <c r="G29" s="3" t="n">
        <f aca="false">F29/E29-1</f>
        <v>0</v>
      </c>
    </row>
    <row r="30" customFormat="false" ht="15" hidden="false" customHeight="false" outlineLevel="0" collapsed="false">
      <c r="A30" s="2" t="s">
        <v>27</v>
      </c>
      <c r="B30" s="0" t="s">
        <v>43</v>
      </c>
      <c r="C30" s="0" t="s">
        <v>11</v>
      </c>
      <c r="D30" s="0" t="s">
        <v>15</v>
      </c>
      <c r="E30" s="0" t="n">
        <v>743887.219796426</v>
      </c>
      <c r="F30" s="0" t="n">
        <v>743887.219796426</v>
      </c>
      <c r="G30" s="3" t="n">
        <f aca="false">F30/E30-1</f>
        <v>0</v>
      </c>
    </row>
    <row r="31" customFormat="false" ht="15" hidden="false" customHeight="false" outlineLevel="0" collapsed="false">
      <c r="A31" s="2" t="s">
        <v>27</v>
      </c>
      <c r="B31" s="0" t="s">
        <v>43</v>
      </c>
      <c r="C31" s="0" t="s">
        <v>11</v>
      </c>
      <c r="D31" s="0" t="s">
        <v>16</v>
      </c>
      <c r="E31" s="0" t="n">
        <v>743887.219796426</v>
      </c>
      <c r="F31" s="0" t="n">
        <v>743887.219796426</v>
      </c>
      <c r="G31" s="3" t="n">
        <f aca="false">F31/E31-1</f>
        <v>0</v>
      </c>
    </row>
    <row r="32" customFormat="false" ht="15" hidden="false" customHeight="false" outlineLevel="0" collapsed="false">
      <c r="A32" s="2" t="s">
        <v>27</v>
      </c>
      <c r="B32" s="0" t="s">
        <v>43</v>
      </c>
      <c r="C32" s="0" t="s">
        <v>13</v>
      </c>
      <c r="D32" s="0" t="s">
        <v>10</v>
      </c>
      <c r="E32" s="0" t="n">
        <v>1039858.19575689</v>
      </c>
      <c r="F32" s="0" t="n">
        <v>1039858.19575689</v>
      </c>
      <c r="G32" s="3" t="n">
        <f aca="false">F32/E32-1</f>
        <v>0</v>
      </c>
    </row>
    <row r="33" customFormat="false" ht="15" hidden="false" customHeight="false" outlineLevel="0" collapsed="false">
      <c r="A33" s="2" t="s">
        <v>27</v>
      </c>
      <c r="B33" s="0" t="s">
        <v>43</v>
      </c>
      <c r="C33" s="0" t="s">
        <v>13</v>
      </c>
      <c r="D33" s="0" t="s">
        <v>15</v>
      </c>
      <c r="E33" s="0" t="n">
        <v>477705.454757223</v>
      </c>
      <c r="F33" s="0" t="n">
        <v>474226.665585746</v>
      </c>
      <c r="G33" s="3" t="n">
        <f aca="false">F33/E33-1</f>
        <v>-0.00728228898546912</v>
      </c>
    </row>
    <row r="34" customFormat="false" ht="15" hidden="false" customHeight="false" outlineLevel="0" collapsed="false">
      <c r="A34" s="2" t="s">
        <v>27</v>
      </c>
      <c r="B34" s="0" t="s">
        <v>43</v>
      </c>
      <c r="C34" s="0" t="s">
        <v>13</v>
      </c>
      <c r="D34" s="0" t="s">
        <v>16</v>
      </c>
      <c r="E34" s="0" t="n">
        <v>312653.426548539</v>
      </c>
      <c r="F34" s="0" t="n">
        <v>291985.27552074</v>
      </c>
      <c r="G34" s="3" t="n">
        <f aca="false">F34/E34-1</f>
        <v>-0.0661056277423856</v>
      </c>
    </row>
    <row r="35" customFormat="false" ht="15" hidden="false" customHeight="false" outlineLevel="0" collapsed="false">
      <c r="A35" s="2" t="s">
        <v>27</v>
      </c>
      <c r="B35" s="0" t="s">
        <v>43</v>
      </c>
      <c r="C35" s="0" t="s">
        <v>14</v>
      </c>
      <c r="D35" s="0" t="s">
        <v>10</v>
      </c>
      <c r="E35" s="0" t="n">
        <v>1099133.57810119</v>
      </c>
      <c r="F35" s="0" t="n">
        <v>1099133.57810119</v>
      </c>
      <c r="G35" s="3" t="n">
        <f aca="false">F35/E35-1</f>
        <v>0</v>
      </c>
    </row>
    <row r="36" customFormat="false" ht="15" hidden="false" customHeight="false" outlineLevel="0" collapsed="false">
      <c r="A36" s="2" t="s">
        <v>27</v>
      </c>
      <c r="B36" s="0" t="s">
        <v>43</v>
      </c>
      <c r="C36" s="0" t="s">
        <v>14</v>
      </c>
      <c r="D36" s="0" t="s">
        <v>15</v>
      </c>
      <c r="E36" s="0" t="n">
        <v>1023759.61645259</v>
      </c>
      <c r="F36" s="0" t="n">
        <v>1021902.25321067</v>
      </c>
      <c r="G36" s="3" t="n">
        <f aca="false">F36/E36-1</f>
        <v>-0.00181425718701034</v>
      </c>
    </row>
    <row r="37" customFormat="false" ht="15" hidden="false" customHeight="false" outlineLevel="0" collapsed="false">
      <c r="A37" s="2" t="s">
        <v>27</v>
      </c>
      <c r="B37" s="0" t="s">
        <v>43</v>
      </c>
      <c r="C37" s="0" t="s">
        <v>14</v>
      </c>
      <c r="D37" s="0" t="s">
        <v>16</v>
      </c>
      <c r="E37" s="0" t="n">
        <v>712648.574110485</v>
      </c>
      <c r="F37" s="0" t="n">
        <v>674229.978242487</v>
      </c>
      <c r="G37" s="3" t="n">
        <f aca="false">F37/E37-1</f>
        <v>-0.053909594804075</v>
      </c>
    </row>
    <row r="38" customFormat="false" ht="15" hidden="false" customHeight="false" outlineLevel="0" collapsed="false">
      <c r="A38" s="2" t="s">
        <v>21</v>
      </c>
      <c r="B38" s="0" t="s">
        <v>42</v>
      </c>
      <c r="C38" s="0" t="s">
        <v>11</v>
      </c>
      <c r="D38" s="0" t="s">
        <v>10</v>
      </c>
      <c r="E38" s="0" t="n">
        <v>289.814493444898</v>
      </c>
      <c r="F38" s="0" t="n">
        <v>289.814493444898</v>
      </c>
      <c r="G38" s="3" t="n">
        <f aca="false">F38/E38-1</f>
        <v>0</v>
      </c>
    </row>
    <row r="39" customFormat="false" ht="15" hidden="false" customHeight="false" outlineLevel="0" collapsed="false">
      <c r="A39" s="2" t="s">
        <v>21</v>
      </c>
      <c r="B39" s="0" t="s">
        <v>42</v>
      </c>
      <c r="C39" s="0" t="s">
        <v>11</v>
      </c>
      <c r="D39" s="0" t="s">
        <v>15</v>
      </c>
      <c r="E39" s="0" t="n">
        <v>290.764104216375</v>
      </c>
      <c r="F39" s="0" t="n">
        <v>290.764104216375</v>
      </c>
      <c r="G39" s="3" t="n">
        <f aca="false">F39/E39-1</f>
        <v>0</v>
      </c>
    </row>
    <row r="40" customFormat="false" ht="15" hidden="false" customHeight="false" outlineLevel="0" collapsed="false">
      <c r="A40" s="2" t="s">
        <v>21</v>
      </c>
      <c r="B40" s="0" t="s">
        <v>42</v>
      </c>
      <c r="C40" s="0" t="s">
        <v>11</v>
      </c>
      <c r="D40" s="0" t="s">
        <v>16</v>
      </c>
      <c r="E40" s="0" t="n">
        <v>290.764104216375</v>
      </c>
      <c r="F40" s="0" t="n">
        <v>290.764104216375</v>
      </c>
      <c r="G40" s="3" t="n">
        <f aca="false">F40/E40-1</f>
        <v>0</v>
      </c>
    </row>
    <row r="41" customFormat="false" ht="15" hidden="false" customHeight="false" outlineLevel="0" collapsed="false">
      <c r="A41" s="2" t="s">
        <v>21</v>
      </c>
      <c r="B41" s="0" t="s">
        <v>42</v>
      </c>
      <c r="C41" s="0" t="s">
        <v>13</v>
      </c>
      <c r="D41" s="0" t="s">
        <v>10</v>
      </c>
      <c r="E41" s="0" t="n">
        <v>445.353840056695</v>
      </c>
      <c r="F41" s="0" t="n">
        <v>445.353840056695</v>
      </c>
      <c r="G41" s="3" t="n">
        <f aca="false">F41/E41-1</f>
        <v>0</v>
      </c>
    </row>
    <row r="42" customFormat="false" ht="15" hidden="false" customHeight="false" outlineLevel="0" collapsed="false">
      <c r="A42" s="2" t="s">
        <v>21</v>
      </c>
      <c r="B42" s="0" t="s">
        <v>42</v>
      </c>
      <c r="C42" s="0" t="s">
        <v>13</v>
      </c>
      <c r="D42" s="0" t="s">
        <v>15</v>
      </c>
      <c r="E42" s="0" t="n">
        <v>392.964941237987</v>
      </c>
      <c r="F42" s="0" t="n">
        <v>392.631094529654</v>
      </c>
      <c r="G42" s="3" t="n">
        <f aca="false">F42/E42-1</f>
        <v>-0.000849558505858661</v>
      </c>
    </row>
    <row r="43" customFormat="false" ht="15" hidden="false" customHeight="false" outlineLevel="0" collapsed="false">
      <c r="A43" s="2" t="s">
        <v>21</v>
      </c>
      <c r="B43" s="0" t="s">
        <v>42</v>
      </c>
      <c r="C43" s="0" t="s">
        <v>13</v>
      </c>
      <c r="D43" s="0" t="s">
        <v>16</v>
      </c>
      <c r="E43" s="0" t="n">
        <v>378.245459904388</v>
      </c>
      <c r="F43" s="0" t="n">
        <v>376.218735516225</v>
      </c>
      <c r="G43" s="3" t="n">
        <f aca="false">F43/E43-1</f>
        <v>-0.00535822528755603</v>
      </c>
    </row>
    <row r="44" customFormat="false" ht="15" hidden="false" customHeight="false" outlineLevel="0" collapsed="false">
      <c r="A44" s="2" t="s">
        <v>21</v>
      </c>
      <c r="B44" s="0" t="s">
        <v>42</v>
      </c>
      <c r="C44" s="0" t="s">
        <v>14</v>
      </c>
      <c r="D44" s="0" t="s">
        <v>10</v>
      </c>
      <c r="E44" s="0" t="n">
        <v>450.110081157194</v>
      </c>
      <c r="F44" s="0" t="n">
        <v>450.110081157194</v>
      </c>
      <c r="G44" s="3" t="n">
        <f aca="false">F44/E44-1</f>
        <v>0</v>
      </c>
    </row>
    <row r="45" customFormat="false" ht="15" hidden="false" customHeight="false" outlineLevel="0" collapsed="false">
      <c r="A45" s="2" t="s">
        <v>21</v>
      </c>
      <c r="B45" s="0" t="s">
        <v>42</v>
      </c>
      <c r="C45" s="0" t="s">
        <v>14</v>
      </c>
      <c r="D45" s="0" t="s">
        <v>15</v>
      </c>
      <c r="E45" s="0" t="n">
        <v>420.218342147649</v>
      </c>
      <c r="F45" s="0" t="n">
        <v>419.946016378109</v>
      </c>
      <c r="G45" s="3" t="n">
        <f aca="false">F45/E45-1</f>
        <v>-0.000648057788596779</v>
      </c>
    </row>
    <row r="46" customFormat="false" ht="15" hidden="false" customHeight="false" outlineLevel="0" collapsed="false">
      <c r="A46" s="2" t="s">
        <v>21</v>
      </c>
      <c r="B46" s="0" t="s">
        <v>42</v>
      </c>
      <c r="C46" s="0" t="s">
        <v>14</v>
      </c>
      <c r="D46" s="0" t="s">
        <v>16</v>
      </c>
      <c r="E46" s="0" t="n">
        <v>376.878519463283</v>
      </c>
      <c r="F46" s="0" t="n">
        <v>373.027425829318</v>
      </c>
      <c r="G46" s="3" t="n">
        <f aca="false">F46/E46-1</f>
        <v>-0.0102183951461319</v>
      </c>
    </row>
    <row r="47" customFormat="false" ht="15" hidden="false" customHeight="false" outlineLevel="0" collapsed="false">
      <c r="A47" s="2" t="s">
        <v>21</v>
      </c>
      <c r="B47" s="0" t="s">
        <v>43</v>
      </c>
      <c r="C47" s="0" t="s">
        <v>11</v>
      </c>
      <c r="D47" s="0" t="s">
        <v>10</v>
      </c>
      <c r="E47" s="0" t="n">
        <v>1525.80842628848</v>
      </c>
      <c r="F47" s="0" t="n">
        <v>1525.80842628848</v>
      </c>
      <c r="G47" s="3" t="n">
        <f aca="false">F47/E47-1</f>
        <v>0</v>
      </c>
    </row>
    <row r="48" customFormat="false" ht="15" hidden="false" customHeight="false" outlineLevel="0" collapsed="false">
      <c r="A48" s="2" t="s">
        <v>21</v>
      </c>
      <c r="B48" s="0" t="s">
        <v>43</v>
      </c>
      <c r="C48" s="0" t="s">
        <v>11</v>
      </c>
      <c r="D48" s="0" t="s">
        <v>15</v>
      </c>
      <c r="E48" s="0" t="n">
        <v>1543.3754330049</v>
      </c>
      <c r="F48" s="0" t="n">
        <v>1543.3754330049</v>
      </c>
      <c r="G48" s="3" t="n">
        <f aca="false">F48/E48-1</f>
        <v>0</v>
      </c>
    </row>
    <row r="49" customFormat="false" ht="15" hidden="false" customHeight="false" outlineLevel="0" collapsed="false">
      <c r="A49" s="2" t="s">
        <v>21</v>
      </c>
      <c r="B49" s="0" t="s">
        <v>43</v>
      </c>
      <c r="C49" s="0" t="s">
        <v>11</v>
      </c>
      <c r="D49" s="0" t="s">
        <v>16</v>
      </c>
      <c r="E49" s="0" t="n">
        <v>1543.3754330049</v>
      </c>
      <c r="F49" s="0" t="n">
        <v>1543.3754330049</v>
      </c>
      <c r="G49" s="3" t="n">
        <f aca="false">F49/E49-1</f>
        <v>0</v>
      </c>
    </row>
    <row r="50" customFormat="false" ht="15" hidden="false" customHeight="false" outlineLevel="0" collapsed="false">
      <c r="A50" s="2" t="s">
        <v>21</v>
      </c>
      <c r="B50" s="0" t="s">
        <v>43</v>
      </c>
      <c r="C50" s="0" t="s">
        <v>13</v>
      </c>
      <c r="D50" s="0" t="s">
        <v>10</v>
      </c>
      <c r="E50" s="0" t="n">
        <v>1891.32097902309</v>
      </c>
      <c r="F50" s="0" t="n">
        <v>1891.32097902309</v>
      </c>
      <c r="G50" s="3" t="n">
        <f aca="false">F50/E50-1</f>
        <v>0</v>
      </c>
    </row>
    <row r="51" customFormat="false" ht="15" hidden="false" customHeight="false" outlineLevel="0" collapsed="false">
      <c r="A51" s="2" t="s">
        <v>21</v>
      </c>
      <c r="B51" s="0" t="s">
        <v>43</v>
      </c>
      <c r="C51" s="0" t="s">
        <v>13</v>
      </c>
      <c r="D51" s="0" t="s">
        <v>15</v>
      </c>
      <c r="E51" s="0" t="n">
        <v>1065.00291032971</v>
      </c>
      <c r="F51" s="0" t="n">
        <v>1059.84914890927</v>
      </c>
      <c r="G51" s="3" t="n">
        <f aca="false">F51/E51-1</f>
        <v>-0.00483919937725275</v>
      </c>
    </row>
    <row r="52" customFormat="false" ht="15" hidden="false" customHeight="false" outlineLevel="0" collapsed="false">
      <c r="A52" s="2" t="s">
        <v>21</v>
      </c>
      <c r="B52" s="0" t="s">
        <v>43</v>
      </c>
      <c r="C52" s="0" t="s">
        <v>13</v>
      </c>
      <c r="D52" s="0" t="s">
        <v>16</v>
      </c>
      <c r="E52" s="0" t="n">
        <v>837.770791119087</v>
      </c>
      <c r="F52" s="0" t="n">
        <v>806.483216010926</v>
      </c>
      <c r="G52" s="3" t="n">
        <f aca="false">F52/E52-1</f>
        <v>-0.0373462233821346</v>
      </c>
    </row>
    <row r="53" customFormat="false" ht="15" hidden="false" customHeight="false" outlineLevel="0" collapsed="false">
      <c r="A53" s="2" t="s">
        <v>21</v>
      </c>
      <c r="B53" s="0" t="s">
        <v>43</v>
      </c>
      <c r="C53" s="0" t="s">
        <v>14</v>
      </c>
      <c r="D53" s="0" t="s">
        <v>10</v>
      </c>
      <c r="E53" s="0" t="n">
        <v>1965.53142247418</v>
      </c>
      <c r="F53" s="0" t="n">
        <v>1965.53142247418</v>
      </c>
      <c r="G53" s="3" t="n">
        <f aca="false">F53/E53-1</f>
        <v>0</v>
      </c>
    </row>
    <row r="54" customFormat="false" ht="15" hidden="false" customHeight="false" outlineLevel="0" collapsed="false">
      <c r="A54" s="2" t="s">
        <v>21</v>
      </c>
      <c r="B54" s="0" t="s">
        <v>43</v>
      </c>
      <c r="C54" s="0" t="s">
        <v>14</v>
      </c>
      <c r="D54" s="0" t="s">
        <v>15</v>
      </c>
      <c r="E54" s="0" t="n">
        <v>1486.38783340135</v>
      </c>
      <c r="F54" s="0" t="n">
        <v>1482.18357751113</v>
      </c>
      <c r="G54" s="3" t="n">
        <f aca="false">F54/E54-1</f>
        <v>-0.00282850531721546</v>
      </c>
    </row>
    <row r="55" customFormat="false" ht="15" hidden="false" customHeight="false" outlineLevel="0" collapsed="false">
      <c r="A55" s="2" t="s">
        <v>21</v>
      </c>
      <c r="B55" s="0" t="s">
        <v>43</v>
      </c>
      <c r="C55" s="0" t="s">
        <v>14</v>
      </c>
      <c r="D55" s="0" t="s">
        <v>16</v>
      </c>
      <c r="E55" s="0" t="n">
        <v>817.293222522985</v>
      </c>
      <c r="F55" s="0" t="n">
        <v>757.838756932766</v>
      </c>
      <c r="G55" s="3" t="n">
        <f aca="false">F55/E55-1</f>
        <v>-0.07274557521312</v>
      </c>
    </row>
    <row r="56" customFormat="false" ht="15" hidden="false" customHeight="false" outlineLevel="0" collapsed="false">
      <c r="A56" s="0" t="s">
        <v>28</v>
      </c>
      <c r="B56" s="0" t="s">
        <v>44</v>
      </c>
      <c r="C56" s="0" t="s">
        <v>22</v>
      </c>
      <c r="D56" s="0" t="s">
        <v>10</v>
      </c>
      <c r="E56" s="0" t="n">
        <v>23351.6979184874</v>
      </c>
      <c r="F56" s="0" t="n">
        <v>23351.6979184874</v>
      </c>
      <c r="G56" s="3" t="n">
        <f aca="false">F56/E56-1</f>
        <v>0</v>
      </c>
    </row>
    <row r="57" customFormat="false" ht="15" hidden="false" customHeight="false" outlineLevel="0" collapsed="false">
      <c r="A57" s="0" t="s">
        <v>28</v>
      </c>
      <c r="B57" s="0" t="s">
        <v>44</v>
      </c>
      <c r="C57" s="0" t="s">
        <v>24</v>
      </c>
      <c r="D57" s="0" t="s">
        <v>10</v>
      </c>
      <c r="E57" s="0" t="n">
        <v>26618.0360171905</v>
      </c>
      <c r="F57" s="0" t="n">
        <v>26618.0360171905</v>
      </c>
      <c r="G57" s="3" t="n">
        <f aca="false">F57/E57-1</f>
        <v>0</v>
      </c>
    </row>
    <row r="58" customFormat="false" ht="15" hidden="false" customHeight="false" outlineLevel="0" collapsed="false">
      <c r="A58" s="0" t="s">
        <v>28</v>
      </c>
      <c r="B58" s="0" t="s">
        <v>44</v>
      </c>
      <c r="C58" s="0" t="s">
        <v>22</v>
      </c>
      <c r="D58" s="0" t="s">
        <v>15</v>
      </c>
      <c r="E58" s="0" t="n">
        <v>22389.3759065615</v>
      </c>
      <c r="F58" s="0" t="n">
        <v>22381.2090330082</v>
      </c>
      <c r="G58" s="3" t="n">
        <f aca="false">F58/E58-1</f>
        <v>-0.000364765573966253</v>
      </c>
    </row>
    <row r="59" customFormat="false" ht="15" hidden="false" customHeight="false" outlineLevel="0" collapsed="false">
      <c r="A59" s="0" t="s">
        <v>28</v>
      </c>
      <c r="B59" s="0" t="s">
        <v>44</v>
      </c>
      <c r="C59" s="0" t="s">
        <v>24</v>
      </c>
      <c r="D59" s="0" t="s">
        <v>15</v>
      </c>
      <c r="E59" s="0" t="n">
        <v>22947.2645074363</v>
      </c>
      <c r="F59" s="0" t="n">
        <v>22919.2700755579</v>
      </c>
      <c r="G59" s="3" t="n">
        <f aca="false">F59/E59-1</f>
        <v>-0.00121994636307643</v>
      </c>
    </row>
    <row r="60" customFormat="false" ht="15" hidden="false" customHeight="false" outlineLevel="0" collapsed="false">
      <c r="A60" s="0" t="s">
        <v>28</v>
      </c>
      <c r="B60" s="0" t="s">
        <v>44</v>
      </c>
      <c r="C60" s="0" t="s">
        <v>22</v>
      </c>
      <c r="D60" s="0" t="s">
        <v>16</v>
      </c>
      <c r="E60" s="0" t="n">
        <v>21381.1396909466</v>
      </c>
      <c r="F60" s="0" t="n">
        <v>21312.7210727656</v>
      </c>
      <c r="G60" s="3" t="n">
        <f aca="false">F60/E60-1</f>
        <v>-0.00319995188142241</v>
      </c>
    </row>
    <row r="61" customFormat="false" ht="15" hidden="false" customHeight="false" outlineLevel="0" collapsed="false">
      <c r="A61" s="0" t="s">
        <v>28</v>
      </c>
      <c r="B61" s="0" t="s">
        <v>44</v>
      </c>
      <c r="C61" s="0" t="s">
        <v>24</v>
      </c>
      <c r="D61" s="0" t="s">
        <v>16</v>
      </c>
      <c r="E61" s="0" t="n">
        <v>16916.0582439267</v>
      </c>
      <c r="F61" s="0" t="n">
        <v>16624.7570707486</v>
      </c>
      <c r="G61" s="3" t="n">
        <f aca="false">F61/E61-1</f>
        <v>-0.0172203931304553</v>
      </c>
    </row>
    <row r="62" customFormat="false" ht="15" hidden="false" customHeight="false" outlineLevel="0" collapsed="false">
      <c r="A62" s="0" t="s">
        <v>28</v>
      </c>
      <c r="B62" s="0" t="s">
        <v>45</v>
      </c>
      <c r="C62" s="0" t="s">
        <v>22</v>
      </c>
      <c r="D62" s="0" t="s">
        <v>10</v>
      </c>
      <c r="E62" s="0" t="n">
        <v>25964.3043713706</v>
      </c>
      <c r="F62" s="0" t="n">
        <v>25964.3043713706</v>
      </c>
      <c r="G62" s="3" t="n">
        <f aca="false">F62/E62-1</f>
        <v>0</v>
      </c>
    </row>
    <row r="63" customFormat="false" ht="15" hidden="false" customHeight="false" outlineLevel="0" collapsed="false">
      <c r="A63" s="0" t="s">
        <v>28</v>
      </c>
      <c r="B63" s="0" t="s">
        <v>45</v>
      </c>
      <c r="C63" s="0" t="s">
        <v>24</v>
      </c>
      <c r="D63" s="0" t="s">
        <v>10</v>
      </c>
      <c r="E63" s="0" t="n">
        <v>29596.0829628275</v>
      </c>
      <c r="F63" s="0" t="n">
        <v>29596.0829628275</v>
      </c>
      <c r="G63" s="3" t="n">
        <f aca="false">F63/E63-1</f>
        <v>0</v>
      </c>
    </row>
    <row r="64" customFormat="false" ht="15" hidden="false" customHeight="false" outlineLevel="0" collapsed="false">
      <c r="A64" s="0" t="s">
        <v>28</v>
      </c>
      <c r="B64" s="0" t="s">
        <v>45</v>
      </c>
      <c r="C64" s="0" t="s">
        <v>22</v>
      </c>
      <c r="D64" s="0" t="s">
        <v>15</v>
      </c>
      <c r="E64" s="0" t="n">
        <v>24894.3170107884</v>
      </c>
      <c r="F64" s="0" t="n">
        <v>24885.2364209555</v>
      </c>
      <c r="G64" s="3" t="n">
        <f aca="false">F64/E64-1</f>
        <v>-0.000364765573964698</v>
      </c>
    </row>
    <row r="65" customFormat="false" ht="15" hidden="false" customHeight="false" outlineLevel="0" collapsed="false">
      <c r="A65" s="0" t="s">
        <v>28</v>
      </c>
      <c r="B65" s="0" t="s">
        <v>45</v>
      </c>
      <c r="C65" s="0" t="s">
        <v>24</v>
      </c>
      <c r="D65" s="0" t="s">
        <v>15</v>
      </c>
      <c r="E65" s="0" t="n">
        <v>25514.6226300626</v>
      </c>
      <c r="F65" s="0" t="n">
        <v>25483.4961589798</v>
      </c>
      <c r="G65" s="3" t="n">
        <f aca="false">F65/E65-1</f>
        <v>-0.00121994636307599</v>
      </c>
    </row>
    <row r="66" customFormat="false" ht="15" hidden="false" customHeight="false" outlineLevel="0" collapsed="false">
      <c r="A66" s="0" t="s">
        <v>28</v>
      </c>
      <c r="B66" s="0" t="s">
        <v>45</v>
      </c>
      <c r="C66" s="0" t="s">
        <v>22</v>
      </c>
      <c r="D66" s="0" t="s">
        <v>16</v>
      </c>
      <c r="E66" s="0" t="n">
        <v>23773.2785290539</v>
      </c>
      <c r="F66" s="0" t="n">
        <v>23697.2051816973</v>
      </c>
      <c r="G66" s="3" t="n">
        <f aca="false">F66/E66-1</f>
        <v>-0.0031999518814213</v>
      </c>
    </row>
    <row r="67" customFormat="false" ht="15" hidden="false" customHeight="false" outlineLevel="0" collapsed="false">
      <c r="A67" s="0" t="s">
        <v>28</v>
      </c>
      <c r="B67" s="0" t="s">
        <v>45</v>
      </c>
      <c r="C67" s="0" t="s">
        <v>24</v>
      </c>
      <c r="D67" s="0" t="s">
        <v>16</v>
      </c>
      <c r="E67" s="0" t="n">
        <v>18808.6402343112</v>
      </c>
      <c r="F67" s="0" t="n">
        <v>18484.7480552271</v>
      </c>
      <c r="G67" s="3" t="n">
        <f aca="false">F67/E67-1</f>
        <v>-0.0172203931304532</v>
      </c>
    </row>
    <row r="68" customFormat="false" ht="15" hidden="false" customHeight="false" outlineLevel="0" collapsed="false">
      <c r="A68" s="2" t="s">
        <v>33</v>
      </c>
      <c r="B68" s="0" t="s">
        <v>46</v>
      </c>
      <c r="C68" s="0" t="s">
        <v>11</v>
      </c>
      <c r="D68" s="0" t="s">
        <v>10</v>
      </c>
      <c r="E68" s="0" t="n">
        <v>2820.71117795744</v>
      </c>
      <c r="F68" s="0" t="n">
        <v>2820.71117795744</v>
      </c>
      <c r="G68" s="3" t="n">
        <f aca="false">F68/E68-1</f>
        <v>0</v>
      </c>
    </row>
    <row r="69" customFormat="false" ht="15" hidden="false" customHeight="false" outlineLevel="0" collapsed="false">
      <c r="A69" s="2" t="s">
        <v>33</v>
      </c>
      <c r="B69" s="0" t="s">
        <v>46</v>
      </c>
      <c r="C69" s="0" t="s">
        <v>13</v>
      </c>
      <c r="D69" s="0" t="s">
        <v>10</v>
      </c>
      <c r="E69" s="0" t="n">
        <v>3231.6258446947</v>
      </c>
      <c r="F69" s="0" t="n">
        <v>3231.6258446947</v>
      </c>
      <c r="G69" s="3" t="n">
        <f aca="false">F69/E69-1</f>
        <v>0</v>
      </c>
    </row>
    <row r="70" customFormat="false" ht="15" hidden="false" customHeight="false" outlineLevel="0" collapsed="false">
      <c r="A70" s="2" t="s">
        <v>33</v>
      </c>
      <c r="B70" s="0" t="s">
        <v>46</v>
      </c>
      <c r="C70" s="0" t="s">
        <v>11</v>
      </c>
      <c r="D70" s="0" t="s">
        <v>15</v>
      </c>
      <c r="E70" s="0" t="n">
        <v>2820.71117795744</v>
      </c>
      <c r="F70" s="0" t="n">
        <v>2820.71117795744</v>
      </c>
      <c r="G70" s="3" t="n">
        <f aca="false">F70/E70-1</f>
        <v>0</v>
      </c>
    </row>
    <row r="71" customFormat="false" ht="15" hidden="false" customHeight="false" outlineLevel="0" collapsed="false">
      <c r="A71" s="2" t="s">
        <v>33</v>
      </c>
      <c r="B71" s="0" t="s">
        <v>46</v>
      </c>
      <c r="C71" s="0" t="s">
        <v>13</v>
      </c>
      <c r="D71" s="0" t="s">
        <v>15</v>
      </c>
      <c r="E71" s="0" t="n">
        <v>2654.0549285107</v>
      </c>
      <c r="F71" s="0" t="n">
        <v>2654.0549285107</v>
      </c>
      <c r="G71" s="3" t="n">
        <f aca="false">F71/E71-1</f>
        <v>0</v>
      </c>
    </row>
    <row r="72" customFormat="false" ht="15" hidden="false" customHeight="false" outlineLevel="0" collapsed="false">
      <c r="A72" s="2" t="s">
        <v>33</v>
      </c>
      <c r="B72" s="0" t="s">
        <v>46</v>
      </c>
      <c r="C72" s="0" t="s">
        <v>11</v>
      </c>
      <c r="D72" s="0" t="s">
        <v>16</v>
      </c>
      <c r="E72" s="0" t="n">
        <v>2820.71117795744</v>
      </c>
      <c r="F72" s="0" t="n">
        <v>2820.71117795744</v>
      </c>
      <c r="G72" s="3" t="n">
        <f aca="false">F72/E72-1</f>
        <v>0</v>
      </c>
    </row>
    <row r="73" customFormat="false" ht="15" hidden="false" customHeight="false" outlineLevel="0" collapsed="false">
      <c r="A73" s="2" t="s">
        <v>33</v>
      </c>
      <c r="B73" s="0" t="s">
        <v>46</v>
      </c>
      <c r="C73" s="0" t="s">
        <v>13</v>
      </c>
      <c r="D73" s="0" t="s">
        <v>16</v>
      </c>
      <c r="E73" s="0" t="n">
        <v>2180.08710149092</v>
      </c>
      <c r="F73" s="0" t="n">
        <v>2180.08710149092</v>
      </c>
      <c r="G73" s="3" t="n">
        <f aca="false">F73/E73-1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8" min="3" style="0" width="22"/>
  </cols>
  <sheetData>
    <row r="1" customFormat="false" ht="15" hidden="false" customHeight="false" outlineLevel="0" collapsed="false">
      <c r="A1" s="1" t="s">
        <v>47</v>
      </c>
      <c r="B1" s="1" t="s">
        <v>48</v>
      </c>
      <c r="C1" s="1" t="s">
        <v>49</v>
      </c>
      <c r="D1" s="1" t="s">
        <v>50</v>
      </c>
    </row>
    <row r="2" customFormat="false" ht="15" hidden="false" customHeight="false" outlineLevel="0" collapsed="false">
      <c r="A2" s="0" t="s">
        <v>8</v>
      </c>
      <c r="B2" s="0" t="s">
        <v>51</v>
      </c>
      <c r="C2" s="3" t="n">
        <v>0.038</v>
      </c>
      <c r="D2" s="3" t="n">
        <v>0.023</v>
      </c>
    </row>
    <row r="3" customFormat="false" ht="15" hidden="false" customHeight="false" outlineLevel="0" collapsed="false">
      <c r="A3" s="2" t="s">
        <v>27</v>
      </c>
      <c r="B3" s="0" t="s">
        <v>51</v>
      </c>
      <c r="C3" s="3" t="n">
        <v>0.359</v>
      </c>
      <c r="D3" s="3" t="n">
        <v>0.345</v>
      </c>
    </row>
    <row r="4" customFormat="false" ht="15" hidden="false" customHeight="false" outlineLevel="0" collapsed="false">
      <c r="A4" s="2" t="s">
        <v>21</v>
      </c>
      <c r="B4" s="0" t="s">
        <v>52</v>
      </c>
      <c r="C4" s="3" t="n">
        <v>-0.548</v>
      </c>
      <c r="D4" s="3" t="n">
        <v>-0.55</v>
      </c>
    </row>
    <row r="5" customFormat="false" ht="15" hidden="false" customHeight="false" outlineLevel="0" collapsed="false">
      <c r="A5" s="2" t="s">
        <v>53</v>
      </c>
      <c r="B5" s="0" t="s">
        <v>54</v>
      </c>
      <c r="C5" s="3" t="n">
        <v>0.57</v>
      </c>
      <c r="D5" s="3" t="n">
        <v>0.511</v>
      </c>
    </row>
    <row r="6" customFormat="false" ht="15" hidden="false" customHeight="false" outlineLevel="0" collapsed="false">
      <c r="A6" s="2" t="s">
        <v>55</v>
      </c>
      <c r="B6" s="0" t="s">
        <v>56</v>
      </c>
      <c r="C6" s="3" t="n">
        <v>-0.258</v>
      </c>
      <c r="D6" s="3" t="n">
        <v>-0.266</v>
      </c>
    </row>
    <row r="7" customFormat="false" ht="15" hidden="false" customHeight="false" outlineLevel="0" collapsed="false">
      <c r="A7" s="0" t="s">
        <v>57</v>
      </c>
      <c r="B7" s="0" t="s">
        <v>58</v>
      </c>
      <c r="C7" s="3" t="n">
        <v>1.039</v>
      </c>
      <c r="D7" s="3" t="n">
        <v>0.837</v>
      </c>
    </row>
    <row r="8" customFormat="false" ht="15" hidden="false" customHeight="false" outlineLevel="0" collapsed="false">
      <c r="A8" s="2" t="s">
        <v>59</v>
      </c>
      <c r="B8" s="0" t="s">
        <v>58</v>
      </c>
      <c r="C8" s="3" t="n">
        <v>1.607</v>
      </c>
      <c r="D8" s="3" t="n">
        <v>1.435</v>
      </c>
    </row>
    <row r="9" customFormat="false" ht="15" hidden="false" customHeight="false" outlineLevel="0" collapsed="false">
      <c r="A9" s="0" t="s">
        <v>28</v>
      </c>
      <c r="B9" s="0" t="s">
        <v>54</v>
      </c>
      <c r="C9" s="3" t="n">
        <v>-0.087</v>
      </c>
      <c r="D9" s="3" t="n">
        <v>-0.103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8" min="3" style="0" width="22"/>
  </cols>
  <sheetData>
    <row r="1" customFormat="false" ht="15" hidden="false" customHeight="false" outlineLevel="0" collapsed="false">
      <c r="A1" s="1" t="s">
        <v>1</v>
      </c>
      <c r="B1" s="1" t="s">
        <v>60</v>
      </c>
      <c r="C1" s="5" t="s">
        <v>61</v>
      </c>
      <c r="D1" s="5" t="s">
        <v>62</v>
      </c>
      <c r="E1" s="5" t="s">
        <v>11</v>
      </c>
      <c r="F1" s="5" t="s">
        <v>13</v>
      </c>
      <c r="G1" s="5" t="s">
        <v>14</v>
      </c>
      <c r="H1" s="1" t="s">
        <v>7</v>
      </c>
    </row>
    <row r="2" customFormat="false" ht="15" hidden="false" customHeight="false" outlineLevel="0" collapsed="false">
      <c r="A2" s="2" t="s">
        <v>63</v>
      </c>
      <c r="B2" s="2" t="s">
        <v>64</v>
      </c>
      <c r="C2" s="0" t="n">
        <v>2.22511470588235</v>
      </c>
      <c r="D2" s="0" t="n">
        <v>3.782695</v>
      </c>
      <c r="E2" s="0" t="n">
        <v>5.86317725</v>
      </c>
      <c r="F2" s="0" t="n">
        <v>8.5016070125</v>
      </c>
      <c r="G2" s="0" t="n">
        <v>11.477169466875</v>
      </c>
      <c r="H2" s="0" t="s">
        <v>65</v>
      </c>
    </row>
    <row r="3" customFormat="false" ht="15" hidden="false" customHeight="false" outlineLevel="0" collapsed="false">
      <c r="A3" s="2" t="s">
        <v>66</v>
      </c>
      <c r="B3" s="2" t="s">
        <v>40</v>
      </c>
      <c r="C3" s="0" t="n">
        <v>2.22511470588235</v>
      </c>
      <c r="D3" s="0" t="n">
        <v>3.782695</v>
      </c>
      <c r="E3" s="0" t="n">
        <v>5.86317725</v>
      </c>
      <c r="F3" s="0" t="n">
        <v>8.5016070125</v>
      </c>
      <c r="G3" s="0" t="n">
        <v>11.477169466875</v>
      </c>
      <c r="H3" s="0" t="s">
        <v>65</v>
      </c>
    </row>
    <row r="4" customFormat="false" ht="15" hidden="false" customHeight="false" outlineLevel="0" collapsed="false">
      <c r="A4" s="2" t="s">
        <v>67</v>
      </c>
      <c r="B4" s="2" t="s">
        <v>41</v>
      </c>
      <c r="C4" s="0" t="n">
        <v>2.22511470588235</v>
      </c>
      <c r="D4" s="0" t="n">
        <v>3.782695</v>
      </c>
      <c r="E4" s="0" t="n">
        <v>5.86317725</v>
      </c>
      <c r="F4" s="0" t="n">
        <v>8.5016070125</v>
      </c>
      <c r="G4" s="0" t="n">
        <v>11.477169466875</v>
      </c>
      <c r="H4" s="0" t="s">
        <v>65</v>
      </c>
    </row>
    <row r="5" customFormat="false" ht="15" hidden="false" customHeight="false" outlineLevel="0" collapsed="false">
      <c r="A5" s="2" t="s">
        <v>68</v>
      </c>
      <c r="B5" s="2" t="s">
        <v>41</v>
      </c>
      <c r="C5" s="0" t="n">
        <v>2.22511470588235</v>
      </c>
      <c r="D5" s="0" t="n">
        <v>3.782695</v>
      </c>
      <c r="E5" s="0" t="n">
        <v>5.86317725</v>
      </c>
      <c r="F5" s="0" t="n">
        <v>8.22296</v>
      </c>
      <c r="G5" s="0" t="n">
        <v>11.3579635</v>
      </c>
      <c r="H5" s="0" t="s">
        <v>65</v>
      </c>
    </row>
    <row r="6" customFormat="false" ht="15" hidden="false" customHeight="false" outlineLevel="0" collapsed="false">
      <c r="A6" s="2" t="s">
        <v>69</v>
      </c>
      <c r="B6" s="2" t="s">
        <v>41</v>
      </c>
      <c r="C6" s="0" t="n">
        <v>2.22511470588235</v>
      </c>
      <c r="D6" s="0" t="n">
        <v>3.782695</v>
      </c>
      <c r="E6" s="0" t="n">
        <v>5.86317725</v>
      </c>
      <c r="F6" s="0" t="n">
        <v>6.16722</v>
      </c>
      <c r="G6" s="0" t="n">
        <v>8.017386</v>
      </c>
      <c r="H6" s="0" t="s">
        <v>65</v>
      </c>
    </row>
    <row r="7" customFormat="false" ht="15" hidden="false" customHeight="false" outlineLevel="0" collapsed="false">
      <c r="A7" s="0" t="s">
        <v>70</v>
      </c>
      <c r="B7" s="2" t="s">
        <v>40</v>
      </c>
      <c r="C7" s="0" t="n">
        <v>35</v>
      </c>
      <c r="D7" s="0" t="n">
        <v>55.227347</v>
      </c>
      <c r="E7" s="0" t="n">
        <v>154.08429813</v>
      </c>
      <c r="F7" s="0" t="n">
        <v>245.76445551735</v>
      </c>
      <c r="G7" s="0" t="n">
        <v>315.192914201001</v>
      </c>
      <c r="H7" s="0" t="s">
        <v>36</v>
      </c>
    </row>
    <row r="8" customFormat="false" ht="15" hidden="false" customHeight="false" outlineLevel="0" collapsed="false">
      <c r="A8" s="0" t="s">
        <v>70</v>
      </c>
      <c r="B8" s="2" t="s">
        <v>41</v>
      </c>
      <c r="C8" s="0" t="n">
        <v>35</v>
      </c>
      <c r="D8" s="0" t="n">
        <v>55.227347</v>
      </c>
      <c r="E8" s="0" t="n">
        <v>154.08429813</v>
      </c>
      <c r="F8" s="0" t="n">
        <v>245.76445551735</v>
      </c>
      <c r="G8" s="0" t="n">
        <v>315.192914201001</v>
      </c>
      <c r="H8" s="0" t="s">
        <v>36</v>
      </c>
    </row>
    <row r="9" customFormat="false" ht="15" hidden="false" customHeight="false" outlineLevel="0" collapsed="false">
      <c r="A9" s="0" t="s">
        <v>71</v>
      </c>
      <c r="B9" s="2" t="s">
        <v>40</v>
      </c>
      <c r="C9" s="0" t="n">
        <v>35</v>
      </c>
      <c r="D9" s="0" t="n">
        <v>55.227347</v>
      </c>
      <c r="E9" s="0" t="n">
        <v>154.08429813</v>
      </c>
      <c r="F9" s="0" t="n">
        <v>167.566674216375</v>
      </c>
      <c r="G9" s="0" t="n">
        <v>226.215010192106</v>
      </c>
      <c r="H9" s="0" t="s">
        <v>36</v>
      </c>
    </row>
    <row r="10" customFormat="false" ht="15" hidden="false" customHeight="false" outlineLevel="0" collapsed="false">
      <c r="A10" s="0" t="s">
        <v>71</v>
      </c>
      <c r="B10" s="2" t="s">
        <v>41</v>
      </c>
      <c r="C10" s="0" t="n">
        <v>35</v>
      </c>
      <c r="D10" s="0" t="n">
        <v>55.227347</v>
      </c>
      <c r="E10" s="0" t="n">
        <v>154.08429813</v>
      </c>
      <c r="F10" s="0" t="n">
        <v>162.0745416</v>
      </c>
      <c r="G10" s="0" t="n">
        <v>223.865460585</v>
      </c>
      <c r="H10" s="0" t="s">
        <v>36</v>
      </c>
    </row>
    <row r="11" customFormat="false" ht="15" hidden="false" customHeight="false" outlineLevel="0" collapsed="false">
      <c r="A11" s="0" t="s">
        <v>72</v>
      </c>
      <c r="B11" s="2" t="s">
        <v>40</v>
      </c>
      <c r="C11" s="0" t="n">
        <v>35</v>
      </c>
      <c r="D11" s="0" t="n">
        <v>55.227347</v>
      </c>
      <c r="E11" s="0" t="n">
        <v>154.08429813</v>
      </c>
      <c r="F11" s="0" t="n">
        <v>134.0533393731</v>
      </c>
      <c r="G11" s="0" t="n">
        <v>190.020608561369</v>
      </c>
      <c r="H11" s="0" t="s">
        <v>36</v>
      </c>
    </row>
    <row r="12" customFormat="false" ht="15" hidden="false" customHeight="false" outlineLevel="0" collapsed="false">
      <c r="A12" s="0" t="s">
        <v>72</v>
      </c>
      <c r="B12" s="2" t="s">
        <v>41</v>
      </c>
      <c r="C12" s="0" t="n">
        <v>35</v>
      </c>
      <c r="D12" s="0" t="n">
        <v>55.227347</v>
      </c>
      <c r="E12" s="0" t="n">
        <v>154.08429813</v>
      </c>
      <c r="F12" s="0" t="n">
        <v>97.24472496</v>
      </c>
      <c r="G12" s="0" t="n">
        <v>132.7390495704</v>
      </c>
      <c r="H12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2026-10-23T05:40:36Z</dcterms:created>
  <dc:creator>openpyxl</dc:creator>
  <dc:description/>
  <dc:language>en-US</dc:language>
  <cp:lastModifiedBy/>
  <dcterms:modified xsi:type="dcterms:W3CDTF">2026-10-23T05:40:36Z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