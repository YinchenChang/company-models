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28" vbProcedure="false">In!$E$74</definedName>
    <definedName function="false" hidden="false" name="ads_mode" vbProcedure="false">In!$E$59</definedName>
    <definedName function="false" hidden="false" name="ag_pay" vbProcedure="false">In!$E$139</definedName>
    <definedName function="false" hidden="false" name="ag_rest" vbProcedure="false">In!$E$141</definedName>
    <definedName function="false" hidden="false" name="ag_y1" vbProcedure="false">In!$E$140</definedName>
    <definedName function="false" hidden="false" name="aicx_24" vbProcedure="false">Thesis!$C$12</definedName>
    <definedName function="false" hidden="false" name="aicx_25" vbProcedure="false">Thesis!$C$13</definedName>
    <definedName function="false" hidden="false" name="aicx_9m" vbProcedure="false">Thesis!$C$14</definedName>
    <definedName function="false" hidden="false" name="ai_23" vbProcedure="false">In!$E$64</definedName>
    <definedName function="false" hidden="false" name="ai_sh26" vbProcedure="false">Thesis!$C$15</definedName>
    <definedName function="false" hidden="false" name="am_26" vbProcedure="false">In!$E$77</definedName>
    <definedName function="false" hidden="false" name="am_27" vbProcedure="false">In!$E$78</definedName>
    <definedName function="false" hidden="false" name="am_28" vbProcedure="false">In!$E$79</definedName>
    <definedName function="false" hidden="false" name="base_b2" vbProcedure="false">Thesis!$C$23</definedName>
    <definedName function="false" hidden="false" name="base_b3" vbProcedure="false">Thesis!$C$24</definedName>
    <definedName function="false" hidden="false" name="base_h" vbProcedure="false">Thesis!$C$22</definedName>
    <definedName function="false" hidden="false" name="base_tot" vbProcedure="false">Thesis!$C$25</definedName>
    <definedName function="false" hidden="false" name="bb_t" vbProcedure="false">In!$E$136</definedName>
    <definedName function="false" hidden="false" name="beta" vbProcedure="false">In!$E$30</definedName>
    <definedName function="false" hidden="false" name="beta_cd" vbProcedure="false">In!$E$28</definedName>
    <definedName function="false" hidden="false" name="beta_cr" vbProcedure="false">In!$E$27</definedName>
    <definedName function="false" hidden="false" name="blume_a" vbProcedure="false">In!$E$29</definedName>
    <definedName function="false" hidden="false" name="capex_9m" vbProcedure="false">In!$E$67</definedName>
    <definedName function="false" hidden="false" name="capex_g" vbProcedure="false">In!$E$68</definedName>
    <definedName function="false" hidden="false" name="cash_0" vbProcedure="false">In!$E$10</definedName>
    <definedName function="false" hidden="false" name="cash_ye25" vbProcedure="false">In!$E$11</definedName>
    <definedName function="false" hidden="false" name="cfac" vbProcedure="false">In!$E$105</definedName>
    <definedName function="false" hidden="false" name="cip_0" vbProcedure="false">In!$E$80</definedName>
    <definedName function="false" hidden="false" name="cip_ai" vbProcedure="false">In!$E$81</definedName>
    <definedName function="false" hidden="false" name="cip_it" vbProcedure="false">In!$E$82</definedName>
    <definedName function="false" hidden="false" name="cit_b2" vbProcedure="false">In!$E$99</definedName>
    <definedName function="false" hidden="false" name="cit_b3" vbProcedure="false">In!$E$100</definedName>
    <definedName function="false" hidden="false" name="cit_h" vbProcedure="false">In!$E$98</definedName>
    <definedName function="false" hidden="false" name="cit_vr" vbProcedure="false">In!$E$101</definedName>
    <definedName function="false" hidden="false" name="cons_tp" vbProcedure="false">In!$E$46</definedName>
    <definedName function="false" hidden="false" name="contg" vbProcedure="false">In!$E$142</definedName>
    <definedName function="false" hidden="false" name="conv_mw" vbProcedure="false">In!$E$75</definedName>
    <definedName function="false" hidden="false" name="conv_n" vbProcedure="false">In!$E$107</definedName>
    <definedName function="false" hidden="false" name="conv_sh" vbProcedure="false">In!$E$17</definedName>
    <definedName function="false" hidden="false" name="cx27_A" vbProcedure="false">In!$E$72</definedName>
    <definedName function="false" hidden="false" name="cx27_B" vbProcedure="false">In!$E$71</definedName>
    <definedName function="false" hidden="false" name="cx27_C" vbProcedure="false">In!$E$73</definedName>
    <definedName function="false" hidden="false" name="cx27_k" vbProcedure="false">In!$E$69</definedName>
    <definedName function="false" hidden="false" name="cx27_up" vbProcedure="false">In!$E$70</definedName>
    <definedName function="false" hidden="false" name="cx_23" vbProcedure="false">In!$E$63</definedName>
    <definedName function="false" hidden="false" name="cx_24" vbProcedure="false">In!$E$65</definedName>
    <definedName function="false" hidden="false" name="cx_25" vbProcedure="false">In!$E$66</definedName>
    <definedName function="false" hidden="false" name="cx_na" vbProcedure="false">In!$E$62</definedName>
    <definedName function="false" hidden="false" name="c_capex_26" vbProcedure="false">In!$E$153</definedName>
    <definedName function="false" hidden="false" name="c_capex_27" vbProcedure="false">In!$E$154</definedName>
    <definedName function="false" hidden="false" name="c_capex_28" vbProcedure="false">In!$E$155</definedName>
    <definedName function="false" hidden="false" name="c_ebitda_26" vbProcedure="false">In!$E$159</definedName>
    <definedName function="false" hidden="false" name="c_ebitda_27" vbProcedure="false">In!$E$160</definedName>
    <definedName function="false" hidden="false" name="c_ebitda_28" vbProcedure="false">In!$E$161</definedName>
    <definedName function="false" hidden="false" name="c_ebit_26" vbProcedure="false">In!$E$147</definedName>
    <definedName function="false" hidden="false" name="c_ebit_27" vbProcedure="false">In!$E$148</definedName>
    <definedName function="false" hidden="false" name="c_ebit_28" vbProcedure="false">In!$E$149</definedName>
    <definedName function="false" hidden="false" name="c_eps26_vi" vbProcedure="false">In!$E$163</definedName>
    <definedName function="false" hidden="false" name="c_eps_26" vbProcedure="false">In!$E$150</definedName>
    <definedName function="false" hidden="false" name="c_eps_27" vbProcedure="false">In!$E$151</definedName>
    <definedName function="false" hidden="false" name="c_eps_28" vbProcedure="false">In!$E$152</definedName>
    <definedName function="false" hidden="false" name="c_fcf_26" vbProcedure="false">In!$E$156</definedName>
    <definedName function="false" hidden="false" name="c_fcf_27" vbProcedure="false">In!$E$157</definedName>
    <definedName function="false" hidden="false" name="c_fcf_28" vbProcedure="false">In!$E$158</definedName>
    <definedName function="false" hidden="false" name="c_q4rev" vbProcedure="false">In!$E$162</definedName>
    <definedName function="false" hidden="false" name="c_revenue_26" vbProcedure="false">In!$E$144</definedName>
    <definedName function="false" hidden="false" name="c_revenue_27" vbProcedure="false">In!$E$145</definedName>
    <definedName function="false" hidden="false" name="c_revenue_28" vbProcedure="false">In!$E$146</definedName>
    <definedName function="false" hidden="false" name="da_base" vbProcedure="false">In!$E$88</definedName>
    <definedName function="false" hidden="false" name="debt_0" vbProcedure="false">In!$E$12</definedName>
    <definedName function="false" hidden="false" name="debt_ye25" vbProcedure="false">In!$E$13</definedName>
    <definedName function="false" hidden="false" name="dil" vbProcedure="false">In!$E$132</definedName>
    <definedName function="false" hidden="false" name="dpi0" vbProcedure="false">Thesis!$C$26</definedName>
    <definedName function="false" hidden="false" name="dpi_b2" vbProcedure="false">In!$E$103</definedName>
    <definedName function="false" hidden="false" name="dpi_b3" vbProcedure="false">In!$E$104</definedName>
    <definedName function="false" hidden="false" name="dpi_h" vbProcedure="false">In!$E$102</definedName>
    <definedName function="false" hidden="false" name="dps" vbProcedure="false">In!$E$134</definedName>
    <definedName function="false" hidden="false" name="dps_g" vbProcedure="false">In!$E$135</definedName>
    <definedName function="false" hidden="false" name="dps_tgt" vbProcedure="false">In!$E$47</definedName>
    <definedName function="false" hidden="false" name="eps_x_q3" vbProcedure="false">In!$E$125</definedName>
    <definedName function="false" hidden="false" name="erp" vbProcedure="false">In!$E$31</definedName>
    <definedName function="false" hidden="false" name="fin_lease" vbProcedure="false">In!$E$14</definedName>
    <definedName function="false" hidden="false" name="fwd_cash" vbProcedure="false">In!$E$24</definedName>
    <definedName function="false" hidden="false" name="fwd_on" vbProcedure="false">In!$E$22</definedName>
    <definedName function="false" hidden="false" name="fwd_sh" vbProcedure="false">In!$E$23</definedName>
    <definedName function="false" hidden="false" name="g0_ads_q" vbProcedure="false">Q!$B$62</definedName>
    <definedName function="false" hidden="false" name="g0_ads_ttm" vbProcedure="false">Q!$B$61</definedName>
    <definedName function="false" hidden="false" name="g0_impr" vbProcedure="false">Q!$B$64</definedName>
    <definedName function="false" hidden="false" name="g0_impr_ttm" vbProcedure="false">Q!$B$63</definedName>
    <definedName function="false" hidden="false" name="g0_other" vbProcedure="false">Q!$B$66</definedName>
    <definedName function="false" hidden="false" name="g0_price" vbProcedure="false">Q!$B$65</definedName>
    <definedName function="false" hidden="false" name="g0_q" vbProcedure="false">In!$E$108</definedName>
    <definedName function="false" hidden="false" name="g0_rl" vbProcedure="false">Q!$B$67</definedName>
    <definedName function="false" hidden="false" name="gl_impr" vbProcedure="false">In!$E$109</definedName>
    <definedName function="false" hidden="false" name="gl_other" vbProcedure="false">In!$E$114</definedName>
    <definedName function="false" hidden="false" name="gl_price" vbProcedure="false">In!$E$110</definedName>
    <definedName function="false" hidden="false" name="gl_rl" vbProcedure="false">In!$E$115</definedName>
    <definedName function="false" hidden="false" name="g_tv" vbProcedure="false">In!$E$35</definedName>
    <definedName function="false" hidden="false" name="he0" vbProcedure="false">Thesis!$C$27</definedName>
    <definedName function="false" hidden="false" name="he_b2" vbProcedure="false">In!$E$91</definedName>
    <definedName function="false" hidden="false" name="he_b3" vbProcedure="false">In!$E$92</definedName>
    <definedName function="false" hidden="false" name="he_h" vbProcedure="false">In!$E$90</definedName>
    <definedName function="false" hidden="false" name="he_vr" vbProcedure="false">In!$E$93</definedName>
    <definedName function="false" hidden="false" name="inc_m" vbProcedure="false">In!$E$113</definedName>
    <definedName function="false" hidden="false" name="internal_ai_reading" vbProcedure="false">In!$E$48</definedName>
    <definedName function="false" hidden="false" name="kd" vbProcedure="false">In!$E$33</definedName>
    <definedName function="false" hidden="false" name="kd_sp" vbProcedure="false">In!$E$32</definedName>
    <definedName function="false" hidden="false" name="ke" vbProcedure="false">Val!$B$36</definedName>
    <definedName function="false" hidden="false" name="legal_oth" vbProcedure="false">In!$E$15</definedName>
    <definedName function="false" hidden="false" name="life_fac" vbProcedure="false">In!$E$84</definedName>
    <definedName function="false" hidden="false" name="life_it" vbProcedure="false">In!$E$83</definedName>
    <definedName function="false" hidden="false" name="life_na" vbProcedure="false">In!$E$85</definedName>
    <definedName function="false" hidden="false" name="mat_27" vbProcedure="false">In!$E$138</definedName>
    <definedName function="false" hidden="false" name="mb_q3" vbProcedure="false">In!$E$120</definedName>
    <definedName function="false" hidden="false" name="mcps" vbProcedure="false">In!$E$16</definedName>
    <definedName function="false" hidden="false" name="mid" vbProcedure="false">In!$E$37</definedName>
    <definedName function="false" hidden="false" name="min_cash" vbProcedure="false">In!$E$137</definedName>
    <definedName function="false" hidden="false" name="mult_ads" vbProcedure="false">Val!$B$110</definedName>
    <definedName function="false" hidden="false" name="mult_x" vbProcedure="false">Val!$B$111</definedName>
    <definedName function="false" hidden="false" name="mw_24" vbProcedure="false">Thesis!$C$17</definedName>
    <definedName function="false" hidden="false" name="mw_25" vbProcedure="false">Thesis!$C$18</definedName>
    <definedName function="false" hidden="false" name="mw_9m" vbProcedure="false">Thesis!$C$19</definedName>
    <definedName function="false" hidden="false" name="mw_cip" vbProcedure="false">Thesis!$C$21</definedName>
    <definedName function="false" hidden="false" name="mw_pre24" vbProcedure="false">Thesis!$C$16</definedName>
    <definedName function="false" hidden="false" name="mw_tot0" vbProcedure="false">Thesis!$C$20</definedName>
    <definedName function="false" hidden="false" name="m_foa" vbProcedure="false">Q!$B$72</definedName>
    <definedName function="false" hidden="false" name="m_foa_25" vbProcedure="false">Q!$B$71</definedName>
    <definedName function="false" hidden="false" name="m_foa_9m" vbProcedure="false">Q!$B$69</definedName>
    <definedName function="false" hidden="false" name="m_foa_q3" vbProcedure="false">Q!$B$70</definedName>
    <definedName function="false" hidden="false" name="opx0" vbProcedure="false">Thesis!$C$28</definedName>
    <definedName function="false" hidden="false" name="opx_b2" vbProcedure="false">In!$E$95</definedName>
    <definedName function="false" hidden="false" name="opx_b3" vbProcedure="false">In!$E$96</definedName>
    <definedName function="false" hidden="false" name="opx_h" vbProcedure="false">In!$E$94</definedName>
    <definedName function="false" hidden="false" name="opx_vr" vbProcedure="false">In!$E$97</definedName>
    <definedName function="false" hidden="false" name="ot_legal_at" vbProcedure="false">In!$E$126</definedName>
    <definedName function="false" hidden="false" name="ot_legal_q2" vbProcedure="false">In!$E$121</definedName>
    <definedName function="false" hidden="false" name="ot_legal_q3" vbProcedure="false">In!$E$123</definedName>
    <definedName function="false" hidden="false" name="ot_oi_9m" vbProcedure="false">Q!$B$68</definedName>
    <definedName function="false" hidden="false" name="ot_sev_q2" vbProcedure="false">In!$E$122</definedName>
    <definedName function="false" hidden="false" name="ot_tax_q1" vbProcedure="false">In!$E$124</definedName>
    <definedName function="false" hidden="false" name="pA" vbProcedure="false">In!$E$111</definedName>
    <definedName function="false" hidden="false" name="pC" vbProcedure="false">In!$E$112</definedName>
    <definedName function="false" hidden="false" name="phi_0" vbProcedure="false">In!$E$86</definedName>
    <definedName function="false" hidden="false" name="phi_q4" vbProcedure="false">In!$E$87</definedName>
    <definedName function="false" hidden="false" name="pmw_26" vbProcedure="false">Thesis!$C$9</definedName>
    <definedName function="false" hidden="false" name="pmw_27" vbProcedure="false">Thesis!$C$10</definedName>
    <definedName function="false" hidden="false" name="pmw_28" vbProcedure="false">Thesis!$C$11</definedName>
    <definedName function="false" hidden="false" name="pmw_b2" vbProcedure="false">Thesis!$C$7</definedName>
    <definedName function="false" hidden="false" name="pmw_b3" vbProcedure="false">Thesis!$C$8</definedName>
    <definedName function="false" hidden="false" name="pmw_h" vbProcedure="false">Thesis!$C$6</definedName>
    <definedName function="false" hidden="false" name="pm_ads_app" vbProcedure="false">In!$E$55</definedName>
    <definedName function="false" hidden="false" name="pm_ads_googl" vbProcedure="false">In!$E$52</definedName>
    <definedName function="false" hidden="false" name="pm_ads_pins" vbProcedure="false">In!$E$53</definedName>
    <definedName function="false" hidden="false" name="pm_ads_rddt" vbProcedure="false">In!$E$56</definedName>
    <definedName function="false" hidden="false" name="pm_ads_snap" vbProcedure="false">In!$E$57</definedName>
    <definedName function="false" hidden="false" name="pm_ads_ttd" vbProcedure="false">In!$E$54</definedName>
    <definedName function="false" hidden="false" name="pm_meta_own" vbProcedure="false">In!$E$58</definedName>
    <definedName function="false" hidden="false" name="pref_27" vbProcedure="false">In!$E$19</definedName>
    <definedName function="false" hidden="false" name="pref_28" vbProcedure="false">In!$E$20</definedName>
    <definedName function="false" hidden="false" name="pref_29" vbProcedure="false">In!$E$21</definedName>
    <definedName function="false" hidden="false" name="pref_2H" vbProcedure="false">In!$E$18</definedName>
    <definedName function="false" hidden="false" name="px" vbProcedure="false">In!$E$5</definedName>
    <definedName function="false" hidden="false" name="px_val" vbProcedure="false">In!$E$6</definedName>
    <definedName function="false" hidden="false" name="rent_l" vbProcedure="false">In!$E$89</definedName>
    <definedName function="false" hidden="false" name="rev_9m" vbProcedure="false">Q!$B$73</definedName>
    <definedName function="false" hidden="false" name="rf" vbProcedure="false">In!$E$26</definedName>
    <definedName function="false" hidden="false" name="rl_da_sh" vbProcedure="false">In!$E$119</definedName>
    <definedName function="false" hidden="false" name="rl_loss26" vbProcedure="false">In!$E$116</definedName>
    <definedName function="false" hidden="false" name="rl_loss27" vbProcedure="false">In!$E$117</definedName>
    <definedName function="false" hidden="false" name="rl_loss32" vbProcedure="false">In!$E$118</definedName>
    <definedName function="false" hidden="false" name="rl_mode" vbProcedure="false">In!$E$60</definedName>
    <definedName function="false" hidden="false" name="ronic" vbProcedure="false">Val!$B$39</definedName>
    <definedName function="false" hidden="false" name="ronic_sp" vbProcedure="false">In!$E$36</definedName>
    <definedName function="false" hidden="false" name="r_cash" vbProcedure="false">In!$E$129</definedName>
    <definedName function="false" hidden="false" name="r_debt" vbProcedure="false">In!$E$130</definedName>
    <definedName function="false" hidden="false" name="sbc_add" vbProcedure="false">In!$E$49</definedName>
    <definedName function="false" hidden="false" name="sbc_r" vbProcedure="false">In!$E$131</definedName>
    <definedName function="false" hidden="false" name="selfb" vbProcedure="false">In!$E$76</definedName>
    <definedName function="false" hidden="false" name="sh_basic_q3" vbProcedure="false">In!$E$9</definedName>
    <definedName function="false" hidden="false" name="sh_dil_q3" vbProcedure="false">In!$E$8</definedName>
    <definedName function="false" hidden="false" name="sh_out" vbProcedure="false">In!$E$7</definedName>
    <definedName function="false" hidden="false" name="tax" vbProcedure="false">In!$E$128</definedName>
    <definedName function="false" hidden="false" name="tp_wA" vbProcedure="false">In!$E$40</definedName>
    <definedName function="false" hidden="false" name="tp_wB" vbProcedure="false">In!$E$41</definedName>
    <definedName function="false" hidden="false" name="tp_wC" vbProcedure="false">In!$E$42</definedName>
    <definedName function="false" hidden="false" name="tv_alt" vbProcedure="false">In!$E$50</definedName>
    <definedName function="false" hidden="false" name="t_q4" vbProcedure="false">In!$E$39</definedName>
    <definedName function="false" hidden="false" name="t_tgt" vbProcedure="false">In!$E$44</definedName>
    <definedName function="false" hidden="false" name="t_val" vbProcedure="false">In!$E$38</definedName>
    <definedName function="false" hidden="false" name="wacc" vbProcedure="false">Val!$B$38</definedName>
    <definedName function="false" hidden="false" name="wacc_adj" vbProcedure="false">In!$E$34</definedName>
    <definedName function="false" hidden="false" name="wc_k" vbProcedure="false">In!$E$133</definedName>
    <definedName function="false" hidden="false" name="w_dcf" vbProcedure="false">In!$E$43</definedName>
    <definedName function="false" hidden="false" name="w_ntm27" vbProcedure="false">In!$E$45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<sst xmlns="http://schemas.openxmlformats.org/spreadsheetml/2006/main" count="3045" uniqueCount="1256">
  <si>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）— 命題模組＋官方營收分部 → 損益表（完整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、法說與 </t>
    </r>
    <r>
      <rPr>
        <sz val="11"/>
        <color theme="1"/>
        <rFont val="Calibri"/>
        <family val="2"/>
        <charset val="1"/>
      </rPr>
      <t xml:space="preserve">follow-up call </t>
    </r>
    <r>
      <rPr>
        <sz val="11"/>
        <color theme="1"/>
        <rFont val="Noto Sans CJK SC"/>
        <family val="2"/>
      </rPr>
      <t xml:space="preserve">補資料缺口）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</si>
  <si>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1,350–1,450 </t>
    </r>
    <r>
      <rPr>
        <sz val="11"/>
        <color theme="1"/>
        <rFont val="Noto Sans CJK SC"/>
        <family val="2"/>
      </rPr>
      <t xml:space="preserve">億美元，含融資租賃本金）能否由廣告現金流支撐，且自用算力（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＋自研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）是否帶來足以回本的廣告變現提升。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</si>
  <si>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增量營業利益（讀法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影子效益＝自用在役 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持有成本）能否覆蓋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資本支出的資金成本；收支關卡＝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自由現金流扣股利合計。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</si>
  <si>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</si>
  <si>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</si>
  <si>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</si>
  <si>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</si>
  <si>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</si>
  <si>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</si>
  <si>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capex_g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cip_0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cip_ai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HoldEcon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</si>
  <si>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增量營運成本、影子效益</t>
    </r>
  </si>
  <si>
    <r>
      <rPr>
        <sz val="11"/>
        <color theme="1"/>
        <rFont val="Noto Sans CJK SC"/>
        <family val="2"/>
      </rPr>
      <t xml:space="preserve">資本支出 →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）→ 折舊與營運成本 →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</si>
  <si>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Seg</t>
  </si>
  <si>
    <r>
      <rPr>
        <sz val="11"/>
        <color theme="1"/>
        <rFont val="Noto Sans CJK SC"/>
        <family val="2"/>
      </rPr>
      <t xml:space="preserve">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頁）、</t>
    </r>
    <r>
      <rPr>
        <sz val="11"/>
        <color theme="1"/>
        <rFont val="Calibri"/>
        <family val="2"/>
        <charset val="1"/>
      </rPr>
      <t xml:space="preserve">gl_impr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gl_price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gl_other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</si>
  <si>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價格）、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</t>
    </r>
    <r>
      <rPr>
        <sz val="11"/>
        <color theme="1"/>
        <rFont val="Noto Sans CJK SC"/>
        <family val="2"/>
      </rPr>
      <t xml:space="preserve">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</si>
  <si>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＋價格情境調整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</si>
  <si>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</si>
  <si>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m_foa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rl_loss26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rl_da_sh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  <r>
      <rPr>
        <sz val="11"/>
        <color theme="1"/>
        <rFont val="Noto Sans CJK SC"/>
        <family val="2"/>
      </rPr>
      <t xml:space="preserve">、一次性項目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</si>
  <si>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（財報／排除一次性／評價口徑）</t>
    </r>
  </si>
  <si>
    <r>
      <rPr>
        <sz val="11"/>
        <color theme="1"/>
        <rFont val="Noto Sans CJK SC"/>
        <family val="2"/>
      </rPr>
      <t xml:space="preserve">分部營收 →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</si>
  <si>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</si>
  <si>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ag_pay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mcps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fwd_cash</t>
    </r>
  </si>
  <si>
    <t xml:space="preserve">自由現金流、股利、回購、新債、淨現金、收支關卡</t>
  </si>
  <si>
    <t xml:space="preserve">淨利＋折舊 − 協議付款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</si>
  <si>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</si>
  <si>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kd_sp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ronic_sp</t>
    </r>
    <r>
      <rPr>
        <sz val="11"/>
        <color theme="1"/>
        <rFont val="Noto Sans CJK SC"/>
        <family val="2"/>
      </rPr>
      <t xml:space="preserve">、同業倍數、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rl_mode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</si>
  <si>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</si>
  <si>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</si>
  <si>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</si>
  <si>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</si>
  <si>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</si>
  <si>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</si>
  <si>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本版要點（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</si>
  <si>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架構同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範本）：命題（自用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）＋官方分部 → 損益表 → 現金流 →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以完整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106 </t>
    </r>
    <r>
      <rPr>
        <sz val="11"/>
        <color theme="1"/>
        <rFont val="Noto Sans CJK SC"/>
        <family val="2"/>
      </rPr>
      <t xml:space="preserve">頁，入庫）、法說與 </t>
    </r>
    <r>
      <rPr>
        <sz val="11"/>
        <color theme="1"/>
        <rFont val="Calibri"/>
        <family val="2"/>
        <charset val="1"/>
      </rPr>
      <t xml:space="preserve">follow-up call </t>
    </r>
    <r>
      <rPr>
        <sz val="11"/>
        <color theme="1"/>
        <rFont val="Noto Sans CJK SC"/>
        <family val="2"/>
      </rPr>
      <t xml:space="preserve">逐字稿（不入庫）補資料缺口。</t>
    </r>
  </si>
  <si>
    <r>
      <rPr>
        <sz val="11"/>
        <color theme="1"/>
        <rFont val="Noto Sans CJK SC"/>
        <family val="2"/>
      </rPr>
      <t xml:space="preserve">更正（完整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）：多州檢察長協議費用前三季合計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）→ 其他法律應計類債 </t>
    </r>
    <r>
      <rPr>
        <sz val="11"/>
        <color theme="1"/>
        <rFont val="Calibri"/>
        <family val="2"/>
        <charset val="1"/>
      </rPr>
      <t xml:space="preserve">9.99 → 7.99</t>
    </r>
    <r>
      <rPr>
        <sz val="11"/>
        <color theme="1"/>
        <rFont val="Noto Sans CJK SC"/>
        <family val="2"/>
      </rPr>
      <t xml:space="preserve">。協議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原文只寫十年分年支付、未載各年金額 → 維持等額（</t>
    </r>
    <r>
      <rPr>
        <sz val="11"/>
        <color theme="1"/>
        <rFont val="Calibri"/>
        <family val="2"/>
        <charset val="1"/>
      </rPr>
      <t xml:space="preserve">H3</t>
    </r>
    <r>
      <rPr>
        <sz val="11"/>
        <color theme="1"/>
        <rFont val="Noto Sans CJK SC"/>
        <family val="2"/>
      </rPr>
      <t xml:space="preserve">）；前高後低（第一年約 </t>
    </r>
    <r>
      <rPr>
        <sz val="11"/>
        <color theme="1"/>
        <rFont val="Calibri"/>
        <family val="2"/>
        <charset val="1"/>
      </rPr>
      <t xml:space="preserve">4.04</t>
    </r>
    <r>
      <rPr>
        <sz val="11"/>
        <color theme="1"/>
        <rFont val="Noto Sans CJK SC"/>
        <family val="2"/>
      </rPr>
      <t xml:space="preserve">，由流動／非流動應計推論）只進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</si>
  <si>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小修：強制轉換特別股改用淨額 </t>
    </r>
    <r>
      <rPr>
        <sz val="11"/>
        <color theme="1"/>
        <rFont val="Calibri"/>
        <family val="2"/>
        <charset val="1"/>
      </rPr>
      <t xml:space="preserve">12.46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424B5 </t>
    </r>
    <r>
      <rPr>
        <sz val="11"/>
        <color theme="1"/>
        <rFont val="Noto Sans CJK SC"/>
        <family val="2"/>
      </rPr>
      <t xml:space="preserve">承銷折扣）；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的遠期出售現金以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期中折現；分部加總補扣 </t>
    </r>
    <r>
      <rPr>
        <sz val="11"/>
        <color theme="1"/>
        <rFont val="Calibri"/>
        <family val="2"/>
        <charset val="1"/>
      </rPr>
      <t xml:space="preserve">FY2028–FY2029 </t>
    </r>
    <r>
      <rPr>
        <sz val="11"/>
        <color theme="1"/>
        <rFont val="Noto Sans CJK SC"/>
        <family val="2"/>
      </rPr>
      <t xml:space="preserve">特別股股利。</t>
    </r>
  </si>
  <si>
    <r>
      <rPr>
        <sz val="11"/>
        <color theme="1"/>
        <rFont val="Noto Sans CJK SC"/>
        <family val="2"/>
      </rPr>
      <t xml:space="preserve">資料缺口：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未單獨揭露融資租賃負債（使用權資產 </t>
    </r>
    <r>
      <rPr>
        <sz val="11"/>
        <color theme="1"/>
        <rFont val="Calibri"/>
        <family val="2"/>
        <charset val="1"/>
      </rPr>
      <t xml:space="preserve">11.70</t>
    </r>
    <r>
      <rPr>
        <sz val="11"/>
        <color theme="1"/>
        <rFont val="Noto Sans CJK SC"/>
        <family val="2"/>
      </rPr>
      <t xml:space="preserve">）→ 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11.70</t>
    </r>
    <r>
      <rPr>
        <sz val="11"/>
        <color theme="1"/>
        <rFont val="Noto Sans CJK SC"/>
        <family val="2"/>
      </rPr>
      <t xml:space="preserve">；未載伺服器耐用年限 → 維持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年；買回授權剩餘 </t>
    </r>
    <r>
      <rPr>
        <sz val="11"/>
        <color theme="1"/>
        <rFont val="Calibri"/>
        <family val="2"/>
        <charset val="1"/>
      </rPr>
      <t xml:space="preserve">25.03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年未買回）。</t>
    </r>
  </si>
  <si>
    <r>
      <rPr>
        <sz val="11"/>
        <color theme="1"/>
        <rFont val="Noto Sans CJK SC"/>
        <family val="2"/>
      </rPr>
      <t xml:space="preserve">法說與 </t>
    </r>
    <r>
      <rPr>
        <sz val="11"/>
        <color theme="1"/>
        <rFont val="Calibri"/>
        <family val="2"/>
        <charset val="1"/>
      </rPr>
      <t xml:space="preserve">follow-up call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資本支出未量化（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法說才給）、</t>
    </r>
    <r>
      <rPr>
        <sz val="11"/>
        <color theme="1"/>
        <rFont val="Calibri"/>
        <family val="2"/>
        <charset val="1"/>
      </rPr>
      <t xml:space="preserve">RL 2027 </t>
    </r>
    <r>
      <rPr>
        <sz val="11"/>
        <color theme="1"/>
        <rFont val="Noto Sans CJK SC"/>
        <family val="2"/>
      </rPr>
      <t xml:space="preserve">虧損約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（已在模型）、未提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；自建為主、以第三方雲端補近期容量、自建／租用比例未揭露 → 只寫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，不填數值（</t>
    </r>
    <r>
      <rPr>
        <sz val="11"/>
        <color theme="1"/>
        <rFont val="Calibri"/>
        <family val="2"/>
        <charset val="1"/>
      </rPr>
      <t xml:space="preserve">H2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</si>
  <si>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meta/make_v01.sh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</si>
  <si>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（公司正式財報或申報文件）／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（公司指引、賣方、第三方網站）／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（換算）。每股數字為 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下旬，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）前的口徑。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</si>
  <si>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股票股利前口徑）；股數十億股；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</si>
  <si>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事實總帳：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facts_2026q3.py </t>
    </r>
    <r>
      <rPr>
        <sz val="11"/>
        <color theme="1"/>
        <rFont val="Noto Sans CJK SC"/>
        <family val="2"/>
      </rPr>
      <t xml:space="preserve">兩讀核對，</t>
    </r>
    <r>
      <rPr>
        <sz val="11"/>
        <color theme="1"/>
        <rFont val="Calibri"/>
        <family val="2"/>
        <charset val="1"/>
      </rPr>
      <t xml:space="preserve">648 </t>
    </r>
    <r>
      <rPr>
        <sz val="11"/>
        <color theme="1"/>
        <rFont val="Noto Sans CJK SC"/>
        <family val="2"/>
      </rPr>
      <t xml:space="preserve">筆；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加完整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424B5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follow-up call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data/consensus_meta_20261030.json</t>
    </r>
    <r>
      <rPr>
        <sz val="11"/>
        <color theme="1"/>
        <rFont val="Noto Sans CJK SC"/>
        <family val="2"/>
      </rPr>
      <t xml:space="preserve">；同業 </t>
    </r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（五家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）。評價日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，目標時點 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</si>
  <si>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</si>
  <si>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</si>
  <si>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</si>
  <si>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</si>
  <si>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</si>
  <si>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</si>
  <si>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</si>
  <si>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</si>
  <si>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</si>
  <si>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</si>
  <si>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</si>
  <si>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收盤只找到一個來源）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</si>
  <si>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</si>
  <si>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</si>
  <si>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StockScan https://stockscan.io/stocks/META/price-history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10-28 −1.24%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10-27 620.19 − 7.70</t>
    </r>
    <r>
      <rPr>
        <sz val="11"/>
        <color theme="1"/>
        <rFont val="Noto Sans CJK SC"/>
        <family val="2"/>
      </rPr>
      <t xml:space="preserve">）相符（</t>
    </r>
    <r>
      <rPr>
        <sz val="11"/>
        <color theme="1"/>
        <rFont val="Calibri"/>
        <family val="2"/>
        <charset val="1"/>
      </rPr>
      <t xml:space="preserve">consensus_meta_20261030.json priceReference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</si>
  <si>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收盤需兩個來源一致；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再查只有 </t>
    </r>
    <r>
      <rPr>
        <sz val="11"/>
        <color theme="1"/>
        <rFont val="Calibri"/>
        <family val="2"/>
        <charset val="1"/>
      </rPr>
      <t xml:space="preserve">ChartRow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as of close, Oct 29, 2026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624.55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+1.97%</t>
    </r>
    <r>
      <rPr>
        <sz val="11"/>
        <color theme="1"/>
        <rFont val="Noto Sans CJK SC"/>
        <family val="2"/>
      </rPr>
      <t xml:space="preserve">）一個來源（</t>
    </r>
    <r>
      <rPr>
        <sz val="11"/>
        <color theme="1"/>
        <rFont val="Calibri"/>
        <family val="2"/>
        <charset val="1"/>
      </rPr>
      <t xml:space="preserve">https://chartrow.com/quote/meta</t>
    </r>
    <r>
      <rPr>
        <sz val="11"/>
        <color theme="1"/>
        <rFont val="Noto Sans CJK SC"/>
        <family val="2"/>
      </rPr>
      <t xml:space="preserve">），故用 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。只影響上檔空間與評等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</si>
  <si>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</si>
  <si>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權益權重用）</t>
    </r>
  </si>
  <si>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歷史股價 </t>
    </r>
    <r>
      <rPr>
        <sz val="11"/>
        <color theme="1"/>
        <rFont val="Calibri"/>
        <family val="2"/>
        <charset val="1"/>
      </rPr>
      <t xml:space="preserve">https://www.tipranks.com/stocks/meta/historical-prices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9/29 738.79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9/30 725.18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StockScan 9/30 −1.84%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738.79 × 0.9816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725.20</t>
    </r>
    <r>
      <rPr>
        <sz val="11"/>
        <color theme="1"/>
        <rFont val="Noto Sans CJK SC"/>
        <family val="2"/>
      </rPr>
      <t xml:space="preserve">，相符）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</si>
  <si>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</si>
  <si>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Class 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</si>
  <si>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</si>
  <si>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封面兩類相加（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sh.out.20261016</t>
    </r>
    <r>
      <rPr>
        <sz val="11"/>
        <color theme="1"/>
        <rFont val="Noto Sans CJK SC"/>
        <family val="2"/>
      </rPr>
      <t xml:space="preserve">）</t>
    </r>
  </si>
  <si>
    <t xml:space="preserve">sh_dil_q3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</si>
  <si>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</si>
  <si>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is.sh_d.2026q3</t>
    </r>
    <r>
      <rPr>
        <sz val="11"/>
        <color theme="1"/>
        <rFont val="Noto Sans CJK SC"/>
        <family val="2"/>
      </rPr>
      <t xml:space="preserve">）</t>
    </r>
  </si>
  <si>
    <t xml:space="preserve">sh_basic_q3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</si>
  <si>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</si>
  <si>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is.sh_b.2026q3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</si>
  <si>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期末稀釋股數＝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</si>
  <si>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cash_0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</si>
  <si>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</si>
  <si>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</si>
  <si>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新聞稿資產負債表：現金 </t>
    </r>
    <r>
      <rPr>
        <sz val="11"/>
        <color theme="1"/>
        <rFont val="Calibri"/>
        <family val="2"/>
        <charset val="1"/>
      </rPr>
      <t xml:space="preserve">11.222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71.227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bs.mktsec.20260930</t>
    </r>
    <r>
      <rPr>
        <sz val="11"/>
        <color theme="1"/>
        <rFont val="Noto Sans CJK SC"/>
        <family val="2"/>
      </rPr>
      <t xml:space="preserve">）</t>
    </r>
  </si>
  <si>
    <t xml:space="preserve">cash_ye25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</si>
  <si>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</si>
  <si>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新聞稿資產負債表 </t>
    </r>
    <r>
      <rPr>
        <sz val="11"/>
        <color theme="1"/>
        <rFont val="Calibri"/>
        <family val="2"/>
        <charset val="1"/>
      </rPr>
      <t xml:space="preserve">35.873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45.719</t>
    </r>
  </si>
  <si>
    <t xml:space="preserve">debt_0</t>
  </si>
  <si>
    <r>
      <rPr>
        <sz val="11"/>
        <color theme="1"/>
        <rFont val="Noto Sans CJK SC"/>
        <family val="2"/>
      </rPr>
      <t xml:space="preserve">票據面額（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</si>
  <si>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長期債務附註（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</si>
  <si>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 </t>
    </r>
    <r>
      <rPr>
        <sz val="11"/>
        <color theme="1"/>
        <rFont val="Calibri"/>
        <family val="2"/>
        <charset val="1"/>
      </rPr>
      <t xml:space="preserve">83.669</t>
    </r>
    <r>
      <rPr>
        <sz val="11"/>
        <color theme="1"/>
        <rFont val="Noto Sans CJK SC"/>
        <family val="2"/>
      </rPr>
      <t xml:space="preserve">＝流動 </t>
    </r>
    <r>
      <rPr>
        <sz val="11"/>
        <color theme="1"/>
        <rFont val="Calibri"/>
        <family val="2"/>
        <charset val="1"/>
      </rPr>
      <t xml:space="preserve">2.747</t>
    </r>
    <r>
      <rPr>
        <sz val="11"/>
        <color theme="1"/>
        <rFont val="Noto Sans CJK SC"/>
        <family val="2"/>
      </rPr>
      <t xml:space="preserve">＋非流動 </t>
    </r>
    <r>
      <rPr>
        <sz val="11"/>
        <color theme="1"/>
        <rFont val="Calibri"/>
        <family val="2"/>
        <charset val="1"/>
      </rPr>
      <t xml:space="preserve">80.922</t>
    </r>
  </si>
  <si>
    <t xml:space="preserve">debt_ye25</t>
  </si>
  <si>
    <r>
      <rPr>
        <sz val="11"/>
        <color theme="1"/>
        <rFont val="Noto Sans CJK SC"/>
        <family val="2"/>
      </rPr>
      <t xml:space="preserve">長期債務帳面（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，非流動）</t>
    </r>
  </si>
  <si>
    <r>
      <rPr>
        <sz val="11"/>
        <color theme="1"/>
        <rFont val="Calibri"/>
        <family val="2"/>
        <charset val="1"/>
      </rPr>
      <t xml:space="preserve">Meta 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）資產負債表（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bs.ltd.20251231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</si>
  <si>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頁期初顯示；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期末直接取 </t>
    </r>
    <r>
      <rPr>
        <sz val="11"/>
        <color theme="1"/>
        <rFont val="Calibri"/>
        <family val="2"/>
        <charset val="1"/>
      </rPr>
      <t xml:space="preserve">debt_0</t>
    </r>
  </si>
  <si>
    <t xml:space="preserve">fin_lease</t>
  </si>
  <si>
    <t xml:space="preserve">融資租賃負債（類債）</t>
  </si>
  <si>
    <t xml:space="preserve">Assumed</t>
  </si>
  <si>
    <r>
      <rPr>
        <sz val="11"/>
        <color theme="1"/>
        <rFont val="Noto Sans CJK SC"/>
        <family val="2"/>
      </rPr>
      <t xml:space="preserve">完整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未單獨揭露融資租賃負債（資產負債表無此科目；附註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其他流動 </t>
    </r>
    <r>
      <rPr>
        <sz val="11"/>
        <color theme="1"/>
        <rFont val="Calibri"/>
        <family val="2"/>
        <charset val="1"/>
      </rPr>
      <t xml:space="preserve">13.993</t>
    </r>
    <r>
      <rPr>
        <sz val="11"/>
        <color theme="1"/>
        <rFont val="Noto Sans CJK SC"/>
        <family val="2"/>
      </rPr>
      <t xml:space="preserve">／非流動 </t>
    </r>
    <r>
      <rPr>
        <sz val="11"/>
        <color theme="1"/>
        <rFont val="Calibri"/>
        <family val="2"/>
        <charset val="1"/>
      </rPr>
      <t xml:space="preserve">5.041 </t>
    </r>
    <r>
      <rPr>
        <sz val="11"/>
        <color theme="1"/>
        <rFont val="Noto Sans CJK SC"/>
        <family val="2"/>
      </rPr>
      <t xml:space="preserve">未拆）；融資租賃使用權資產 </t>
    </r>
    <r>
      <rPr>
        <sz val="11"/>
        <color theme="1"/>
        <rFont val="Calibri"/>
        <family val="2"/>
        <charset val="1"/>
      </rPr>
      <t xml:space="preserve">11.704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fl.rou.20260930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</si>
  <si>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融資租賃多為預付，本金支付已含在資本支出（公司口徑，收支關卡與 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一致扣本金）；高＝使用權資產 </t>
    </r>
    <r>
      <rPr>
        <sz val="11"/>
        <color theme="1"/>
        <rFont val="Calibri"/>
        <family val="2"/>
        <charset val="1"/>
      </rPr>
      <t xml:space="preserve">11.704 </t>
    </r>
    <r>
      <rPr>
        <sz val="11"/>
        <color theme="1"/>
        <rFont val="Noto Sans CJK SC"/>
        <family val="2"/>
      </rPr>
      <t xml:space="preserve">當上限（只進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）。仍為資料缺口（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租賃附註）</t>
    </r>
  </si>
  <si>
    <t xml:space="preserve">legal_oth</t>
  </si>
  <si>
    <r>
      <rPr>
        <sz val="11"/>
        <color theme="1"/>
        <rFont val="Noto Sans CJK SC"/>
        <family val="2"/>
      </rPr>
      <t xml:space="preserve">其他法律相關應計（類債）＝法律應計 </t>
    </r>
    <r>
      <rPr>
        <sz val="11"/>
        <color theme="1"/>
        <rFont val="Calibri"/>
        <family val="2"/>
        <charset val="1"/>
      </rPr>
      <t xml:space="preserve">19.881 − </t>
    </r>
    <r>
      <rPr>
        <sz val="11"/>
        <color theme="1"/>
        <rFont val="Noto Sans CJK SC"/>
        <family val="2"/>
      </rPr>
      <t xml:space="preserve">協議費用前三季合計 </t>
    </r>
    <r>
      <rPr>
        <sz val="11"/>
        <color theme="1"/>
        <rFont val="Calibri"/>
        <family val="2"/>
        <charset val="1"/>
      </rPr>
      <t xml:space="preserve">11.89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</si>
  <si>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</si>
  <si>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legal.accrual.20260930</t>
    </r>
    <r>
      <rPr>
        <sz val="11"/>
        <color theme="1"/>
        <rFont val="Noto Sans CJK SC"/>
        <family val="2"/>
      </rPr>
      <t xml:space="preserve">）；協議費用 </t>
    </r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legal.agCharge.ytd9m2026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</si>
  <si>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應計罰款（類債）；低＝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（不扣）。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更正：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只扣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（得 </t>
    </r>
    <r>
      <rPr>
        <sz val="11"/>
        <color theme="1"/>
        <rFont val="Calibri"/>
        <family val="2"/>
        <charset val="1"/>
      </rPr>
      <t xml:space="preserve">9.991</t>
    </r>
    <r>
      <rPr>
        <sz val="11"/>
        <color theme="1"/>
        <rFont val="Noto Sans CJK SC"/>
        <family val="2"/>
      </rPr>
      <t xml:space="preserve">），完整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載協議費用前三季合計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以前已認列約 </t>
    </r>
    <r>
      <rPr>
        <sz val="11"/>
        <color theme="1"/>
        <rFont val="Calibri"/>
        <family val="2"/>
        <charset val="1"/>
      </rPr>
      <t xml:space="preserve">2.00</t>
    </r>
    <r>
      <rPr>
        <sz val="11"/>
        <color theme="1"/>
        <rFont val="Noto Sans CJK SC"/>
        <family val="2"/>
      </rPr>
      <t xml:space="preserve">），協議應計已由 </t>
    </r>
    <r>
      <rPr>
        <sz val="11"/>
        <color theme="1"/>
        <rFont val="Calibri"/>
        <family val="2"/>
        <charset val="1"/>
      </rPr>
      <t xml:space="preserve">ag_y1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ag_rest </t>
    </r>
    <r>
      <rPr>
        <sz val="11"/>
        <color theme="1"/>
        <rFont val="Noto Sans CJK SC"/>
        <family val="2"/>
      </rPr>
      <t xml:space="preserve">現金付款計入</t>
    </r>
  </si>
  <si>
    <t xml:space="preserve">mcps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</si>
  <si>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強制轉換特別股募得現金淨額（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交割，評價日後；毛額 </t>
    </r>
    <r>
      <rPr>
        <sz val="11"/>
        <color theme="1"/>
        <rFont val="Calibri"/>
        <family val="2"/>
        <charset val="1"/>
      </rPr>
      <t xml:space="preserve">12.5 − </t>
    </r>
    <r>
      <rPr>
        <sz val="11"/>
        <color theme="1"/>
        <rFont val="Noto Sans CJK SC"/>
        <family val="2"/>
      </rPr>
      <t xml:space="preserve">承銷折扣 </t>
    </r>
    <r>
      <rPr>
        <sz val="11"/>
        <color theme="1"/>
        <rFont val="Calibri"/>
        <family val="2"/>
        <charset val="1"/>
      </rPr>
      <t xml:space="preserve">0.0416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</si>
  <si>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424B5 </t>
    </r>
    <r>
      <rPr>
        <sz val="11"/>
        <color theme="1"/>
        <rFont val="Noto Sans CJK SC"/>
        <family val="2"/>
      </rPr>
      <t xml:space="preserve">封面推算（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eq.mcps.net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Series A </t>
    </r>
    <r>
      <rPr>
        <sz val="11"/>
        <color theme="1"/>
        <rFont val="Noto Sans CJK SC"/>
        <family val="2"/>
      </rPr>
      <t xml:space="preserve">存託股）封面（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eq.mcps.uwDisc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</si>
  <si>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：改用淨額（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用毛額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）；發行費用未揭露、不扣；超額配售（約 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）未知是否行使，不計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</si>
  <si>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</si>
  <si>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</si>
  <si>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：每股特別股（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美元）轉 </t>
    </r>
    <r>
      <rPr>
        <sz val="11"/>
        <color theme="1"/>
        <rFont val="Calibri"/>
        <family val="2"/>
        <charset val="1"/>
      </rPr>
      <t xml:space="preserve">1.3620–1.6000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Class 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12.5B ÷ 1,000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20.0M </t>
    </r>
    <r>
      <rPr>
        <sz val="11"/>
        <color theme="1"/>
        <rFont val="Noto Sans CJK SC"/>
        <family val="2"/>
      </rPr>
      <t xml:space="preserve">股（上限）</t>
    </r>
  </si>
  <si>
    <t xml:space="preserve">取稀釋最大（保守）；轉換前股利照付</t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</si>
  <si>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</si>
  <si>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</si>
  <si>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6.50% × 12.5B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0.8125</t>
    </r>
    <r>
      <rPr>
        <sz val="11"/>
        <color theme="1"/>
        <rFont val="Noto Sans CJK SC"/>
        <family val="2"/>
      </rPr>
      <t xml:space="preserve">／年；首次付息推定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轉換前最後一期（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約三季）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</si>
  <si>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</si>
  <si>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</si>
  <si>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</si>
  <si>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</si>
  <si>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</si>
  <si>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</si>
  <si>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t xml:space="preserve">fwd_on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</si>
  <si>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交割（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＝計入；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＝不計）</t>
    </r>
  </si>
  <si>
    <t xml:space="preserve">x</t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</si>
  <si>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eq.fwd.shares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股、初始遠期價 </t>
    </r>
    <r>
      <rPr>
        <sz val="11"/>
        <color theme="1"/>
        <rFont val="Calibri"/>
        <family val="2"/>
        <charset val="1"/>
      </rPr>
      <t xml:space="preserve">622.91875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前由公司選擇交割</t>
    </r>
  </si>
  <si>
    <r>
      <rPr>
        <sz val="11"/>
        <color theme="1"/>
        <rFont val="Noto Sans CJK SC"/>
        <family val="2"/>
      </rPr>
      <t xml:space="preserve">交割前公司不收款；目標時點 </t>
    </r>
    <r>
      <rPr>
        <sz val="11"/>
        <color theme="1"/>
        <rFont val="Calibri"/>
        <family val="2"/>
        <charset val="1"/>
      </rPr>
      <t xml:space="preserve">2027-10-30 </t>
    </r>
    <r>
      <rPr>
        <sz val="11"/>
        <color theme="1"/>
        <rFont val="Noto Sans CJK SC"/>
        <family val="2"/>
      </rPr>
      <t xml:space="preserve">前推定已交割（判斷）</t>
    </r>
  </si>
  <si>
    <t xml:space="preserve">fwd_sh</t>
  </si>
  <si>
    <t xml:space="preserve">遠期出售股數</t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</si>
  <si>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eq.fwd.shares</t>
    </r>
    <r>
      <rPr>
        <sz val="11"/>
        <color theme="1"/>
        <rFont val="Noto Sans CJK SC"/>
        <family val="2"/>
      </rPr>
      <t xml:space="preserve">）</t>
    </r>
  </si>
  <si>
    <t xml:space="preserve">fwd_cash</t>
  </si>
  <si>
    <r>
      <rPr>
        <sz val="11"/>
        <color theme="1"/>
        <rFont val="Noto Sans CJK SC"/>
        <family val="2"/>
      </rPr>
      <t xml:space="preserve">遠期出售淨額（初始遠期價 </t>
    </r>
    <r>
      <rPr>
        <sz val="11"/>
        <color theme="1"/>
        <rFont val="Calibri"/>
        <family val="2"/>
        <charset val="1"/>
      </rPr>
      <t xml:space="preserve">622.91875 × 40M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</si>
  <si>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超額配售 </t>
    </r>
    <r>
      <rPr>
        <sz val="11"/>
        <color theme="1"/>
        <rFont val="Calibri"/>
        <family val="2"/>
        <charset val="1"/>
      </rPr>
      <t xml:space="preserve">6M </t>
    </r>
    <r>
      <rPr>
        <sz val="11"/>
        <color theme="1"/>
        <rFont val="Noto Sans CJK SC"/>
        <family val="2"/>
      </rPr>
      <t xml:space="preserve">股不計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</si>
  <si>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折現率與目標價規則（同 </t>
    </r>
    <r>
      <rPr>
        <b val="true"/>
        <sz val="11"/>
        <rFont val="Cambria"/>
        <family val="0"/>
        <charset val="1"/>
      </rPr>
      <t xml:space="preserve">Alphabet v0.3.2</t>
    </r>
    <r>
      <rPr>
        <b val="true"/>
        <sz val="11"/>
        <rFont val="Noto Sans CJK SC"/>
        <family val="2"/>
      </rPr>
      <t xml:space="preserve">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</si>
  <si>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</si>
  <si>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</si>
  <si>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</si>
  <si>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2026-10-27 4.99%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v0.3.1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</si>
  <si>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t xml:space="preserve">本次重讀財政部網頁被擋（權限逾時），沿用同一讀值</t>
  </si>
  <si>
    <t xml:space="preserve">beta_cr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</si>
  <si>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ChartRow</t>
    </r>
    <r>
      <rPr>
        <sz val="11"/>
        <color theme="1"/>
        <rFont val="Noto Sans CJK SC"/>
        <family val="2"/>
      </rPr>
      <t xml:space="preserve">（期間未載）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</si>
  <si>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</si>
  <si>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https://chartrow.com/quote/meta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讀取，</t>
    </r>
    <r>
      <rPr>
        <sz val="11"/>
        <color theme="1"/>
        <rFont val="Calibri"/>
        <family val="2"/>
        <charset val="1"/>
      </rPr>
      <t xml:space="preserve">as of close Oct 29, 2026</t>
    </r>
    <r>
      <rPr>
        <sz val="11"/>
        <color theme="1"/>
        <rFont val="Noto Sans CJK SC"/>
        <family val="2"/>
      </rPr>
      <t xml:space="preserve">）</t>
    </r>
  </si>
  <si>
    <t xml:space="preserve">beta_cd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</si>
  <si>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CoinDataFlow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Beta (5Y Monthly)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</si>
  <si>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https://coindataflow.com/en/stock/META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Updated 2026-10-30 00:37 UTC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</si>
  <si>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統計頁讀取被擋（權限逾時）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</si>
  <si>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</si>
  <si>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</si>
  <si>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）；同 </t>
    </r>
    <r>
      <rPr>
        <sz val="11"/>
        <color theme="1"/>
        <rFont val="Calibri"/>
        <family val="2"/>
        <charset val="1"/>
      </rPr>
      <t xml:space="preserve">Alphabet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</si>
  <si>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</si>
  <si>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調整後兩個來源的中位數）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</si>
  <si>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</si>
  <si>
    <t xml:space="preserve">低／高＝兩個來源各自的調整值</t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</si>
  <si>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</si>
  <si>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</si>
  <si>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v0.2.2 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</si>
  <si>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</si>
  <si>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AA− </t>
    </r>
    <r>
      <rPr>
        <sz val="11"/>
        <color theme="1"/>
        <rFont val="Noto Sans CJK SC"/>
        <family val="2"/>
      </rPr>
      <t xml:space="preserve">公司債利差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</si>
  <si>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評等 </t>
    </r>
    <r>
      <rPr>
        <sz val="11"/>
        <color theme="1"/>
        <rFont val="Calibri"/>
        <family val="2"/>
        <charset val="1"/>
      </rPr>
      <t xml:space="preserve">AA−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Aa3 </t>
    </r>
    <r>
      <rPr>
        <sz val="11"/>
        <color theme="1"/>
        <rFont val="Noto Sans CJK SC"/>
        <family val="2"/>
      </rPr>
      <t xml:space="preserve">級（未入事實總帳）；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50–100bp</t>
    </r>
  </si>
  <si>
    <t xml:space="preserve">kd</t>
  </si>
  <si>
    <r>
      <rPr>
        <sz val="11"/>
        <color theme="1"/>
        <rFont val="Noto Sans CJK SC"/>
        <family val="2"/>
      </rPr>
      <t xml:space="preserve">稅前債務成本＝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</si>
  <si>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</si>
  <si>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</si>
  <si>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</si>
  <si>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</si>
  <si>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</si>
  <si>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t xml:space="preserve">ronic_sp</t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</si>
  <si>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</si>
  <si>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</si>
  <si>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</si>
  <si>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mid</t>
  </si>
  <si>
    <t xml:space="preserve">期中慣例：年度現金流距年初</t>
  </si>
  <si>
    <t xml:space="preserve">年</t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</si>
  <si>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</si>
  <si>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</si>
  <si>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</si>
  <si>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</si>
  <si>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</si>
  <si>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</si>
  <si>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</si>
  <si>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</si>
  <si>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</si>
  <si>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</si>
  <si>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</si>
  <si>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</si>
  <si>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</si>
  <si>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</si>
  <si>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</si>
  <si>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</si>
  <si>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</si>
  <si>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</si>
  <si>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365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</si>
  <si>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</si>
  <si>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</si>
  <si>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天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</si>
  <si>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</si>
  <si>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</si>
  <si>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MarketBeat https://www.marketbeat.com/stocks/NASDAQ/META/Forecast/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位，頁面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consensus_meta_20261030.json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</si>
  <si>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TipRanks 851.15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valueinvesting 841.37</t>
    </r>
    <r>
      <rPr>
        <sz val="11"/>
        <color theme="1"/>
        <rFont val="Noto Sans CJK SC"/>
        <family val="2"/>
      </rPr>
      <t xml:space="preserve">；賣方有承銷關係（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股權融資），只作對照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</si>
  <si>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</si>
  <si>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</si>
  <si>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一季＋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10-30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</si>
  <si>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</si>
  <si>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</si>
  <si>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Andy 2026-10-27 15:03</t>
    </r>
    <r>
      <rPr>
        <sz val="11"/>
        <color theme="1"/>
        <rFont val="Noto Sans CJK SC"/>
        <family val="2"/>
      </rPr>
      <t xml:space="preserve">）：自用增量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）＝影子效益（非財報營收），只進評價口徑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</si>
  <si>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算力皆自用（無對外雲端）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</si>
  <si>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</si>
  <si>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</si>
  <si>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：股權報酬視為真實成本、不加回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</si>
  <si>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</si>
  <si>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</si>
  <si>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分部加總倍數：數位廣告同業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M7</t>
    </r>
    <r>
      <rPr>
        <b val="true"/>
        <sz val="11"/>
        <rFont val="Noto Sans CJK SC"/>
        <family val="2"/>
      </rPr>
      <t xml:space="preserve">：五家 </t>
    </r>
    <r>
      <rPr>
        <b val="true"/>
        <sz val="11"/>
        <rFont val="Cambria"/>
        <family val="0"/>
        <charset val="1"/>
      </rPr>
      <t xml:space="preserve">2026-10-07 </t>
    </r>
    <r>
      <rPr>
        <b val="true"/>
        <sz val="11"/>
        <rFont val="Noto Sans CJK SC"/>
        <family val="2"/>
      </rPr>
      <t xml:space="preserve">基準＋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</si>
  <si>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pm_ads_googl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</si>
  <si>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</si>
  <si>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資料推算，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</si>
  <si>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</si>
  <si>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</si>
  <si>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</si>
  <si>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基準，未更新）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</si>
  <si>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</si>
  <si>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</si>
  <si>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</si>
  <si>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</si>
  <si>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</si>
  <si>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</si>
  <si>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</si>
  <si>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</si>
  <si>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pm_meta_own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</si>
  <si>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；只作對照與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</si>
  <si>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data/peers_ads_20261030.json selfReference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10.79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</si>
  <si>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</si>
  <si>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＝六家中位數；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</si>
  <si>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：同業照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段檔，預設中位數；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用大型同業（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）而非小型廣告科技，對應到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，列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與判斷題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</si>
  <si>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（高）／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8.99×</t>
    </r>
  </si>
  <si>
    <t xml:space="preserve">rl_mode</t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</si>
  <si>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在分部加總的計法（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廣告倍數，虧損為負值；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</si>
  <si>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r>
      <rPr>
        <sz val="11"/>
        <color theme="1"/>
        <rFont val="Noto Sans CJK SC"/>
        <family val="2"/>
      </rPr>
      <t xml:space="preserve">判斷：同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層級負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的處理（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已逐年扣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</si>
  <si>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</si>
  <si>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M4</t>
    </r>
    <r>
      <rPr>
        <b val="true"/>
        <sz val="11"/>
        <rFont val="Noto Sans CJK SC"/>
        <family val="2"/>
      </rPr>
      <t xml:space="preserve">：由資本支出經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資本支出反推，同 </t>
    </r>
    <r>
      <rPr>
        <b val="true"/>
        <sz val="11"/>
        <rFont val="Cambria"/>
        <family val="0"/>
        <charset val="1"/>
      </rPr>
      <t xml:space="preserve">Alphabet C10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MTIA </t>
    </r>
    <r>
      <rPr>
        <b val="true"/>
        <sz val="11"/>
        <rFont val="Noto Sans CJK SC"/>
        <family val="2"/>
      </rPr>
      <t xml:space="preserve">不套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係數）</t>
    </r>
  </si>
  <si>
    <t xml:space="preserve">cx_na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</si>
  <si>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資本支出占營收（辦公室、一般伺服器、網路；其餘＝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</si>
  <si>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前）資本支出約占營收兩成含一般資料中心；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起公司稱資本支出主要為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基礎設施（法說）</t>
    </r>
  </si>
  <si>
    <r>
      <rPr>
        <sz val="11"/>
        <color theme="1"/>
        <rFont val="Noto Sans CJK SC"/>
        <family val="2"/>
      </rPr>
      <t xml:space="preserve">決定歷年資本支出中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的部分與預測期非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</si>
  <si>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cx_23</t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</si>
  <si>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</si>
  <si>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Meta 2023 </t>
    </r>
    <r>
      <rPr>
        <sz val="11"/>
        <color theme="1"/>
        <rFont val="Noto Sans CJK SC"/>
        <family val="2"/>
      </rPr>
      <t xml:space="preserve">年第四季財報新聞稿（全年 </t>
    </r>
    <r>
      <rPr>
        <sz val="11"/>
        <color theme="1"/>
        <rFont val="Calibri"/>
        <family val="2"/>
        <charset val="1"/>
      </rPr>
      <t xml:space="preserve">28.10B</t>
    </r>
    <r>
      <rPr>
        <sz val="11"/>
        <color theme="1"/>
        <rFont val="Noto Sans CJK SC"/>
        <family val="2"/>
      </rPr>
      <t xml:space="preserve">）；未入本版事實總帳（只用於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</si>
  <si>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ai_23</t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</si>
  <si>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及以前機隊：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占資本支出比例（換算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年底以前的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</si>
  <si>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採購開始放量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</si>
  <si>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汰換資本支出</t>
    </r>
  </si>
  <si>
    <t xml:space="preserve">cx_24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</si>
  <si>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資本支出（購置不動產與設備＋融資租賃本金）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</si>
  <si>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cf.capex_ppe.fy2024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cf.fl_principal.fy2024</t>
    </r>
  </si>
  <si>
    <t xml:space="preserve">cx_25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</si>
  <si>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</si>
  <si>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購置不動產與設備＋融資租賃本金（推導；事實總帳 </t>
    </r>
    <r>
      <rPr>
        <sz val="11"/>
        <color theme="1"/>
        <rFont val="Calibri"/>
        <family val="2"/>
        <charset val="1"/>
      </rPr>
      <t xml:space="preserve">cf.capexInclFL.fy2025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</si>
  <si>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新聞稿文字 </t>
    </r>
    <r>
      <rPr>
        <sz val="11"/>
        <color theme="1"/>
        <rFont val="Calibri"/>
        <family val="2"/>
        <charset val="1"/>
      </rPr>
      <t xml:space="preserve">72.22 </t>
    </r>
    <r>
      <rPr>
        <sz val="11"/>
        <color theme="1"/>
        <rFont val="Noto Sans CJK SC"/>
        <family val="2"/>
      </rPr>
      <t xml:space="preserve">相符</t>
    </r>
  </si>
  <si>
    <t xml:space="preserve">capex_9m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</si>
  <si>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</si>
  <si>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購置不動產與設備＋融資租賃本金（推導；事實總帳 </t>
    </r>
    <r>
      <rPr>
        <sz val="11"/>
        <color theme="1"/>
        <rFont val="Calibri"/>
        <family val="2"/>
        <charset val="1"/>
      </rPr>
      <t xml:space="preserve">cf.capexInclFL.ytd9m2026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</si>
  <si>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購置不動產與設備 </t>
    </r>
    <r>
      <rPr>
        <sz val="11"/>
        <color theme="1"/>
        <rFont val="Calibri"/>
        <family val="2"/>
        <charset val="1"/>
      </rPr>
      <t xml:space="preserve">83.055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</si>
  <si>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</si>
  <si>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資本支出指引中點（含融資租賃本金）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</si>
  <si>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txt.guid_capex2026.2026q3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</si>
  <si>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公式＝本值（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以公式反推，不需迭代）</t>
    </r>
  </si>
  <si>
    <t xml:space="preserve">cx27_k</t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</si>
  <si>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資本支出基準值＝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</si>
  <si>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：法說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無數字（逐字稿「</t>
    </r>
    <r>
      <rPr>
        <sz val="11"/>
        <color theme="1"/>
        <rFont val="Calibri"/>
        <family val="2"/>
        <charset val="1"/>
      </rPr>
      <t xml:space="preserve">until we get to the Q4 call</t>
    </r>
    <r>
      <rPr>
        <sz val="11"/>
        <color theme="1"/>
        <rFont val="Noto Sans CJK SC"/>
        <family val="2"/>
      </rPr>
      <t xml:space="preserve">」，事實總帳 </t>
    </r>
    <r>
      <rPr>
        <sz val="11"/>
        <color theme="1"/>
        <rFont val="Calibri"/>
        <family val="2"/>
        <charset val="1"/>
      </rPr>
      <t xml:space="preserve">call.capex2027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年增率的一半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</si>
  <si>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3/4</t>
    </r>
  </si>
  <si>
    <t xml:space="preserve">cx27_up</t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</si>
  <si>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的幅度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</si>
  <si>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±15%</t>
    </r>
  </si>
  <si>
    <t xml:space="preserve">cx27_B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</si>
  <si>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</si>
  <si>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購置不動產與設備 </t>
    </r>
    <r>
      <rPr>
        <sz val="11"/>
        <color theme="1"/>
        <rFont val="Calibri"/>
        <family val="2"/>
        <charset val="1"/>
      </rPr>
      <t xml:space="preserve">193.06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，財報前、不含租賃本金）</t>
    </r>
  </si>
  <si>
    <t xml:space="preserve">cx27_A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</si>
  <si>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變現提升 → 加碼投資）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</si>
  <si>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× 1.15</t>
    </r>
  </si>
  <si>
    <t xml:space="preserve">cx27_C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</si>
  <si>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資本支出（變現提升消退 → 放緩）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</si>
  <si>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× 0.85</t>
    </r>
  </si>
  <si>
    <t xml:space="preserve">a28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</si>
  <si>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</si>
  <si>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同速）；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</si>
  <si>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</si>
  <si>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</si>
  <si>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</si>
  <si>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</si>
  <si>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</si>
  <si>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v0.2.2 capexModel.selfBuild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）與租賃在表外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</si>
  <si>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</si>
  <si>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</si>
  <si>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無揭露，全部按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</si>
  <si>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</si>
  <si>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</si>
  <si>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</si>
  <si>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</si>
  <si>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t xml:space="preserve">cip_0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</si>
  <si>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</si>
  <si>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不動產與設備附註（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ppe.cip.20260930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</si>
  <si>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起轉入在役：折舊同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處理不同——本模型把在建工程對應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計入增量在役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（有影子效益與營運成本），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（待判斷）</t>
    </r>
  </si>
  <si>
    <t xml:space="preserve">cip_ai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</si>
  <si>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</si>
  <si>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判斷：與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占資本支出比例（約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成，見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）一致</t>
    </r>
  </si>
  <si>
    <r>
      <rPr>
        <sz val="11"/>
        <color theme="1"/>
        <rFont val="Noto Sans CJK SC"/>
        <family val="2"/>
      </rPr>
      <t xml:space="preserve">在建工程對應的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 → 自用增量（影子效益與營運成本）</t>
    </r>
  </si>
  <si>
    <t xml:space="preserve">cip_it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</si>
  <si>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（伺服器與網通）占比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</si>
  <si>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未揭露；</t>
    </r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</si>
  <si>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、其餘依 </t>
    </r>
    <r>
      <rPr>
        <sz val="11"/>
        <color theme="1"/>
        <rFont val="Calibri"/>
        <family val="2"/>
        <charset val="1"/>
      </rPr>
      <t xml:space="preserve">life_fac </t>
    </r>
    <r>
      <rPr>
        <sz val="11"/>
        <color theme="1"/>
        <rFont val="Noto Sans CJK SC"/>
        <family val="2"/>
      </rPr>
      <t xml:space="preserve">折舊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</si>
  <si>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</si>
  <si>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折舊年限（年；汰換週期）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</si>
  <si>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起伺服器耐用年限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年（公開資訊，未入事實總帳）</t>
    </r>
  </si>
  <si>
    <r>
      <rPr>
        <sz val="11"/>
        <color theme="1"/>
        <rFont val="Noto Sans CJK SC"/>
        <family val="2"/>
      </rPr>
      <t xml:space="preserve">整數年（汰換排程用）。完整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未載耐用年限（只寫會計政策與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相比無重大變動，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頁）→ 不改；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隱含：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伺服器折舊 </t>
    </r>
    <r>
      <rPr>
        <sz val="11"/>
        <color theme="1"/>
        <rFont val="Calibri"/>
        <family val="2"/>
        <charset val="1"/>
      </rPr>
      <t xml:space="preserve">5.34 × 4 ÷ </t>
    </r>
    <r>
      <rPr>
        <sz val="11"/>
        <color theme="1"/>
        <rFont val="Noto Sans CJK SC"/>
        <family val="2"/>
      </rPr>
      <t xml:space="preserve">伺服器毛額 </t>
    </r>
    <r>
      <rPr>
        <sz val="11"/>
        <color theme="1"/>
        <rFont val="Calibri"/>
        <family val="2"/>
        <charset val="1"/>
      </rPr>
      <t xml:space="preserve">133.6 ≈ 6.3 </t>
    </r>
    <r>
      <rPr>
        <sz val="11"/>
        <color theme="1"/>
        <rFont val="Noto Sans CJK SC"/>
        <family val="2"/>
      </rPr>
      <t xml:space="preserve">年（含未滿一年資產，粗估）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</si>
  <si>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</si>
  <si>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</si>
  <si>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</si>
  <si>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</si>
  <si>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</si>
  <si>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t xml:space="preserve">phi_0</t>
  </si>
  <si>
    <t xml:space="preserve">資本支出當期折舊比例（年度批次）</t>
  </si>
  <si>
    <t xml:space="preserve">phi_q4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</si>
  <si>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批次（在建工程轉入與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資本支出）當期折舊比例（年）</t>
    </r>
  </si>
  <si>
    <r>
      <rPr>
        <sz val="11"/>
        <color theme="1"/>
        <rFont val="Noto Sans CJK SC"/>
        <family val="2"/>
      </rPr>
      <t xml:space="preserve">判斷：季中上線 → 一季的一半（</t>
    </r>
    <r>
      <rPr>
        <sz val="11"/>
        <color theme="1"/>
        <rFont val="Calibri"/>
        <family val="2"/>
        <charset val="1"/>
      </rPr>
      <t xml:space="preserve">0.125 </t>
    </r>
    <r>
      <rPr>
        <sz val="11"/>
        <color theme="1"/>
        <rFont val="Noto Sans CJK SC"/>
        <family val="2"/>
      </rPr>
      <t xml:space="preserve">年）；最後一年補足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本值（全期合計＝金額）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</si>
  <si>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phi_0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）計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批次，使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折舊跳升；高＝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口徑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</si>
  <si>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</si>
  <si>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</si>
  <si>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</si>
  <si>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cf.da.2026q3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× 4</t>
    </r>
  </si>
  <si>
    <t xml:space="preserve">rent_l</t>
  </si>
  <si>
    <r>
      <rPr>
        <sz val="11"/>
        <color theme="1"/>
        <rFont val="Noto Sans CJK SC"/>
        <family val="2"/>
      </rPr>
      <t xml:space="preserve">租用算力年租金滿載值（尚未起租租賃＋第三方雲端；只進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</si>
  <si>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租賃附註（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lease.notCommenced.20260930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355.73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年租期（假設）＝</t>
    </r>
    <r>
      <rPr>
        <sz val="11"/>
        <color theme="1"/>
        <rFont val="Calibri"/>
        <family val="2"/>
        <charset val="1"/>
      </rPr>
      <t xml:space="preserve">17.79</t>
    </r>
    <r>
      <rPr>
        <sz val="11"/>
        <color theme="1"/>
        <rFont val="Noto Sans CJK SC"/>
        <family val="2"/>
      </rPr>
      <t xml:space="preserve">／年；第三方雲端與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成本法說未給金額</t>
    </r>
  </si>
  <si>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條）：不進基準，只放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2/3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起全額；讀法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下與影子效益同樣價值中性（只影響現金流與收支關卡）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</si>
  <si>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</si>
  <si>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</si>
  <si>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</si>
  <si>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</si>
  <si>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</si>
  <si>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</si>
  <si>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</si>
  <si>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</si>
  <si>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</si>
  <si>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</si>
  <si>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</si>
  <si>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</si>
  <si>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</si>
  <si>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data/tokenomics_snapshot_v21.7.json</t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</si>
  <si>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</si>
  <si>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</si>
  <si>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</si>
  <si>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</si>
  <si>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</si>
  <si>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</si>
  <si>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</si>
  <si>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</si>
  <si>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</si>
  <si>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</si>
  <si>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</si>
  <si>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</si>
  <si>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</si>
  <si>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</si>
  <si>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</si>
  <si>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</si>
  <si>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</si>
  <si>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</si>
  <si>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</si>
  <si>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</si>
  <si>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</si>
  <si>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</si>
  <si>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</si>
  <si>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</t>
    </r>
    <r>
      <rPr>
        <b val="true"/>
        <sz val="11"/>
        <rFont val="Cambria"/>
        <family val="0"/>
        <charset val="1"/>
      </rPr>
      <t xml:space="preserve">Advertising</t>
    </r>
    <r>
      <rPr>
        <b val="true"/>
        <sz val="11"/>
        <rFont val="Noto Sans CJK SC"/>
        <family val="2"/>
      </rPr>
      <t xml:space="preserve">＝曝光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價格；情境軸＝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對每則廣告價格的提升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</si>
  <si>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</si>
  <si>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</si>
  <si>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</t>
    </r>
  </si>
  <si>
    <t xml:space="preserve">g0_q</t>
  </si>
  <si>
    <r>
      <rPr>
        <sz val="11"/>
        <color theme="1"/>
        <rFont val="Noto Sans CJK SC"/>
        <family val="2"/>
      </rPr>
      <t xml:space="preserve">起始年增改用最新一季（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＝近四季）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</si>
  <si>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項：近四季年增；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曝光年增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（近四季平均 </t>
    </r>
    <r>
      <rPr>
        <sz val="11"/>
        <color theme="1"/>
        <rFont val="Calibri"/>
        <family val="2"/>
        <charset val="1"/>
      </rPr>
      <t xml:space="preserve">+15.25%</t>
    </r>
    <r>
      <rPr>
        <sz val="11"/>
        <color theme="1"/>
        <rFont val="Noto Sans CJK SC"/>
        <family val="2"/>
      </rPr>
      <t xml:space="preserve">），法說未給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</si>
  <si>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</si>
  <si>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gl_impr</t>
  </si>
  <si>
    <t xml:space="preserve">廣告曝光數長期年增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</si>
  <si>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DAP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新聞稿）＋使用時間與新版位（</t>
    </r>
    <r>
      <rPr>
        <sz val="11"/>
        <color theme="1"/>
        <rFont val="Calibri"/>
        <family val="2"/>
        <charset val="1"/>
      </rPr>
      <t xml:space="preserve">Threads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WhatsApp</t>
    </r>
    <r>
      <rPr>
        <sz val="11"/>
        <color theme="1"/>
        <rFont val="Noto Sans CJK SC"/>
        <family val="2"/>
      </rPr>
      <t xml:space="preserve">）</t>
    </r>
  </si>
  <si>
    <t xml:space="preserve">gl_price</t>
  </si>
  <si>
    <t xml:space="preserve">每則廣告平均價格長期年增</t>
  </si>
  <si>
    <r>
      <rPr>
        <sz val="11"/>
        <color theme="1"/>
        <rFont val="Noto Sans CJK SC"/>
        <family val="2"/>
      </rPr>
      <t xml:space="preserve">判斷：約等於名目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與廣告通膨</t>
    </r>
  </si>
  <si>
    <t xml:space="preserve">pA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</si>
  <si>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對每則廣告價格的提升（相對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</si>
  <si>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推薦與廣告工具（</t>
    </r>
    <r>
      <rPr>
        <sz val="11"/>
        <color theme="1"/>
        <rFont val="Calibri"/>
        <family val="2"/>
        <charset val="1"/>
      </rPr>
      <t xml:space="preserve">Advantage+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Muse</t>
    </r>
    <r>
      <rPr>
        <sz val="11"/>
        <color theme="1"/>
        <rFont val="Noto Sans CJK SC"/>
        <family val="2"/>
      </rPr>
      <t xml:space="preserve">）提高轉換率 → 價格；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年每則價格年增 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txt.price_yoy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</si>
  <si>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</si>
  <si>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pC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</si>
  <si>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價格提升消退／競爭（相對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</si>
  <si>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答案與代理分流廣告曝光、同業（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TikTok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工具追上 → 價格溢價消退</t>
    </r>
  </si>
  <si>
    <t xml:space="preserve">inc_m</t>
  </si>
  <si>
    <r>
      <rPr>
        <sz val="11"/>
        <color theme="1"/>
        <rFont val="Noto Sans CJK SC"/>
        <family val="2"/>
      </rPr>
      <t xml:space="preserve">價格情境差額的增量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</si>
  <si>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判斷：價格提升幾乎不增加成本（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）</t>
    </r>
  </si>
  <si>
    <t xml:space="preserve">gl_other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</si>
  <si>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其他營收長期年增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</si>
  <si>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+64.6%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WhatsApp </t>
    </r>
    <r>
      <rPr>
        <sz val="11"/>
        <color theme="1"/>
        <rFont val="Noto Sans CJK SC"/>
        <family val="2"/>
      </rPr>
      <t xml:space="preserve">商業訊息、</t>
    </r>
    <r>
      <rPr>
        <sz val="11"/>
        <color theme="1"/>
        <rFont val="Calibri"/>
        <family val="2"/>
        <charset val="1"/>
      </rPr>
      <t xml:space="preserve">Meta One </t>
    </r>
    <r>
      <rPr>
        <sz val="11"/>
        <color theme="1"/>
        <rFont val="Noto Sans CJK SC"/>
        <family val="2"/>
      </rPr>
      <t xml:space="preserve">訂閱）</t>
    </r>
  </si>
  <si>
    <t xml:space="preserve">gl_rl</t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</si>
  <si>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營收長期年增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</si>
  <si>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4.5%</t>
    </r>
  </si>
  <si>
    <t xml:space="preserve">rl_loss26</t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</si>
  <si>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虧損（指引中點）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</si>
  <si>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txt.guid_rl_loss2026.2026q3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</si>
  <si>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虧損＝本值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</t>
    </r>
  </si>
  <si>
    <t xml:space="preserve">rl_loss27</t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</si>
  <si>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</si>
  <si>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15B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call.rlLoss2027</t>
    </r>
    <r>
      <rPr>
        <sz val="11"/>
        <color theme="1"/>
        <rFont val="Noto Sans CJK SC"/>
        <family val="2"/>
      </rPr>
      <t xml:space="preserve">）</t>
    </r>
  </si>
  <si>
    <t xml:space="preserve">rl_loss32</t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</si>
  <si>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起線性）</t>
    </r>
  </si>
  <si>
    <r>
      <rPr>
        <sz val="11"/>
        <color theme="1"/>
        <rFont val="Noto Sans CJK SC"/>
        <family val="2"/>
      </rPr>
      <t xml:space="preserve">法說：之後「</t>
    </r>
    <r>
      <rPr>
        <sz val="11"/>
        <color theme="1"/>
        <rFont val="Calibri"/>
        <family val="2"/>
        <charset val="1"/>
      </rPr>
      <t xml:space="preserve">trending towards profitability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</si>
  <si>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rl_da_sh</t>
  </si>
  <si>
    <r>
      <rPr>
        <sz val="11"/>
        <color theme="1"/>
        <rFont val="Noto Sans CJK SC"/>
        <family val="2"/>
      </rPr>
      <t xml:space="preserve">折舊中歸 </t>
    </r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的比例（基礎折舊）</t>
    </r>
  </si>
  <si>
    <t xml:space="preserve">判斷：公司不揭露分部折舊</t>
  </si>
  <si>
    <r>
      <rPr>
        <sz val="11"/>
        <color theme="1"/>
        <rFont val="Noto Sans CJK SC"/>
        <family val="2"/>
      </rPr>
      <t xml:space="preserve">只影響分部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拆分</t>
    </r>
  </si>
  <si>
    <t xml:space="preserve">mb_q3</t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</si>
  <si>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率起點改用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</si>
  <si>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（最新年初至今）；兩者皆排除一次性項目</t>
    </r>
  </si>
  <si>
    <t xml:space="preserve">ot_legal_q2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</si>
  <si>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法律費用</t>
    </r>
  </si>
  <si>
    <r>
      <rPr>
        <sz val="11"/>
        <color theme="1"/>
        <rFont val="Calibri"/>
        <family val="2"/>
        <charset val="1"/>
      </rPr>
      <t xml:space="preserve">Meta 2026Q2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txt.legal_charge.2026q2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</si>
  <si>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</t>
    </r>
  </si>
  <si>
    <t xml:space="preserve">ot_sev_q2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</si>
  <si>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遣散費用</t>
    </r>
  </si>
  <si>
    <r>
      <rPr>
        <sz val="11"/>
        <color theme="1"/>
        <rFont val="Calibri"/>
        <family val="2"/>
        <charset val="1"/>
      </rPr>
      <t xml:space="preserve">Meta 2026Q2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txt.severance.2026q2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</si>
  <si>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未揭露分部；推定 </t>
    </r>
    <r>
      <rPr>
        <sz val="11"/>
        <color theme="1"/>
        <rFont val="Calibri"/>
        <family val="2"/>
        <charset val="1"/>
      </rPr>
      <t xml:space="preserve">FoA</t>
    </r>
  </si>
  <si>
    <t xml:space="preserve">ot_legal_q3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</si>
  <si>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法律費用（多州檢察長協議）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</si>
  <si>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txt.legal_charge.2026q3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</si>
  <si>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新聞稿未寫分部；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營業利益跌幅顯示在 </t>
    </r>
    <r>
      <rPr>
        <sz val="11"/>
        <color theme="1"/>
        <rFont val="Calibri"/>
        <family val="2"/>
        <charset val="1"/>
      </rPr>
      <t xml:space="preserve">FoA</t>
    </r>
    <r>
      <rPr>
        <sz val="11"/>
        <color theme="1"/>
        <rFont val="Noto Sans CJK SC"/>
        <family val="2"/>
      </rPr>
      <t xml:space="preserve">（推論）</t>
    </r>
  </si>
  <si>
    <t xml:space="preserve">ot_tax_q1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</si>
  <si>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2026Q1 CAMT </t>
    </r>
    <r>
      <rPr>
        <sz val="11"/>
        <color theme="1"/>
        <rFont val="Noto Sans CJK SC"/>
        <family val="2"/>
      </rPr>
      <t xml:space="preserve">所得稅利益</t>
    </r>
  </si>
  <si>
    <r>
      <rPr>
        <sz val="11"/>
        <color theme="1"/>
        <rFont val="Calibri"/>
        <family val="2"/>
        <charset val="1"/>
      </rPr>
      <t xml:space="preserve">Meta 2026Q1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txt.tax_benefit_camt.2026q1</t>
    </r>
    <r>
      <rPr>
        <sz val="11"/>
        <color theme="1"/>
        <rFont val="Noto Sans CJK SC"/>
        <family val="2"/>
      </rPr>
      <t xml:space="preserve">）</t>
    </r>
  </si>
  <si>
    <t xml:space="preserve">eps_x_q3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</si>
  <si>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排除法律費用後稀釋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</si>
  <si>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Calibri"/>
        <family val="2"/>
        <charset val="1"/>
      </rPr>
      <t xml:space="preserve">Q3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：「</t>
    </r>
    <r>
      <rPr>
        <sz val="11"/>
        <color theme="1"/>
        <rFont val="Calibri"/>
        <family val="2"/>
        <charset val="1"/>
      </rPr>
      <t xml:space="preserve">Diluted EPS of $3.83 would have increased by $3.57 to $7.40</t>
    </r>
    <r>
      <rPr>
        <sz val="11"/>
        <color theme="1"/>
        <rFont val="Noto Sans CJK SC"/>
        <family val="2"/>
      </rPr>
      <t xml:space="preserve">」；稅率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排除後為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讀取；獨立核對同讀）</t>
    </r>
  </si>
  <si>
    <t xml:space="preserve">公司自行計算的排除後數字</t>
  </si>
  <si>
    <t xml:space="preserve">ot_legal_at</t>
  </si>
  <si>
    <r>
      <rPr>
        <sz val="11"/>
        <color theme="1"/>
        <rFont val="Noto Sans CJK SC"/>
        <family val="2"/>
      </rPr>
      <t xml:space="preserve">法律費用稅後保留比例（＝</t>
    </r>
    <r>
      <rPr>
        <sz val="11"/>
        <color theme="1"/>
        <rFont val="Calibri"/>
        <family val="2"/>
        <charset val="1"/>
      </rPr>
      <t xml:space="preserve">(7.40 − 3.83) × Q3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÷ 9.89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</si>
  <si>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稅後影響約 </t>
    </r>
    <r>
      <rPr>
        <sz val="11"/>
        <color theme="1"/>
        <rFont val="Calibri"/>
        <family val="2"/>
        <charset val="1"/>
      </rPr>
      <t xml:space="preserve">9.18</t>
    </r>
    <r>
      <rPr>
        <sz val="11"/>
        <color theme="1"/>
        <rFont val="Noto Sans CJK SC"/>
        <family val="2"/>
      </rPr>
      <t xml:space="preserve">、稅盾約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（法說：「</t>
    </r>
    <r>
      <rPr>
        <sz val="11"/>
        <color theme="1"/>
        <rFont val="Calibri"/>
        <family val="2"/>
        <charset val="1"/>
      </rPr>
      <t xml:space="preserve">non-deductible portion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</si>
  <si>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2.40 </t>
    </r>
    <r>
      <rPr>
        <sz val="11"/>
        <color theme="1"/>
        <rFont val="Noto Sans CJK SC"/>
        <family val="2"/>
      </rPr>
      <t xml:space="preserve">套同一比例（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初版假設全額不可抵稅，已更正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</si>
  <si>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</si>
  <si>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</si>
  <si>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</si>
  <si>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txt.guid_tax_q4.2026q3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</si>
  <si>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15–17% </t>
    </r>
    <r>
      <rPr>
        <sz val="11"/>
        <color theme="1"/>
        <rFont val="Noto Sans CJK SC"/>
        <family val="2"/>
      </rPr>
      <t xml:space="preserve">中點；延用到預測期</t>
    </r>
  </si>
  <si>
    <t xml:space="preserve">r_cash</t>
  </si>
  <si>
    <t xml:space="preserve">現金收益率</t>
  </si>
  <si>
    <r>
      <rPr>
        <sz val="11"/>
        <color theme="1"/>
        <rFont val="Noto Sans CJK SC"/>
        <family val="2"/>
      </rPr>
      <t xml:space="preserve">判斷：短期公債約 </t>
    </r>
    <r>
      <rPr>
        <sz val="11"/>
        <color theme="1"/>
        <rFont val="Calibri"/>
        <family val="2"/>
        <charset val="1"/>
      </rPr>
      <t xml:space="preserve">4%</t>
    </r>
  </si>
  <si>
    <t xml:space="preserve">r_debt</t>
  </si>
  <si>
    <t xml:space="preserve">債務利率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</si>
  <si>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票據票面約 </t>
    </r>
    <r>
      <rPr>
        <sz val="11"/>
        <color theme="1"/>
        <rFont val="Calibri"/>
        <family val="2"/>
        <charset val="1"/>
      </rPr>
      <t xml:space="preserve">4.3–5.75%</t>
    </r>
    <r>
      <rPr>
        <sz val="11"/>
        <color theme="1"/>
        <rFont val="Noto Sans CJK SC"/>
        <family val="2"/>
      </rPr>
      <t xml:space="preserve">（未入事實總帳）</t>
    </r>
  </si>
  <si>
    <t xml:space="preserve">sbc_r</t>
  </si>
  <si>
    <t xml:space="preserve">股權報酬占營收（近四季）</t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</si>
  <si>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SBC 26.943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241.606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ttm.*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</si>
  <si>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</t>
    </r>
  </si>
  <si>
    <t xml:space="preserve">dil</t>
  </si>
  <si>
    <t xml:space="preserve">股數年稀釋（股權報酬）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</si>
  <si>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基本加權股數 </t>
    </r>
    <r>
      <rPr>
        <sz val="11"/>
        <color theme="1"/>
        <rFont val="Calibri"/>
        <family val="2"/>
        <charset val="1"/>
      </rPr>
      <t xml:space="preserve">2,525 → 2,552</t>
    </r>
    <r>
      <rPr>
        <sz val="11"/>
        <color theme="1"/>
        <rFont val="Noto Sans CJK SC"/>
        <family val="2"/>
      </rPr>
      <t xml:space="preserve">（三季 </t>
    </r>
    <r>
      <rPr>
        <sz val="11"/>
        <color theme="1"/>
        <rFont val="Calibri"/>
        <family val="2"/>
        <charset val="1"/>
      </rPr>
      <t xml:space="preserve">+1.07%</t>
    </r>
    <r>
      <rPr>
        <sz val="11"/>
        <color theme="1"/>
        <rFont val="Noto Sans CJK SC"/>
        <family val="2"/>
      </rPr>
      <t xml:space="preserve">，年化約 </t>
    </r>
    <r>
      <rPr>
        <sz val="11"/>
        <color theme="1"/>
        <rFont val="Calibri"/>
        <family val="2"/>
        <charset val="1"/>
      </rPr>
      <t xml:space="preserve">1.4%</t>
    </r>
    <r>
      <rPr>
        <sz val="11"/>
        <color theme="1"/>
        <rFont val="Noto Sans CJK SC"/>
        <family val="2"/>
      </rPr>
      <t xml:space="preserve">；暫停買回）</t>
    </r>
  </si>
  <si>
    <t xml:space="preserve">wc_k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</si>
  <si>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</si>
  <si>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0</t>
    </r>
  </si>
  <si>
    <t xml:space="preserve">dps</t>
  </si>
  <si>
    <t xml:space="preserve">普通股每股年股利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</si>
  <si>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股利支付 </t>
    </r>
    <r>
      <rPr>
        <sz val="11"/>
        <color theme="1"/>
        <rFont val="Calibri"/>
        <family val="2"/>
        <charset val="1"/>
      </rPr>
      <t xml:space="preserve">1.361 ÷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2.552 × 4</t>
    </r>
    <r>
      <rPr>
        <sz val="11"/>
        <color theme="1"/>
        <rFont val="Noto Sans CJK SC"/>
        <family val="2"/>
      </rPr>
      <t xml:space="preserve">（含股利約當）</t>
    </r>
  </si>
  <si>
    <t xml:space="preserve">dps_g</t>
  </si>
  <si>
    <t xml:space="preserve">每股股利年成長</t>
  </si>
  <si>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0.50 → 0.525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</si>
  <si>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</si>
  <si>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</si>
  <si>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起對外募股 → 預設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</si>
  <si>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26.248</t>
    </r>
  </si>
  <si>
    <t xml:space="preserve">min_cash</t>
  </si>
  <si>
    <t xml:space="preserve">最低現金</t>
  </si>
  <si>
    <t xml:space="preserve">判斷</t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</si>
  <si>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</si>
  <si>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一年內到期）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</si>
  <si>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長期債務附註（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debt.current.20260930</t>
    </r>
    <r>
      <rPr>
        <sz val="11"/>
        <color theme="1"/>
        <rFont val="Noto Sans CJK SC"/>
        <family val="2"/>
      </rPr>
      <t xml:space="preserve">）</t>
    </r>
  </si>
  <si>
    <t xml:space="preserve">其他年度到期即再融資（不影響淨現金），未逐年列</t>
  </si>
  <si>
    <t xml:space="preserve">ag_pay</t>
  </si>
  <si>
    <r>
      <rPr>
        <sz val="11"/>
        <color theme="1"/>
        <rFont val="Noto Sans CJK SC"/>
        <family val="2"/>
      </rPr>
      <t xml:space="preserve">多州檢察長協議年付款（</t>
    </r>
    <r>
      <rPr>
        <sz val="11"/>
        <color theme="1"/>
        <rFont val="Calibri"/>
        <family val="2"/>
        <charset val="1"/>
      </rPr>
      <t xml:space="preserve">12.7B ÷ 10 </t>
    </r>
    <r>
      <rPr>
        <sz val="11"/>
        <color theme="1"/>
        <rFont val="Noto Sans CJK SC"/>
        <family val="2"/>
      </rPr>
      <t xml:space="preserve">年；等額時每年）</t>
    </r>
  </si>
  <si>
    <r>
      <rPr>
        <sz val="11"/>
        <color theme="1"/>
        <rFont val="Calibri"/>
        <family val="2"/>
        <charset val="1"/>
      </rPr>
      <t xml:space="preserve">Meta 10-Q 2026Q3 MD&amp;A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Loss Contingencies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legal.agSettle.total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</si>
  <si>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條：留在現金流與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。完整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原文只寫「</t>
    </r>
    <r>
      <rPr>
        <sz val="11"/>
        <color theme="1"/>
        <rFont val="Calibri"/>
        <family val="2"/>
        <charset val="1"/>
      </rPr>
      <t xml:space="preserve">annual installments over a 10-year period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頁），未載各年金額 → 依工作單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維持等額</t>
    </r>
  </si>
  <si>
    <t xml:space="preserve">ag_y1</t>
  </si>
  <si>
    <r>
      <rPr>
        <sz val="11"/>
        <color theme="1"/>
        <rFont val="Noto Sans CJK SC"/>
        <family val="2"/>
      </rPr>
      <t xml:space="preserve">多州檢察長協議第一年（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）付款</t>
    </r>
  </si>
  <si>
    <r>
      <rPr>
        <sz val="11"/>
        <color theme="1"/>
        <rFont val="Noto Sans CJK SC"/>
        <family val="2"/>
      </rPr>
      <t xml:space="preserve">基準＝等額（</t>
    </r>
    <r>
      <rPr>
        <sz val="11"/>
        <color theme="1"/>
        <rFont val="Calibri"/>
        <family val="2"/>
        <charset val="1"/>
      </rPr>
      <t xml:space="preserve">H3</t>
    </r>
    <r>
      <rPr>
        <sz val="11"/>
        <color theme="1"/>
        <rFont val="Noto Sans CJK SC"/>
        <family val="2"/>
      </rPr>
      <t xml:space="preserve">）；高＝推論：協議前三季應計 </t>
    </r>
    <r>
      <rPr>
        <sz val="11"/>
        <color theme="1"/>
        <rFont val="Calibri"/>
        <family val="2"/>
        <charset val="1"/>
      </rPr>
      <t xml:space="preserve">11.89 −</t>
    </r>
    <r>
      <rPr>
        <sz val="11"/>
        <color theme="1"/>
        <rFont val="Noto Sans CJK SC"/>
        <family val="2"/>
      </rPr>
      <t xml:space="preserve">（非流動法律應計增加 </t>
    </r>
    <r>
      <rPr>
        <sz val="11"/>
        <color theme="1"/>
        <rFont val="Calibri"/>
        <family val="2"/>
        <charset val="1"/>
      </rPr>
      <t xml:space="preserve">8.304 − 0.450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7.854</t>
    </r>
    <r>
      <rPr>
        <sz val="11"/>
        <color theme="1"/>
        <rFont val="Noto Sans CJK SC"/>
        <family val="2"/>
      </rPr>
      <t xml:space="preserve">，假設全屬協議）＝約 </t>
    </r>
    <r>
      <rPr>
        <sz val="11"/>
        <color theme="1"/>
        <rFont val="Calibri"/>
        <family val="2"/>
        <charset val="1"/>
      </rPr>
      <t xml:space="preserve">4.04 </t>
    </r>
    <r>
      <rPr>
        <sz val="11"/>
        <color theme="1"/>
        <rFont val="Noto Sans CJK SC"/>
        <family val="2"/>
      </rPr>
      <t xml:space="preserve">在一年內到期</t>
    </r>
  </si>
  <si>
    <r>
      <rPr>
        <sz val="11"/>
        <color theme="1"/>
        <rFont val="Noto Sans CJK SC"/>
        <family val="2"/>
      </rPr>
      <t xml:space="preserve">流動法律應計 </t>
    </r>
    <r>
      <rPr>
        <sz val="11"/>
        <color theme="1"/>
        <rFont val="Calibri"/>
        <family val="2"/>
        <charset val="1"/>
      </rPr>
      <t xml:space="preserve">6.867 → 11.577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+4.71</t>
    </r>
    <r>
      <rPr>
        <sz val="11"/>
        <color theme="1"/>
        <rFont val="Noto Sans CJK SC"/>
        <family val="2"/>
      </rPr>
      <t xml:space="preserve">），含協議一年內到期部分與其他案件（如新墨西哥判決約 </t>
    </r>
    <r>
      <rPr>
        <sz val="11"/>
        <color theme="1"/>
        <rFont val="Calibri"/>
        <family val="2"/>
        <charset val="1"/>
      </rPr>
      <t xml:space="preserve">0.94</t>
    </r>
    <r>
      <rPr>
        <sz val="11"/>
        <color theme="1"/>
        <rFont val="Noto Sans CJK SC"/>
        <family val="2"/>
      </rPr>
      <t xml:space="preserve">，已上訴暫緩）；原文無第一年金額，只進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起每年＝</t>
    </r>
    <r>
      <rPr>
        <sz val="11"/>
        <color theme="1"/>
        <rFont val="Calibri"/>
        <family val="2"/>
        <charset val="1"/>
      </rPr>
      <t xml:space="preserve">(12.7 − </t>
    </r>
    <r>
      <rPr>
        <sz val="11"/>
        <color theme="1"/>
        <rFont val="Noto Sans CJK SC"/>
        <family val="2"/>
      </rPr>
      <t xml:space="preserve">本值</t>
    </r>
    <r>
      <rPr>
        <sz val="11"/>
        <color theme="1"/>
        <rFont val="Calibri"/>
        <family val="2"/>
        <charset val="1"/>
      </rPr>
      <t xml:space="preserve">) ÷ 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ag_rest</t>
    </r>
    <r>
      <rPr>
        <sz val="11"/>
        <color theme="1"/>
        <rFont val="Noto Sans CJK SC"/>
        <family val="2"/>
      </rPr>
      <t xml:space="preserve">）；只改時程、總額不變</t>
    </r>
  </si>
  <si>
    <t xml:space="preserve">ag_rest</t>
  </si>
  <si>
    <r>
      <rPr>
        <sz val="11"/>
        <color theme="1"/>
        <rFont val="Noto Sans CJK SC"/>
        <family val="2"/>
      </rPr>
      <t xml:space="preserve">多州檢察長協議 </t>
    </r>
    <r>
      <rPr>
        <sz val="11"/>
        <color theme="1"/>
        <rFont val="Calibri"/>
        <family val="2"/>
        <charset val="1"/>
      </rPr>
      <t xml:space="preserve">FY2028–FY2036 </t>
    </r>
    <r>
      <rPr>
        <sz val="11"/>
        <color theme="1"/>
        <rFont val="Noto Sans CJK SC"/>
        <family val="2"/>
      </rPr>
      <t xml:space="preserve">每年付款＝</t>
    </r>
    <r>
      <rPr>
        <sz val="11"/>
        <color theme="1"/>
        <rFont val="Calibri"/>
        <family val="2"/>
        <charset val="1"/>
      </rPr>
      <t xml:space="preserve">(12.7 − </t>
    </r>
    <r>
      <rPr>
        <sz val="11"/>
        <color theme="1"/>
        <rFont val="Noto Sans CJK SC"/>
        <family val="2"/>
      </rPr>
      <t xml:space="preserve">第一年</t>
    </r>
    <r>
      <rPr>
        <sz val="11"/>
        <color theme="1"/>
        <rFont val="Calibri"/>
        <family val="2"/>
        <charset val="1"/>
      </rPr>
      <t xml:space="preserve">) ÷ 9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</si>
  <si>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ag_pay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ag_y1 </t>
    </r>
    <r>
      <rPr>
        <sz val="11"/>
        <color theme="1"/>
        <rFont val="Noto Sans CJK SC"/>
        <family val="2"/>
      </rPr>
      <t xml:space="preserve">推得</t>
    </r>
  </si>
  <si>
    <r>
      <rPr>
        <sz val="11"/>
        <color theme="1"/>
        <rFont val="Noto Sans CJK SC"/>
        <family val="2"/>
      </rPr>
      <t xml:space="preserve">等額時＝</t>
    </r>
    <r>
      <rPr>
        <sz val="11"/>
        <color theme="1"/>
        <rFont val="Calibri"/>
        <family val="2"/>
        <charset val="1"/>
      </rPr>
      <t xml:space="preserve">ag_pay</t>
    </r>
  </si>
  <si>
    <t xml:space="preserve">contg</t>
  </si>
  <si>
    <r>
      <rPr>
        <sz val="11"/>
        <color theme="1"/>
        <rFont val="Noto Sans CJK SC"/>
        <family val="2"/>
      </rPr>
      <t xml:space="preserve">協議或有金額（尚未認列；只進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</si>
  <si>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MD&amp;A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Loss Contingencies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legal.agContingent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</si>
  <si>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一列，不進基準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</si>
  <si>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MarketScreener </t>
    </r>
    <r>
      <rPr>
        <b val="true"/>
        <sz val="11"/>
        <rFont val="Noto Sans CJK SC"/>
        <family val="2"/>
      </rPr>
      <t xml:space="preserve">頁面報價日 </t>
    </r>
    <r>
      <rPr>
        <b val="true"/>
        <sz val="11"/>
        <rFont val="Cambria"/>
        <family val="0"/>
        <charset val="1"/>
      </rPr>
      <t xml:space="preserve">2026-10-08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財報前）</t>
    </r>
  </si>
  <si>
    <t xml:space="preserve">c_revenue_26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</si>
  <si>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</si>
  <si>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https://www.marketscreener.com/quote/stock/META-PLATFORMS-INC-41645324/finances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</si>
  <si>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c_revenue_27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</si>
  <si>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</si>
  <si>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c_revenue_28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</si>
  <si>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</si>
  <si>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</si>
  <si>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</si>
  <si>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</si>
  <si>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</si>
  <si>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</si>
  <si>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</si>
  <si>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</si>
  <si>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</si>
  <si>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</si>
  <si>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</si>
  <si>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</si>
  <si>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</si>
  <si>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</si>
  <si>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</si>
  <si>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</si>
  <si>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</si>
  <si>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</si>
  <si>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</si>
  <si>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</si>
  <si>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</si>
  <si>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</si>
  <si>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</si>
  <si>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</si>
  <si>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</si>
  <si>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</si>
  <si>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</si>
  <si>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</si>
  <si>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</si>
  <si>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</si>
  <si>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</si>
  <si>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c_q4rev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</si>
  <si>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）</t>
    </r>
  </si>
  <si>
    <t xml:space="preserve">https://www.tipranks.com/stocks/meta/forecast</t>
  </si>
  <si>
    <t xml:space="preserve">c_eps26_vi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</si>
  <si>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</t>
    </r>
    <r>
      <rPr>
        <sz val="11"/>
        <color theme="1"/>
        <rFont val="Noto Sans CJK SC"/>
        <family val="2"/>
      </rPr>
      <t xml:space="preserve">，推測排除一次性）</t>
    </r>
  </si>
  <si>
    <t xml:space="preserve">https://www.valueinvesting.io/META/estimates</t>
  </si>
  <si>
    <t xml:space="preserve">未載日期與口徑</t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</si>
  <si>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</si>
  <si>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</si>
  <si>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</si>
  <si>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</si>
  <si>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</si>
  <si>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對每則廣告價格的提升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</si>
  <si>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</si>
  <si>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scn_cx27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</si>
  <si>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</si>
  <si>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年增率的一半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±15%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</si>
  <si>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</si>
  <si>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</si>
  <si>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</si>
  <si>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（四季財報新聞稿兩讀核對：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；比較欄取自後一季新聞稿）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</si>
  <si>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、分部合計＝合併營收、分部營業利益合計＝合併營業利益、營收 − 成本費用＝營業利益、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＝營運現金 − 資本支出（含租賃本金）；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四季合計對年報取超出四捨五入容差（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）的部分</t>
    </r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</si>
  <si>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</si>
  <si>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</si>
  <si>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</si>
  <si>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</si>
  <si>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</si>
  <si>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</si>
  <si>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</si>
  <si>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</si>
  <si>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FY2024</t>
  </si>
  <si>
    <t xml:space="preserve">FY2025</t>
  </si>
  <si>
    <t xml:space="preserve">9M26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</si>
  <si>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</si>
  <si>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</si>
  <si>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營收（官方分部與子列）</t>
  </si>
  <si>
    <t xml:space="preserve">Advertising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</si>
  <si>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各季財報新聞稿（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）</t>
    </r>
  </si>
  <si>
    <t xml:space="preserve">Other revenue</t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</si>
  <si>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</si>
  <si>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Family of Apps</t>
    </r>
  </si>
  <si>
    <t xml:space="preserve">—</t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</si>
  <si>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（分部）</t>
    </r>
  </si>
  <si>
    <t xml:space="preserve">合併營收</t>
  </si>
  <si>
    <t xml:space="preserve">檢查：分部合計－合併營收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</si>
  <si>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</si>
  <si>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Family of Apps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</si>
  <si>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營業損益</t>
    </r>
  </si>
  <si>
    <t xml:space="preserve">合併營業利益</t>
  </si>
  <si>
    <t xml:space="preserve">檢查：分部營業利益合計－合併營業利益</t>
  </si>
  <si>
    <t xml:space="preserve">合併損益</t>
  </si>
  <si>
    <t xml:space="preserve">營業成本</t>
  </si>
  <si>
    <t xml:space="preserve">研發費用</t>
  </si>
  <si>
    <t xml:space="preserve">行銷費用</t>
  </si>
  <si>
    <t xml:space="preserve">管理費用（含法律費用）</t>
  </si>
  <si>
    <t xml:space="preserve">檢查：營收 − 成本費用 − 營業利益</t>
  </si>
  <si>
    <t xml:space="preserve">利息與其他收益淨額</t>
  </si>
  <si>
    <t xml:space="preserve">稅前利益</t>
  </si>
  <si>
    <t xml:space="preserve">檢查：營業利益＋業外 − 稅前利益</t>
  </si>
  <si>
    <t xml:space="preserve">所得稅（負值＝利益）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</si>
  <si>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</si>
  <si>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</si>
  <si>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</si>
  <si>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</si>
  <si>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現金流與股東回饋</t>
  </si>
  <si>
    <t xml:space="preserve">折舊與攤銷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</si>
  <si>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</si>
  <si>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</si>
  <si>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購置不動產與設備</t>
  </si>
  <si>
    <t xml:space="preserve">融資租賃本金支付</t>
  </si>
  <si>
    <t xml:space="preserve">資本支出（含融資租賃本金；公司口徑）</t>
  </si>
  <si>
    <t xml:space="preserve">自由現金流（公司定義）</t>
  </si>
  <si>
    <t xml:space="preserve">檢查：營運現金流 − 資本支出（含租賃本金）− 自由現金流</t>
  </si>
  <si>
    <t xml:space="preserve">買回</t>
  </si>
  <si>
    <t xml:space="preserve">股利</t>
  </si>
  <si>
    <r>
      <rPr>
        <b val="true"/>
        <sz val="11"/>
        <rFont val="Noto Sans CJK SC"/>
        <family val="2"/>
      </rPr>
      <t xml:space="preserve">命題指標與一次性項目（新聞稿文字段；</t>
    </r>
    <r>
      <rPr>
        <b val="true"/>
        <sz val="11"/>
        <rFont val="Cambria"/>
        <family val="0"/>
        <charset val="1"/>
      </rPr>
      <t xml:space="preserve">%</t>
    </r>
    <r>
      <rPr>
        <b val="true"/>
        <sz val="11"/>
        <rFont val="Noto Sans CJK SC"/>
        <family val="2"/>
      </rPr>
      <t xml:space="preserve">＝年增）</t>
    </r>
  </si>
  <si>
    <t xml:space="preserve">廣告曝光數年增</t>
  </si>
  <si>
    <t xml:space="preserve">每則廣告平均價格年增</t>
  </si>
  <si>
    <r>
      <rPr>
        <sz val="11"/>
        <color theme="1"/>
        <rFont val="Noto Sans CJK SC"/>
        <family val="2"/>
      </rPr>
      <t xml:space="preserve">每日活躍人數 </t>
    </r>
    <r>
      <rPr>
        <sz val="11"/>
        <color theme="1"/>
        <rFont val="Calibri"/>
        <family val="2"/>
        <charset val="1"/>
      </rPr>
      <t xml:space="preserve">DAP</t>
    </r>
    <r>
      <rPr>
        <sz val="11"/>
        <color theme="1"/>
        <rFont val="Noto Sans CJK SC"/>
        <family val="2"/>
      </rPr>
      <t xml:space="preserve">（十億人）</t>
    </r>
  </si>
  <si>
    <t xml:space="preserve">一次性：法律費用（營業利益內）</t>
  </si>
  <si>
    <t xml:space="preserve">一次性：遣散費用（營業利益內）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</si>
  <si>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CAMT </t>
    </r>
    <r>
      <rPr>
        <sz val="11"/>
        <color theme="1"/>
        <rFont val="Noto Sans CJK SC"/>
        <family val="2"/>
      </rPr>
      <t xml:space="preserve">所得稅利益</t>
    </r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</si>
  <si>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</si>
  <si>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</si>
  <si>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年報（超出四捨五入容差 </t>
    </r>
    <r>
      <rPr>
        <sz val="11"/>
        <color theme="1"/>
        <rFont val="Calibri"/>
        <family val="2"/>
        <charset val="1"/>
      </rPr>
      <t xml:space="preserve">0.002 </t>
    </r>
    <r>
      <rPr>
        <sz val="11"/>
        <color theme="1"/>
        <rFont val="Noto Sans CJK SC"/>
        <family val="2"/>
      </rPr>
      <t xml:space="preserve">的部分）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</si>
  <si>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（三季合計）−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新聞稿年初至今欄（超出四捨五入容差 </t>
    </r>
    <r>
      <rPr>
        <sz val="11"/>
        <color theme="1"/>
        <rFont val="Calibri"/>
        <family val="2"/>
        <charset val="1"/>
      </rPr>
      <t xml:space="preserve">0.002 </t>
    </r>
    <r>
      <rPr>
        <sz val="11"/>
        <color theme="1"/>
        <rFont val="Noto Sans CJK SC"/>
        <family val="2"/>
      </rPr>
      <t xml:space="preserve">的部分）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</si>
  <si>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</si>
  <si>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</si>
  <si>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（金額）</t>
    </r>
  </si>
  <si>
    <t xml:space="preserve">(2025Q4–2026Q3) ÷ (2024Q4–2025Q3) − 1</t>
  </si>
  <si>
    <r>
      <rPr>
        <sz val="11"/>
        <color theme="1"/>
        <rFont val="Noto Sans CJK SC"/>
        <family val="2"/>
      </rPr>
      <t xml:space="preserve">最新一季年增：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</si>
  <si>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t xml:space="preserve">近四季平均：廣告曝光數年增</t>
  </si>
  <si>
    <t xml:space="preserve">公司只揭露年增率；四季簡單平均</t>
  </si>
  <si>
    <r>
      <rPr>
        <sz val="11"/>
        <color theme="1"/>
        <rFont val="Noto Sans CJK SC"/>
        <family val="2"/>
      </rPr>
      <t xml:space="preserve">起始：廣告曝光數年增（</t>
    </r>
    <r>
      <rPr>
        <sz val="11"/>
        <color theme="1"/>
        <rFont val="Calibri"/>
        <family val="2"/>
        <charset val="1"/>
      </rPr>
      <t xml:space="preserve">g0_q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</si>
  <si>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起始：每則廣告價格年增（＝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＋廣告金額年增</t>
    </r>
    <r>
      <rPr>
        <sz val="11"/>
        <color theme="1"/>
        <rFont val="Calibri"/>
        <family val="2"/>
        <charset val="1"/>
      </rPr>
      <t xml:space="preserve">) ÷ (1</t>
    </r>
    <r>
      <rPr>
        <sz val="11"/>
        <color theme="1"/>
        <rFont val="Noto Sans CJK SC"/>
        <family val="2"/>
      </rPr>
      <t xml:space="preserve">＋曝光年增</t>
    </r>
    <r>
      <rPr>
        <sz val="11"/>
        <color theme="1"/>
        <rFont val="Calibri"/>
        <family val="2"/>
        <charset val="1"/>
      </rPr>
      <t xml:space="preserve">)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</si>
  <si>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以金額年增反推，使曝光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價格＝廣告金額年增；近四季公司揭露價格年增平均 </t>
    </r>
    <r>
      <rPr>
        <sz val="11"/>
        <color theme="1"/>
        <rFont val="Calibri"/>
        <family val="2"/>
        <charset val="1"/>
      </rPr>
      <t xml:space="preserve">+11.0%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</si>
  <si>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Other revenue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</si>
  <si>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</si>
  <si>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一次性項目（營業利益內：法律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＋法律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</si>
  <si>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；排除一次性；營業利益＋一次性＋折舊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</si>
  <si>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單季；排除一次性）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</si>
  <si>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</si>
  <si>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率（預測期採用；自用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</si>
  <si>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</si>
  <si>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算力全部自用。資本支出（指引與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→ 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Alphabet C10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增量營運成本（相對評價日在役機隊）→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）＝影子效益（只進評價口徑）</t>
    </r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</si>
  <si>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資本支出（資本支出 − 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）各以當年錨世代的每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機房）換算；在建工程對應的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轉入在役。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無揭露 → 全部按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，不套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）。不計尚未起租租賃與第三方雲端（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）→ 可能低估自用算力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</si>
  <si>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期初機隊（單一數值，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欄；三情境共用）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</si>
  <si>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</si>
  <si>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</si>
  <si>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</si>
  <si>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新增組合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</si>
  <si>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新增組合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</si>
  <si>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起新增組合</t>
    </r>
  </si>
  <si>
    <r>
      <rPr>
        <sz val="11"/>
        <color theme="1"/>
        <rFont val="Calibri"/>
        <family val="2"/>
        <charset val="1"/>
      </rPr>
      <t xml:space="preserve">FY2024 AI </t>
    </r>
    <r>
      <rPr>
        <sz val="11"/>
        <color theme="1"/>
        <rFont val="Noto Sans CJK SC"/>
        <family val="2"/>
      </rPr>
      <t xml:space="preserve">資本支出（資本支出 − 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</si>
  <si>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</si>
  <si>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</si>
  <si>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 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AI </t>
    </r>
    <r>
      <rPr>
        <sz val="11"/>
        <color theme="1"/>
        <rFont val="Noto Sans CJK SC"/>
        <family val="2"/>
      </rPr>
      <t xml:space="preserve">占資本支出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</si>
  <si>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cip_ai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</si>
  <si>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FY2023 × 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÷ H100 </t>
    </r>
    <r>
      <rPr>
        <sz val="11"/>
        <color theme="1"/>
        <rFont val="Noto Sans CJK SC"/>
        <family val="2"/>
      </rPr>
      <t xml:space="preserve">錨）</t>
    </r>
  </si>
  <si>
    <t xml:space="preserve">MW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</si>
  <si>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汰換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</si>
  <si>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</si>
  <si>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</si>
  <si>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</si>
  <si>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（支出口徑，含在建）</t>
    </r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</si>
  <si>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對照：本值為資本支出換算，非實際上線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</si>
  <si>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在建工程對應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cip_0 × cip_ai ÷ 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</si>
  <si>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</si>
  <si>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</si>
  <si>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錨（在建工程超過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新增的部分自此扣）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</si>
  <si>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</si>
  <si>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（基準機隊；其成本已在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利益率內）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</si>
  <si>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IF_DeprIT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</si>
  <si>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</si>
  <si>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</si>
  <si>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提高每則廣告價格）</t>
    </r>
  </si>
  <si>
    <t xml:space="preserve">FY2024A</t>
  </si>
  <si>
    <t xml:space="preserve">FY2025A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</si>
  <si>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</si>
  <si>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</si>
  <si>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</si>
  <si>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</si>
  <si>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</si>
  <si>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</si>
  <si>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</si>
  <si>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</si>
  <si>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</si>
  <si>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；期末）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</si>
  <si>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由資本支出反推；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 × a28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</si>
  <si>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(2026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AI)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− 非 </t>
    </r>
    <r>
      <rPr>
        <sz val="11"/>
        <color theme="1"/>
        <rFont val="Calibri"/>
        <family val="2"/>
        <charset val="1"/>
      </rPr>
      <t xml:space="preserve">AI)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</si>
  <si>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</si>
  <si>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</si>
  <si>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</si>
  <si>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</si>
  <si>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（在役；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欄為支出口徑含在建）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</si>
  <si>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</si>
  <si>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：期初＝評價日在役（不含在建），期末含在建轉入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</si>
  <si>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</si>
  <si>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</si>
  <si>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</si>
  <si>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</si>
  <si>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  其中：相對評價日在役機隊的增量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</si>
  <si>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</si>
  <si>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</si>
  <si>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</si>
  <si>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life_it </t>
    </r>
    <r>
      <rPr>
        <sz val="11"/>
        <color theme="1"/>
        <rFont val="Noto Sans CJK SC"/>
        <family val="2"/>
      </rPr>
      <t xml:space="preserve">年前的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</si>
  <si>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 →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→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→ 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→ 2032</t>
    </r>
    <r>
      <rPr>
        <sz val="11"/>
        <color theme="1"/>
        <rFont val="Noto Sans CJK SC"/>
        <family val="2"/>
      </rPr>
      <t xml:space="preserve">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</si>
  <si>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</si>
  <si>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</si>
  <si>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資本支出合計（含融資租賃本金）＝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</si>
  <si>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 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</si>
  <si>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− 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</si>
  <si>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折舊（在建工程 </t>
    </r>
    <r>
      <rPr>
        <b val="true"/>
        <sz val="11"/>
        <rFont val="Cambria"/>
        <family val="0"/>
        <charset val="1"/>
      </rPr>
      <t xml:space="preserve">Q4 26 </t>
    </r>
    <r>
      <rPr>
        <b val="true"/>
        <sz val="11"/>
        <rFont val="Noto Sans CJK SC"/>
        <family val="2"/>
      </rPr>
      <t xml:space="preserve">轉入；新增資本支出依年限直線攤提；當期 </t>
    </r>
    <r>
      <rPr>
        <b val="true"/>
        <sz val="11"/>
        <rFont val="Cambria"/>
        <family val="0"/>
        <charset val="1"/>
      </rPr>
      <t xml:space="preserve">× phi_0</t>
    </r>
    <r>
      <rPr>
        <b val="true"/>
        <sz val="11"/>
        <rFont val="Noto Sans CJK SC"/>
        <family val="2"/>
      </rPr>
      <t xml:space="preserve">、最後一年 </t>
    </r>
    <r>
      <rPr>
        <b val="true"/>
        <sz val="11"/>
        <rFont val="Cambria"/>
        <family val="0"/>
        <charset val="1"/>
      </rPr>
      <t xml:space="preserve">1 − phi_0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Q4 26 </t>
    </r>
    <r>
      <rPr>
        <b val="true"/>
        <sz val="11"/>
        <rFont val="Noto Sans CJK SC"/>
        <family val="2"/>
      </rPr>
      <t xml:space="preserve">欄 </t>
    </r>
    <r>
      <rPr>
        <b val="true"/>
        <sz val="11"/>
        <rFont val="Cambria"/>
        <family val="0"/>
        <charset val="1"/>
      </rPr>
      <t xml:space="preserve">× 0.25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</si>
  <si>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</si>
  <si>
    <t xml:space="preserve">在建工程轉入：機房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</si>
  <si>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</si>
  <si>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</si>
  <si>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（含在建工程）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</si>
  <si>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折舊：機房（含在建工程）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</si>
  <si>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折舊合計（含在建工程轉入）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</si>
  <si>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增量營運成本（相對評價日在役機隊；基準機隊成本已在 </t>
    </r>
    <r>
      <rPr>
        <b val="true"/>
        <sz val="11"/>
        <rFont val="Cambria"/>
        <family val="0"/>
        <charset val="1"/>
      </rPr>
      <t xml:space="preserve">FoA </t>
    </r>
    <r>
      <rPr>
        <b val="true"/>
        <sz val="11"/>
        <rFont val="Noto Sans CJK SC"/>
        <family val="2"/>
      </rPr>
      <t xml:space="preserve">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</si>
  <si>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</si>
  <si>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租用算力租金（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</si>
  <si>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：尚未起租租賃與第三方雲端只進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下與影子效益同樣價值中性（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、分部加總皆加回）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</si>
  <si>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</si>
  <si>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評價日在役資產的基礎折舊（隨期初機隊汰換遞減）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</si>
  <si>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年以前；當年以半年計）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</si>
  <si>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年批次（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汰換）的折舊在在建工程與新增批次內，不從基礎折舊扣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</si>
  <si>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</si>
  <si>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：增量在役 </t>
    </r>
    <r>
      <rPr>
        <b val="true"/>
        <sz val="11"/>
        <rFont val="Cambria"/>
        <family val="0"/>
        <charset val="1"/>
      </rPr>
      <t xml:space="preserve">MW × IF_HoldEcon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</si>
  <si>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</si>
  <si>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節：只進評價口徑（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</si>
  <si>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</si>
  <si>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</si>
  <si>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</si>
  <si>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價格提升消退）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</si>
  <si>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（子列 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。命題模組：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＝廣告曝光數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每則廣告平均價格；情境差異只在每則價格（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提升／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：近四季成長收斂／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：提升消退）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</si>
  <si>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到達）。曝光與價格各自收斂；價格情境＝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＋情境調整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，調整自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資本支出＝營收 </t>
    </r>
    <r>
      <rPr>
        <sz val="11"/>
        <color theme="1"/>
        <rFont val="Calibri"/>
        <family val="2"/>
        <charset val="1"/>
      </rPr>
      <t xml:space="preserve">× cx_na</t>
    </r>
  </si>
  <si>
    <r>
      <rPr>
        <sz val="11"/>
        <color theme="1"/>
        <rFont val="Noto Sans CJK SC"/>
        <family val="2"/>
      </rPr>
      <t xml:space="preserve">  廣告曝光數年增（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</si>
  <si>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＝近四季平均（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gl_impr</t>
    </r>
  </si>
  <si>
    <r>
      <rPr>
        <sz val="11"/>
        <color theme="1"/>
        <rFont val="Noto Sans CJK SC"/>
        <family val="2"/>
      </rPr>
      <t xml:space="preserve">  每則廣告價格年增（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</si>
  <si>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＝由近四季廣告金額年增反推，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gl_price</t>
    </r>
  </si>
  <si>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路徑（曝光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</si>
  <si>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2025Q4 × (1</t>
    </r>
    <r>
      <rPr>
        <sz val="11"/>
        <color theme="1"/>
        <rFont val="Noto Sans CJK SC"/>
        <family val="2"/>
      </rPr>
      <t xml:space="preserve">＋曝光年增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＋價格年增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；年度＝前一年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同式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</si>
  <si>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</si>
  <si>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每則價格情境調整（相對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</si>
  <si>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</t>
    </r>
  </si>
  <si>
    <r>
      <rPr>
        <sz val="11"/>
        <color theme="1"/>
        <rFont val="Calibri"/>
        <family val="2"/>
        <charset val="1"/>
      </rPr>
      <t xml:space="preserve">  Advertising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</si>
  <si>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Other revenue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</si>
  <si>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</si>
  <si>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t xml:space="preserve">Family of Apps</t>
  </si>
  <si>
    <r>
      <rPr>
        <sz val="11"/>
        <color theme="1"/>
        <rFont val="Calibri"/>
        <family val="2"/>
        <charset val="1"/>
      </rPr>
      <t xml:space="preserve">  Reality Labs </t>
    </r>
    <r>
      <rPr>
        <sz val="11"/>
        <color theme="1"/>
        <rFont val="Noto Sans CJK SC"/>
        <family val="2"/>
      </rPr>
      <t xml:space="preserve">營收年增</t>
    </r>
  </si>
  <si>
    <t xml:space="preserve">Reality Labs</t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</si>
  <si>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</si>
  <si>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</si>
  <si>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</si>
  <si>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t xml:space="preserve">基準不另調整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</si>
  <si>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</si>
  <si>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</si>
  <si>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FoA EBITDA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(FoA </t>
    </r>
    <r>
      <rPr>
        <sz val="11"/>
        <color theme="1"/>
        <rFont val="Noto Sans CJK SC"/>
        <family val="2"/>
      </rPr>
      <t xml:space="preserve">營收 − 價格情境差額</t>
    </r>
    <r>
      <rPr>
        <sz val="11"/>
        <color theme="1"/>
        <rFont val="Calibri"/>
        <family val="2"/>
        <charset val="1"/>
      </rPr>
      <t xml:space="preserve">) × 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，排除一次性）＋差額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增量營運成本與租金；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折舊＝基礎折舊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營業損益＝指引與法說路徑。財報口徑保留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年一次性項目；評價口徑排除（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擴大）並加讀法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</si>
  <si>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</si>
  <si>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</si>
  <si>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</si>
  <si>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Noto Sans CJK SC"/>
        <family val="2"/>
      </rPr>
      <t xml:space="preserve">  價格情境差額（相對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</si>
  <si>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Family of Apps EBITDA</t>
    </r>
    <r>
      <rPr>
        <sz val="11"/>
        <color theme="1"/>
        <rFont val="Noto Sans CJK SC"/>
        <family val="2"/>
      </rPr>
      <t xml:space="preserve">（不含一次性）</t>
    </r>
  </si>
  <si>
    <r>
      <rPr>
        <sz val="11"/>
        <color theme="1"/>
        <rFont val="Calibri"/>
        <family val="2"/>
        <charset val="1"/>
      </rPr>
      <t xml:space="preserve">Family of Apps </t>
    </r>
    <r>
      <rPr>
        <sz val="11"/>
        <color theme="1"/>
        <rFont val="Noto Sans CJK SC"/>
        <family val="2"/>
      </rPr>
      <t xml:space="preserve">折舊（基礎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</si>
  <si>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Family of Apps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</si>
  <si>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實績含一次性法律 </t>
    </r>
    <r>
      <rPr>
        <sz val="11"/>
        <color theme="1"/>
        <rFont val="Calibri"/>
        <family val="2"/>
        <charset val="1"/>
      </rPr>
      <t xml:space="preserve">12.29 </t>
    </r>
    <r>
      <rPr>
        <sz val="11"/>
        <color theme="1"/>
        <rFont val="Noto Sans CJK SC"/>
        <family val="2"/>
      </rPr>
      <t xml:space="preserve">與遣散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</si>
  <si>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Reality Labs </t>
    </r>
    <r>
      <rPr>
        <b val="true"/>
        <sz val="11"/>
        <rFont val="Noto Sans CJK SC"/>
        <family val="2"/>
      </rPr>
      <t xml:space="preserve">營業損益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</si>
  <si>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（法說）；之後線性到 </t>
    </r>
    <r>
      <rPr>
        <sz val="11"/>
        <color theme="1"/>
        <rFont val="Calibri"/>
        <family val="2"/>
        <charset val="1"/>
      </rPr>
      <t xml:space="preserve">FY2032 rl_loss32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</si>
  <si>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折舊（基礎 </t>
    </r>
    <r>
      <rPr>
        <sz val="11"/>
        <color theme="1"/>
        <rFont val="Calibri"/>
        <family val="2"/>
        <charset val="1"/>
      </rPr>
      <t xml:space="preserve">× RL </t>
    </r>
    <r>
      <rPr>
        <sz val="11"/>
        <color theme="1"/>
        <rFont val="Noto Sans CJK SC"/>
        <family val="2"/>
      </rPr>
      <t xml:space="preserve">占比）</t>
    </r>
  </si>
  <si>
    <t xml:space="preserve">Reality Labs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</si>
  <si>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</si>
  <si>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</si>
  <si>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折舊與攤銷合計（基礎＋新增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</si>
  <si>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</si>
  <si>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t xml:space="preserve">合併營業利益（財報口徑）</t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</si>
  <si>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折舊合計（與分部合計獨立計算，下一列核對）</t>
    </r>
  </si>
  <si>
    <t xml:space="preserve">  一次性項目（營業利益內；負值＝費用）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</si>
  <si>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（新聞稿）；預測期 </t>
    </r>
    <r>
      <rPr>
        <sz val="11"/>
        <color theme="1"/>
        <rFont val="Calibri"/>
        <family val="2"/>
        <charset val="1"/>
      </rPr>
      <t xml:space="preserve">0</t>
    </r>
  </si>
  <si>
    <t xml:space="preserve">營業利益（排除一次性）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</si>
  <si>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</si>
  <si>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b val="true"/>
        <sz val="11"/>
        <rFont val="Noto Sans CJK SC"/>
        <family val="2"/>
      </rPr>
      <t xml:space="preserve">營業利益（評價口徑：排除一次性＋讀法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影子效益）</t>
    </r>
  </si>
  <si>
    <t xml:space="preserve">  營業利益率（財報口徑）</t>
  </si>
  <si>
    <t xml:space="preserve">  營業利益率（排除一次性）</t>
  </si>
  <si>
    <r>
      <rPr>
        <sz val="11"/>
        <color theme="1"/>
        <rFont val="Calibri"/>
        <family val="2"/>
        <charset val="1"/>
      </rPr>
      <t xml:space="preserve">  Family of Apps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</si>
  <si>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</si>
  <si>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</si>
  <si>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</si>
  <si>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t xml:space="preserve">所得稅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</si>
  <si>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Q1 CAMT </t>
    </r>
    <r>
      <rPr>
        <sz val="11"/>
        <color theme="1"/>
        <rFont val="Noto Sans CJK SC"/>
        <family val="2"/>
      </rPr>
      <t xml:space="preserve">稅務利益 −</t>
    </r>
    <r>
      <rPr>
        <sz val="11"/>
        <color theme="1"/>
        <rFont val="Calibri"/>
        <family val="2"/>
        <charset val="1"/>
      </rPr>
      <t xml:space="preserve">8.03</t>
    </r>
  </si>
  <si>
    <t xml:space="preserve">淨利（財報口徑）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</si>
  <si>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</si>
  <si>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一次性項目稅後（法律依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排除後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隱含稅盾、遣散按 </t>
    </r>
    <r>
      <rPr>
        <sz val="11"/>
        <color theme="1"/>
        <rFont val="Calibri"/>
        <family val="2"/>
        <charset val="1"/>
      </rPr>
      <t xml:space="preserve">tax</t>
    </r>
    <r>
      <rPr>
        <sz val="11"/>
        <color theme="1"/>
        <rFont val="Noto Sans CJK SC"/>
        <family val="2"/>
      </rPr>
      <t xml:space="preserve">、稅務利益全額）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</si>
  <si>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</si>
  <si>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</si>
  <si>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</si>
  <si>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(10-16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</si>
  <si>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</si>
  <si>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稀釋，財報口徑，美元）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</si>
  <si>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（排除一次性，美元）</t>
    </r>
  </si>
  <si>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擴大：排除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稅務利益、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法律與遣散、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</si>
  <si>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（評價口徑：排除一次性＋讀法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稅後影子效益，美元）</t>
    </r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</si>
  <si>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</si>
  <si>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 − 協議付款；資本支出（含融資租賃本金，公司口徑）＝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資本支出。融資順序：現金 → 減少回購 → 新債（最低現金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</si>
  <si>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流入）；</t>
    </r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推定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交割（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）；回購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暫停、預設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；多州檢察長協議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未載各年金額；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等額，第一年 </t>
    </r>
    <r>
      <rPr>
        <sz val="11"/>
        <color theme="1"/>
        <rFont val="Calibri"/>
        <family val="2"/>
        <charset val="1"/>
      </rPr>
      <t xml:space="preserve">ag_y1 </t>
    </r>
    <r>
      <rPr>
        <sz val="11"/>
        <color theme="1"/>
        <rFont val="Noto Sans CJK SC"/>
        <family val="2"/>
      </rPr>
      <t xml:space="preserve">前高後低只進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</si>
  <si>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</si>
  <si>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</si>
  <si>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</si>
  <si>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</si>
  <si>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</si>
  <si>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自由現金流（公司定義，已扣融資租賃本金與協議付款）−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實績。負值＝入不敷出</t>
    </r>
  </si>
  <si>
    <t xml:space="preserve">  其中：五年新增舉債</t>
  </si>
  <si>
    <t xml:space="preserve">  其中：五年回購合計</t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</si>
  <si>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</si>
  <si>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）；強制轉換特別股與遠期出售不計入關卡（融資）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</si>
  <si>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</si>
  <si>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股權報酬（非現金）</t>
  </si>
  <si>
    <t xml:space="preserve">營運資金變動（流入＋）</t>
  </si>
  <si>
    <r>
      <rPr>
        <sz val="11"/>
        <color theme="1"/>
        <rFont val="Noto Sans CJK SC"/>
        <family val="2"/>
      </rPr>
      <t xml:space="preserve">多州檢察長協議付款（費用已於 </t>
    </r>
    <r>
      <rPr>
        <sz val="11"/>
        <color theme="1"/>
        <rFont val="Calibri"/>
        <family val="2"/>
        <charset val="1"/>
      </rPr>
      <t xml:space="preserve">2026Q2–Q3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</si>
  <si>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條：留在現金流與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ag_y1</t>
    </r>
    <r>
      <rPr>
        <sz val="11"/>
        <color theme="1"/>
        <rFont val="Noto Sans CJK SC"/>
        <family val="2"/>
      </rPr>
      <t xml:space="preserve">（基準等額 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ag_rest</t>
    </r>
  </si>
  <si>
    <t xml:space="preserve">其他非現金調整（實績差額：應計法律費用、遞延稅、營運資金等）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</si>
  <si>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</si>
  <si>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</si>
  <si>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資本支出合計（含融資租賃本金）</t>
  </si>
  <si>
    <t xml:space="preserve">自由現金流（營運現金 − 資本支出；公司定義）</t>
  </si>
  <si>
    <r>
      <rPr>
        <sz val="11"/>
        <color theme="1"/>
        <rFont val="Noto Sans CJK SC"/>
        <family val="2"/>
      </rPr>
      <t xml:space="preserve">檢查：實績自由現金流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</si>
  <si>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普通股股利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</si>
  <si>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＝每股年股利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</t>
    </r>
  </si>
  <si>
    <t xml:space="preserve">自由現金流扣股利</t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</si>
  <si>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</si>
  <si>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無償還；其他年度到期即再融資（不建模）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</si>
  <si>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</si>
  <si>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：發債淨額 </t>
    </r>
    <r>
      <rPr>
        <sz val="11"/>
        <color theme="1"/>
        <rFont val="Calibri"/>
        <family val="2"/>
        <charset val="1"/>
      </rPr>
      <t xml:space="preserve">24.910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</si>
  <si>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股權發行（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強制轉換特別股；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遠期出售）</t>
    </r>
  </si>
  <si>
    <t xml:space="preserve">期初現金（現金＋有價證券）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</si>
  <si>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實績差額：投資活動其他、代扣稅、匯率；預測期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</si>
  <si>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</si>
  <si>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t xml:space="preserve">回購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</si>
  <si>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</si>
  <si>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</si>
  <si>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</si>
  <si>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</si>
  <si>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</si>
  <si>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t xml:space="preserve">期末債務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</si>
  <si>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＝票據面額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</si>
  <si>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</si>
  <si>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回購均價（評價日股價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</si>
  <si>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並列。每股為 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）前的口徑；股票股利後每股數字約 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</si>
  <si>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 − 協議付款；股權報酬不加回）以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增量營運成本並按帳面加自用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</si>
  <si>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</si>
  <si>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</si>
  <si>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</si>
  <si>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</si>
  <si>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</si>
  <si>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</si>
  <si>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</si>
  <si>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收盤只有 </t>
    </r>
    <r>
      <rPr>
        <sz val="11"/>
        <color theme="1"/>
        <rFont val="Calibri"/>
        <family val="2"/>
        <charset val="1"/>
      </rPr>
      <t xml:space="preserve">ChartRow </t>
    </r>
    <r>
      <rPr>
        <sz val="11"/>
        <color theme="1"/>
        <rFont val="Noto Sans CJK SC"/>
        <family val="2"/>
      </rPr>
      <t xml:space="preserve">一個來源，未採用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</si>
  <si>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</si>
  <si>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MarketBeat 58 </t>
    </r>
    <r>
      <rPr>
        <sz val="11"/>
        <color theme="1"/>
        <rFont val="Noto Sans CJK SC"/>
        <family val="2"/>
      </rPr>
      <t xml:space="preserve">位平均（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</si>
  <si>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</si>
  <si>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</si>
  <si>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</si>
  <si>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</si>
  <si>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</si>
  <si>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</si>
  <si>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</si>
  <si>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</si>
  <si>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</si>
  <si>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</si>
  <si>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</si>
  <si>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</si>
  <si>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</si>
  <si>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</si>
  <si>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t xml:space="preserve">活公式（主值）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</si>
  <si>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</si>
  <si>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t xml:space="preserve">活公式（下緣敏感度）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</si>
  <si>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</si>
  <si>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</si>
  <si>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</si>
  <si>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</si>
  <si>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</si>
  <si>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</si>
  <si>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</si>
  <si>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</si>
  <si>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725.18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</si>
  <si>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（票據面額＋融資租賃）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</si>
  <si>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</si>
  <si>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稅後債務成本</t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</si>
  <si>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</si>
  <si>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</si>
  <si>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</si>
  <si>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；預測期無一次性）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</si>
  <si>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</si>
  <si>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</si>
  <si>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資本支出（含融資租賃本金）</t>
  </si>
  <si>
    <t xml:space="preserve">＋營運資金變動</t>
  </si>
  <si>
    <t xml:space="preserve">＋協議付款（負值；不可抵稅）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</si>
  <si>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</si>
  <si>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影子效益＋租用算力租金加回（稅後；讀法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</si>
  <si>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</si>
  <si>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</si>
  <si>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</si>
  <si>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</si>
  <si>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</si>
  <si>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</si>
  <si>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</si>
  <si>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；協議付款 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以後列類債</t>
    </r>
  </si>
  <si>
    <t xml:space="preserve">終值現值</t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</si>
  <si>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</si>
  <si>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</si>
  <si>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</si>
  <si>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</si>
  <si>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</si>
  <si>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</si>
  <si>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票據面額 − 融資租賃）</t>
  </si>
  <si>
    <r>
      <rPr>
        <sz val="11"/>
        <color theme="1"/>
        <rFont val="Noto Sans CJK SC"/>
        <family val="2"/>
      </rPr>
      <t xml:space="preserve">＋評價日後股權融資（強制轉換特別股淨額 </t>
    </r>
    <r>
      <rPr>
        <sz val="11"/>
        <color theme="1"/>
        <rFont val="Calibri"/>
        <family val="2"/>
        <charset val="1"/>
      </rPr>
      <t xml:space="preserve">12.46</t>
    </r>
    <r>
      <rPr>
        <sz val="11"/>
        <color theme="1"/>
        <rFont val="Noto Sans CJK SC"/>
        <family val="2"/>
      </rPr>
      <t xml:space="preserve">＋遠期出售 </t>
    </r>
    <r>
      <rPr>
        <sz val="11"/>
        <color theme="1"/>
        <rFont val="Calibri"/>
        <family val="2"/>
        <charset val="1"/>
      </rPr>
      <t xml:space="preserve">× fwd_on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期中折現）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</si>
  <si>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：遠期出售現金於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交割（期中，距評價日 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年），以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折現到評價日（同特別股股利）；遠期價每日按隔夜利率減利差增值、按股利調降，未計（保守）</t>
    </r>
  </si>
  <si>
    <r>
      <rPr>
        <sz val="11"/>
        <color theme="1"/>
        <rFont val="Noto Sans CJK SC"/>
        <family val="2"/>
      </rPr>
      <t xml:space="preserve">− 協議付款 </t>
    </r>
    <r>
      <rPr>
        <sz val="11"/>
        <color theme="1"/>
        <rFont val="Calibri"/>
        <family val="2"/>
        <charset val="1"/>
      </rPr>
      <t xml:space="preserve">FY2033–FY2036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期，以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折現到評價日）</t>
    </r>
  </si>
  <si>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已在無槓桿自由現金流內</t>
    </r>
  </si>
  <si>
    <r>
      <rPr>
        <sz val="11"/>
        <color theme="1"/>
        <rFont val="Noto Sans CJK SC"/>
        <family val="2"/>
      </rPr>
      <t xml:space="preserve">− 類債（其他法律應計＋或有金額 </t>
    </r>
    <r>
      <rPr>
        <sz val="11"/>
        <color theme="1"/>
        <rFont val="Calibri"/>
        <family val="2"/>
        <charset val="1"/>
      </rPr>
      <t xml:space="preserve">contg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</si>
  <si>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</si>
  <si>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股數（評價日期末稀釋＋遠期出售 </t>
    </r>
    <r>
      <rPr>
        <sz val="11"/>
        <color theme="1"/>
        <rFont val="Calibri"/>
        <family val="2"/>
        <charset val="1"/>
      </rPr>
      <t xml:space="preserve">× fwd_on</t>
    </r>
    <r>
      <rPr>
        <sz val="11"/>
        <color theme="1"/>
        <rFont val="Noto Sans CJK SC"/>
        <family val="2"/>
      </rPr>
      <t xml:space="preserve">＋強制轉換特別股）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</si>
  <si>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</si>
  <si>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＋淨現金＋期後融資 − 協議尾款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</si>
  <si>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</si>
  <si>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</si>
  <si>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數位廣告同業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</si>
  <si>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</si>
  <si>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</si>
  <si>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</si>
  <si>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</si>
  <si>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：五家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基準（未更新）＋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（同基準日）</t>
    </r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</si>
  <si>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中位數／</t>
    </r>
    <r>
      <rPr>
        <sz val="11"/>
        <color theme="1"/>
        <rFont val="Calibri"/>
        <family val="2"/>
        <charset val="1"/>
      </rPr>
      <t xml:space="preserve">1 GOOGL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Meta </t>
    </r>
    <r>
      <rPr>
        <sz val="11"/>
        <color theme="1"/>
        <rFont val="Noto Sans CJK SC"/>
        <family val="2"/>
      </rPr>
      <t xml:space="preserve">自身）</t>
    </r>
  </si>
  <si>
    <r>
      <rPr>
        <b val="true"/>
        <sz val="11"/>
        <rFont val="Noto Sans CJK SC"/>
        <family val="2"/>
      </rPr>
      <t xml:space="preserve">分部（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</si>
  <si>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</si>
  <si>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</si>
  <si>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</si>
  <si>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</si>
  <si>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＋股權報酬）</t>
    </r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</si>
  <si>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，負值；</t>
    </r>
    <r>
      <rPr>
        <sz val="11"/>
        <color theme="1"/>
        <rFont val="Calibri"/>
        <family val="2"/>
        <charset val="1"/>
      </rPr>
      <t xml:space="preserve">rl_mode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</si>
  <si>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倍數（判斷：同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層級負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處理）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</si>
  <si>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</si>
  <si>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</si>
  <si>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修正二（自用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，不加影子效益倍數）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</si>
  <si>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年底；在建工程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部分＋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資本支出 − 期間新增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</si>
  <si>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年底淨現金已扣這些支出，讀法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下按帳面計；折舊按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比例扣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</si>
  <si>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</si>
  <si>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</si>
  <si>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合計（主值）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</si>
  <si>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頁；減融資租賃）</t>
    </r>
  </si>
  <si>
    <r>
      <rPr>
        <sz val="11"/>
        <color theme="1"/>
        <rFont val="Noto Sans CJK SC"/>
        <family val="2"/>
      </rPr>
      <t xml:space="preserve">已含強制轉換特別股、遠期出售（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協議付款</t>
    </r>
  </si>
  <si>
    <r>
      <rPr>
        <sz val="11"/>
        <color theme="1"/>
        <rFont val="Noto Sans CJK SC"/>
        <family val="2"/>
      </rPr>
      <t xml:space="preserve">− 協議付款 </t>
    </r>
    <r>
      <rPr>
        <sz val="11"/>
        <color theme="1"/>
        <rFont val="Calibri"/>
        <family val="2"/>
        <charset val="1"/>
      </rPr>
      <t xml:space="preserve">FY2028–FY2036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期，以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</t>
    </r>
  </si>
  <si>
    <t xml:space="preserve">− 類債（其他法律應計＋或有金額）</t>
  </si>
  <si>
    <r>
      <rPr>
        <sz val="11"/>
        <color theme="1"/>
        <rFont val="Noto Sans CJK SC"/>
        <family val="2"/>
      </rPr>
      <t xml:space="preserve">− 特別股股利 </t>
    </r>
    <r>
      <rPr>
        <sz val="11"/>
        <color theme="1"/>
        <rFont val="Calibri"/>
        <family val="2"/>
        <charset val="1"/>
      </rPr>
      <t xml:space="preserve">FY2028–FY2029</t>
    </r>
    <r>
      <rPr>
        <sz val="11"/>
        <color theme="1"/>
        <rFont val="Noto Sans CJK SC"/>
        <family val="2"/>
      </rPr>
      <t xml:space="preserve">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年底，期中）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</si>
  <si>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補：股數已含轉換股 </t>
    </r>
    <r>
      <rPr>
        <sz val="11"/>
        <color theme="1"/>
        <rFont val="Calibri"/>
        <family val="2"/>
        <charset val="1"/>
      </rPr>
      <t xml:space="preserve">conv_sh</t>
    </r>
    <r>
      <rPr>
        <sz val="11"/>
        <color theme="1"/>
        <rFont val="Noto Sans CJK SC"/>
        <family val="2"/>
      </rPr>
      <t xml:space="preserve">，轉換前的股利須扣；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股利已在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年底淨現金內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</si>
  <si>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</si>
  <si>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</si>
  <si>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</si>
  <si>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</si>
  <si>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</si>
  <si>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，頁面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財報前）、公司指引、</t>
    </r>
    <r>
      <rPr>
        <sz val="11"/>
        <color theme="1"/>
        <rFont val="Calibri"/>
        <family val="2"/>
        <charset val="1"/>
      </rPr>
      <t xml:space="preserve">M4 </t>
    </r>
    <r>
      <rPr>
        <sz val="11"/>
        <color theme="1"/>
        <rFont val="Noto Sans CJK SC"/>
        <family val="2"/>
      </rPr>
      <t xml:space="preserve">未入基準的算力（尚未起租租賃、第三方雲端）、一次性項目兩種口徑。只作對照，不作校準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</si>
  <si>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</si>
  <si>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</si>
  <si>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</si>
  <si>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</si>
  <si>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</si>
  <si>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</si>
  <si>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</si>
  <si>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</si>
  <si>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營業利益（財報口徑）</t>
  </si>
  <si>
    <r>
      <rPr>
        <sz val="11"/>
        <color theme="1"/>
        <rFont val="Noto Sans CJK SC"/>
        <family val="2"/>
      </rPr>
      <t xml:space="preserve">共識在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財報前，未含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法律費用 </t>
    </r>
    <r>
      <rPr>
        <sz val="11"/>
        <color theme="1"/>
        <rFont val="Calibri"/>
        <family val="2"/>
        <charset val="1"/>
      </rPr>
      <t xml:space="preserve">9.89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</si>
  <si>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</si>
  <si>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資本支出（本模型含融資租賃本金）</t>
  </si>
  <si>
    <r>
      <rPr>
        <sz val="11"/>
        <color theme="1"/>
        <rFont val="Noto Sans CJK SC"/>
        <family val="2"/>
      </rPr>
      <t xml:space="preserve">共識＝購置不動產與設備（不含融資租賃本金，近四季約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</t>
    </r>
  </si>
  <si>
    <t xml:space="preserve">自由現金流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</si>
  <si>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（本模型＝財報營業利益＋折舊＋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</si>
  <si>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（排除一次性）</t>
    </r>
    <r>
      <rPr>
        <sz val="11"/>
        <color theme="1"/>
        <rFont val="Calibri"/>
        <family val="2"/>
        <charset val="1"/>
      </rPr>
      <t xml:space="preserve">FY2026 vs valueinvesting </t>
    </r>
    <r>
      <rPr>
        <sz val="11"/>
        <color theme="1"/>
        <rFont val="Noto Sans CJK SC"/>
        <family val="2"/>
      </rPr>
      <t xml:space="preserve">共識（推測排除一次性）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</si>
  <si>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逐分部與公司指引（情境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</si>
  <si>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本模型</t>
  </si>
  <si>
    <t xml:space="preserve">指引低</t>
  </si>
  <si>
    <t xml:space="preserve">指引高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</si>
  <si>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</si>
  <si>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公司指引（匯率約 </t>
    </r>
    <r>
      <rPr>
        <sz val="11"/>
        <color theme="1"/>
        <rFont val="Calibri"/>
        <family val="2"/>
        <charset val="1"/>
      </rPr>
      <t xml:space="preserve">1% </t>
    </r>
    <r>
      <rPr>
        <sz val="11"/>
        <color theme="1"/>
        <rFont val="Noto Sans CJK SC"/>
        <family val="2"/>
      </rPr>
      <t xml:space="preserve">逆風）；共識 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年增＝近四季年增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</si>
  <si>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總費用（營收 − 財報營業利益）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</si>
  <si>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法律費用 </t>
    </r>
    <r>
      <rPr>
        <sz val="11"/>
        <color theme="1"/>
        <rFont val="Calibri"/>
        <family val="2"/>
        <charset val="1"/>
      </rPr>
      <t xml:space="preserve">9.89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</si>
  <si>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</si>
  <si>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：本模型＝指引中點；共識不含租賃本金</t>
    </r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</si>
  <si>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</si>
  <si>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依指引中點倒推</t>
    </r>
  </si>
  <si>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call.rlLoss2027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</si>
  <si>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</si>
  <si>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法說未給數字（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法說提供）；共識財報前、不含租賃本金</t>
    </r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</si>
  <si>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：分部營收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</si>
  <si>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分部共識：未找到（公開來源只有合併層）</t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</si>
  <si>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：分部營收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</si>
  <si>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分部共識：未找到</t>
  </si>
  <si>
    <r>
      <rPr>
        <b val="true"/>
        <sz val="11"/>
        <rFont val="Cambria"/>
        <family val="0"/>
        <charset val="1"/>
      </rPr>
      <t xml:space="preserve">3. M4</t>
    </r>
    <r>
      <rPr>
        <b val="true"/>
        <sz val="11"/>
        <rFont val="Noto Sans CJK SC"/>
        <family val="2"/>
      </rPr>
      <t xml:space="preserve">：未入基準的算力（只作對照與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；本模型可能低估自用算力）</t>
    </r>
  </si>
  <si>
    <r>
      <rPr>
        <sz val="11"/>
        <color theme="1"/>
        <rFont val="Noto Sans CJK SC"/>
        <family val="2"/>
      </rPr>
      <t xml:space="preserve">尚未起租之租賃義務（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</si>
  <si>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租賃附註（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lease.notCommenced.20260930</t>
    </r>
    <r>
      <rPr>
        <sz val="11"/>
        <color theme="1"/>
        <rFont val="Noto Sans CJK SC"/>
        <family val="2"/>
      </rPr>
      <t xml:space="preserve">）；含 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合資</t>
    </r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</si>
  <si>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</si>
  <si>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承諾附註（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commit.noncancel.20260930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</si>
  <si>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租用算力年租金滿載值（假設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年租期；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rent_l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</si>
  <si>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「租用算力」案例使用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</si>
  <si>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持有成本）</t>
    </r>
  </si>
  <si>
    <t xml:space="preserve">粗估：租金全部視為算力持有成本</t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</si>
  <si>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，資本支出口徑）</t>
    </r>
  </si>
  <si>
    <r>
      <rPr>
        <sz val="11"/>
        <color theme="1"/>
        <rFont val="Noto Sans CJK SC"/>
        <family val="2"/>
      </rPr>
      <t xml:space="preserve">本模型評價日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（支出口徑，含在建）</t>
    </r>
  </si>
  <si>
    <r>
      <rPr>
        <sz val="11"/>
        <color theme="1"/>
        <rFont val="Noto Sans CJK SC"/>
        <family val="2"/>
      </rPr>
      <t xml:space="preserve">第三方雲端與第三方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</si>
  <si>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法說稱費用成長來自「</t>
    </r>
    <r>
      <rPr>
        <sz val="11"/>
        <color theme="1"/>
        <rFont val="Calibri"/>
        <family val="2"/>
        <charset val="1"/>
      </rPr>
      <t xml:space="preserve">third party cloud spend</t>
    </r>
    <r>
      <rPr>
        <sz val="11"/>
        <color theme="1"/>
        <rFont val="Noto Sans CJK SC"/>
        <family val="2"/>
      </rPr>
      <t xml:space="preserve">」與第三方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成本，未給金額；</t>
    </r>
    <r>
      <rPr>
        <sz val="11"/>
        <color theme="1"/>
        <rFont val="Calibri"/>
        <family val="2"/>
        <charset val="1"/>
      </rPr>
      <t xml:space="preserve">follow-up</t>
    </r>
    <r>
      <rPr>
        <sz val="11"/>
        <color theme="1"/>
        <rFont val="Noto Sans CJK SC"/>
        <family val="2"/>
      </rPr>
      <t xml:space="preserve">：以第三方雲端補近期容量、自建／租用比例「未揭露」：未找到金額</t>
    </r>
  </si>
  <si>
    <r>
      <rPr>
        <sz val="11"/>
        <color theme="1"/>
        <rFont val="Noto Sans CJK SC"/>
        <family val="2"/>
      </rPr>
      <t xml:space="preserve">或有雲端算力採購義務（五年，最多；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</si>
  <si>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commit.cloudContingent</t>
    </r>
    <r>
      <rPr>
        <sz val="11"/>
        <color theme="1"/>
        <rFont val="Noto Sans CJK SC"/>
        <family val="2"/>
      </rPr>
      <t xml:space="preserve">）；雲端供應商轉售他人則可減少</t>
    </r>
  </si>
  <si>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（自研晶片）占比</t>
    </r>
  </si>
  <si>
    <r>
      <rPr>
        <sz val="11"/>
        <color theme="1"/>
        <rFont val="Noto Sans CJK SC"/>
        <family val="2"/>
      </rPr>
      <t xml:space="preserve">完整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、法說與 </t>
    </r>
    <r>
      <rPr>
        <sz val="11"/>
        <color theme="1"/>
        <rFont val="Calibri"/>
        <family val="2"/>
        <charset val="1"/>
      </rPr>
      <t xml:space="preserve">follow-up call </t>
    </r>
    <r>
      <rPr>
        <sz val="11"/>
        <color theme="1"/>
        <rFont val="Noto Sans CJK SC"/>
        <family val="2"/>
      </rPr>
      <t xml:space="preserve">逐字稿皆未提及（搜尋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）：未找到；不套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係數（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</si>
  <si>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一次性項目：財報口徑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評價口徑（</t>
    </r>
    <r>
      <rPr>
        <b val="true"/>
        <sz val="11"/>
        <rFont val="Cambria"/>
        <family val="0"/>
        <charset val="1"/>
      </rPr>
      <t xml:space="preserve">M5 </t>
    </r>
    <r>
      <rPr>
        <b val="true"/>
        <sz val="11"/>
        <rFont val="Noto Sans CJK SC"/>
        <family val="2"/>
      </rPr>
      <t xml:space="preserve">擴大）</t>
    </r>
  </si>
  <si>
    <t xml:space="preserve">財報口徑</t>
  </si>
  <si>
    <t xml:space="preserve">排除一次性</t>
  </si>
  <si>
    <t xml:space="preserve">差額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</si>
  <si>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</si>
  <si>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排除：</t>
    </r>
    <r>
      <rPr>
        <sz val="11"/>
        <color theme="1"/>
        <rFont val="Calibri"/>
        <family val="2"/>
        <charset val="1"/>
      </rPr>
      <t xml:space="preserve">Q1 CAMT </t>
    </r>
    <r>
      <rPr>
        <sz val="11"/>
        <color theme="1"/>
        <rFont val="Noto Sans CJK SC"/>
        <family val="2"/>
      </rPr>
      <t xml:space="preserve">稅務利益 </t>
    </r>
    <r>
      <rPr>
        <sz val="11"/>
        <color theme="1"/>
        <rFont val="Calibri"/>
        <family val="2"/>
        <charset val="1"/>
      </rPr>
      <t xml:space="preserve">8.03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；協議現金付款仍在現金流與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</si>
  <si>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</si>
  <si>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9M26 EPS</t>
  </si>
  <si>
    <r>
      <rPr>
        <b val="true"/>
        <sz val="11"/>
        <rFont val="Cambria"/>
        <family val="0"/>
        <charset val="1"/>
      </rPr>
      <t xml:space="preserve">5. v0.1.1</t>
    </r>
    <r>
      <rPr>
        <b val="true"/>
        <sz val="11"/>
        <rFont val="Noto Sans CJK SC"/>
        <family val="2"/>
      </rPr>
      <t xml:space="preserve">：完整 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新事實與法說方向（只作對照；有量化者已在模型，其餘只寫文字，</t>
    </r>
    <r>
      <rPr>
        <b val="true"/>
        <sz val="11"/>
        <rFont val="Cambria"/>
        <family val="0"/>
        <charset val="1"/>
      </rPr>
      <t xml:space="preserve">H2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</si>
  <si>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多州檢察長協議費用：前三季合計（</t>
    </r>
    <r>
      <rPr>
        <sz val="11"/>
        <color theme="1"/>
        <rFont val="Calibri"/>
        <family val="2"/>
        <charset val="1"/>
      </rPr>
      <t xml:space="preserve">Q3 9.89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</si>
  <si>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legal.agCharge.ytd9m2026</t>
    </r>
    <r>
      <rPr>
        <sz val="11"/>
        <color theme="1"/>
        <rFont val="Noto Sans CJK SC"/>
        <family val="2"/>
      </rPr>
      <t xml:space="preserve">）；模型：其他法律應計＝</t>
    </r>
    <r>
      <rPr>
        <sz val="11"/>
        <color theme="1"/>
        <rFont val="Calibri"/>
        <family val="2"/>
        <charset val="1"/>
      </rPr>
      <t xml:space="preserve">19.881 − </t>
    </r>
    <r>
      <rPr>
        <sz val="11"/>
        <color theme="1"/>
        <rFont val="Noto Sans CJK SC"/>
        <family val="2"/>
      </rPr>
      <t xml:space="preserve">本值（</t>
    </r>
    <r>
      <rPr>
        <sz val="11"/>
        <color theme="1"/>
        <rFont val="Calibri"/>
        <family val="2"/>
        <charset val="1"/>
      </rPr>
      <t xml:space="preserve">In legal_oth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</si>
  <si>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法律相關應計：流動 </t>
    </r>
    <r>
      <rPr>
        <sz val="11"/>
        <color theme="1"/>
        <rFont val="Calibri"/>
        <family val="2"/>
        <charset val="1"/>
      </rPr>
      <t xml:space="preserve">2025-12-31 → 2026-09-30</t>
    </r>
  </si>
  <si>
    <r>
      <rPr>
        <sz val="11"/>
        <color theme="1"/>
        <rFont val="Calibri"/>
        <family val="2"/>
        <charset val="1"/>
      </rPr>
      <t xml:space="preserve">6.867 → 11.577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+4.71</t>
    </r>
    <r>
      <rPr>
        <sz val="11"/>
        <color theme="1"/>
        <rFont val="Noto Sans CJK SC"/>
        <family val="2"/>
      </rPr>
      <t xml:space="preserve">）；含協議一年內到期部分與其他案件（新墨西哥判決約 </t>
    </r>
    <r>
      <rPr>
        <sz val="11"/>
        <color theme="1"/>
        <rFont val="Calibri"/>
        <family val="2"/>
        <charset val="1"/>
      </rPr>
      <t xml:space="preserve">0.94 </t>
    </r>
    <r>
      <rPr>
        <sz val="11"/>
        <color theme="1"/>
        <rFont val="Noto Sans CJK SC"/>
        <family val="2"/>
      </rPr>
      <t xml:space="preserve">已上訴暫緩等）。原文無第一年付款金額 → 等額（</t>
    </r>
    <r>
      <rPr>
        <sz val="11"/>
        <color theme="1"/>
        <rFont val="Calibri"/>
        <family val="2"/>
        <charset val="1"/>
      </rPr>
      <t xml:space="preserve">H3</t>
    </r>
    <r>
      <rPr>
        <sz val="11"/>
        <color theme="1"/>
        <rFont val="Noto Sans CJK SC"/>
        <family val="2"/>
      </rPr>
      <t xml:space="preserve">）；推論第一年約 </t>
    </r>
    <r>
      <rPr>
        <sz val="11"/>
        <color theme="1"/>
        <rFont val="Calibri"/>
        <family val="2"/>
        <charset val="1"/>
      </rPr>
      <t xml:space="preserve">4.04 </t>
    </r>
    <r>
      <rPr>
        <sz val="11"/>
        <color theme="1"/>
        <rFont val="Noto Sans CJK SC"/>
        <family val="2"/>
      </rPr>
      <t xml:space="preserve">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ag_y1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</si>
  <si>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Noto Sans CJK SC"/>
        <family val="2"/>
      </rPr>
      <t xml:space="preserve">法律相關應計：非流動 </t>
    </r>
    <r>
      <rPr>
        <sz val="11"/>
        <color theme="1"/>
        <rFont val="Calibri"/>
        <family val="2"/>
        <charset val="1"/>
      </rPr>
      <t xml:space="preserve">2025-12-31 → 2026-09-30</t>
    </r>
  </si>
  <si>
    <r>
      <rPr>
        <sz val="11"/>
        <color theme="1"/>
        <rFont val="Calibri"/>
        <family val="2"/>
        <charset val="1"/>
      </rPr>
      <t xml:space="preserve">0.450 → 8.304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+7.85</t>
    </r>
    <r>
      <rPr>
        <sz val="11"/>
        <color theme="1"/>
        <rFont val="Noto Sans CJK SC"/>
        <family val="2"/>
      </rPr>
      <t xml:space="preserve">），與協議分年支付相符</t>
    </r>
  </si>
  <si>
    <r>
      <rPr>
        <sz val="11"/>
        <color theme="1"/>
        <rFont val="Noto Sans CJK SC"/>
        <family val="2"/>
      </rPr>
      <t xml:space="preserve">協議名目付款（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＋委員會 </t>
    </r>
    <r>
      <rPr>
        <sz val="11"/>
        <color theme="1"/>
        <rFont val="Calibri"/>
        <family val="2"/>
        <charset val="1"/>
      </rPr>
      <t xml:space="preserve">0.075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已認列費用 </t>
    </r>
    <r>
      <rPr>
        <sz val="11"/>
        <color theme="1"/>
        <rFont val="Calibri"/>
        <family val="2"/>
        <charset val="1"/>
      </rPr>
      <t xml:space="preserve">11.89</t>
    </r>
  </si>
  <si>
    <r>
      <rPr>
        <sz val="11"/>
        <color theme="1"/>
        <rFont val="Noto Sans CJK SC"/>
        <family val="2"/>
      </rPr>
      <t xml:space="preserve">比值約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Noto Sans CJK SC"/>
        <family val="2"/>
      </rPr>
      <t xml:space="preserve">：若按十年等額年金，隱含折現率約 </t>
    </r>
    <r>
      <rPr>
        <sz val="11"/>
        <color theme="1"/>
        <rFont val="Calibri"/>
        <family val="2"/>
        <charset val="1"/>
      </rPr>
      <t xml:space="preserve">1.4%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推論「</t>
    </r>
    <r>
      <rPr>
        <sz val="11"/>
        <color theme="1"/>
        <rFont val="Calibri"/>
        <family val="2"/>
        <charset val="1"/>
      </rPr>
      <t xml:space="preserve">9.89≈12.7 </t>
    </r>
    <r>
      <rPr>
        <sz val="11"/>
        <color theme="1"/>
        <rFont val="Noto Sans CJK SC"/>
        <family val="2"/>
      </rPr>
      <t xml:space="preserve">以約 </t>
    </r>
    <r>
      <rPr>
        <sz val="11"/>
        <color theme="1"/>
        <rFont val="Calibri"/>
        <family val="2"/>
        <charset val="1"/>
      </rPr>
      <t xml:space="preserve">4.9% </t>
    </r>
    <r>
      <rPr>
        <sz val="11"/>
        <color theme="1"/>
        <rFont val="Noto Sans CJK SC"/>
        <family val="2"/>
      </rPr>
      <t xml:space="preserve">折現的現值」不成立（已撤回）</t>
    </r>
  </si>
  <si>
    <r>
      <rPr>
        <sz val="11"/>
        <color theme="1"/>
        <rFont val="Noto Sans CJK SC"/>
        <family val="2"/>
      </rPr>
      <t xml:space="preserve">融資租賃使用權資產（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</si>
  <si>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未單獨揭露融資租賃負債：基準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上限＝本值（</t>
    </r>
    <r>
      <rPr>
        <sz val="11"/>
        <color theme="1"/>
        <rFont val="Calibri"/>
        <family val="2"/>
        <charset val="1"/>
      </rPr>
      <t xml:space="preserve">In fin_lease</t>
    </r>
    <r>
      <rPr>
        <sz val="11"/>
        <color theme="1"/>
        <rFont val="Noto Sans CJK SC"/>
        <family val="2"/>
      </rPr>
      <t xml:space="preserve">）；前三季本金支付 </t>
    </r>
    <r>
      <rPr>
        <sz val="11"/>
        <color theme="1"/>
        <rFont val="Calibri"/>
        <family val="2"/>
        <charset val="1"/>
      </rPr>
      <t xml:space="preserve">2.769 </t>
    </r>
    <r>
      <rPr>
        <sz val="11"/>
        <color theme="1"/>
        <rFont val="Noto Sans CJK SC"/>
        <family val="2"/>
      </rPr>
      <t xml:space="preserve">已在資本支出（公司口徑）</t>
    </r>
  </si>
  <si>
    <t xml:space="preserve">買回授權剩餘額度</t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</si>
  <si>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bb.remaining.20260930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年前三季未買回；模型回購目標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</si>
  <si>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伺服器與網路設備折舊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</si>
  <si>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Calibri"/>
        <family val="2"/>
        <charset val="1"/>
      </rPr>
      <t xml:space="preserve">5.34 × 4 ÷ 133.6 ≈ 6.3 </t>
    </r>
    <r>
      <rPr>
        <sz val="11"/>
        <color theme="1"/>
        <rFont val="Noto Sans CJK SC"/>
        <family val="2"/>
      </rPr>
      <t xml:space="preserve">年（粗估，含未滿一年資產）；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未載耐用年限，模型 </t>
    </r>
    <r>
      <rPr>
        <sz val="11"/>
        <color theme="1"/>
        <rFont val="Calibri"/>
        <family val="2"/>
        <charset val="1"/>
      </rPr>
      <t xml:space="preserve">life_it 6 </t>
    </r>
    <r>
      <rPr>
        <sz val="11"/>
        <color theme="1"/>
        <rFont val="Noto Sans CJK SC"/>
        <family val="2"/>
      </rPr>
      <t xml:space="preserve">年不改</t>
    </r>
  </si>
  <si>
    <r>
      <rPr>
        <sz val="11"/>
        <color theme="1"/>
        <rFont val="Noto Sans CJK SC"/>
        <family val="2"/>
      </rPr>
      <t xml:space="preserve">受限約當現金（未計入現金＋有價證券 </t>
    </r>
    <r>
      <rPr>
        <sz val="11"/>
        <color theme="1"/>
        <rFont val="Calibri"/>
        <family val="2"/>
        <charset val="1"/>
      </rPr>
      <t xml:space="preserve">82.45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</si>
  <si>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10.80 </t>
    </r>
    <r>
      <rPr>
        <sz val="11"/>
        <color theme="1"/>
        <rFont val="Noto Sans CJK SC"/>
        <family val="2"/>
      </rPr>
      <t xml:space="preserve">為多年期基礎設施採購保證金，預計 </t>
    </r>
    <r>
      <rPr>
        <sz val="11"/>
        <color theme="1"/>
        <rFont val="Calibri"/>
        <family val="2"/>
        <charset val="1"/>
      </rPr>
      <t xml:space="preserve">2028–2030 </t>
    </r>
    <r>
      <rPr>
        <sz val="11"/>
        <color theme="1"/>
        <rFont val="Noto Sans CJK SC"/>
        <family val="2"/>
      </rPr>
      <t xml:space="preserve">隨採購義務完成釋出；屬預付採購，不計入淨現金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</si>
  <si>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資本支出指引（未量化，無數值）</t>
    </r>
  </si>
  <si>
    <r>
      <rPr>
        <sz val="11"/>
        <color theme="1"/>
        <rFont val="Noto Sans CJK SC"/>
        <family val="2"/>
      </rPr>
      <t xml:space="preserve">未量化：「</t>
    </r>
    <r>
      <rPr>
        <sz val="11"/>
        <color theme="1"/>
        <rFont val="Calibri"/>
        <family val="2"/>
        <charset val="1"/>
      </rPr>
      <t xml:space="preserve">until we get to the Q4 call</t>
    </r>
    <r>
      <rPr>
        <sz val="11"/>
        <color theme="1"/>
        <rFont val="Noto Sans CJK SC"/>
        <family val="2"/>
      </rPr>
      <t xml:space="preserve">」；方向「</t>
    </r>
    <r>
      <rPr>
        <sz val="11"/>
        <color theme="1"/>
        <rFont val="Calibri"/>
        <family val="2"/>
        <charset val="1"/>
      </rPr>
      <t xml:space="preserve">continue investing aggressively</t>
    </r>
    <r>
      <rPr>
        <sz val="11"/>
        <color theme="1"/>
        <rFont val="Noto Sans CJK SC"/>
        <family val="2"/>
      </rPr>
      <t xml:space="preserve">」（主法說）。</t>
    </r>
    <r>
      <rPr>
        <sz val="11"/>
        <color theme="1"/>
        <rFont val="Calibri"/>
        <family val="2"/>
        <charset val="1"/>
      </rPr>
      <t xml:space="preserve">follow-up</t>
    </r>
    <r>
      <rPr>
        <sz val="11"/>
        <color theme="1"/>
        <rFont val="Noto Sans CJK SC"/>
        <family val="2"/>
      </rPr>
      <t xml:space="preserve">：伺服器訂單可「</t>
    </r>
    <r>
      <rPr>
        <sz val="11"/>
        <color theme="1"/>
        <rFont val="Calibri"/>
        <family val="2"/>
        <charset val="1"/>
      </rPr>
      <t xml:space="preserve">pace … over time</t>
    </r>
    <r>
      <rPr>
        <sz val="11"/>
        <color theme="1"/>
        <rFont val="Noto Sans CJK SC"/>
        <family val="2"/>
      </rPr>
      <t xml:space="preserve">」→ 模型沿用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cx27_B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</si>
  <si>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虧損（約）</t>
    </r>
  </si>
  <si>
    <r>
      <rPr>
        <sz val="11"/>
        <color theme="1"/>
        <rFont val="Noto Sans CJK SC"/>
        <family val="2"/>
      </rPr>
      <t xml:space="preserve">法說「</t>
    </r>
    <r>
      <rPr>
        <sz val="11"/>
        <color theme="1"/>
        <rFont val="Calibri"/>
        <family val="2"/>
        <charset val="1"/>
      </rPr>
      <t xml:space="preserve">around $15B next year</t>
    </r>
    <r>
      <rPr>
        <sz val="11"/>
        <color theme="1"/>
        <rFont val="Noto Sans CJK SC"/>
        <family val="2"/>
      </rPr>
      <t xml:space="preserve">」、此後「</t>
    </r>
    <r>
      <rPr>
        <sz val="11"/>
        <color theme="1"/>
        <rFont val="Calibri"/>
        <family val="2"/>
        <charset val="1"/>
      </rPr>
      <t xml:space="preserve">trending towards profitability</t>
    </r>
    <r>
      <rPr>
        <sz val="11"/>
        <color theme="1"/>
        <rFont val="Noto Sans CJK SC"/>
        <family val="2"/>
      </rPr>
      <t xml:space="preserve">」→ 已在 </t>
    </r>
    <r>
      <rPr>
        <sz val="11"/>
        <color theme="1"/>
        <rFont val="Calibri"/>
        <family val="2"/>
        <charset val="1"/>
      </rPr>
      <t xml:space="preserve">rl_loss27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</si>
  <si>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Class C</t>
    </r>
    <r>
      <rPr>
        <sz val="11"/>
        <color theme="1"/>
        <rFont val="Noto Sans CJK SC"/>
        <family val="2"/>
      </rPr>
      <t xml:space="preserve">「數千億」融資上限（無數值）</t>
    </r>
  </si>
  <si>
    <r>
      <rPr>
        <sz val="11"/>
        <color theme="1"/>
        <rFont val="Calibri"/>
        <family val="2"/>
        <charset val="1"/>
      </rPr>
      <t xml:space="preserve">follow-up</t>
    </r>
    <r>
      <rPr>
        <sz val="11"/>
        <color theme="1"/>
        <rFont val="Noto Sans CJK SC"/>
        <family val="2"/>
      </rPr>
      <t xml:space="preserve">：資訊聲明中的金額是「</t>
    </r>
    <r>
      <rPr>
        <sz val="11"/>
        <color theme="1"/>
        <rFont val="Calibri"/>
        <family val="2"/>
        <charset val="1"/>
      </rPr>
      <t xml:space="preserve">a theoretical maximum</t>
    </r>
    <r>
      <rPr>
        <sz val="11"/>
        <color theme="1"/>
        <rFont val="Noto Sans CJK SC"/>
        <family val="2"/>
      </rPr>
      <t xml:space="preserve">」（觸發失去創辦人控制權的門檻），非目前股權融資需求或計畫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</si>
  <si>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頁）；由 </t>
    </r>
    <r>
      <rPr>
        <sz val="11"/>
        <color theme="1"/>
        <rFont val="Calibri"/>
        <family val="2"/>
        <charset val="1"/>
      </rPr>
      <t xml:space="preserve">meta/make_v01.sh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SENS=1</t>
    </r>
    <r>
      <rPr>
        <sz val="11"/>
        <color theme="1"/>
        <rFont val="Noto Sans CJK SC"/>
        <family val="2"/>
      </rPr>
      <t xml:space="preserve">）產生，建置時寫入（數值）</t>
    </r>
  </si>
  <si>
    <r>
      <rPr>
        <sz val="11"/>
        <color theme="1"/>
        <rFont val="Noto Sans CJK SC"/>
        <family val="2"/>
      </rPr>
      <t xml:space="preserve">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欄＝收支關卡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（五年）與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（價格情境差額的增量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率）不列：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對稱且權重相同，對加權目標價結構上恆為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，只影響情境間距。</t>
    </r>
    <r>
      <rPr>
        <sz val="11"/>
        <color theme="1"/>
        <rFont val="Calibri"/>
        <family val="2"/>
        <charset val="1"/>
      </rPr>
      <t xml:space="preserve">gl_rl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營收長期年增）亦不列：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營業損益依指引路徑設定，營收只經非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資本支出影響目標價，重算變動小於 </t>
    </r>
    <r>
      <rPr>
        <sz val="11"/>
        <color theme="1"/>
        <rFont val="Calibri"/>
        <family val="2"/>
        <charset val="1"/>
      </rPr>
      <t xml:space="preserve">0.001%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重算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844.09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844.10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844.10</t>
    </r>
    <r>
      <rPr>
        <sz val="11"/>
        <color theme="1"/>
        <rFont val="Noto Sans CJK SC"/>
        <family val="2"/>
      </rPr>
      <t xml:space="preserve">）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</si>
  <si>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</si>
  <si>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</si>
  <si>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</si>
  <si>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</si>
  <si>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</si>
  <si>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</si>
  <si>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</si>
  <si>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</si>
  <si>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</si>
  <si>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</si>
  <si>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make_v01.sh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</si>
  <si>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倍數改用 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</si>
  <si>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9.41× → GOOGL 14.71×</t>
    </r>
  </si>
  <si>
    <t xml:space="preserve">高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</si>
  <si>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倍數改用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8.99×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</si>
  <si>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9.41× → 8.99×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</si>
  <si>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在分部加總以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計：高</t>
    </r>
  </si>
  <si>
    <r>
      <rPr>
        <sz val="11"/>
        <color theme="1"/>
        <rFont val="Noto Sans CJK SC"/>
        <family val="2"/>
      </rPr>
      <t xml:space="preserve">負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0</t>
    </r>
  </si>
  <si>
    <t xml:space="preserve">曝光長期年增：低</t>
  </si>
  <si>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7%</t>
    </r>
  </si>
  <si>
    <t xml:space="preserve">曝光長期年增：高</t>
  </si>
  <si>
    <t xml:space="preserve">每則價格長期年增：低</t>
  </si>
  <si>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</si>
  <si>
    <t xml:space="preserve">每則價格長期年增：高</t>
  </si>
  <si>
    <r>
      <rPr>
        <sz val="11"/>
        <color theme="1"/>
        <rFont val="Noto Sans CJK SC"/>
        <family val="2"/>
      </rPr>
      <t xml:space="preserve">起始年增改用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</si>
  <si>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Noto Sans CJK SC"/>
        <family val="2"/>
      </rPr>
      <t xml:space="preserve">近四季 →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</si>
  <si>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價格提升幅度：低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</si>
  <si>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</si>
  <si>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價格提升幅度：高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</si>
  <si>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價格消退幅度：低</t>
    </r>
  </si>
  <si>
    <r>
      <rPr>
        <sz val="11"/>
        <color theme="1"/>
        <rFont val="Calibri"/>
        <family val="2"/>
        <charset val="1"/>
      </rPr>
      <t xml:space="preserve">−15%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</si>
  <si>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價格消退幅度：高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</si>
  <si>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</si>
  <si>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Calibri"/>
        <family val="2"/>
        <charset val="1"/>
      </rPr>
      <t xml:space="preserve">9M26 → 2026Q3</t>
    </r>
    <r>
      <rPr>
        <sz val="11"/>
        <color theme="1"/>
        <rFont val="Noto Sans CJK SC"/>
        <family val="2"/>
      </rPr>
      <t xml:space="preserve">（皆排除一次性）</t>
    </r>
  </si>
  <si>
    <r>
      <rPr>
        <sz val="11"/>
        <color theme="1"/>
        <rFont val="Calibri"/>
        <family val="2"/>
        <charset val="1"/>
      </rPr>
      <t xml:space="preserve">Other revenue </t>
    </r>
    <r>
      <rPr>
        <sz val="11"/>
        <color theme="1"/>
        <rFont val="Noto Sans CJK SC"/>
        <family val="2"/>
      </rPr>
      <t xml:space="preserve">長期年增：低</t>
    </r>
  </si>
  <si>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</si>
  <si>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Other revenue </t>
    </r>
    <r>
      <rPr>
        <sz val="11"/>
        <color theme="1"/>
        <rFont val="Noto Sans CJK SC"/>
        <family val="2"/>
      </rPr>
      <t xml:space="preserve">長期年增：高</t>
    </r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</si>
  <si>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虧損：低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</si>
  <si>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</si>
  <si>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虧損：高</t>
    </r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</si>
  <si>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虧損：低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</si>
  <si>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</si>
  <si>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虧損：高</t>
    </r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</si>
  <si>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虧損：低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</si>
  <si>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</si>
  <si>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虧損：高</t>
    </r>
  </si>
  <si>
    <r>
      <rPr>
        <sz val="11"/>
        <color theme="1"/>
        <rFont val="Noto Sans CJK SC"/>
        <family val="2"/>
      </rPr>
      <t xml:space="preserve">折舊中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</si>
  <si>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</si>
  <si>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折舊中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占比：高</t>
    </r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</si>
  <si>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值）：低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</si>
  <si>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低成本／高成本欄（</t>
    </r>
    <r>
      <rPr>
        <sz val="11"/>
        <color theme="1"/>
        <rFont val="Calibri"/>
        <family val="2"/>
        <charset val="1"/>
      </rPr>
      <t xml:space="preserve">GB300 10.89 → 8.43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18.53</t>
    </r>
    <r>
      <rPr>
        <sz val="11"/>
        <color theme="1"/>
        <rFont val="Noto Sans CJK SC"/>
        <family val="2"/>
      </rPr>
      <t xml:space="preserve">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</si>
  <si>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</si>
  <si>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值）：高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</si>
  <si>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資本支出指引取區間兩端：低</t>
    </r>
  </si>
  <si>
    <r>
      <rPr>
        <sz val="11"/>
        <color theme="1"/>
        <rFont val="Calibri"/>
        <family val="2"/>
        <charset val="1"/>
      </rPr>
      <t xml:space="preserve">135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</si>
  <si>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資本支出指引取區間兩端：高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</si>
  <si>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資本支出係數：低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</si>
  <si>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× 1/4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3/4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</si>
  <si>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資本支出係數：高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</si>
  <si>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</si>
  <si>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</si>
  <si>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</si>
  <si>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</si>
  <si>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</si>
  <si>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資本支出占營收：高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</si>
  <si>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</si>
  <si>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</si>
  <si>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占比：高</t>
    </r>
  </si>
  <si>
    <r>
      <rPr>
        <sz val="11"/>
        <color theme="1"/>
        <rFont val="Noto Sans CJK SC"/>
        <family val="2"/>
      </rPr>
      <t xml:space="preserve">在建工程不另增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cip_ai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；對齊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處理）：低</t>
    </r>
  </si>
  <si>
    <r>
      <rPr>
        <sz val="11"/>
        <color theme="1"/>
        <rFont val="Calibri"/>
        <family val="2"/>
        <charset val="1"/>
      </rPr>
      <t xml:space="preserve">90% → 0</t>
    </r>
    <r>
      <rPr>
        <sz val="11"/>
        <color theme="1"/>
        <rFont val="Noto Sans CJK SC"/>
        <family val="2"/>
      </rPr>
      <t xml:space="preserve">（在建工程仍照時程折舊）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</si>
  <si>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</si>
  <si>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</si>
  <si>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占比：高</t>
    </r>
  </si>
  <si>
    <r>
      <rPr>
        <sz val="11"/>
        <color theme="1"/>
        <rFont val="Calibri"/>
        <family val="2"/>
        <charset val="1"/>
      </rPr>
      <t xml:space="preserve">FY2023 AI </t>
    </r>
    <r>
      <rPr>
        <sz val="11"/>
        <color theme="1"/>
        <rFont val="Noto Sans CJK SC"/>
        <family val="2"/>
      </rPr>
      <t xml:space="preserve">占資本支出：低</t>
    </r>
  </si>
  <si>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汰換）</t>
    </r>
  </si>
  <si>
    <r>
      <rPr>
        <sz val="11"/>
        <color theme="1"/>
        <rFont val="Calibri"/>
        <family val="2"/>
        <charset val="1"/>
      </rPr>
      <t xml:space="preserve">FY2023 AI </t>
    </r>
    <r>
      <rPr>
        <sz val="11"/>
        <color theme="1"/>
        <rFont val="Noto Sans CJK SC"/>
        <family val="2"/>
      </rPr>
      <t xml:space="preserve">占資本支出：高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</si>
  <si>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批次當期折舊比例：低</t>
    </r>
  </si>
  <si>
    <r>
      <rPr>
        <sz val="11"/>
        <color theme="1"/>
        <rFont val="Calibri"/>
        <family val="2"/>
        <charset val="1"/>
      </rPr>
      <t xml:space="preserve">0.0625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（高＝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</si>
  <si>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批次當期折舊比例：高</t>
    </r>
  </si>
  <si>
    <t xml:space="preserve">年度批次當期折舊比例：低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</si>
  <si>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</si>
  <si>
    <t xml:space="preserve">年度批次當期折舊比例：高</t>
  </si>
  <si>
    <t xml:space="preserve">機房折舊年限：低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</si>
  <si>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年</t>
    </r>
  </si>
  <si>
    <t xml:space="preserve">機房折舊年限：高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</si>
  <si>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</si>
  <si>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</si>
  <si>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折舊年限：高</t>
    </r>
  </si>
  <si>
    <t xml:space="preserve">自建機房比例：低</t>
  </si>
  <si>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95%</t>
    </r>
  </si>
  <si>
    <t xml:space="preserve">自建機房比例：高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</si>
  <si>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</si>
  <si>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</si>
  <si>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</si>
  <si>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Noto Sans CJK SC"/>
        <family val="2"/>
      </rPr>
      <t xml:space="preserve">租用算力（尚未起租租賃＋第三方雲端；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</si>
  <si>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0 → 17.8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滿載）</t>
    </r>
  </si>
  <si>
    <r>
      <rPr>
        <sz val="11"/>
        <color theme="1"/>
        <rFont val="Noto Sans CJK SC"/>
        <family val="2"/>
      </rPr>
      <t xml:space="preserve">協議或有金額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認列為類債：高</t>
    </r>
  </si>
  <si>
    <t xml:space="preserve">0 → 5.3</t>
  </si>
  <si>
    <r>
      <rPr>
        <sz val="11"/>
        <color theme="1"/>
        <rFont val="Noto Sans CJK SC"/>
        <family val="2"/>
      </rPr>
      <t xml:space="preserve">協議付款前高後低（第一年 </t>
    </r>
    <r>
      <rPr>
        <sz val="11"/>
        <color theme="1"/>
        <rFont val="Calibri"/>
        <family val="2"/>
        <charset val="1"/>
      </rPr>
      <t xml:space="preserve">4.04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</si>
  <si>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Noto Sans CJK SC"/>
        <family val="2"/>
      </rPr>
      <t xml:space="preserve">等額 </t>
    </r>
    <r>
      <rPr>
        <sz val="11"/>
        <color theme="1"/>
        <rFont val="Calibri"/>
        <family val="2"/>
        <charset val="1"/>
      </rPr>
      <t xml:space="preserve">1.27 → </t>
    </r>
    <r>
      <rPr>
        <sz val="11"/>
        <color theme="1"/>
        <rFont val="Noto Sans CJK SC"/>
        <family val="2"/>
      </rPr>
      <t xml:space="preserve">第一年 </t>
    </r>
    <r>
      <rPr>
        <sz val="11"/>
        <color theme="1"/>
        <rFont val="Calibri"/>
        <family val="2"/>
        <charset val="1"/>
      </rPr>
      <t xml:space="preserve">4.04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0.96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</si>
  <si>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融資租賃負債＝使用權資產 </t>
    </r>
    <r>
      <rPr>
        <sz val="11"/>
        <color theme="1"/>
        <rFont val="Calibri"/>
        <family val="2"/>
        <charset val="1"/>
      </rPr>
      <t xml:space="preserve">11.7</t>
    </r>
    <r>
      <rPr>
        <sz val="11"/>
        <color theme="1"/>
        <rFont val="Noto Sans CJK SC"/>
        <family val="2"/>
      </rPr>
      <t xml:space="preserve">（上限）：高</t>
    </r>
  </si>
  <si>
    <t xml:space="preserve">0 → 11.7</t>
  </si>
  <si>
    <t xml:space="preserve">其他法律應計不扣：低</t>
  </si>
  <si>
    <t xml:space="preserve">10.0 → 0</t>
  </si>
  <si>
    <t xml:space="preserve">遠期出售不交割：低</t>
  </si>
  <si>
    <t xml:space="preserve">計入 → 不計</t>
  </si>
  <si>
    <t xml:space="preserve">有效稅率：低</t>
  </si>
  <si>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19%</t>
    </r>
  </si>
  <si>
    <t xml:space="preserve">有效稅率：高</t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</si>
  <si>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營收增量：低</t>
    </r>
  </si>
  <si>
    <r>
      <rPr>
        <sz val="11"/>
        <color theme="1"/>
        <rFont val="Calibri"/>
        <family val="2"/>
        <charset val="1"/>
      </rPr>
      <t xml:space="preserve">−2%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</si>
  <si>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營收增量：高</t>
    </r>
  </si>
  <si>
    <t xml:space="preserve">強制轉換特別股轉換股數：低</t>
  </si>
  <si>
    <r>
      <rPr>
        <sz val="11"/>
        <color theme="1"/>
        <rFont val="Calibri"/>
        <family val="2"/>
        <charset val="1"/>
      </rPr>
      <t xml:space="preserve">20.0M → 17.0M </t>
    </r>
    <r>
      <rPr>
        <sz val="11"/>
        <color theme="1"/>
        <rFont val="Noto Sans CJK SC"/>
        <family val="2"/>
      </rPr>
      <t xml:space="preserve">股</t>
    </r>
  </si>
  <si>
    <t xml:space="preserve">公司債利差：低</t>
  </si>
  <si>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</si>
  <si>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公司債利差：高</t>
  </si>
  <si>
    <t xml:space="preserve">股數年稀釋：低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</si>
  <si>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</si>
  <si>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t xml:space="preserve">股數年稀釋：高</t>
  </si>
  <si>
    <t xml:space="preserve">回購目標：高</t>
  </si>
  <si>
    <r>
      <rPr>
        <sz val="11"/>
        <color theme="1"/>
        <rFont val="Calibri"/>
        <family val="2"/>
        <charset val="1"/>
      </rPr>
      <t xml:space="preserve">0 → 26.2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</si>
  <si>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</si>
  <si>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</si>
  <si>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</si>
  <si>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</si>
  <si>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1.161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</si>
  <si>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</si>
  <si>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</si>
  <si>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</si>
  <si>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</si>
  <si>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</si>
  <si>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</si>
  <si>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</si>
  <si>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</si>
  <si>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</si>
  <si>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</si>
  <si>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</si>
  <si>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</si>
  <si>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</si>
  <si>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</si>
  <si>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</si>
  <si>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</si>
  <si>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</si>
  <si>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</si>
  <si>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</si>
  <si>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</si>
  <si>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</si>
  <si>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</si>
  <si>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</si>
  <si>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</si>
  <si>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</si>
  <si>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</si>
  <si>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2026-10-21</t>
  </si>
  <si>
    <t xml:space="preserve">https://www.sec.gov/Archives/edgar/data/0001326801/000162828026066700/meta-09302026xexhibit991.htm</t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</si>
  <si>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實績、指引、一次性項目</t>
    </r>
  </si>
  <si>
    <t xml:space="preserve">S02</t>
  </si>
  <si>
    <r>
      <rPr>
        <sz val="11"/>
        <color theme="1"/>
        <rFont val="Calibri"/>
        <family val="2"/>
        <charset val="1"/>
      </rPr>
      <t xml:space="preserve">Meta 2026Q2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 PDF </t>
    </r>
    <r>
      <rPr>
        <sz val="11"/>
        <color theme="1"/>
        <rFont val="Noto Sans CJK SC"/>
        <family val="2"/>
      </rPr>
      <t xml:space="preserve">第二讀）</t>
    </r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</si>
  <si>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01</t>
    </r>
  </si>
  <si>
    <r>
      <rPr>
        <sz val="11"/>
        <color theme="1"/>
        <rFont val="Noto Sans CJK SC"/>
        <family val="2"/>
      </rPr>
      <t xml:space="preserve">見事實總帳各筆 </t>
    </r>
    <r>
      <rPr>
        <sz val="11"/>
        <color theme="1"/>
        <rFont val="Calibri"/>
        <family val="2"/>
        <charset val="1"/>
      </rPr>
      <t xml:space="preserve">url</t>
    </r>
  </si>
  <si>
    <r>
      <rPr>
        <sz val="11"/>
        <color theme="1"/>
        <rFont val="Noto Sans CJK SC"/>
        <family val="2"/>
      </rPr>
      <t xml:space="preserve">各季實績與比較欄（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2024Q4–2025Q3</t>
    </r>
    <r>
      <rPr>
        <sz val="11"/>
        <color theme="1"/>
        <rFont val="Noto Sans CJK SC"/>
        <family val="2"/>
      </rPr>
      <t xml:space="preserve">）</t>
    </r>
  </si>
  <si>
    <t xml:space="preserve">S03</t>
  </si>
  <si>
    <r>
      <rPr>
        <sz val="11"/>
        <color theme="1"/>
        <rFont val="Calibri"/>
        <family val="2"/>
        <charset val="1"/>
      </rPr>
      <t xml:space="preserve">Meta 2026Q3 10-Q</t>
    </r>
    <r>
      <rPr>
        <sz val="11"/>
        <color theme="1"/>
        <rFont val="Noto Sans CJK SC"/>
        <family val="2"/>
      </rPr>
      <t xml:space="preserve">（完整 </t>
    </r>
    <r>
      <rPr>
        <sz val="11"/>
        <color theme="1"/>
        <rFont val="Calibri"/>
        <family val="2"/>
        <charset val="1"/>
      </rPr>
      <t xml:space="preserve">106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＋純文字入庫：</t>
    </r>
    <r>
      <rPr>
        <sz val="11"/>
        <color theme="1"/>
        <rFont val="Calibri"/>
        <family val="2"/>
        <charset val="1"/>
      </rPr>
      <t xml:space="preserve">mag/extract/docs/2026Q3/meta_2026Q3_10-Q.pdf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</si>
  <si>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</si>
  <si>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t xml:space="preserve">https://www.sec.gov/Archives/edgar/data/0001326801/000162828026066773/meta-20260930.htm</t>
  </si>
  <si>
    <r>
      <rPr>
        <sz val="11"/>
        <color theme="1"/>
        <rFont val="Noto Sans CJK SC"/>
        <family val="2"/>
      </rPr>
      <t xml:space="preserve">債務、在建工程、租賃、承諾、法律應計（前三季協議費用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）、多州檢察長協議 </t>
    </r>
    <r>
      <rPr>
        <sz val="11"/>
        <color theme="1"/>
        <rFont val="Calibri"/>
        <family val="2"/>
        <charset val="1"/>
      </rPr>
      <t xml:space="preserve">12.7B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5.3B</t>
    </r>
    <r>
      <rPr>
        <sz val="11"/>
        <color theme="1"/>
        <rFont val="Noto Sans CJK SC"/>
        <family val="2"/>
      </rPr>
      <t xml:space="preserve">、融資租賃使用權資產、買回剩餘額度、受限現金、股數</t>
    </r>
  </si>
  <si>
    <t xml:space="preserve">S04</t>
  </si>
  <si>
    <r>
      <rPr>
        <sz val="11"/>
        <color theme="1"/>
        <rFont val="Calibri"/>
        <family val="2"/>
        <charset val="1"/>
      </rPr>
      <t xml:space="preserve">Meta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Series A </t>
    </r>
    <r>
      <rPr>
        <sz val="11"/>
        <color theme="1"/>
        <rFont val="Noto Sans CJK SC"/>
        <family val="2"/>
      </rPr>
      <t xml:space="preserve">存託股；</t>
    </r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遠期出售）</t>
    </r>
  </si>
  <si>
    <t xml:space="preserve">2026-10-27</t>
  </si>
  <si>
    <t xml:space="preserve">https://www.sec.gov/Archives/edgar/data/0001326801/000119312526436405/d133631d424b5.htm</t>
  </si>
  <si>
    <r>
      <rPr>
        <sz val="11"/>
        <color theme="1"/>
        <rFont val="Noto Sans CJK SC"/>
        <family val="2"/>
      </rPr>
      <t xml:space="preserve">特別股承銷折扣 </t>
    </r>
    <r>
      <rPr>
        <sz val="11"/>
        <color theme="1"/>
        <rFont val="Calibri"/>
        <family val="2"/>
        <charset val="1"/>
      </rPr>
      <t xml:space="preserve">0.1665</t>
    </r>
    <r>
      <rPr>
        <sz val="11"/>
        <color theme="1"/>
        <rFont val="Noto Sans CJK SC"/>
        <family val="2"/>
      </rPr>
      <t xml:space="preserve">／股 → 淨額 </t>
    </r>
    <r>
      <rPr>
        <sz val="11"/>
        <color theme="1"/>
        <rFont val="Calibri"/>
        <family val="2"/>
        <charset val="1"/>
      </rPr>
      <t xml:space="preserve">12.458</t>
    </r>
    <r>
      <rPr>
        <sz val="11"/>
        <color theme="1"/>
        <rFont val="Noto Sans CJK SC"/>
        <family val="2"/>
      </rPr>
      <t xml:space="preserve">；遠期價調整條款</t>
    </r>
  </si>
  <si>
    <t xml:space="preserve">S05</t>
  </si>
  <si>
    <r>
      <rPr>
        <sz val="11"/>
        <color theme="1"/>
        <rFont val="Calibri"/>
        <family val="2"/>
        <charset val="1"/>
      </rPr>
      <t xml:space="preserve">Meta 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遠期出售、強制轉換特別股）</t>
    </r>
  </si>
  <si>
    <t xml:space="preserve">2026-10-26</t>
  </si>
  <si>
    <t xml:space="preserve">https://www.sec.gov/Archives/edgar/data/0001326801/000119312526432549/d382225dfwp.htm</t>
  </si>
  <si>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股、特別股 </t>
    </r>
    <r>
      <rPr>
        <sz val="11"/>
        <color theme="1"/>
        <rFont val="Calibri"/>
        <family val="2"/>
        <charset val="1"/>
      </rPr>
      <t xml:space="preserve">12.5B </t>
    </r>
    <r>
      <rPr>
        <sz val="11"/>
        <color theme="1"/>
        <rFont val="Noto Sans CJK SC"/>
        <family val="2"/>
      </rPr>
      <t xml:space="preserve">與轉換比例</t>
    </r>
  </si>
  <si>
    <t xml:space="preserve">S06</t>
  </si>
  <si>
    <r>
      <rPr>
        <sz val="11"/>
        <color theme="1"/>
        <rFont val="Calibri"/>
        <family val="2"/>
        <charset val="1"/>
      </rPr>
      <t xml:space="preserve">Meta 8-K</t>
    </r>
    <r>
      <rPr>
        <sz val="11"/>
        <color theme="1"/>
        <rFont val="Noto Sans CJK SC"/>
        <family val="2"/>
      </rPr>
      <t xml:space="preserve">（特別股交割、</t>
    </r>
    <r>
      <rPr>
        <sz val="11"/>
        <color theme="1"/>
        <rFont val="Calibri"/>
        <family val="2"/>
        <charset val="1"/>
      </rPr>
      <t xml:space="preserve">Class C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</si>
  <si>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https://www.sec.gov/Archives/edgar/data/0001326801/000119312526438017/d183592d8k.htm</t>
  </si>
  <si>
    <r>
      <rPr>
        <sz val="11"/>
        <color theme="1"/>
        <rFont val="Noto Sans CJK SC"/>
        <family val="2"/>
      </rPr>
      <t xml:space="preserve">特別股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交割；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</t>
    </r>
  </si>
  <si>
    <t xml:space="preserve">S07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</si>
  <si>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提供，不入庫；推定 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</si>
  <si>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/Transcript_META_3Q26.pdf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</si>
  <si>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資本支出無數字、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虧損路徑、無融資計畫（通話時）</t>
    </r>
  </si>
  <si>
    <t xml:space="preserve">S08</t>
  </si>
  <si>
    <r>
      <rPr>
        <sz val="11"/>
        <color theme="1"/>
        <rFont val="Calibri"/>
        <family val="2"/>
        <charset val="1"/>
      </rPr>
      <t xml:space="preserve">Meta 2026Q3 follow-up call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提供，不入庫）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</si>
  <si>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/Transcript_follow up call_META_3Q26.pdf</t>
    </r>
  </si>
  <si>
    <r>
      <rPr>
        <sz val="11"/>
        <color theme="1"/>
        <rFont val="Noto Sans CJK SC"/>
        <family val="2"/>
      </rPr>
      <t xml:space="preserve">自建為主、第三方雲端補近期容量、比例未揭露；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金額為理論上限；未提 </t>
    </r>
    <r>
      <rPr>
        <sz val="11"/>
        <color theme="1"/>
        <rFont val="Calibri"/>
        <family val="2"/>
        <charset val="1"/>
      </rPr>
      <t xml:space="preserve">MTIA</t>
    </r>
  </si>
  <si>
    <t xml:space="preserve">S09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</si>
  <si>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meta/data/meta_facts_2026q3.json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facts_2026q3.py</t>
    </r>
    <r>
      <rPr>
        <sz val="11"/>
        <color theme="1"/>
        <rFont val="Noto Sans CJK SC"/>
        <family val="2"/>
      </rPr>
      <t xml:space="preserve">）</t>
    </r>
  </si>
  <si>
    <t xml:space="preserve">2026-10-30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</si>
  <si>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</si>
  <si>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</si>
  <si>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</si>
  <si>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S10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</si>
  <si>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meta/data/tokenomics_snapshot_v21.7.json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alphabet/data/ </t>
    </r>
    <r>
      <rPr>
        <sz val="11"/>
        <color theme="1"/>
        <rFont val="Noto Sans CJK SC"/>
        <family val="2"/>
      </rPr>
      <t xml:space="preserve">複製）</t>
    </r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</si>
  <si>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</si>
  <si>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IF_DeprIT</t>
    </r>
  </si>
  <si>
    <t xml:space="preserve">S11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</si>
  <si>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meta/data/consensus_meta_20261030.json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valueinvesting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</si>
  <si>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共識目標價、年度與季度共識、現價 </t>
    </r>
    <r>
      <rPr>
        <sz val="11"/>
        <color theme="1"/>
        <rFont val="Calibri"/>
        <family val="2"/>
        <charset val="1"/>
      </rPr>
      <t xml:space="preserve">612.49</t>
    </r>
  </si>
  <si>
    <t xml:space="preserve">S12</t>
  </si>
  <si>
    <r>
      <rPr>
        <sz val="11"/>
        <color theme="1"/>
        <rFont val="Noto Sans CJK SC"/>
        <family val="2"/>
      </rPr>
      <t xml:space="preserve">同業檔 </t>
    </r>
    <r>
      <rPr>
        <sz val="11"/>
        <color theme="1"/>
        <rFont val="Calibri"/>
        <family val="2"/>
        <charset val="1"/>
      </rPr>
      <t xml:space="preserve">meta/data/peers_ads_20261030.json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</si>
  <si>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</si>
  <si>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倍數（五家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</t>
    </r>
  </si>
  <si>
    <t xml:space="preserve">S13</t>
  </si>
  <si>
    <r>
      <rPr>
        <sz val="11"/>
        <color theme="1"/>
        <rFont val="Calibri"/>
        <family val="2"/>
        <charset val="1"/>
      </rPr>
      <t xml:space="preserve">TipRanks META </t>
    </r>
    <r>
      <rPr>
        <sz val="11"/>
        <color theme="1"/>
        <rFont val="Noto Sans CJK SC"/>
        <family val="2"/>
      </rPr>
      <t xml:space="preserve">歷史股價</t>
    </r>
  </si>
  <si>
    <t xml:space="preserve">https://www.tipranks.com/stocks/meta/historical-prices</t>
  </si>
  <si>
    <r>
      <rPr>
        <sz val="11"/>
        <color theme="1"/>
        <rFont val="Noto Sans CJK SC"/>
        <family val="2"/>
      </rPr>
      <t xml:space="preserve">評價日股價 </t>
    </r>
    <r>
      <rPr>
        <sz val="11"/>
        <color theme="1"/>
        <rFont val="Calibri"/>
        <family val="2"/>
        <charset val="1"/>
      </rPr>
      <t xml:space="preserve">725.18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9/30</t>
    </r>
    <r>
      <rPr>
        <sz val="11"/>
        <color theme="1"/>
        <rFont val="Noto Sans CJK SC"/>
        <family val="2"/>
      </rPr>
      <t xml:space="preserve">）</t>
    </r>
  </si>
  <si>
    <t xml:space="preserve">S14</t>
  </si>
  <si>
    <r>
      <rPr>
        <sz val="11"/>
        <color theme="1"/>
        <rFont val="Calibri"/>
        <family val="2"/>
        <charset val="1"/>
      </rPr>
      <t xml:space="preserve">StockScan META </t>
    </r>
    <r>
      <rPr>
        <sz val="11"/>
        <color theme="1"/>
        <rFont val="Noto Sans CJK SC"/>
        <family val="2"/>
      </rPr>
      <t xml:space="preserve">歷史股價</t>
    </r>
  </si>
  <si>
    <t xml:space="preserve">https://stockscan.io/stocks/META/price-history</t>
  </si>
  <si>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612.49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9/30 −1.84%</t>
    </r>
  </si>
  <si>
    <t xml:space="preserve">S15</t>
  </si>
  <si>
    <t xml:space="preserve">ChartRow META</t>
  </si>
  <si>
    <t xml:space="preserve">https://chartrow.com/quote/meta</t>
  </si>
  <si>
    <r>
      <rPr>
        <sz val="11"/>
        <color theme="1"/>
        <rFont val="Calibri"/>
        <family val="2"/>
        <charset val="1"/>
      </rPr>
      <t xml:space="preserve">β 1.24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624.55</t>
    </r>
    <r>
      <rPr>
        <sz val="11"/>
        <color theme="1"/>
        <rFont val="Noto Sans CJK SC"/>
        <family val="2"/>
      </rPr>
      <t xml:space="preserve">（單一來源，未採用）</t>
    </r>
  </si>
  <si>
    <t xml:space="preserve">S16</t>
  </si>
  <si>
    <t xml:space="preserve">CoinDataFlow META</t>
  </si>
  <si>
    <t xml:space="preserve">https://coindataflow.com/en/stock/META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</si>
  <si>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5Y Monthly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1.185</t>
    </r>
  </si>
  <si>
    <t xml:space="preserve">S17</t>
  </si>
  <si>
    <r>
      <rPr>
        <sz val="11"/>
        <color theme="1"/>
        <rFont val="Noto Sans CJK SC"/>
        <family val="2"/>
      </rPr>
      <t xml:space="preserve">美國財政部每日殖利率曲線（經 </t>
    </r>
    <r>
      <rPr>
        <sz val="11"/>
        <color theme="1"/>
        <rFont val="Calibri"/>
        <family val="2"/>
        <charset val="1"/>
      </rPr>
      <t xml:space="preserve">Alphabet v0.3.1</t>
    </r>
    <r>
      <rPr>
        <sz val="11"/>
        <color theme="1"/>
        <rFont val="Noto Sans CJK SC"/>
        <family val="2"/>
      </rPr>
      <t xml:space="preserve">）</t>
    </r>
  </si>
  <si>
    <t xml:space="preserve">https://home.treasury.gov/resource-center/data-chart-center/interest-rates/TextView?type=daily_treasury_yield_curve&amp;field_tdr_date_value_month=202610</t>
  </si>
  <si>
    <t xml:space="preserve">rf 4.99%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</si>
</sst>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0"/>
    <numFmt numFmtId="166" formatCode="0.0000"/>
    <numFmt numFmtId="167" formatCode="0.0%"/>
    <numFmt numFmtId="168" formatCode="#,##0.0"/>
    <numFmt numFmtId="169" formatCode="0%"/>
    <numFmt numFmtId="170" formatCode="0.000"/>
    <numFmt numFmtId="171" formatCode="0.00"/>
    <numFmt numFmtId="172" formatCode="#,##0.00"/>
    <numFmt numFmtId="173" formatCode="@"/>
    <numFmt numFmtId="174" formatCode="0.00%"/>
    <numFmt numFmtId="175" formatCode="0"/>
    <numFmt numFmtId="176" formatCode="#,##0"/>
    <numFmt numFmtId="177" formatCode="\+#,##0.00"/>
    <numFmt numFmtId="178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"&amp;TEXT(px,"0.00")&amp;"，2026-10-28 收盤；每股為 Class C 股票股利前口徑）"</f>
        <v>投資建議：買進（加權目標價 US$844.10，上檔空間 +37.8%；現價 612.49，2026-10-28 收盤；每股為 Class C 股票股利前口徑）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"&amp;TEXT(Val!B17,"0")&amp;"／"&amp;TEXT(Val!C17,"0")&amp;"／"&amp;TEXT(Val!D17,"0")&amp;"；讀法 1 目標價 "&amp;TEXT(Val!B21,"0")&amp;"。市場共識目標價 "&amp;TEXT(cons_tp,"0")&amp;"。"</f>
        <v>重點觀察 1：目標價 844＝DCF 793、分部加總 896 各半；情境 A／B／C 為 933／844／755；讀法 1 目標價 429。市場共識目標價 833。</v>
      </c>
    </row>
    <row r="7" customFormat="false" ht="32.8" hidden="false" customHeight="false" outlineLevel="0" collapsed="false">
      <c r="A7" s="1" t="str">
        <f aca="false">"重點觀察 2：FY2028 自用 AI 影子效益（B）"&amp;TEXT(Thesis!I113,"0.0")&amp;"，對自用 AI 增量成本（營運＋新增 AI 折舊）"&amp;TEXT(Thesis!I108,"0.0")&amp;"；FY2028 Advertising A／B／C 為 "&amp;TEXT(PL!I12,"0")&amp;"／"&amp;TEXT(PL!I59,"0")&amp;"／"&amp;TEXT(PL!I106,"0")&amp;"，合併營業利益率（財報口徑，B）由 FY2025 "&amp;TEXT(PL!D84,"0.0%")&amp;" 變為 FY2028 "&amp;TEXT(PL!I84,"0.0%")&amp;"。"</f>
        <v>重點觀察 2：FY2028 自用 AI 影子效益（B）107.9，對自用 AI 增量成本（營運＋新增 AI 折舊）70.9；FY2028 Advertising A／B／C 為 381／362／344，合併營業利益率（財報口徑，B）由 FY2025 41.4% 變為 FY2028 24.5%。</v>
      </c>
    </row>
    <row r="8" customFormat="false" ht="32.8" hidden="false" customHeight="false" outlineLevel="0" collapsed="false">
      <c r="A8" s="1" t="str">
        <f aca="false">"重點觀察 3：收支關卡（FY2026–2030 自由現金流扣股利合計）A／B／C＝"&amp;TEXT(CF!B6,"0.0")&amp;"／"&amp;TEXT(CF!C6,"0.0")&amp;"／"&amp;TEXT(CF!D6,"0.0")&amp;"；B 情境 "&amp;CF!C9&amp;"。FY2027 資本支出（B）"&amp;TEXT(CF!H54,"0")&amp;"，自用 AI MW 由評價日 "&amp;TEXT(mw_tot0,"#,##0")&amp;" 增至 FY2028 年底 "&amp;TEXT(Thesis!I81,"#,##0")&amp;"。"</f>
        <v>重點觀察 3：收支關卡（FY2026–2030 自由現金流扣股利合計）A／B／C＝-19.6／15.0／49.0；B 情境 需要舉債。FY2027 資本支出（B）206，自用 AI MW 由評價日 5,038 增至 FY2028 年底 14,678。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4" t="s">
        <v>10</v>
      </c>
      <c r="D12" s="4" t="s">
        <v>11</v>
      </c>
    </row>
    <row r="13" customFormat="false" ht="17.15" hidden="false" customHeight="false" outlineLevel="0" collapsed="false">
      <c r="A13" s="0" t="s">
        <v>12</v>
      </c>
      <c r="B13" s="4" t="s">
        <v>13</v>
      </c>
      <c r="C13" s="0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4" t="s">
        <v>34</v>
      </c>
    </row>
    <row r="22" customFormat="false" ht="17.15" hidden="false" customHeight="false" outlineLevel="0" collapsed="false">
      <c r="A22" s="4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612.49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725.18</v>
      </c>
      <c r="G6" s="7" t="s">
        <v>55</v>
      </c>
      <c r="H6" s="7" t="s">
        <v>60</v>
      </c>
    </row>
    <row r="7" customFormat="false" ht="17.15" hidden="false" customHeight="false" outlineLevel="0" collapsed="false">
      <c r="A7" s="0" t="s">
        <v>61</v>
      </c>
      <c r="B7" s="4" t="s">
        <v>62</v>
      </c>
      <c r="C7" s="4" t="s">
        <v>63</v>
      </c>
      <c r="E7" s="6" t="n">
        <v>2.556241</v>
      </c>
      <c r="G7" s="7" t="s">
        <v>55</v>
      </c>
      <c r="H7" s="7" t="s">
        <v>64</v>
      </c>
    </row>
    <row r="8" customFormat="false" ht="17.15" hidden="false" customHeight="false" outlineLevel="0" collapsed="false">
      <c r="A8" s="0" t="s">
        <v>65</v>
      </c>
      <c r="B8" s="0" t="s">
        <v>66</v>
      </c>
      <c r="C8" s="4" t="s">
        <v>63</v>
      </c>
      <c r="E8" s="6" t="n">
        <v>2.573</v>
      </c>
      <c r="G8" s="7" t="s">
        <v>55</v>
      </c>
      <c r="H8" s="7" t="s">
        <v>67</v>
      </c>
    </row>
    <row r="9" customFormat="false" ht="17.15" hidden="false" customHeight="false" outlineLevel="0" collapsed="false">
      <c r="A9" s="0" t="s">
        <v>68</v>
      </c>
      <c r="B9" s="0" t="s">
        <v>69</v>
      </c>
      <c r="C9" s="4" t="s">
        <v>63</v>
      </c>
      <c r="E9" s="6" t="n">
        <v>2.552</v>
      </c>
      <c r="G9" s="7" t="s">
        <v>55</v>
      </c>
      <c r="H9" s="7" t="s">
        <v>70</v>
      </c>
      <c r="I9" s="4" t="s">
        <v>71</v>
      </c>
    </row>
    <row r="10" customFormat="false" ht="17.15" hidden="false" customHeight="false" outlineLevel="0" collapsed="false">
      <c r="A10" s="0" t="s">
        <v>72</v>
      </c>
      <c r="B10" s="4" t="s">
        <v>73</v>
      </c>
      <c r="C10" s="0" t="s">
        <v>74</v>
      </c>
      <c r="E10" s="6" t="n">
        <v>82.449</v>
      </c>
      <c r="G10" s="7" t="s">
        <v>55</v>
      </c>
      <c r="H10" s="4" t="s">
        <v>75</v>
      </c>
    </row>
    <row r="11" customFormat="false" ht="17.15" hidden="false" customHeight="false" outlineLevel="0" collapsed="false">
      <c r="A11" s="0" t="s">
        <v>76</v>
      </c>
      <c r="B11" s="4" t="s">
        <v>77</v>
      </c>
      <c r="C11" s="0" t="s">
        <v>74</v>
      </c>
      <c r="E11" s="6" t="n">
        <v>81.592</v>
      </c>
      <c r="G11" s="7" t="s">
        <v>55</v>
      </c>
      <c r="H11" s="4" t="s">
        <v>78</v>
      </c>
    </row>
    <row r="12" customFormat="false" ht="17.15" hidden="false" customHeight="false" outlineLevel="0" collapsed="false">
      <c r="A12" s="0" t="s">
        <v>79</v>
      </c>
      <c r="B12" s="4" t="s">
        <v>80</v>
      </c>
      <c r="C12" s="0" t="s">
        <v>74</v>
      </c>
      <c r="E12" s="6" t="n">
        <v>84</v>
      </c>
      <c r="G12" s="7" t="s">
        <v>55</v>
      </c>
      <c r="H12" s="7" t="s">
        <v>81</v>
      </c>
      <c r="I12" s="4" t="s">
        <v>82</v>
      </c>
    </row>
    <row r="13" customFormat="false" ht="17.15" hidden="false" customHeight="false" outlineLevel="0" collapsed="false">
      <c r="A13" s="0" t="s">
        <v>83</v>
      </c>
      <c r="B13" s="4" t="s">
        <v>84</v>
      </c>
      <c r="C13" s="0" t="s">
        <v>74</v>
      </c>
      <c r="E13" s="6" t="n">
        <v>58.744</v>
      </c>
      <c r="G13" s="7" t="s">
        <v>55</v>
      </c>
      <c r="H13" s="7" t="s">
        <v>85</v>
      </c>
      <c r="I13" s="4" t="s">
        <v>86</v>
      </c>
    </row>
    <row r="14" customFormat="false" ht="17.15" hidden="false" customHeight="false" outlineLevel="0" collapsed="false">
      <c r="A14" s="8" t="s">
        <v>87</v>
      </c>
      <c r="B14" s="9" t="s">
        <v>88</v>
      </c>
      <c r="C14" s="8" t="s">
        <v>74</v>
      </c>
      <c r="D14" s="8"/>
      <c r="E14" s="10" t="n">
        <v>0</v>
      </c>
      <c r="F14" s="10" t="n">
        <v>11.704</v>
      </c>
      <c r="G14" s="8" t="s">
        <v>89</v>
      </c>
      <c r="H14" s="9" t="s">
        <v>90</v>
      </c>
      <c r="I14" s="9" t="s">
        <v>91</v>
      </c>
    </row>
    <row r="15" customFormat="false" ht="17.15" hidden="false" customHeight="false" outlineLevel="0" collapsed="false">
      <c r="A15" s="8" t="s">
        <v>92</v>
      </c>
      <c r="B15" s="9" t="s">
        <v>93</v>
      </c>
      <c r="C15" s="8" t="s">
        <v>74</v>
      </c>
      <c r="D15" s="10" t="n">
        <v>0</v>
      </c>
      <c r="E15" s="10" t="n">
        <v>7.991</v>
      </c>
      <c r="F15" s="8"/>
      <c r="G15" s="8" t="s">
        <v>94</v>
      </c>
      <c r="H15" s="8" t="s">
        <v>95</v>
      </c>
      <c r="I15" s="9" t="s">
        <v>96</v>
      </c>
    </row>
    <row r="16" customFormat="false" ht="17.15" hidden="false" customHeight="false" outlineLevel="0" collapsed="false">
      <c r="A16" s="0" t="s">
        <v>97</v>
      </c>
      <c r="B16" s="0" t="s">
        <v>98</v>
      </c>
      <c r="C16" s="0" t="s">
        <v>74</v>
      </c>
      <c r="E16" s="6" t="n">
        <v>12.458375</v>
      </c>
      <c r="G16" s="7" t="s">
        <v>55</v>
      </c>
      <c r="H16" s="7" t="s">
        <v>99</v>
      </c>
      <c r="I16" s="7" t="s">
        <v>100</v>
      </c>
    </row>
    <row r="17" customFormat="false" ht="17.15" hidden="false" customHeight="false" outlineLevel="0" collapsed="false">
      <c r="A17" s="0" t="s">
        <v>101</v>
      </c>
      <c r="B17" s="4" t="s">
        <v>102</v>
      </c>
      <c r="C17" s="4" t="s">
        <v>63</v>
      </c>
      <c r="D17" s="6" t="n">
        <v>0.017025</v>
      </c>
      <c r="E17" s="6" t="n">
        <v>0.02</v>
      </c>
      <c r="F17" s="6" t="n">
        <v>0.02</v>
      </c>
      <c r="G17" s="7" t="s">
        <v>94</v>
      </c>
      <c r="H17" s="7" t="s">
        <v>103</v>
      </c>
      <c r="I17" s="4" t="s">
        <v>104</v>
      </c>
    </row>
    <row r="18" customFormat="false" ht="17.15" hidden="false" customHeight="false" outlineLevel="0" collapsed="false">
      <c r="A18" s="0" t="s">
        <v>105</v>
      </c>
      <c r="B18" s="4" t="s">
        <v>106</v>
      </c>
      <c r="C18" s="0" t="s">
        <v>74</v>
      </c>
      <c r="E18" s="6" t="n">
        <v>0</v>
      </c>
      <c r="G18" s="7" t="s">
        <v>89</v>
      </c>
      <c r="H18" s="7" t="s">
        <v>107</v>
      </c>
    </row>
    <row r="19" customFormat="false" ht="17.15" hidden="false" customHeight="false" outlineLevel="0" collapsed="false">
      <c r="A19" s="0" t="s">
        <v>108</v>
      </c>
      <c r="B19" s="4" t="s">
        <v>109</v>
      </c>
      <c r="C19" s="0" t="s">
        <v>74</v>
      </c>
      <c r="E19" s="6" t="n">
        <v>0.8125</v>
      </c>
      <c r="G19" s="7" t="s">
        <v>89</v>
      </c>
    </row>
    <row r="20" customFormat="false" ht="17.15" hidden="false" customHeight="false" outlineLevel="0" collapsed="false">
      <c r="A20" s="0" t="s">
        <v>110</v>
      </c>
      <c r="B20" s="4" t="s">
        <v>111</v>
      </c>
      <c r="C20" s="0" t="s">
        <v>74</v>
      </c>
      <c r="E20" s="6" t="n">
        <v>0.8125</v>
      </c>
      <c r="G20" s="7" t="s">
        <v>89</v>
      </c>
    </row>
    <row r="21" customFormat="false" ht="17.15" hidden="false" customHeight="false" outlineLevel="0" collapsed="false">
      <c r="A21" s="0" t="s">
        <v>112</v>
      </c>
      <c r="B21" s="4" t="s">
        <v>113</v>
      </c>
      <c r="C21" s="0" t="s">
        <v>74</v>
      </c>
      <c r="E21" s="6" t="n">
        <v>0.609</v>
      </c>
      <c r="G21" s="7" t="s">
        <v>89</v>
      </c>
    </row>
    <row r="22" customFormat="false" ht="17.15" hidden="false" customHeight="false" outlineLevel="0" collapsed="false">
      <c r="A22" s="8" t="s">
        <v>114</v>
      </c>
      <c r="B22" s="8" t="s">
        <v>115</v>
      </c>
      <c r="C22" s="8" t="s">
        <v>116</v>
      </c>
      <c r="D22" s="11" t="n">
        <v>0</v>
      </c>
      <c r="E22" s="11" t="n">
        <v>1</v>
      </c>
      <c r="F22" s="8"/>
      <c r="G22" s="8" t="s">
        <v>89</v>
      </c>
      <c r="H22" s="8" t="s">
        <v>117</v>
      </c>
      <c r="I22" s="9" t="s">
        <v>118</v>
      </c>
    </row>
    <row r="23" customFormat="false" ht="17.15" hidden="false" customHeight="false" outlineLevel="0" collapsed="false">
      <c r="A23" s="0" t="s">
        <v>119</v>
      </c>
      <c r="B23" s="4" t="s">
        <v>120</v>
      </c>
      <c r="C23" s="4" t="s">
        <v>63</v>
      </c>
      <c r="E23" s="6" t="n">
        <v>0.04</v>
      </c>
      <c r="G23" s="7" t="s">
        <v>55</v>
      </c>
      <c r="H23" s="7" t="s">
        <v>121</v>
      </c>
    </row>
    <row r="24" customFormat="false" ht="17.15" hidden="false" customHeight="false" outlineLevel="0" collapsed="false">
      <c r="A24" s="0" t="s">
        <v>122</v>
      </c>
      <c r="B24" s="4" t="s">
        <v>123</v>
      </c>
      <c r="C24" s="0" t="s">
        <v>74</v>
      </c>
      <c r="E24" s="6" t="n">
        <v>24.9168</v>
      </c>
      <c r="G24" s="7" t="s">
        <v>94</v>
      </c>
      <c r="H24" s="7" t="s">
        <v>121</v>
      </c>
      <c r="I24" s="4" t="s">
        <v>124</v>
      </c>
    </row>
    <row r="25" customFormat="false" ht="17.15" hidden="false" customHeight="false" outlineLevel="0" collapsed="false">
      <c r="A25" s="5" t="s">
        <v>125</v>
      </c>
    </row>
    <row r="26" customFormat="false" ht="17.15" hidden="false" customHeight="false" outlineLevel="0" collapsed="false">
      <c r="A26" s="0" t="s">
        <v>126</v>
      </c>
      <c r="B26" s="4" t="s">
        <v>127</v>
      </c>
      <c r="C26" s="0" t="s">
        <v>128</v>
      </c>
      <c r="E26" s="12" t="n">
        <v>0.0499</v>
      </c>
      <c r="G26" s="7" t="s">
        <v>55</v>
      </c>
      <c r="H26" s="4" t="s">
        <v>129</v>
      </c>
      <c r="I26" s="4" t="s">
        <v>130</v>
      </c>
    </row>
    <row r="27" customFormat="false" ht="17.15" hidden="false" customHeight="false" outlineLevel="0" collapsed="false">
      <c r="A27" s="0" t="s">
        <v>131</v>
      </c>
      <c r="B27" s="4" t="s">
        <v>132</v>
      </c>
      <c r="C27" s="0" t="s">
        <v>116</v>
      </c>
      <c r="E27" s="13" t="n">
        <v>1.24</v>
      </c>
      <c r="G27" s="7" t="s">
        <v>133</v>
      </c>
      <c r="H27" s="7" t="s">
        <v>134</v>
      </c>
    </row>
    <row r="28" customFormat="false" ht="17.15" hidden="false" customHeight="false" outlineLevel="0" collapsed="false">
      <c r="A28" s="0" t="s">
        <v>135</v>
      </c>
      <c r="B28" s="4" t="s">
        <v>136</v>
      </c>
      <c r="C28" s="0" t="s">
        <v>116</v>
      </c>
      <c r="E28" s="13" t="n">
        <v>1.185</v>
      </c>
      <c r="G28" s="7" t="s">
        <v>133</v>
      </c>
      <c r="H28" s="7" t="s">
        <v>137</v>
      </c>
      <c r="I28" s="7" t="s">
        <v>138</v>
      </c>
    </row>
    <row r="29" customFormat="false" ht="17.15" hidden="false" customHeight="false" outlineLevel="0" collapsed="false">
      <c r="A29" s="0" t="s">
        <v>139</v>
      </c>
      <c r="B29" s="0" t="s">
        <v>140</v>
      </c>
      <c r="C29" s="0" t="s">
        <v>116</v>
      </c>
      <c r="E29" s="13" t="n">
        <v>0.67</v>
      </c>
      <c r="G29" s="7" t="s">
        <v>94</v>
      </c>
      <c r="H29" s="7" t="s">
        <v>141</v>
      </c>
    </row>
    <row r="30" customFormat="false" ht="17.15" hidden="false" customHeight="false" outlineLevel="0" collapsed="false">
      <c r="A30" s="0" t="s">
        <v>142</v>
      </c>
      <c r="B30" s="0" t="s">
        <v>143</v>
      </c>
      <c r="C30" s="0" t="s">
        <v>116</v>
      </c>
      <c r="D30" s="13" t="n">
        <v>1.124</v>
      </c>
      <c r="E30" s="14" t="n">
        <f aca="false">MEDIAN(blume_a*beta_cr+1-blume_a,blume_a*beta_cd+1-blume_a)</f>
        <v>1.142375</v>
      </c>
      <c r="F30" s="13" t="n">
        <v>1.1608</v>
      </c>
      <c r="G30" s="7" t="s">
        <v>94</v>
      </c>
      <c r="H30" s="4" t="s">
        <v>144</v>
      </c>
      <c r="I30" s="4" t="s">
        <v>145</v>
      </c>
    </row>
    <row r="31" customFormat="false" ht="17.15" hidden="false" customHeight="false" outlineLevel="0" collapsed="false">
      <c r="A31" s="0" t="s">
        <v>146</v>
      </c>
      <c r="B31" s="4" t="s">
        <v>147</v>
      </c>
      <c r="C31" s="0" t="s">
        <v>128</v>
      </c>
      <c r="D31" s="12" t="n">
        <v>0.04</v>
      </c>
      <c r="E31" s="12" t="n">
        <v>0.05</v>
      </c>
      <c r="F31" s="12" t="n">
        <v>0.06</v>
      </c>
      <c r="G31" s="7" t="s">
        <v>89</v>
      </c>
      <c r="H31" s="4" t="s">
        <v>148</v>
      </c>
    </row>
    <row r="32" customFormat="false" ht="17.15" hidden="false" customHeight="false" outlineLevel="0" collapsed="false">
      <c r="A32" s="0" t="s">
        <v>149</v>
      </c>
      <c r="B32" s="4" t="s">
        <v>150</v>
      </c>
      <c r="C32" s="0" t="s">
        <v>128</v>
      </c>
      <c r="D32" s="12" t="n">
        <v>0.004</v>
      </c>
      <c r="E32" s="12" t="n">
        <v>0.007</v>
      </c>
      <c r="F32" s="12" t="n">
        <v>0.01</v>
      </c>
      <c r="G32" s="7" t="s">
        <v>89</v>
      </c>
      <c r="H32" s="4" t="s">
        <v>151</v>
      </c>
    </row>
    <row r="33" customFormat="false" ht="17.15" hidden="false" customHeight="false" outlineLevel="0" collapsed="false">
      <c r="A33" s="0" t="s">
        <v>152</v>
      </c>
      <c r="B33" s="4" t="s">
        <v>153</v>
      </c>
      <c r="C33" s="0" t="s">
        <v>128</v>
      </c>
      <c r="E33" s="15" t="n">
        <f aca="false">rf+kd_sp</f>
        <v>0.0569</v>
      </c>
      <c r="G33" s="7" t="s">
        <v>94</v>
      </c>
      <c r="H33" s="4" t="s">
        <v>154</v>
      </c>
    </row>
    <row r="34" customFormat="false" ht="17.15" hidden="false" customHeight="false" outlineLevel="0" collapsed="false">
      <c r="A34" s="0" t="s">
        <v>155</v>
      </c>
      <c r="B34" s="0" t="s">
        <v>156</v>
      </c>
      <c r="C34" s="0" t="s">
        <v>128</v>
      </c>
      <c r="D34" s="12" t="n">
        <v>-0.01</v>
      </c>
      <c r="E34" s="12" t="n">
        <v>0</v>
      </c>
      <c r="F34" s="12" t="n">
        <v>0.01</v>
      </c>
      <c r="G34" s="7" t="s">
        <v>89</v>
      </c>
      <c r="H34" s="4" t="s">
        <v>154</v>
      </c>
    </row>
    <row r="35" customFormat="false" ht="17.15" hidden="false" customHeight="false" outlineLevel="0" collapsed="false">
      <c r="A35" s="8" t="s">
        <v>157</v>
      </c>
      <c r="B35" s="9" t="s">
        <v>158</v>
      </c>
      <c r="C35" s="8" t="s">
        <v>128</v>
      </c>
      <c r="D35" s="16" t="n">
        <v>0.02</v>
      </c>
      <c r="E35" s="16" t="n">
        <v>0.03</v>
      </c>
      <c r="F35" s="16" t="n">
        <v>0.04</v>
      </c>
      <c r="G35" s="8" t="s">
        <v>89</v>
      </c>
      <c r="H35" s="9" t="s">
        <v>154</v>
      </c>
      <c r="I35" s="8"/>
    </row>
    <row r="36" customFormat="false" ht="17.15" hidden="false" customHeight="false" outlineLevel="0" collapsed="false">
      <c r="A36" s="8" t="s">
        <v>159</v>
      </c>
      <c r="B36" s="9" t="s">
        <v>160</v>
      </c>
      <c r="C36" s="8" t="s">
        <v>128</v>
      </c>
      <c r="D36" s="8"/>
      <c r="E36" s="16" t="n">
        <v>0</v>
      </c>
      <c r="F36" s="16" t="n">
        <v>0.05</v>
      </c>
      <c r="G36" s="8" t="s">
        <v>89</v>
      </c>
      <c r="H36" s="9" t="s">
        <v>161</v>
      </c>
      <c r="I36" s="8" t="s">
        <v>162</v>
      </c>
    </row>
    <row r="37" customFormat="false" ht="17.15" hidden="false" customHeight="false" outlineLevel="0" collapsed="false">
      <c r="A37" s="0" t="s">
        <v>163</v>
      </c>
      <c r="B37" s="4" t="s">
        <v>164</v>
      </c>
      <c r="C37" s="4" t="s">
        <v>165</v>
      </c>
      <c r="E37" s="6" t="n">
        <v>0.5</v>
      </c>
      <c r="G37" s="7" t="s">
        <v>94</v>
      </c>
      <c r="H37" s="4" t="s">
        <v>154</v>
      </c>
    </row>
    <row r="38" customFormat="false" ht="17.15" hidden="false" customHeight="false" outlineLevel="0" collapsed="false">
      <c r="A38" s="0" t="s">
        <v>166</v>
      </c>
      <c r="B38" s="4" t="s">
        <v>167</v>
      </c>
      <c r="C38" s="4" t="s">
        <v>165</v>
      </c>
      <c r="E38" s="6" t="n">
        <v>2026.75</v>
      </c>
      <c r="G38" s="7" t="s">
        <v>94</v>
      </c>
      <c r="H38" s="4" t="s">
        <v>154</v>
      </c>
    </row>
    <row r="39" customFormat="false" ht="17.15" hidden="false" customHeight="false" outlineLevel="0" collapsed="false">
      <c r="A39" s="0" t="s">
        <v>168</v>
      </c>
      <c r="B39" s="0" t="s">
        <v>169</v>
      </c>
      <c r="C39" s="4" t="s">
        <v>165</v>
      </c>
      <c r="E39" s="6" t="n">
        <v>0.125</v>
      </c>
      <c r="G39" s="7" t="s">
        <v>94</v>
      </c>
      <c r="H39" s="7" t="s">
        <v>170</v>
      </c>
    </row>
    <row r="40" customFormat="false" ht="17.15" hidden="false" customHeight="false" outlineLevel="0" collapsed="false">
      <c r="A40" s="8" t="s">
        <v>171</v>
      </c>
      <c r="B40" s="9" t="s">
        <v>172</v>
      </c>
      <c r="C40" s="8" t="s">
        <v>128</v>
      </c>
      <c r="D40" s="8"/>
      <c r="E40" s="16" t="n">
        <v>0.25</v>
      </c>
      <c r="F40" s="8"/>
      <c r="G40" s="8" t="s">
        <v>89</v>
      </c>
      <c r="H40" s="9" t="s">
        <v>173</v>
      </c>
      <c r="I40" s="8"/>
    </row>
    <row r="41" customFormat="false" ht="17.15" hidden="false" customHeight="false" outlineLevel="0" collapsed="false">
      <c r="A41" s="8" t="s">
        <v>174</v>
      </c>
      <c r="B41" s="9" t="s">
        <v>175</v>
      </c>
      <c r="C41" s="8" t="s">
        <v>128</v>
      </c>
      <c r="D41" s="8"/>
      <c r="E41" s="16" t="n">
        <v>0.5</v>
      </c>
      <c r="F41" s="8"/>
      <c r="G41" s="8" t="s">
        <v>89</v>
      </c>
      <c r="H41" s="9" t="s">
        <v>176</v>
      </c>
      <c r="I41" s="8"/>
    </row>
    <row r="42" customFormat="false" ht="17.15" hidden="false" customHeight="false" outlineLevel="0" collapsed="false">
      <c r="A42" s="8" t="s">
        <v>177</v>
      </c>
      <c r="B42" s="9" t="s">
        <v>178</v>
      </c>
      <c r="C42" s="8" t="s">
        <v>128</v>
      </c>
      <c r="D42" s="8"/>
      <c r="E42" s="16" t="n">
        <v>0.25</v>
      </c>
      <c r="F42" s="8"/>
      <c r="G42" s="8" t="s">
        <v>89</v>
      </c>
      <c r="H42" s="9" t="s">
        <v>176</v>
      </c>
      <c r="I42" s="8"/>
    </row>
    <row r="43" customFormat="false" ht="17.15" hidden="false" customHeight="false" outlineLevel="0" collapsed="false">
      <c r="A43" s="8" t="s">
        <v>179</v>
      </c>
      <c r="B43" s="9" t="s">
        <v>180</v>
      </c>
      <c r="C43" s="8" t="s">
        <v>128</v>
      </c>
      <c r="D43" s="16" t="n">
        <v>0.3</v>
      </c>
      <c r="E43" s="16" t="n">
        <v>0.5</v>
      </c>
      <c r="F43" s="16" t="n">
        <v>0.7</v>
      </c>
      <c r="G43" s="8" t="s">
        <v>89</v>
      </c>
      <c r="H43" s="9" t="s">
        <v>181</v>
      </c>
      <c r="I43" s="8"/>
    </row>
    <row r="44" customFormat="false" ht="17.15" hidden="false" customHeight="false" outlineLevel="0" collapsed="false">
      <c r="A44" s="0" t="s">
        <v>182</v>
      </c>
      <c r="B44" s="4" t="s">
        <v>183</v>
      </c>
      <c r="C44" s="4" t="s">
        <v>165</v>
      </c>
      <c r="E44" s="6" t="n">
        <v>1.0822</v>
      </c>
      <c r="G44" s="7" t="s">
        <v>94</v>
      </c>
      <c r="H44" s="7" t="s">
        <v>184</v>
      </c>
    </row>
    <row r="45" customFormat="false" ht="17.15" hidden="false" customHeight="false" outlineLevel="0" collapsed="false">
      <c r="A45" s="0" t="s">
        <v>185</v>
      </c>
      <c r="B45" s="4" t="s">
        <v>186</v>
      </c>
      <c r="C45" s="0" t="s">
        <v>128</v>
      </c>
      <c r="E45" s="12" t="n">
        <v>0.1699</v>
      </c>
      <c r="G45" s="7" t="s">
        <v>94</v>
      </c>
      <c r="H45" s="7" t="s">
        <v>187</v>
      </c>
    </row>
    <row r="46" customFormat="false" ht="17.15" hidden="false" customHeight="false" outlineLevel="0" collapsed="false">
      <c r="A46" s="0" t="s">
        <v>188</v>
      </c>
      <c r="B46" s="4" t="s">
        <v>189</v>
      </c>
      <c r="C46" s="0" t="s">
        <v>54</v>
      </c>
      <c r="E46" s="6" t="n">
        <v>833.12</v>
      </c>
      <c r="G46" s="7" t="s">
        <v>133</v>
      </c>
      <c r="H46" s="7" t="s">
        <v>190</v>
      </c>
      <c r="I46" s="7" t="s">
        <v>191</v>
      </c>
    </row>
    <row r="47" customFormat="false" ht="17.15" hidden="false" customHeight="false" outlineLevel="0" collapsed="false">
      <c r="A47" s="0" t="s">
        <v>192</v>
      </c>
      <c r="B47" s="4" t="s">
        <v>193</v>
      </c>
      <c r="C47" s="0" t="s">
        <v>54</v>
      </c>
      <c r="E47" s="17" t="n">
        <f aca="false">dps/4+dps*(1+dps_g)*(1-w_ntm27)</f>
        <v>2.392607786</v>
      </c>
      <c r="G47" s="7" t="s">
        <v>94</v>
      </c>
      <c r="H47" s="7" t="s">
        <v>194</v>
      </c>
    </row>
    <row r="48" customFormat="false" ht="17.15" hidden="false" customHeight="false" outlineLevel="0" collapsed="false">
      <c r="A48" s="8" t="s">
        <v>195</v>
      </c>
      <c r="B48" s="9" t="s">
        <v>196</v>
      </c>
      <c r="C48" s="8" t="s">
        <v>116</v>
      </c>
      <c r="D48" s="11" t="n">
        <v>1</v>
      </c>
      <c r="E48" s="11" t="n">
        <v>2</v>
      </c>
      <c r="F48" s="8"/>
      <c r="G48" s="8" t="s">
        <v>89</v>
      </c>
      <c r="H48" s="9" t="s">
        <v>197</v>
      </c>
      <c r="I48" s="8" t="s">
        <v>198</v>
      </c>
    </row>
    <row r="49" customFormat="false" ht="17.15" hidden="false" customHeight="false" outlineLevel="0" collapsed="false">
      <c r="A49" s="8" t="s">
        <v>199</v>
      </c>
      <c r="B49" s="8" t="s">
        <v>200</v>
      </c>
      <c r="C49" s="8" t="s">
        <v>116</v>
      </c>
      <c r="D49" s="8"/>
      <c r="E49" s="11" t="n">
        <v>0</v>
      </c>
      <c r="F49" s="11" t="n">
        <v>1</v>
      </c>
      <c r="G49" s="8" t="s">
        <v>89</v>
      </c>
      <c r="H49" s="9" t="s">
        <v>201</v>
      </c>
      <c r="I49" s="8"/>
    </row>
    <row r="50" customFormat="false" ht="17.15" hidden="false" customHeight="false" outlineLevel="0" collapsed="false">
      <c r="A50" s="8" t="s">
        <v>202</v>
      </c>
      <c r="B50" s="9" t="s">
        <v>203</v>
      </c>
      <c r="C50" s="8" t="s">
        <v>116</v>
      </c>
      <c r="D50" s="8"/>
      <c r="E50" s="11" t="n">
        <v>0</v>
      </c>
      <c r="F50" s="11" t="n">
        <v>1</v>
      </c>
      <c r="G50" s="8" t="s">
        <v>89</v>
      </c>
      <c r="H50" s="9" t="s">
        <v>154</v>
      </c>
      <c r="I50" s="8"/>
    </row>
    <row r="51" customFormat="false" ht="17.15" hidden="false" customHeight="false" outlineLevel="0" collapsed="false">
      <c r="A51" s="5" t="s">
        <v>204</v>
      </c>
    </row>
    <row r="52" customFormat="false" ht="17.15" hidden="false" customHeight="false" outlineLevel="0" collapsed="false">
      <c r="A52" s="0" t="s">
        <v>205</v>
      </c>
      <c r="B52" s="4" t="s">
        <v>206</v>
      </c>
      <c r="C52" s="0" t="s">
        <v>116</v>
      </c>
      <c r="E52" s="13" t="n">
        <v>14.71</v>
      </c>
      <c r="G52" s="7" t="s">
        <v>94</v>
      </c>
      <c r="H52" s="7" t="s">
        <v>207</v>
      </c>
      <c r="I52" s="7" t="s">
        <v>208</v>
      </c>
    </row>
    <row r="53" customFormat="false" ht="17.15" hidden="false" customHeight="false" outlineLevel="0" collapsed="false">
      <c r="A53" s="0" t="s">
        <v>209</v>
      </c>
      <c r="B53" s="4" t="s">
        <v>210</v>
      </c>
      <c r="C53" s="0" t="s">
        <v>116</v>
      </c>
      <c r="E53" s="13" t="n">
        <v>6.91</v>
      </c>
      <c r="G53" s="7" t="s">
        <v>94</v>
      </c>
      <c r="H53" s="7" t="s">
        <v>211</v>
      </c>
      <c r="I53" s="7" t="s">
        <v>208</v>
      </c>
    </row>
    <row r="54" customFormat="false" ht="17.15" hidden="false" customHeight="false" outlineLevel="0" collapsed="false">
      <c r="A54" s="0" t="s">
        <v>212</v>
      </c>
      <c r="B54" s="4" t="s">
        <v>213</v>
      </c>
      <c r="C54" s="0" t="s">
        <v>116</v>
      </c>
      <c r="E54" s="13" t="n">
        <v>6.53</v>
      </c>
      <c r="G54" s="7" t="s">
        <v>94</v>
      </c>
      <c r="H54" s="7" t="s">
        <v>211</v>
      </c>
      <c r="I54" s="7" t="s">
        <v>208</v>
      </c>
    </row>
    <row r="55" customFormat="false" ht="17.15" hidden="false" customHeight="false" outlineLevel="0" collapsed="false">
      <c r="A55" s="0" t="s">
        <v>214</v>
      </c>
      <c r="B55" s="4" t="s">
        <v>215</v>
      </c>
      <c r="C55" s="0" t="s">
        <v>116</v>
      </c>
      <c r="E55" s="13" t="n">
        <v>11.38</v>
      </c>
      <c r="G55" s="7" t="s">
        <v>94</v>
      </c>
      <c r="H55" s="7" t="s">
        <v>211</v>
      </c>
      <c r="I55" s="7" t="s">
        <v>208</v>
      </c>
    </row>
    <row r="56" customFormat="false" ht="17.15" hidden="false" customHeight="false" outlineLevel="0" collapsed="false">
      <c r="A56" s="0" t="s">
        <v>216</v>
      </c>
      <c r="B56" s="4" t="s">
        <v>217</v>
      </c>
      <c r="C56" s="0" t="s">
        <v>116</v>
      </c>
      <c r="E56" s="13" t="n">
        <v>13.63</v>
      </c>
      <c r="G56" s="7" t="s">
        <v>94</v>
      </c>
      <c r="H56" s="7" t="s">
        <v>211</v>
      </c>
      <c r="I56" s="7" t="s">
        <v>208</v>
      </c>
    </row>
    <row r="57" customFormat="false" ht="17.15" hidden="false" customHeight="false" outlineLevel="0" collapsed="false">
      <c r="A57" s="0" t="s">
        <v>218</v>
      </c>
      <c r="B57" s="4" t="s">
        <v>219</v>
      </c>
      <c r="C57" s="0" t="s">
        <v>116</v>
      </c>
      <c r="E57" s="13" t="n">
        <v>7.43</v>
      </c>
      <c r="G57" s="7" t="s">
        <v>94</v>
      </c>
      <c r="H57" s="7" t="s">
        <v>211</v>
      </c>
      <c r="I57" s="7" t="s">
        <v>208</v>
      </c>
    </row>
    <row r="58" customFormat="false" ht="17.15" hidden="false" customHeight="false" outlineLevel="0" collapsed="false">
      <c r="A58" s="0" t="s">
        <v>220</v>
      </c>
      <c r="B58" s="0" t="s">
        <v>221</v>
      </c>
      <c r="C58" s="0" t="s">
        <v>116</v>
      </c>
      <c r="E58" s="13" t="n">
        <v>8.99</v>
      </c>
      <c r="G58" s="7" t="s">
        <v>94</v>
      </c>
      <c r="H58" s="7" t="s">
        <v>222</v>
      </c>
    </row>
    <row r="59" customFormat="false" ht="17.15" hidden="false" customHeight="false" outlineLevel="0" collapsed="false">
      <c r="A59" s="8" t="s">
        <v>223</v>
      </c>
      <c r="B59" s="8" t="s">
        <v>224</v>
      </c>
      <c r="C59" s="8" t="s">
        <v>116</v>
      </c>
      <c r="D59" s="8"/>
      <c r="E59" s="11" t="n">
        <v>0</v>
      </c>
      <c r="F59" s="11" t="n">
        <v>2</v>
      </c>
      <c r="G59" s="8" t="s">
        <v>89</v>
      </c>
      <c r="H59" s="8" t="s">
        <v>225</v>
      </c>
      <c r="I59" s="8" t="s">
        <v>226</v>
      </c>
    </row>
    <row r="60" customFormat="false" ht="17.15" hidden="false" customHeight="false" outlineLevel="0" collapsed="false">
      <c r="A60" s="8" t="s">
        <v>227</v>
      </c>
      <c r="B60" s="8" t="s">
        <v>228</v>
      </c>
      <c r="C60" s="8" t="s">
        <v>116</v>
      </c>
      <c r="D60" s="8"/>
      <c r="E60" s="11" t="n">
        <v>0</v>
      </c>
      <c r="F60" s="11" t="n">
        <v>1</v>
      </c>
      <c r="G60" s="8" t="s">
        <v>89</v>
      </c>
      <c r="H60" s="9" t="s">
        <v>229</v>
      </c>
      <c r="I60" s="8" t="s">
        <v>230</v>
      </c>
    </row>
    <row r="61" customFormat="false" ht="17.15" hidden="false" customHeight="false" outlineLevel="0" collapsed="false">
      <c r="A61" s="5" t="s">
        <v>231</v>
      </c>
    </row>
    <row r="62" customFormat="false" ht="17.15" hidden="false" customHeight="false" outlineLevel="0" collapsed="false">
      <c r="A62" s="8" t="s">
        <v>232</v>
      </c>
      <c r="B62" s="9" t="s">
        <v>233</v>
      </c>
      <c r="C62" s="8" t="s">
        <v>128</v>
      </c>
      <c r="D62" s="16" t="n">
        <v>0.02</v>
      </c>
      <c r="E62" s="16" t="n">
        <v>0.04</v>
      </c>
      <c r="F62" s="16" t="n">
        <v>0.07</v>
      </c>
      <c r="G62" s="8" t="s">
        <v>89</v>
      </c>
      <c r="H62" s="9" t="s">
        <v>234</v>
      </c>
      <c r="I62" s="9" t="s">
        <v>235</v>
      </c>
    </row>
    <row r="63" customFormat="false" ht="17.15" hidden="false" customHeight="false" outlineLevel="0" collapsed="false">
      <c r="A63" s="0" t="s">
        <v>236</v>
      </c>
      <c r="B63" s="0" t="s">
        <v>237</v>
      </c>
      <c r="C63" s="0" t="s">
        <v>74</v>
      </c>
      <c r="E63" s="6" t="n">
        <v>28.1</v>
      </c>
      <c r="G63" s="7" t="s">
        <v>133</v>
      </c>
      <c r="H63" s="7" t="s">
        <v>238</v>
      </c>
    </row>
    <row r="64" customFormat="false" ht="17.15" hidden="false" customHeight="false" outlineLevel="0" collapsed="false">
      <c r="A64" s="0" t="s">
        <v>239</v>
      </c>
      <c r="B64" s="0" t="s">
        <v>240</v>
      </c>
      <c r="C64" s="0" t="s">
        <v>128</v>
      </c>
      <c r="D64" s="12" t="n">
        <v>0.5</v>
      </c>
      <c r="E64" s="12" t="n">
        <v>0.7</v>
      </c>
      <c r="F64" s="12" t="n">
        <v>0.9</v>
      </c>
      <c r="G64" s="7" t="s">
        <v>89</v>
      </c>
      <c r="H64" s="4" t="s">
        <v>241</v>
      </c>
      <c r="I64" s="4" t="s">
        <v>242</v>
      </c>
    </row>
    <row r="65" customFormat="false" ht="17.15" hidden="false" customHeight="false" outlineLevel="0" collapsed="false">
      <c r="A65" s="0" t="s">
        <v>243</v>
      </c>
      <c r="B65" s="0" t="s">
        <v>244</v>
      </c>
      <c r="C65" s="0" t="s">
        <v>74</v>
      </c>
      <c r="E65" s="6" t="n">
        <v>39.225</v>
      </c>
      <c r="G65" s="7" t="s">
        <v>55</v>
      </c>
      <c r="H65" s="4" t="s">
        <v>245</v>
      </c>
    </row>
    <row r="66" customFormat="false" ht="17.15" hidden="false" customHeight="false" outlineLevel="0" collapsed="false">
      <c r="A66" s="0" t="s">
        <v>246</v>
      </c>
      <c r="B66" s="0" t="s">
        <v>247</v>
      </c>
      <c r="C66" s="0" t="s">
        <v>74</v>
      </c>
      <c r="E66" s="6" t="n">
        <v>72.215</v>
      </c>
      <c r="G66" s="7" t="s">
        <v>55</v>
      </c>
      <c r="H66" s="4" t="s">
        <v>248</v>
      </c>
      <c r="I66" s="4" t="s">
        <v>249</v>
      </c>
    </row>
    <row r="67" customFormat="false" ht="17.15" hidden="false" customHeight="false" outlineLevel="0" collapsed="false">
      <c r="A67" s="0" t="s">
        <v>250</v>
      </c>
      <c r="B67" s="0" t="s">
        <v>251</v>
      </c>
      <c r="C67" s="0" t="s">
        <v>74</v>
      </c>
      <c r="E67" s="6" t="n">
        <v>85.824</v>
      </c>
      <c r="G67" s="7" t="s">
        <v>55</v>
      </c>
      <c r="H67" s="4" t="s">
        <v>252</v>
      </c>
      <c r="I67" s="4" t="s">
        <v>253</v>
      </c>
    </row>
    <row r="68" customFormat="false" ht="17.15" hidden="false" customHeight="false" outlineLevel="0" collapsed="false">
      <c r="A68" s="0" t="s">
        <v>254</v>
      </c>
      <c r="B68" s="0" t="s">
        <v>255</v>
      </c>
      <c r="C68" s="0" t="s">
        <v>74</v>
      </c>
      <c r="D68" s="6" t="n">
        <v>135</v>
      </c>
      <c r="E68" s="6" t="n">
        <v>140</v>
      </c>
      <c r="F68" s="6" t="n">
        <v>145</v>
      </c>
      <c r="G68" s="7" t="s">
        <v>133</v>
      </c>
      <c r="H68" s="7" t="s">
        <v>256</v>
      </c>
      <c r="I68" s="7" t="s">
        <v>257</v>
      </c>
    </row>
    <row r="69" customFormat="false" ht="17.15" hidden="false" customHeight="false" outlineLevel="0" collapsed="false">
      <c r="A69" s="8" t="s">
        <v>258</v>
      </c>
      <c r="B69" s="8" t="s">
        <v>259</v>
      </c>
      <c r="C69" s="8" t="s">
        <v>116</v>
      </c>
      <c r="D69" s="11" t="n">
        <v>0.25</v>
      </c>
      <c r="E69" s="11" t="n">
        <v>0.5</v>
      </c>
      <c r="F69" s="11" t="n">
        <v>0.75</v>
      </c>
      <c r="G69" s="8" t="s">
        <v>89</v>
      </c>
      <c r="H69" s="9" t="s">
        <v>260</v>
      </c>
      <c r="I69" s="8" t="s">
        <v>261</v>
      </c>
    </row>
    <row r="70" customFormat="false" ht="17.15" hidden="false" customHeight="false" outlineLevel="0" collapsed="false">
      <c r="A70" s="8" t="s">
        <v>262</v>
      </c>
      <c r="B70" s="8" t="s">
        <v>263</v>
      </c>
      <c r="C70" s="8" t="s">
        <v>128</v>
      </c>
      <c r="D70" s="8"/>
      <c r="E70" s="16" t="n">
        <v>0.15</v>
      </c>
      <c r="F70" s="8"/>
      <c r="G70" s="8" t="s">
        <v>89</v>
      </c>
      <c r="H70" s="9" t="s">
        <v>264</v>
      </c>
      <c r="I70" s="8"/>
    </row>
    <row r="71" customFormat="false" ht="17.15" hidden="false" customHeight="false" outlineLevel="0" collapsed="false">
      <c r="A71" s="0" t="s">
        <v>265</v>
      </c>
      <c r="B71" s="4" t="s">
        <v>266</v>
      </c>
      <c r="C71" s="0" t="s">
        <v>74</v>
      </c>
      <c r="E71" s="17" t="n">
        <f aca="false">capex_g*(1+(capex_g/cx_25-1)*cx27_k)</f>
        <v>205.705878280136</v>
      </c>
      <c r="G71" s="7" t="s">
        <v>89</v>
      </c>
      <c r="H71" s="7" t="s">
        <v>267</v>
      </c>
    </row>
    <row r="72" customFormat="false" ht="17.15" hidden="false" customHeight="false" outlineLevel="0" collapsed="false">
      <c r="A72" s="8" t="s">
        <v>268</v>
      </c>
      <c r="B72" s="9" t="s">
        <v>269</v>
      </c>
      <c r="C72" s="8" t="s">
        <v>74</v>
      </c>
      <c r="D72" s="8"/>
      <c r="E72" s="18" t="n">
        <f aca="false">cx27_B*(1+cx27_up)</f>
        <v>236.561760022156</v>
      </c>
      <c r="F72" s="8"/>
      <c r="G72" s="8" t="s">
        <v>89</v>
      </c>
      <c r="H72" s="8" t="s">
        <v>270</v>
      </c>
      <c r="I72" s="8"/>
    </row>
    <row r="73" customFormat="false" ht="17.15" hidden="false" customHeight="false" outlineLevel="0" collapsed="false">
      <c r="A73" s="8" t="s">
        <v>271</v>
      </c>
      <c r="B73" s="9" t="s">
        <v>272</v>
      </c>
      <c r="C73" s="8" t="s">
        <v>74</v>
      </c>
      <c r="D73" s="8"/>
      <c r="E73" s="18" t="n">
        <f aca="false">cx27_B*(1-cx27_up)</f>
        <v>174.849996538115</v>
      </c>
      <c r="F73" s="8"/>
      <c r="G73" s="8" t="s">
        <v>89</v>
      </c>
      <c r="H73" s="8" t="s">
        <v>273</v>
      </c>
      <c r="I73" s="8"/>
    </row>
    <row r="74" customFormat="false" ht="17.15" hidden="false" customHeight="false" outlineLevel="0" collapsed="false">
      <c r="A74" s="8" t="s">
        <v>274</v>
      </c>
      <c r="B74" s="8" t="s">
        <v>275</v>
      </c>
      <c r="C74" s="8" t="s">
        <v>116</v>
      </c>
      <c r="D74" s="11" t="n">
        <v>0.8</v>
      </c>
      <c r="E74" s="11" t="n">
        <v>1</v>
      </c>
      <c r="F74" s="11" t="n">
        <v>1.2</v>
      </c>
      <c r="G74" s="8" t="s">
        <v>89</v>
      </c>
      <c r="H74" s="9" t="s">
        <v>276</v>
      </c>
      <c r="I74" s="8"/>
    </row>
    <row r="75" customFormat="false" ht="17.15" hidden="false" customHeight="false" outlineLevel="0" collapsed="false">
      <c r="A75" s="8" t="s">
        <v>277</v>
      </c>
      <c r="B75" s="8" t="s">
        <v>278</v>
      </c>
      <c r="C75" s="9" t="s">
        <v>165</v>
      </c>
      <c r="D75" s="8"/>
      <c r="E75" s="10" t="n">
        <v>4</v>
      </c>
      <c r="F75" s="8"/>
      <c r="G75" s="8" t="s">
        <v>89</v>
      </c>
      <c r="H75" s="9" t="s">
        <v>279</v>
      </c>
      <c r="I75" s="8"/>
    </row>
    <row r="76" customFormat="false" ht="17.15" hidden="false" customHeight="false" outlineLevel="0" collapsed="false">
      <c r="A76" s="0" t="s">
        <v>280</v>
      </c>
      <c r="B76" s="4" t="s">
        <v>281</v>
      </c>
      <c r="C76" s="0" t="s">
        <v>128</v>
      </c>
      <c r="D76" s="12" t="n">
        <v>0.75</v>
      </c>
      <c r="E76" s="12" t="n">
        <v>0.85</v>
      </c>
      <c r="F76" s="12" t="n">
        <v>0.95</v>
      </c>
      <c r="G76" s="7" t="s">
        <v>89</v>
      </c>
      <c r="H76" s="4" t="s">
        <v>282</v>
      </c>
    </row>
    <row r="77" customFormat="false" ht="17.15" hidden="false" customHeight="false" outlineLevel="0" collapsed="false">
      <c r="A77" s="0" t="s">
        <v>283</v>
      </c>
      <c r="B77" s="0" t="s">
        <v>284</v>
      </c>
      <c r="C77" s="0" t="s">
        <v>128</v>
      </c>
      <c r="E77" s="12" t="n">
        <v>1</v>
      </c>
      <c r="G77" s="7" t="s">
        <v>89</v>
      </c>
      <c r="H77" s="4" t="s">
        <v>285</v>
      </c>
    </row>
    <row r="78" customFormat="false" ht="17.15" hidden="false" customHeight="false" outlineLevel="0" collapsed="false">
      <c r="A78" s="0" t="s">
        <v>286</v>
      </c>
      <c r="B78" s="0" t="s">
        <v>287</v>
      </c>
      <c r="C78" s="0" t="s">
        <v>128</v>
      </c>
      <c r="E78" s="12" t="n">
        <v>0.5</v>
      </c>
      <c r="G78" s="7" t="s">
        <v>89</v>
      </c>
      <c r="H78" s="4" t="s">
        <v>154</v>
      </c>
    </row>
    <row r="79" customFormat="false" ht="17.15" hidden="false" customHeight="false" outlineLevel="0" collapsed="false">
      <c r="A79" s="0" t="s">
        <v>288</v>
      </c>
      <c r="B79" s="0" t="s">
        <v>289</v>
      </c>
      <c r="C79" s="0" t="s">
        <v>128</v>
      </c>
      <c r="E79" s="12" t="n">
        <v>1</v>
      </c>
      <c r="G79" s="7" t="s">
        <v>89</v>
      </c>
      <c r="H79" s="4" t="s">
        <v>154</v>
      </c>
    </row>
    <row r="80" customFormat="false" ht="17.15" hidden="false" customHeight="false" outlineLevel="0" collapsed="false">
      <c r="A80" s="0" t="s">
        <v>290</v>
      </c>
      <c r="B80" s="4" t="s">
        <v>291</v>
      </c>
      <c r="C80" s="0" t="s">
        <v>74</v>
      </c>
      <c r="E80" s="6" t="n">
        <v>89.499</v>
      </c>
      <c r="G80" s="7" t="s">
        <v>55</v>
      </c>
      <c r="H80" s="7" t="s">
        <v>292</v>
      </c>
      <c r="I80" s="7" t="s">
        <v>293</v>
      </c>
    </row>
    <row r="81" customFormat="false" ht="17.15" hidden="false" customHeight="false" outlineLevel="0" collapsed="false">
      <c r="A81" s="8" t="s">
        <v>294</v>
      </c>
      <c r="B81" s="9" t="s">
        <v>295</v>
      </c>
      <c r="C81" s="8" t="s">
        <v>128</v>
      </c>
      <c r="D81" s="16" t="n">
        <v>0.8</v>
      </c>
      <c r="E81" s="16" t="n">
        <v>0.9</v>
      </c>
      <c r="F81" s="16" t="n">
        <v>1</v>
      </c>
      <c r="G81" s="8" t="s">
        <v>89</v>
      </c>
      <c r="H81" s="9" t="s">
        <v>296</v>
      </c>
      <c r="I81" s="9" t="s">
        <v>297</v>
      </c>
    </row>
    <row r="82" customFormat="false" ht="17.15" hidden="false" customHeight="false" outlineLevel="0" collapsed="false">
      <c r="A82" s="0" t="s">
        <v>298</v>
      </c>
      <c r="B82" s="4" t="s">
        <v>299</v>
      </c>
      <c r="C82" s="0" t="s">
        <v>128</v>
      </c>
      <c r="D82" s="12" t="n">
        <v>0.5</v>
      </c>
      <c r="E82" s="12" t="n">
        <v>0.6</v>
      </c>
      <c r="F82" s="12" t="n">
        <v>0.7</v>
      </c>
      <c r="G82" s="7" t="s">
        <v>89</v>
      </c>
      <c r="H82" s="4" t="s">
        <v>300</v>
      </c>
      <c r="I82" s="7" t="s">
        <v>301</v>
      </c>
    </row>
    <row r="83" customFormat="false" ht="17.15" hidden="false" customHeight="false" outlineLevel="0" collapsed="false">
      <c r="A83" s="0" t="s">
        <v>302</v>
      </c>
      <c r="B83" s="0" t="s">
        <v>303</v>
      </c>
      <c r="C83" s="4" t="s">
        <v>165</v>
      </c>
      <c r="D83" s="6" t="n">
        <v>5</v>
      </c>
      <c r="E83" s="6" t="n">
        <v>6</v>
      </c>
      <c r="F83" s="6" t="n">
        <v>7</v>
      </c>
      <c r="G83" s="7" t="s">
        <v>89</v>
      </c>
      <c r="H83" s="7" t="s">
        <v>304</v>
      </c>
      <c r="I83" s="4" t="s">
        <v>305</v>
      </c>
    </row>
    <row r="84" customFormat="false" ht="17.15" hidden="false" customHeight="false" outlineLevel="0" collapsed="false">
      <c r="A84" s="0" t="s">
        <v>306</v>
      </c>
      <c r="B84" s="4" t="s">
        <v>307</v>
      </c>
      <c r="C84" s="4" t="s">
        <v>165</v>
      </c>
      <c r="D84" s="6" t="n">
        <v>15</v>
      </c>
      <c r="E84" s="6" t="n">
        <v>20</v>
      </c>
      <c r="F84" s="6" t="n">
        <v>25</v>
      </c>
      <c r="G84" s="7" t="s">
        <v>94</v>
      </c>
      <c r="H84" s="7" t="s">
        <v>308</v>
      </c>
    </row>
    <row r="85" customFormat="false" ht="17.15" hidden="false" customHeight="false" outlineLevel="0" collapsed="false">
      <c r="A85" s="0" t="s">
        <v>309</v>
      </c>
      <c r="B85" s="4" t="s">
        <v>310</v>
      </c>
      <c r="C85" s="4" t="s">
        <v>165</v>
      </c>
      <c r="D85" s="6" t="n">
        <v>8</v>
      </c>
      <c r="E85" s="6" t="n">
        <v>10</v>
      </c>
      <c r="F85" s="6" t="n">
        <v>15</v>
      </c>
      <c r="G85" s="7" t="s">
        <v>89</v>
      </c>
      <c r="H85" s="4" t="s">
        <v>154</v>
      </c>
    </row>
    <row r="86" customFormat="false" ht="17.15" hidden="false" customHeight="false" outlineLevel="0" collapsed="false">
      <c r="A86" s="0" t="s">
        <v>311</v>
      </c>
      <c r="B86" s="4" t="s">
        <v>312</v>
      </c>
      <c r="C86" s="0" t="s">
        <v>116</v>
      </c>
      <c r="D86" s="13" t="n">
        <v>0</v>
      </c>
      <c r="E86" s="13" t="n">
        <v>0.25</v>
      </c>
      <c r="F86" s="13" t="n">
        <v>0.5</v>
      </c>
      <c r="G86" s="7" t="s">
        <v>89</v>
      </c>
      <c r="H86" s="4" t="s">
        <v>154</v>
      </c>
    </row>
    <row r="87" customFormat="false" ht="17.15" hidden="false" customHeight="false" outlineLevel="0" collapsed="false">
      <c r="A87" s="8" t="s">
        <v>313</v>
      </c>
      <c r="B87" s="8" t="s">
        <v>314</v>
      </c>
      <c r="C87" s="8" t="s">
        <v>116</v>
      </c>
      <c r="D87" s="11" t="n">
        <v>0.0625</v>
      </c>
      <c r="E87" s="11" t="n">
        <v>0.125</v>
      </c>
      <c r="F87" s="11" t="n">
        <v>0.25</v>
      </c>
      <c r="G87" s="8" t="s">
        <v>89</v>
      </c>
      <c r="H87" s="9" t="s">
        <v>315</v>
      </c>
      <c r="I87" s="8" t="s">
        <v>316</v>
      </c>
    </row>
    <row r="88" customFormat="false" ht="17.15" hidden="false" customHeight="false" outlineLevel="0" collapsed="false">
      <c r="A88" s="0" t="s">
        <v>317</v>
      </c>
      <c r="B88" s="4" t="s">
        <v>318</v>
      </c>
      <c r="C88" s="0" t="s">
        <v>319</v>
      </c>
      <c r="E88" s="6" t="n">
        <v>28.616</v>
      </c>
      <c r="G88" s="7" t="s">
        <v>94</v>
      </c>
      <c r="H88" s="7" t="s">
        <v>320</v>
      </c>
    </row>
    <row r="89" customFormat="false" ht="17.15" hidden="false" customHeight="false" outlineLevel="0" collapsed="false">
      <c r="A89" s="8" t="s">
        <v>321</v>
      </c>
      <c r="B89" s="9" t="s">
        <v>322</v>
      </c>
      <c r="C89" s="8" t="s">
        <v>319</v>
      </c>
      <c r="D89" s="8"/>
      <c r="E89" s="10" t="n">
        <v>0</v>
      </c>
      <c r="F89" s="10" t="n">
        <v>17.79</v>
      </c>
      <c r="G89" s="8" t="s">
        <v>89</v>
      </c>
      <c r="H89" s="8" t="s">
        <v>323</v>
      </c>
      <c r="I89" s="8" t="s">
        <v>324</v>
      </c>
    </row>
    <row r="90" customFormat="false" ht="17.15" hidden="false" customHeight="false" outlineLevel="0" collapsed="false">
      <c r="A90" s="0" t="s">
        <v>325</v>
      </c>
      <c r="B90" s="0" t="s">
        <v>326</v>
      </c>
      <c r="C90" s="0" t="s">
        <v>327</v>
      </c>
      <c r="D90" s="6" t="n">
        <v>6.79107465326444</v>
      </c>
      <c r="E90" s="6" t="n">
        <v>9.70308728611469</v>
      </c>
      <c r="F90" s="6" t="n">
        <v>16.6637697337026</v>
      </c>
      <c r="G90" s="7" t="s">
        <v>94</v>
      </c>
      <c r="H90" s="7" t="s">
        <v>328</v>
      </c>
      <c r="I90" s="4" t="s">
        <v>329</v>
      </c>
    </row>
    <row r="91" customFormat="false" ht="17.15" hidden="false" customHeight="false" outlineLevel="0" collapsed="false">
      <c r="A91" s="0" t="s">
        <v>330</v>
      </c>
      <c r="B91" s="0" t="s">
        <v>331</v>
      </c>
      <c r="C91" s="0" t="s">
        <v>327</v>
      </c>
      <c r="D91" s="6" t="n">
        <v>6.6118162762144</v>
      </c>
      <c r="E91" s="6" t="n">
        <v>8.82816556596761</v>
      </c>
      <c r="F91" s="6" t="n">
        <v>14.3185748619737</v>
      </c>
      <c r="G91" s="7" t="s">
        <v>94</v>
      </c>
      <c r="H91" s="7" t="s">
        <v>328</v>
      </c>
      <c r="I91" s="4" t="s">
        <v>329</v>
      </c>
    </row>
    <row r="92" customFormat="false" ht="17.15" hidden="false" customHeight="false" outlineLevel="0" collapsed="false">
      <c r="A92" s="0" t="s">
        <v>332</v>
      </c>
      <c r="B92" s="0" t="s">
        <v>333</v>
      </c>
      <c r="C92" s="0" t="s">
        <v>327</v>
      </c>
      <c r="D92" s="6" t="n">
        <v>8.42889912085495</v>
      </c>
      <c r="E92" s="6" t="n">
        <v>10.8864110021101</v>
      </c>
      <c r="F92" s="6" t="n">
        <v>18.5346455040469</v>
      </c>
      <c r="G92" s="7" t="s">
        <v>94</v>
      </c>
      <c r="H92" s="7" t="s">
        <v>328</v>
      </c>
      <c r="I92" s="4" t="s">
        <v>329</v>
      </c>
    </row>
    <row r="93" customFormat="false" ht="17.15" hidden="false" customHeight="false" outlineLevel="0" collapsed="false">
      <c r="A93" s="0" t="s">
        <v>334</v>
      </c>
      <c r="B93" s="0" t="s">
        <v>335</v>
      </c>
      <c r="C93" s="0" t="s">
        <v>327</v>
      </c>
      <c r="D93" s="6" t="n">
        <v>9.21907146281596</v>
      </c>
      <c r="E93" s="6" t="n">
        <v>12.2254710045841</v>
      </c>
      <c r="F93" s="6" t="n">
        <v>19.7506269894487</v>
      </c>
      <c r="G93" s="7" t="s">
        <v>94</v>
      </c>
      <c r="H93" s="7" t="s">
        <v>328</v>
      </c>
      <c r="I93" s="4" t="s">
        <v>329</v>
      </c>
    </row>
    <row r="94" customFormat="false" ht="17.15" hidden="false" customHeight="false" outlineLevel="0" collapsed="false">
      <c r="A94" s="0" t="s">
        <v>336</v>
      </c>
      <c r="B94" s="0" t="s">
        <v>337</v>
      </c>
      <c r="C94" s="0" t="s">
        <v>327</v>
      </c>
      <c r="E94" s="6" t="n">
        <v>1.88466748019734</v>
      </c>
      <c r="G94" s="7" t="s">
        <v>94</v>
      </c>
      <c r="H94" s="7" t="s">
        <v>338</v>
      </c>
    </row>
    <row r="95" customFormat="false" ht="17.15" hidden="false" customHeight="false" outlineLevel="0" collapsed="false">
      <c r="A95" s="0" t="s">
        <v>339</v>
      </c>
      <c r="B95" s="0" t="s">
        <v>340</v>
      </c>
      <c r="C95" s="0" t="s">
        <v>327</v>
      </c>
      <c r="E95" s="6" t="n">
        <v>1.812232738713</v>
      </c>
      <c r="G95" s="7" t="s">
        <v>94</v>
      </c>
      <c r="H95" s="7" t="s">
        <v>338</v>
      </c>
    </row>
    <row r="96" customFormat="false" ht="17.15" hidden="false" customHeight="false" outlineLevel="0" collapsed="false">
      <c r="A96" s="0" t="s">
        <v>341</v>
      </c>
      <c r="B96" s="0" t="s">
        <v>342</v>
      </c>
      <c r="C96" s="0" t="s">
        <v>327</v>
      </c>
      <c r="E96" s="6" t="n">
        <v>1.98263481314457</v>
      </c>
      <c r="G96" s="7" t="s">
        <v>94</v>
      </c>
      <c r="H96" s="7" t="s">
        <v>338</v>
      </c>
    </row>
    <row r="97" customFormat="false" ht="17.15" hidden="false" customHeight="false" outlineLevel="0" collapsed="false">
      <c r="A97" s="0" t="s">
        <v>343</v>
      </c>
      <c r="B97" s="0" t="s">
        <v>344</v>
      </c>
      <c r="C97" s="0" t="s">
        <v>327</v>
      </c>
      <c r="E97" s="6" t="n">
        <v>2.09349554831403</v>
      </c>
      <c r="G97" s="7" t="s">
        <v>94</v>
      </c>
      <c r="H97" s="7" t="s">
        <v>338</v>
      </c>
    </row>
    <row r="98" customFormat="false" ht="17.15" hidden="false" customHeight="false" outlineLevel="0" collapsed="false">
      <c r="A98" s="0" t="s">
        <v>345</v>
      </c>
      <c r="B98" s="0" t="s">
        <v>346</v>
      </c>
      <c r="C98" s="0" t="s">
        <v>347</v>
      </c>
      <c r="E98" s="6" t="n">
        <v>27.510214</v>
      </c>
      <c r="G98" s="7" t="s">
        <v>94</v>
      </c>
      <c r="H98" s="7" t="s">
        <v>338</v>
      </c>
    </row>
    <row r="99" customFormat="false" ht="17.15" hidden="false" customHeight="false" outlineLevel="0" collapsed="false">
      <c r="A99" s="0" t="s">
        <v>348</v>
      </c>
      <c r="B99" s="0" t="s">
        <v>349</v>
      </c>
      <c r="C99" s="0" t="s">
        <v>347</v>
      </c>
      <c r="E99" s="6" t="n">
        <v>24.015174</v>
      </c>
      <c r="G99" s="7" t="s">
        <v>94</v>
      </c>
      <c r="H99" s="7" t="s">
        <v>338</v>
      </c>
    </row>
    <row r="100" customFormat="false" ht="17.15" hidden="false" customHeight="false" outlineLevel="0" collapsed="false">
      <c r="A100" s="0" t="s">
        <v>350</v>
      </c>
      <c r="B100" s="0" t="s">
        <v>351</v>
      </c>
      <c r="C100" s="0" t="s">
        <v>347</v>
      </c>
      <c r="E100" s="6" t="n">
        <v>32.237224</v>
      </c>
      <c r="G100" s="7" t="s">
        <v>94</v>
      </c>
      <c r="H100" s="7" t="s">
        <v>338</v>
      </c>
    </row>
    <row r="101" customFormat="false" ht="17.15" hidden="false" customHeight="false" outlineLevel="0" collapsed="false">
      <c r="A101" s="0" t="s">
        <v>352</v>
      </c>
      <c r="B101" s="0" t="s">
        <v>353</v>
      </c>
      <c r="C101" s="0" t="s">
        <v>347</v>
      </c>
      <c r="E101" s="6" t="n">
        <v>37.586352</v>
      </c>
      <c r="G101" s="7" t="s">
        <v>94</v>
      </c>
      <c r="H101" s="7" t="s">
        <v>338</v>
      </c>
    </row>
    <row r="102" customFormat="false" ht="17.15" hidden="false" customHeight="false" outlineLevel="0" collapsed="false">
      <c r="A102" s="0" t="s">
        <v>354</v>
      </c>
      <c r="B102" s="0" t="s">
        <v>355</v>
      </c>
      <c r="C102" s="0" t="s">
        <v>327</v>
      </c>
      <c r="E102" s="6" t="n">
        <v>4.58503566666667</v>
      </c>
      <c r="G102" s="7" t="s">
        <v>94</v>
      </c>
      <c r="H102" s="7" t="s">
        <v>338</v>
      </c>
    </row>
    <row r="103" customFormat="false" ht="17.15" hidden="false" customHeight="false" outlineLevel="0" collapsed="false">
      <c r="A103" s="0" t="s">
        <v>356</v>
      </c>
      <c r="B103" s="0" t="s">
        <v>357</v>
      </c>
      <c r="C103" s="0" t="s">
        <v>327</v>
      </c>
      <c r="E103" s="6" t="n">
        <v>4.002529</v>
      </c>
      <c r="G103" s="7" t="s">
        <v>94</v>
      </c>
      <c r="H103" s="7" t="s">
        <v>338</v>
      </c>
    </row>
    <row r="104" customFormat="false" ht="17.15" hidden="false" customHeight="false" outlineLevel="0" collapsed="false">
      <c r="A104" s="0" t="s">
        <v>358</v>
      </c>
      <c r="B104" s="0" t="s">
        <v>359</v>
      </c>
      <c r="C104" s="0" t="s">
        <v>327</v>
      </c>
      <c r="E104" s="6" t="n">
        <v>5.37287066666667</v>
      </c>
      <c r="G104" s="7" t="s">
        <v>94</v>
      </c>
      <c r="H104" s="7" t="s">
        <v>338</v>
      </c>
    </row>
    <row r="105" customFormat="false" ht="17.15" hidden="false" customHeight="false" outlineLevel="0" collapsed="false">
      <c r="A105" s="0" t="s">
        <v>360</v>
      </c>
      <c r="B105" s="0" t="s">
        <v>361</v>
      </c>
      <c r="C105" s="0" t="s">
        <v>347</v>
      </c>
      <c r="E105" s="6" t="n">
        <v>12.67</v>
      </c>
      <c r="G105" s="7" t="s">
        <v>94</v>
      </c>
      <c r="H105" s="7" t="s">
        <v>338</v>
      </c>
    </row>
    <row r="106" customFormat="false" ht="17.15" hidden="false" customHeight="false" outlineLevel="0" collapsed="false">
      <c r="A106" s="5" t="s">
        <v>362</v>
      </c>
    </row>
    <row r="107" customFormat="false" ht="17.15" hidden="false" customHeight="false" outlineLevel="0" collapsed="false">
      <c r="A107" s="0" t="s">
        <v>363</v>
      </c>
      <c r="B107" s="4" t="s">
        <v>364</v>
      </c>
      <c r="C107" s="4" t="s">
        <v>165</v>
      </c>
      <c r="E107" s="6" t="n">
        <v>4</v>
      </c>
      <c r="G107" s="7" t="s">
        <v>89</v>
      </c>
      <c r="H107" s="4" t="s">
        <v>365</v>
      </c>
    </row>
    <row r="108" customFormat="false" ht="17.15" hidden="false" customHeight="false" outlineLevel="0" collapsed="false">
      <c r="A108" s="8" t="s">
        <v>366</v>
      </c>
      <c r="B108" s="9" t="s">
        <v>367</v>
      </c>
      <c r="C108" s="8" t="s">
        <v>116</v>
      </c>
      <c r="D108" s="8"/>
      <c r="E108" s="11" t="n">
        <v>0</v>
      </c>
      <c r="F108" s="11" t="n">
        <v>1</v>
      </c>
      <c r="G108" s="8" t="s">
        <v>89</v>
      </c>
      <c r="H108" s="9" t="s">
        <v>368</v>
      </c>
      <c r="I108" s="8" t="s">
        <v>369</v>
      </c>
    </row>
    <row r="109" customFormat="false" ht="17.15" hidden="false" customHeight="false" outlineLevel="0" collapsed="false">
      <c r="A109" s="0" t="s">
        <v>370</v>
      </c>
      <c r="B109" s="4" t="s">
        <v>371</v>
      </c>
      <c r="C109" s="0" t="s">
        <v>128</v>
      </c>
      <c r="D109" s="12" t="n">
        <v>0.03</v>
      </c>
      <c r="E109" s="12" t="n">
        <v>0.05</v>
      </c>
      <c r="F109" s="12" t="n">
        <v>0.07</v>
      </c>
      <c r="G109" s="7" t="s">
        <v>89</v>
      </c>
      <c r="H109" s="4" t="s">
        <v>372</v>
      </c>
    </row>
    <row r="110" customFormat="false" ht="17.15" hidden="false" customHeight="false" outlineLevel="0" collapsed="false">
      <c r="A110" s="0" t="s">
        <v>373</v>
      </c>
      <c r="B110" s="4" t="s">
        <v>374</v>
      </c>
      <c r="C110" s="0" t="s">
        <v>128</v>
      </c>
      <c r="D110" s="12" t="n">
        <v>0.01</v>
      </c>
      <c r="E110" s="12" t="n">
        <v>0.03</v>
      </c>
      <c r="F110" s="12" t="n">
        <v>0.05</v>
      </c>
      <c r="G110" s="7" t="s">
        <v>89</v>
      </c>
      <c r="H110" s="4" t="s">
        <v>375</v>
      </c>
    </row>
    <row r="111" customFormat="false" ht="17.15" hidden="false" customHeight="false" outlineLevel="0" collapsed="false">
      <c r="A111" s="8" t="s">
        <v>376</v>
      </c>
      <c r="B111" s="9" t="s">
        <v>377</v>
      </c>
      <c r="C111" s="8" t="s">
        <v>128</v>
      </c>
      <c r="D111" s="16" t="n">
        <v>0.05</v>
      </c>
      <c r="E111" s="16" t="n">
        <v>0.1</v>
      </c>
      <c r="F111" s="16" t="n">
        <v>0.15</v>
      </c>
      <c r="G111" s="8" t="s">
        <v>89</v>
      </c>
      <c r="H111" s="8" t="s">
        <v>378</v>
      </c>
      <c r="I111" s="9" t="s">
        <v>379</v>
      </c>
    </row>
    <row r="112" customFormat="false" ht="17.15" hidden="false" customHeight="false" outlineLevel="0" collapsed="false">
      <c r="A112" s="8" t="s">
        <v>380</v>
      </c>
      <c r="B112" s="9" t="s">
        <v>381</v>
      </c>
      <c r="C112" s="8" t="s">
        <v>128</v>
      </c>
      <c r="D112" s="16" t="n">
        <v>-0.15</v>
      </c>
      <c r="E112" s="16" t="n">
        <v>-0.1</v>
      </c>
      <c r="F112" s="16" t="n">
        <v>-0.05</v>
      </c>
      <c r="G112" s="8" t="s">
        <v>89</v>
      </c>
      <c r="H112" s="8" t="s">
        <v>382</v>
      </c>
      <c r="I112" s="8"/>
    </row>
    <row r="113" customFormat="false" ht="17.15" hidden="false" customHeight="false" outlineLevel="0" collapsed="false">
      <c r="A113" s="8" t="s">
        <v>383</v>
      </c>
      <c r="B113" s="9" t="s">
        <v>384</v>
      </c>
      <c r="C113" s="8" t="s">
        <v>128</v>
      </c>
      <c r="D113" s="16" t="n">
        <v>0.75</v>
      </c>
      <c r="E113" s="16" t="n">
        <v>0.85</v>
      </c>
      <c r="F113" s="16" t="n">
        <v>0.95</v>
      </c>
      <c r="G113" s="8" t="s">
        <v>89</v>
      </c>
      <c r="H113" s="9" t="s">
        <v>385</v>
      </c>
      <c r="I113" s="8"/>
    </row>
    <row r="114" customFormat="false" ht="17.15" hidden="false" customHeight="false" outlineLevel="0" collapsed="false">
      <c r="A114" s="0" t="s">
        <v>386</v>
      </c>
      <c r="B114" s="0" t="s">
        <v>387</v>
      </c>
      <c r="C114" s="0" t="s">
        <v>128</v>
      </c>
      <c r="D114" s="12" t="n">
        <v>0.08</v>
      </c>
      <c r="E114" s="12" t="n">
        <v>0.15</v>
      </c>
      <c r="F114" s="12" t="n">
        <v>0.25</v>
      </c>
      <c r="G114" s="7" t="s">
        <v>89</v>
      </c>
      <c r="H114" s="4" t="s">
        <v>388</v>
      </c>
    </row>
    <row r="115" customFormat="false" ht="17.15" hidden="false" customHeight="false" outlineLevel="0" collapsed="false">
      <c r="A115" s="0" t="s">
        <v>389</v>
      </c>
      <c r="B115" s="0" t="s">
        <v>390</v>
      </c>
      <c r="C115" s="0" t="s">
        <v>128</v>
      </c>
      <c r="D115" s="12" t="n">
        <v>-0.05</v>
      </c>
      <c r="E115" s="12" t="n">
        <v>0.05</v>
      </c>
      <c r="F115" s="12" t="n">
        <v>0.15</v>
      </c>
      <c r="G115" s="7" t="s">
        <v>89</v>
      </c>
      <c r="H115" s="4" t="s">
        <v>391</v>
      </c>
    </row>
    <row r="116" customFormat="false" ht="17.15" hidden="false" customHeight="false" outlineLevel="0" collapsed="false">
      <c r="A116" s="0" t="s">
        <v>392</v>
      </c>
      <c r="B116" s="0" t="s">
        <v>393</v>
      </c>
      <c r="C116" s="0" t="s">
        <v>74</v>
      </c>
      <c r="D116" s="6" t="n">
        <v>18</v>
      </c>
      <c r="E116" s="6" t="n">
        <v>18.5</v>
      </c>
      <c r="F116" s="6" t="n">
        <v>19</v>
      </c>
      <c r="G116" s="7" t="s">
        <v>133</v>
      </c>
      <c r="H116" s="7" t="s">
        <v>394</v>
      </c>
      <c r="I116" s="7" t="s">
        <v>395</v>
      </c>
    </row>
    <row r="117" customFormat="false" ht="17.15" hidden="false" customHeight="false" outlineLevel="0" collapsed="false">
      <c r="A117" s="0" t="s">
        <v>396</v>
      </c>
      <c r="B117" s="0" t="s">
        <v>397</v>
      </c>
      <c r="C117" s="0" t="s">
        <v>74</v>
      </c>
      <c r="D117" s="6" t="n">
        <v>12</v>
      </c>
      <c r="E117" s="6" t="n">
        <v>15</v>
      </c>
      <c r="F117" s="6" t="n">
        <v>18</v>
      </c>
      <c r="G117" s="7" t="s">
        <v>133</v>
      </c>
      <c r="H117" s="4" t="s">
        <v>398</v>
      </c>
    </row>
    <row r="118" customFormat="false" ht="17.15" hidden="false" customHeight="false" outlineLevel="0" collapsed="false">
      <c r="A118" s="8" t="s">
        <v>399</v>
      </c>
      <c r="B118" s="8" t="s">
        <v>400</v>
      </c>
      <c r="C118" s="8" t="s">
        <v>74</v>
      </c>
      <c r="D118" s="10" t="n">
        <v>0</v>
      </c>
      <c r="E118" s="10" t="n">
        <v>5</v>
      </c>
      <c r="F118" s="10" t="n">
        <v>10</v>
      </c>
      <c r="G118" s="8" t="s">
        <v>89</v>
      </c>
      <c r="H118" s="9" t="s">
        <v>401</v>
      </c>
      <c r="I118" s="8"/>
    </row>
    <row r="119" customFormat="false" ht="17.15" hidden="false" customHeight="false" outlineLevel="0" collapsed="false">
      <c r="A119" s="0" t="s">
        <v>402</v>
      </c>
      <c r="B119" s="4" t="s">
        <v>403</v>
      </c>
      <c r="C119" s="0" t="s">
        <v>128</v>
      </c>
      <c r="D119" s="12" t="n">
        <v>0.02</v>
      </c>
      <c r="E119" s="12" t="n">
        <v>0.05</v>
      </c>
      <c r="F119" s="12" t="n">
        <v>0.08</v>
      </c>
      <c r="G119" s="7" t="s">
        <v>89</v>
      </c>
      <c r="H119" s="4" t="s">
        <v>404</v>
      </c>
      <c r="I119" s="4" t="s">
        <v>405</v>
      </c>
    </row>
    <row r="120" customFormat="false" ht="17.15" hidden="false" customHeight="false" outlineLevel="0" collapsed="false">
      <c r="A120" s="8" t="s">
        <v>406</v>
      </c>
      <c r="B120" s="8" t="s">
        <v>407</v>
      </c>
      <c r="C120" s="8" t="s">
        <v>116</v>
      </c>
      <c r="D120" s="8"/>
      <c r="E120" s="11" t="n">
        <v>0</v>
      </c>
      <c r="F120" s="11" t="n">
        <v>1</v>
      </c>
      <c r="G120" s="8" t="s">
        <v>89</v>
      </c>
      <c r="H120" s="9" t="s">
        <v>408</v>
      </c>
      <c r="I120" s="8" t="s">
        <v>369</v>
      </c>
    </row>
    <row r="121" customFormat="false" ht="17.15" hidden="false" customHeight="false" outlineLevel="0" collapsed="false">
      <c r="A121" s="0" t="s">
        <v>409</v>
      </c>
      <c r="B121" s="4" t="s">
        <v>410</v>
      </c>
      <c r="C121" s="0" t="s">
        <v>74</v>
      </c>
      <c r="E121" s="6" t="n">
        <v>2.4</v>
      </c>
      <c r="G121" s="7" t="s">
        <v>55</v>
      </c>
      <c r="H121" s="7" t="s">
        <v>411</v>
      </c>
      <c r="I121" s="7" t="s">
        <v>412</v>
      </c>
    </row>
    <row r="122" customFormat="false" ht="17.15" hidden="false" customHeight="false" outlineLevel="0" collapsed="false">
      <c r="A122" s="0" t="s">
        <v>413</v>
      </c>
      <c r="B122" s="4" t="s">
        <v>414</v>
      </c>
      <c r="C122" s="0" t="s">
        <v>74</v>
      </c>
      <c r="E122" s="6" t="n">
        <v>1.18</v>
      </c>
      <c r="G122" s="7" t="s">
        <v>55</v>
      </c>
      <c r="H122" s="7" t="s">
        <v>415</v>
      </c>
      <c r="I122" s="4" t="s">
        <v>416</v>
      </c>
    </row>
    <row r="123" customFormat="false" ht="17.15" hidden="false" customHeight="false" outlineLevel="0" collapsed="false">
      <c r="A123" s="0" t="s">
        <v>417</v>
      </c>
      <c r="B123" s="4" t="s">
        <v>418</v>
      </c>
      <c r="C123" s="0" t="s">
        <v>74</v>
      </c>
      <c r="E123" s="6" t="n">
        <v>9.89</v>
      </c>
      <c r="G123" s="7" t="s">
        <v>55</v>
      </c>
      <c r="H123" s="7" t="s">
        <v>419</v>
      </c>
      <c r="I123" s="4" t="s">
        <v>420</v>
      </c>
    </row>
    <row r="124" customFormat="false" ht="17.15" hidden="false" customHeight="false" outlineLevel="0" collapsed="false">
      <c r="A124" s="0" t="s">
        <v>421</v>
      </c>
      <c r="B124" s="4" t="s">
        <v>422</v>
      </c>
      <c r="C124" s="0" t="s">
        <v>74</v>
      </c>
      <c r="E124" s="6" t="n">
        <v>8.03</v>
      </c>
      <c r="G124" s="7" t="s">
        <v>55</v>
      </c>
      <c r="H124" s="7" t="s">
        <v>423</v>
      </c>
    </row>
    <row r="125" customFormat="false" ht="17.15" hidden="false" customHeight="false" outlineLevel="0" collapsed="false">
      <c r="A125" s="0" t="s">
        <v>424</v>
      </c>
      <c r="B125" s="0" t="s">
        <v>425</v>
      </c>
      <c r="C125" s="0" t="s">
        <v>54</v>
      </c>
      <c r="E125" s="6" t="n">
        <v>7.4</v>
      </c>
      <c r="G125" s="7" t="s">
        <v>133</v>
      </c>
      <c r="H125" s="7" t="s">
        <v>426</v>
      </c>
      <c r="I125" s="4" t="s">
        <v>427</v>
      </c>
    </row>
    <row r="126" customFormat="false" ht="17.15" hidden="false" customHeight="false" outlineLevel="0" collapsed="false">
      <c r="A126" s="0" t="s">
        <v>428</v>
      </c>
      <c r="B126" s="4" t="s">
        <v>429</v>
      </c>
      <c r="C126" s="0" t="s">
        <v>128</v>
      </c>
      <c r="E126" s="15" t="n">
        <f aca="false">(eps_x_q3-3.83)*sh_dil_q3/ot_legal_q3</f>
        <v>0.928777553083923</v>
      </c>
      <c r="G126" s="7" t="s">
        <v>94</v>
      </c>
      <c r="H126" s="7" t="s">
        <v>430</v>
      </c>
      <c r="I126" s="7" t="s">
        <v>431</v>
      </c>
    </row>
    <row r="127" customFormat="false" ht="17.15" hidden="false" customHeight="false" outlineLevel="0" collapsed="false">
      <c r="A127" s="5" t="s">
        <v>432</v>
      </c>
    </row>
    <row r="128" customFormat="false" ht="17.15" hidden="false" customHeight="false" outlineLevel="0" collapsed="false">
      <c r="A128" s="0" t="s">
        <v>433</v>
      </c>
      <c r="B128" s="4" t="s">
        <v>434</v>
      </c>
      <c r="C128" s="0" t="s">
        <v>128</v>
      </c>
      <c r="D128" s="12" t="n">
        <v>0.13</v>
      </c>
      <c r="E128" s="12" t="n">
        <v>0.16</v>
      </c>
      <c r="F128" s="12" t="n">
        <v>0.19</v>
      </c>
      <c r="G128" s="7" t="s">
        <v>133</v>
      </c>
      <c r="H128" s="7" t="s">
        <v>435</v>
      </c>
      <c r="I128" s="7" t="s">
        <v>436</v>
      </c>
    </row>
    <row r="129" customFormat="false" ht="17.15" hidden="false" customHeight="false" outlineLevel="0" collapsed="false">
      <c r="A129" s="0" t="s">
        <v>437</v>
      </c>
      <c r="B129" s="4" t="s">
        <v>438</v>
      </c>
      <c r="C129" s="0" t="s">
        <v>128</v>
      </c>
      <c r="E129" s="12" t="n">
        <v>0.04</v>
      </c>
      <c r="G129" s="7" t="s">
        <v>89</v>
      </c>
      <c r="H129" s="4" t="s">
        <v>439</v>
      </c>
    </row>
    <row r="130" customFormat="false" ht="17.15" hidden="false" customHeight="false" outlineLevel="0" collapsed="false">
      <c r="A130" s="0" t="s">
        <v>440</v>
      </c>
      <c r="B130" s="4" t="s">
        <v>441</v>
      </c>
      <c r="C130" s="0" t="s">
        <v>128</v>
      </c>
      <c r="E130" s="12" t="n">
        <v>0.048</v>
      </c>
      <c r="G130" s="7" t="s">
        <v>89</v>
      </c>
      <c r="H130" s="4" t="s">
        <v>442</v>
      </c>
    </row>
    <row r="131" customFormat="false" ht="17.15" hidden="false" customHeight="false" outlineLevel="0" collapsed="false">
      <c r="A131" s="0" t="s">
        <v>443</v>
      </c>
      <c r="B131" s="4" t="s">
        <v>444</v>
      </c>
      <c r="C131" s="0" t="s">
        <v>128</v>
      </c>
      <c r="E131" s="12" t="n">
        <v>0.1115</v>
      </c>
      <c r="G131" s="7" t="s">
        <v>94</v>
      </c>
      <c r="H131" s="4" t="s">
        <v>445</v>
      </c>
      <c r="I131" s="4" t="s">
        <v>446</v>
      </c>
    </row>
    <row r="132" customFormat="false" ht="17.15" hidden="false" customHeight="false" outlineLevel="0" collapsed="false">
      <c r="A132" s="0" t="s">
        <v>447</v>
      </c>
      <c r="B132" s="4" t="s">
        <v>448</v>
      </c>
      <c r="C132" s="0" t="s">
        <v>128</v>
      </c>
      <c r="D132" s="12" t="n">
        <v>0</v>
      </c>
      <c r="E132" s="12" t="n">
        <v>0.014</v>
      </c>
      <c r="F132" s="12" t="n">
        <v>0.02</v>
      </c>
      <c r="G132" s="7" t="s">
        <v>94</v>
      </c>
      <c r="H132" s="7" t="s">
        <v>449</v>
      </c>
    </row>
    <row r="133" customFormat="false" ht="17.15" hidden="false" customHeight="false" outlineLevel="0" collapsed="false">
      <c r="A133" s="0" t="s">
        <v>450</v>
      </c>
      <c r="B133" s="4" t="s">
        <v>451</v>
      </c>
      <c r="C133" s="0" t="s">
        <v>128</v>
      </c>
      <c r="D133" s="12" t="n">
        <v>-0.02</v>
      </c>
      <c r="E133" s="12" t="n">
        <v>0</v>
      </c>
      <c r="F133" s="12" t="n">
        <v>0.02</v>
      </c>
      <c r="G133" s="7" t="s">
        <v>89</v>
      </c>
      <c r="H133" s="4" t="s">
        <v>452</v>
      </c>
    </row>
    <row r="134" customFormat="false" ht="17.15" hidden="false" customHeight="false" outlineLevel="0" collapsed="false">
      <c r="A134" s="0" t="s">
        <v>453</v>
      </c>
      <c r="B134" s="4" t="s">
        <v>454</v>
      </c>
      <c r="C134" s="0" t="s">
        <v>54</v>
      </c>
      <c r="E134" s="6" t="n">
        <v>2.1332</v>
      </c>
      <c r="G134" s="7" t="s">
        <v>94</v>
      </c>
      <c r="H134" s="7" t="s">
        <v>455</v>
      </c>
    </row>
    <row r="135" customFormat="false" ht="17.15" hidden="false" customHeight="false" outlineLevel="0" collapsed="false">
      <c r="A135" s="0" t="s">
        <v>456</v>
      </c>
      <c r="B135" s="4" t="s">
        <v>457</v>
      </c>
      <c r="C135" s="0" t="s">
        <v>128</v>
      </c>
      <c r="E135" s="12" t="n">
        <v>0.05</v>
      </c>
      <c r="G135" s="7" t="s">
        <v>89</v>
      </c>
      <c r="H135" s="4" t="s">
        <v>458</v>
      </c>
    </row>
    <row r="136" customFormat="false" ht="17.15" hidden="false" customHeight="false" outlineLevel="0" collapsed="false">
      <c r="A136" s="8" t="s">
        <v>459</v>
      </c>
      <c r="B136" s="9" t="s">
        <v>460</v>
      </c>
      <c r="C136" s="8" t="s">
        <v>74</v>
      </c>
      <c r="D136" s="10" t="n">
        <v>0</v>
      </c>
      <c r="E136" s="10" t="n">
        <v>0</v>
      </c>
      <c r="F136" s="10" t="n">
        <v>26.248</v>
      </c>
      <c r="G136" s="8" t="s">
        <v>89</v>
      </c>
      <c r="H136" s="8" t="s">
        <v>461</v>
      </c>
      <c r="I136" s="9" t="s">
        <v>462</v>
      </c>
    </row>
    <row r="137" customFormat="false" ht="15" hidden="false" customHeight="false" outlineLevel="0" collapsed="false">
      <c r="A137" s="0" t="s">
        <v>463</v>
      </c>
      <c r="B137" s="4" t="s">
        <v>464</v>
      </c>
      <c r="C137" s="0" t="s">
        <v>74</v>
      </c>
      <c r="E137" s="6" t="n">
        <v>40</v>
      </c>
      <c r="G137" s="7" t="s">
        <v>89</v>
      </c>
      <c r="H137" s="4" t="s">
        <v>465</v>
      </c>
    </row>
    <row r="138" customFormat="false" ht="17.15" hidden="false" customHeight="false" outlineLevel="0" collapsed="false">
      <c r="A138" s="0" t="s">
        <v>466</v>
      </c>
      <c r="B138" s="4" t="s">
        <v>467</v>
      </c>
      <c r="C138" s="0" t="s">
        <v>74</v>
      </c>
      <c r="E138" s="6" t="n">
        <v>2.747</v>
      </c>
      <c r="G138" s="7" t="s">
        <v>55</v>
      </c>
      <c r="H138" s="7" t="s">
        <v>468</v>
      </c>
      <c r="I138" s="4" t="s">
        <v>469</v>
      </c>
    </row>
    <row r="139" customFormat="false" ht="17.15" hidden="false" customHeight="false" outlineLevel="0" collapsed="false">
      <c r="A139" s="0" t="s">
        <v>470</v>
      </c>
      <c r="B139" s="4" t="s">
        <v>471</v>
      </c>
      <c r="C139" s="0" t="s">
        <v>74</v>
      </c>
      <c r="E139" s="6" t="n">
        <v>1.27</v>
      </c>
      <c r="G139" s="7" t="s">
        <v>94</v>
      </c>
      <c r="H139" s="7" t="s">
        <v>472</v>
      </c>
      <c r="I139" s="7" t="s">
        <v>473</v>
      </c>
    </row>
    <row r="140" customFormat="false" ht="17.15" hidden="false" customHeight="false" outlineLevel="0" collapsed="false">
      <c r="A140" s="8" t="s">
        <v>474</v>
      </c>
      <c r="B140" s="9" t="s">
        <v>475</v>
      </c>
      <c r="C140" s="8" t="s">
        <v>74</v>
      </c>
      <c r="D140" s="8"/>
      <c r="E140" s="18" t="n">
        <f aca="false">ag_pay</f>
        <v>1.27</v>
      </c>
      <c r="F140" s="10" t="n">
        <v>4.036</v>
      </c>
      <c r="G140" s="8" t="s">
        <v>94</v>
      </c>
      <c r="H140" s="9" t="s">
        <v>476</v>
      </c>
      <c r="I140" s="9" t="s">
        <v>477</v>
      </c>
    </row>
    <row r="141" customFormat="false" ht="17.15" hidden="false" customHeight="false" outlineLevel="0" collapsed="false">
      <c r="A141" s="0" t="s">
        <v>478</v>
      </c>
      <c r="B141" s="4" t="s">
        <v>479</v>
      </c>
      <c r="C141" s="0" t="s">
        <v>74</v>
      </c>
      <c r="E141" s="17" t="n">
        <f aca="false">(ag_pay*10-ag_y1)/9</f>
        <v>1.27</v>
      </c>
      <c r="G141" s="7" t="s">
        <v>94</v>
      </c>
      <c r="H141" s="4" t="s">
        <v>480</v>
      </c>
      <c r="I141" s="4" t="s">
        <v>481</v>
      </c>
    </row>
    <row r="142" customFormat="false" ht="17.15" hidden="false" customHeight="false" outlineLevel="0" collapsed="false">
      <c r="A142" s="8" t="s">
        <v>482</v>
      </c>
      <c r="B142" s="9" t="s">
        <v>483</v>
      </c>
      <c r="C142" s="8" t="s">
        <v>74</v>
      </c>
      <c r="D142" s="8"/>
      <c r="E142" s="10" t="n">
        <v>0</v>
      </c>
      <c r="F142" s="10" t="n">
        <v>5.3</v>
      </c>
      <c r="G142" s="8" t="s">
        <v>55</v>
      </c>
      <c r="H142" s="8" t="s">
        <v>484</v>
      </c>
      <c r="I142" s="8" t="s">
        <v>485</v>
      </c>
    </row>
    <row r="143" customFormat="false" ht="17.15" hidden="false" customHeight="false" outlineLevel="0" collapsed="false">
      <c r="A143" s="5" t="s">
        <v>486</v>
      </c>
    </row>
    <row r="144" customFormat="false" ht="17.15" hidden="false" customHeight="false" outlineLevel="0" collapsed="false">
      <c r="A144" s="0" t="s">
        <v>487</v>
      </c>
      <c r="B144" s="4" t="s">
        <v>488</v>
      </c>
      <c r="C144" s="0" t="s">
        <v>74</v>
      </c>
      <c r="E144" s="6" t="n">
        <v>254.117</v>
      </c>
      <c r="G144" s="7" t="s">
        <v>133</v>
      </c>
      <c r="H144" s="7" t="s">
        <v>489</v>
      </c>
    </row>
    <row r="145" customFormat="false" ht="17.15" hidden="false" customHeight="false" outlineLevel="0" collapsed="false">
      <c r="A145" s="0" t="s">
        <v>490</v>
      </c>
      <c r="B145" s="4" t="s">
        <v>491</v>
      </c>
      <c r="C145" s="0" t="s">
        <v>74</v>
      </c>
      <c r="E145" s="6" t="n">
        <v>306.527</v>
      </c>
      <c r="G145" s="7" t="s">
        <v>133</v>
      </c>
      <c r="H145" s="4" t="s">
        <v>176</v>
      </c>
    </row>
    <row r="146" customFormat="false" ht="17.15" hidden="false" customHeight="false" outlineLevel="0" collapsed="false">
      <c r="A146" s="0" t="s">
        <v>492</v>
      </c>
      <c r="B146" s="4" t="s">
        <v>493</v>
      </c>
      <c r="C146" s="0" t="s">
        <v>74</v>
      </c>
      <c r="E146" s="6" t="n">
        <v>363.046</v>
      </c>
      <c r="G146" s="7" t="s">
        <v>133</v>
      </c>
      <c r="H146" s="4" t="s">
        <v>176</v>
      </c>
    </row>
    <row r="147" customFormat="false" ht="17.15" hidden="false" customHeight="false" outlineLevel="0" collapsed="false">
      <c r="A147" s="0" t="s">
        <v>494</v>
      </c>
      <c r="B147" s="4" t="s">
        <v>495</v>
      </c>
      <c r="C147" s="0" t="s">
        <v>74</v>
      </c>
      <c r="E147" s="6" t="n">
        <v>86.862</v>
      </c>
      <c r="G147" s="7" t="s">
        <v>133</v>
      </c>
      <c r="H147" s="7" t="s">
        <v>489</v>
      </c>
    </row>
    <row r="148" customFormat="false" ht="17.15" hidden="false" customHeight="false" outlineLevel="0" collapsed="false">
      <c r="A148" s="0" t="s">
        <v>496</v>
      </c>
      <c r="B148" s="4" t="s">
        <v>497</v>
      </c>
      <c r="C148" s="0" t="s">
        <v>74</v>
      </c>
      <c r="E148" s="6" t="n">
        <v>104.105</v>
      </c>
      <c r="G148" s="7" t="s">
        <v>133</v>
      </c>
      <c r="H148" s="4" t="s">
        <v>176</v>
      </c>
    </row>
    <row r="149" customFormat="false" ht="17.15" hidden="false" customHeight="false" outlineLevel="0" collapsed="false">
      <c r="A149" s="0" t="s">
        <v>498</v>
      </c>
      <c r="B149" s="4" t="s">
        <v>499</v>
      </c>
      <c r="C149" s="0" t="s">
        <v>74</v>
      </c>
      <c r="E149" s="6" t="n">
        <v>124.141</v>
      </c>
      <c r="G149" s="7" t="s">
        <v>133</v>
      </c>
      <c r="H149" s="4" t="s">
        <v>176</v>
      </c>
    </row>
    <row r="150" customFormat="false" ht="17.15" hidden="false" customHeight="false" outlineLevel="0" collapsed="false">
      <c r="A150" s="0" t="s">
        <v>500</v>
      </c>
      <c r="B150" s="4" t="s">
        <v>501</v>
      </c>
      <c r="C150" s="0" t="s">
        <v>54</v>
      </c>
      <c r="E150" s="6" t="n">
        <v>31.04</v>
      </c>
      <c r="G150" s="7" t="s">
        <v>133</v>
      </c>
      <c r="H150" s="7" t="s">
        <v>489</v>
      </c>
    </row>
    <row r="151" customFormat="false" ht="17.15" hidden="false" customHeight="false" outlineLevel="0" collapsed="false">
      <c r="A151" s="0" t="s">
        <v>502</v>
      </c>
      <c r="B151" s="4" t="s">
        <v>503</v>
      </c>
      <c r="C151" s="0" t="s">
        <v>54</v>
      </c>
      <c r="E151" s="6" t="n">
        <v>34.07</v>
      </c>
      <c r="G151" s="7" t="s">
        <v>133</v>
      </c>
      <c r="H151" s="4" t="s">
        <v>176</v>
      </c>
    </row>
    <row r="152" customFormat="false" ht="17.15" hidden="false" customHeight="false" outlineLevel="0" collapsed="false">
      <c r="A152" s="0" t="s">
        <v>504</v>
      </c>
      <c r="B152" s="4" t="s">
        <v>505</v>
      </c>
      <c r="C152" s="0" t="s">
        <v>54</v>
      </c>
      <c r="E152" s="6" t="n">
        <v>39.53</v>
      </c>
      <c r="G152" s="7" t="s">
        <v>133</v>
      </c>
      <c r="H152" s="4" t="s">
        <v>176</v>
      </c>
    </row>
    <row r="153" customFormat="false" ht="17.15" hidden="false" customHeight="false" outlineLevel="0" collapsed="false">
      <c r="A153" s="0" t="s">
        <v>506</v>
      </c>
      <c r="B153" s="4" t="s">
        <v>507</v>
      </c>
      <c r="C153" s="0" t="s">
        <v>74</v>
      </c>
      <c r="E153" s="6" t="n">
        <v>139.19</v>
      </c>
      <c r="G153" s="7" t="s">
        <v>133</v>
      </c>
      <c r="H153" s="7" t="s">
        <v>489</v>
      </c>
    </row>
    <row r="154" customFormat="false" ht="17.15" hidden="false" customHeight="false" outlineLevel="0" collapsed="false">
      <c r="A154" s="0" t="s">
        <v>508</v>
      </c>
      <c r="B154" s="4" t="s">
        <v>509</v>
      </c>
      <c r="C154" s="0" t="s">
        <v>74</v>
      </c>
      <c r="E154" s="6" t="n">
        <v>193.057</v>
      </c>
      <c r="G154" s="7" t="s">
        <v>133</v>
      </c>
      <c r="H154" s="4" t="s">
        <v>176</v>
      </c>
    </row>
    <row r="155" customFormat="false" ht="17.15" hidden="false" customHeight="false" outlineLevel="0" collapsed="false">
      <c r="A155" s="0" t="s">
        <v>510</v>
      </c>
      <c r="B155" s="4" t="s">
        <v>511</v>
      </c>
      <c r="C155" s="0" t="s">
        <v>74</v>
      </c>
      <c r="E155" s="6" t="n">
        <v>209.324</v>
      </c>
      <c r="G155" s="7" t="s">
        <v>133</v>
      </c>
      <c r="H155" s="4" t="s">
        <v>176</v>
      </c>
    </row>
    <row r="156" customFormat="false" ht="17.15" hidden="false" customHeight="false" outlineLevel="0" collapsed="false">
      <c r="A156" s="0" t="s">
        <v>512</v>
      </c>
      <c r="B156" s="4" t="s">
        <v>513</v>
      </c>
      <c r="C156" s="0" t="s">
        <v>74</v>
      </c>
      <c r="E156" s="6" t="n">
        <v>-7.076</v>
      </c>
      <c r="G156" s="7" t="s">
        <v>133</v>
      </c>
      <c r="H156" s="7" t="s">
        <v>489</v>
      </c>
    </row>
    <row r="157" customFormat="false" ht="17.15" hidden="false" customHeight="false" outlineLevel="0" collapsed="false">
      <c r="A157" s="0" t="s">
        <v>514</v>
      </c>
      <c r="B157" s="4" t="s">
        <v>515</v>
      </c>
      <c r="C157" s="0" t="s">
        <v>74</v>
      </c>
      <c r="E157" s="6" t="n">
        <v>-23.398</v>
      </c>
      <c r="G157" s="7" t="s">
        <v>133</v>
      </c>
      <c r="H157" s="4" t="s">
        <v>176</v>
      </c>
    </row>
    <row r="158" customFormat="false" ht="17.15" hidden="false" customHeight="false" outlineLevel="0" collapsed="false">
      <c r="A158" s="0" t="s">
        <v>516</v>
      </c>
      <c r="B158" s="4" t="s">
        <v>517</v>
      </c>
      <c r="C158" s="0" t="s">
        <v>74</v>
      </c>
      <c r="E158" s="6" t="n">
        <v>8.281</v>
      </c>
      <c r="G158" s="7" t="s">
        <v>133</v>
      </c>
      <c r="H158" s="4" t="s">
        <v>176</v>
      </c>
    </row>
    <row r="159" customFormat="false" ht="17.15" hidden="false" customHeight="false" outlineLevel="0" collapsed="false">
      <c r="A159" s="0" t="s">
        <v>518</v>
      </c>
      <c r="B159" s="4" t="s">
        <v>519</v>
      </c>
      <c r="C159" s="0" t="s">
        <v>74</v>
      </c>
      <c r="E159" s="6" t="n">
        <v>144.544</v>
      </c>
      <c r="G159" s="7" t="s">
        <v>133</v>
      </c>
      <c r="H159" s="7" t="s">
        <v>489</v>
      </c>
    </row>
    <row r="160" customFormat="false" ht="17.15" hidden="false" customHeight="false" outlineLevel="0" collapsed="false">
      <c r="A160" s="0" t="s">
        <v>520</v>
      </c>
      <c r="B160" s="4" t="s">
        <v>521</v>
      </c>
      <c r="C160" s="0" t="s">
        <v>74</v>
      </c>
      <c r="E160" s="6" t="n">
        <v>180.579</v>
      </c>
      <c r="G160" s="7" t="s">
        <v>133</v>
      </c>
      <c r="H160" s="4" t="s">
        <v>176</v>
      </c>
    </row>
    <row r="161" customFormat="false" ht="17.15" hidden="false" customHeight="false" outlineLevel="0" collapsed="false">
      <c r="A161" s="0" t="s">
        <v>522</v>
      </c>
      <c r="B161" s="4" t="s">
        <v>523</v>
      </c>
      <c r="C161" s="0" t="s">
        <v>74</v>
      </c>
      <c r="E161" s="6" t="n">
        <v>221.948</v>
      </c>
      <c r="G161" s="7" t="s">
        <v>133</v>
      </c>
      <c r="H161" s="4" t="s">
        <v>176</v>
      </c>
    </row>
    <row r="162" customFormat="false" ht="17.15" hidden="false" customHeight="false" outlineLevel="0" collapsed="false">
      <c r="A162" s="0" t="s">
        <v>524</v>
      </c>
      <c r="B162" s="4" t="s">
        <v>525</v>
      </c>
      <c r="C162" s="0" t="s">
        <v>74</v>
      </c>
      <c r="E162" s="6" t="n">
        <v>74.93</v>
      </c>
      <c r="G162" s="7" t="s">
        <v>133</v>
      </c>
      <c r="H162" s="7" t="s">
        <v>526</v>
      </c>
    </row>
    <row r="163" customFormat="false" ht="17.15" hidden="false" customHeight="false" outlineLevel="0" collapsed="false">
      <c r="A163" s="0" t="s">
        <v>527</v>
      </c>
      <c r="B163" s="4" t="s">
        <v>528</v>
      </c>
      <c r="C163" s="0" t="s">
        <v>54</v>
      </c>
      <c r="E163" s="6" t="n">
        <v>33.59</v>
      </c>
      <c r="G163" s="7" t="s">
        <v>133</v>
      </c>
      <c r="H163" s="7" t="s">
        <v>529</v>
      </c>
      <c r="I163" s="4" t="s">
        <v>530</v>
      </c>
    </row>
    <row r="165" customFormat="false" ht="17.15" hidden="false" customHeight="false" outlineLevel="0" collapsed="false">
      <c r="A165" s="5" t="s">
        <v>531</v>
      </c>
    </row>
    <row r="166" customFormat="false" ht="17.15" hidden="false" customHeight="false" outlineLevel="0" collapsed="false">
      <c r="A166" s="3" t="s">
        <v>42</v>
      </c>
      <c r="B166" s="3" t="s">
        <v>43</v>
      </c>
      <c r="C166" s="3" t="s">
        <v>44</v>
      </c>
      <c r="D166" s="3" t="s">
        <v>532</v>
      </c>
      <c r="E166" s="3" t="s">
        <v>533</v>
      </c>
      <c r="F166" s="3" t="s">
        <v>534</v>
      </c>
      <c r="G166" s="3" t="s">
        <v>48</v>
      </c>
      <c r="H166" s="3" t="s">
        <v>50</v>
      </c>
    </row>
    <row r="167" customFormat="false" ht="17.15" hidden="false" customHeight="false" outlineLevel="0" collapsed="false">
      <c r="A167" s="0" t="s">
        <v>535</v>
      </c>
      <c r="B167" s="0" t="s">
        <v>536</v>
      </c>
      <c r="C167" s="0" t="s">
        <v>128</v>
      </c>
      <c r="D167" s="15" t="n">
        <f aca="false">E111</f>
        <v>0.1</v>
      </c>
      <c r="E167" s="15" t="n">
        <v>0</v>
      </c>
      <c r="F167" s="15" t="n">
        <f aca="false">E112</f>
        <v>-0.1</v>
      </c>
      <c r="G167" s="7" t="s">
        <v>94</v>
      </c>
      <c r="H167" s="4" t="s">
        <v>537</v>
      </c>
    </row>
    <row r="168" customFormat="false" ht="17.15" hidden="false" customHeight="false" outlineLevel="0" collapsed="false">
      <c r="A168" s="0" t="s">
        <v>538</v>
      </c>
      <c r="B168" s="0" t="s">
        <v>539</v>
      </c>
      <c r="C168" s="0" t="s">
        <v>74</v>
      </c>
      <c r="D168" s="19" t="n">
        <f aca="false">E72</f>
        <v>236.561760022156</v>
      </c>
      <c r="E168" s="19" t="n">
        <f aca="false">E71</f>
        <v>205.705878280136</v>
      </c>
      <c r="F168" s="19" t="n">
        <f aca="false">E73</f>
        <v>174.849996538115</v>
      </c>
      <c r="G168" s="7" t="s">
        <v>94</v>
      </c>
      <c r="H168" s="4" t="s">
        <v>540</v>
      </c>
    </row>
    <row r="169" customFormat="false" ht="17.15" hidden="false" customHeight="false" outlineLevel="0" collapsed="false">
      <c r="A169" s="0" t="s">
        <v>541</v>
      </c>
      <c r="B169" s="4" t="s">
        <v>542</v>
      </c>
      <c r="C169" s="0" t="s">
        <v>128</v>
      </c>
      <c r="D169" s="20" t="n">
        <f aca="false">E40</f>
        <v>0.25</v>
      </c>
      <c r="E169" s="20" t="n">
        <f aca="false">E41</f>
        <v>0.5</v>
      </c>
      <c r="F169" s="20" t="n">
        <f aca="false">E42</f>
        <v>0.25</v>
      </c>
      <c r="G169" s="7" t="s">
        <v>94</v>
      </c>
      <c r="H169" s="4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14"/>
    <col collapsed="false" customWidth="true" hidden="false" outlineLevel="0" max="16" min="16" style="0" width="70"/>
  </cols>
  <sheetData>
    <row r="1" customFormat="false" ht="17.15" hidden="false" customHeight="false" outlineLevel="0" collapsed="false">
      <c r="A1" s="0" t="s">
        <v>544</v>
      </c>
    </row>
    <row r="2" customFormat="false" ht="17.15" hidden="false" customHeight="false" outlineLevel="0" collapsed="false">
      <c r="A2" s="4" t="s">
        <v>545</v>
      </c>
    </row>
    <row r="3" customFormat="false" ht="17.15" hidden="false" customHeight="false" outlineLevel="0" collapsed="false">
      <c r="A3" s="3" t="s">
        <v>43</v>
      </c>
      <c r="B3" s="21" t="s">
        <v>546</v>
      </c>
      <c r="C3" s="21" t="s">
        <v>547</v>
      </c>
      <c r="D3" s="21" t="s">
        <v>548</v>
      </c>
      <c r="E3" s="21" t="s">
        <v>549</v>
      </c>
      <c r="F3" s="21" t="s">
        <v>550</v>
      </c>
      <c r="G3" s="21" t="s">
        <v>551</v>
      </c>
      <c r="H3" s="21" t="s">
        <v>552</v>
      </c>
      <c r="I3" s="21" t="s">
        <v>553</v>
      </c>
      <c r="J3" s="21" t="s">
        <v>554</v>
      </c>
      <c r="K3" s="21" t="s">
        <v>555</v>
      </c>
      <c r="L3" s="21" t="s">
        <v>556</v>
      </c>
      <c r="M3" s="3" t="s">
        <v>557</v>
      </c>
      <c r="N3" s="3" t="s">
        <v>558</v>
      </c>
      <c r="O3" s="3" t="s">
        <v>48</v>
      </c>
      <c r="P3" s="3" t="s">
        <v>49</v>
      </c>
    </row>
    <row r="4" customFormat="false" ht="15" hidden="false" customHeight="false" outlineLevel="0" collapsed="false">
      <c r="A4" s="2" t="s">
        <v>559</v>
      </c>
    </row>
    <row r="5" customFormat="false" ht="17.15" hidden="false" customHeight="false" outlineLevel="0" collapsed="false">
      <c r="A5" s="0" t="s">
        <v>560</v>
      </c>
      <c r="B5" s="6" t="n">
        <v>46.783</v>
      </c>
      <c r="C5" s="6" t="n">
        <v>41.392</v>
      </c>
      <c r="D5" s="6" t="n">
        <v>46.563</v>
      </c>
      <c r="E5" s="6" t="n">
        <v>50.082</v>
      </c>
      <c r="F5" s="6" t="n">
        <v>58.137</v>
      </c>
      <c r="G5" s="6" t="n">
        <v>55.024</v>
      </c>
      <c r="H5" s="6" t="n">
        <v>59.363</v>
      </c>
      <c r="I5" s="6" t="n">
        <v>63.061</v>
      </c>
      <c r="J5" s="6" t="n">
        <v>160.633</v>
      </c>
      <c r="K5" s="6" t="n">
        <v>196.175</v>
      </c>
      <c r="L5" s="17" t="n">
        <f aca="false">G5+H5+I5</f>
        <v>177.448</v>
      </c>
      <c r="M5" s="17" t="n">
        <f aca="false">SUM(F5:I5)</f>
        <v>235.585</v>
      </c>
      <c r="N5" s="17" t="n">
        <f aca="false">SUM(B5:E5)</f>
        <v>184.82</v>
      </c>
      <c r="O5" s="7" t="s">
        <v>55</v>
      </c>
      <c r="P5" s="7" t="s">
        <v>561</v>
      </c>
    </row>
    <row r="6" customFormat="false" ht="17.15" hidden="false" customHeight="false" outlineLevel="0" collapsed="false">
      <c r="A6" s="0" t="s">
        <v>562</v>
      </c>
      <c r="B6" s="6" t="n">
        <v>0.519</v>
      </c>
      <c r="C6" s="6" t="n">
        <v>0.51</v>
      </c>
      <c r="D6" s="6" t="n">
        <v>0.583</v>
      </c>
      <c r="E6" s="6" t="n">
        <v>0.69</v>
      </c>
      <c r="F6" s="6" t="n">
        <v>0.801</v>
      </c>
      <c r="G6" s="6" t="n">
        <v>0.885</v>
      </c>
      <c r="H6" s="6" t="n">
        <v>1.007</v>
      </c>
      <c r="I6" s="6" t="n">
        <v>1.097</v>
      </c>
      <c r="J6" s="6" t="n">
        <v>1.722</v>
      </c>
      <c r="K6" s="6" t="n">
        <v>2.584</v>
      </c>
      <c r="L6" s="17" t="n">
        <f aca="false">G6+H6+I6</f>
        <v>2.989</v>
      </c>
      <c r="M6" s="17" t="n">
        <f aca="false">SUM(F6:I6)</f>
        <v>3.79</v>
      </c>
      <c r="N6" s="17" t="n">
        <f aca="false">SUM(B6:E6)</f>
        <v>2.302</v>
      </c>
      <c r="O6" s="7" t="s">
        <v>55</v>
      </c>
      <c r="P6" s="7" t="s">
        <v>561</v>
      </c>
    </row>
    <row r="7" customFormat="false" ht="17.15" hidden="false" customHeight="false" outlineLevel="0" collapsed="false">
      <c r="A7" s="0" t="s">
        <v>563</v>
      </c>
      <c r="B7" s="6" t="n">
        <v>47.302</v>
      </c>
      <c r="C7" s="6" t="n">
        <v>41.902</v>
      </c>
      <c r="D7" s="6" t="n">
        <v>47.146</v>
      </c>
      <c r="E7" s="6" t="n">
        <v>50.772</v>
      </c>
      <c r="F7" s="6" t="n">
        <v>58.938</v>
      </c>
      <c r="G7" s="6" t="n">
        <v>55.909</v>
      </c>
      <c r="H7" s="6" t="n">
        <v>60.37</v>
      </c>
      <c r="I7" s="6" t="n">
        <v>64.158</v>
      </c>
      <c r="J7" s="6" t="n">
        <v>162.355</v>
      </c>
      <c r="K7" s="6" t="n">
        <v>198.759</v>
      </c>
      <c r="L7" s="17" t="n">
        <f aca="false">G7+H7+I7</f>
        <v>180.437</v>
      </c>
      <c r="M7" s="17" t="n">
        <f aca="false">SUM(F7:I7)</f>
        <v>239.375</v>
      </c>
      <c r="N7" s="17" t="n">
        <f aca="false">SUM(B7:E7)</f>
        <v>187.122</v>
      </c>
      <c r="O7" s="7" t="s">
        <v>55</v>
      </c>
      <c r="P7" s="7" t="s">
        <v>561</v>
      </c>
    </row>
    <row r="8" customFormat="false" ht="17.15" hidden="false" customHeight="false" outlineLevel="0" collapsed="false">
      <c r="A8" s="4" t="s">
        <v>564</v>
      </c>
      <c r="B8" s="22" t="n">
        <f aca="false">B5+B6-B7</f>
        <v>0</v>
      </c>
      <c r="C8" s="22" t="n">
        <f aca="false">C5+C6-C7</f>
        <v>0</v>
      </c>
      <c r="D8" s="22" t="n">
        <f aca="false">D5+D6-D7</f>
        <v>0</v>
      </c>
      <c r="E8" s="22" t="n">
        <f aca="false">E5+E6-E7</f>
        <v>0</v>
      </c>
      <c r="F8" s="22" t="n">
        <f aca="false">F5+F6-F7</f>
        <v>0</v>
      </c>
      <c r="G8" s="22" t="n">
        <f aca="false">G5+G6-G7</f>
        <v>0</v>
      </c>
      <c r="H8" s="22" t="n">
        <f aca="false">H5+H6-H7</f>
        <v>0</v>
      </c>
      <c r="I8" s="22" t="n">
        <f aca="false">I5+I6-I7</f>
        <v>0</v>
      </c>
      <c r="J8" s="22" t="n">
        <f aca="false">J5+J6-J7</f>
        <v>0</v>
      </c>
      <c r="K8" s="22" t="n">
        <f aca="false">K5+K6-K7</f>
        <v>0</v>
      </c>
      <c r="L8" s="22" t="n">
        <f aca="false">G8+H8+I8</f>
        <v>0</v>
      </c>
      <c r="M8" s="22" t="n">
        <f aca="false">SUM(F8:I8)</f>
        <v>0</v>
      </c>
      <c r="N8" s="22" t="n">
        <f aca="false">SUM(B8:E8)</f>
        <v>0</v>
      </c>
      <c r="O8" s="7" t="s">
        <v>565</v>
      </c>
      <c r="P8" s="7" t="s">
        <v>565</v>
      </c>
    </row>
    <row r="9" customFormat="false" ht="17.15" hidden="false" customHeight="false" outlineLevel="0" collapsed="false">
      <c r="A9" s="0" t="s">
        <v>566</v>
      </c>
      <c r="B9" s="6" t="n">
        <v>1.083</v>
      </c>
      <c r="C9" s="6" t="n">
        <v>0.412</v>
      </c>
      <c r="D9" s="6" t="n">
        <v>0.37</v>
      </c>
      <c r="E9" s="6" t="n">
        <v>0.47</v>
      </c>
      <c r="F9" s="6" t="n">
        <v>0.955</v>
      </c>
      <c r="G9" s="6" t="n">
        <v>0.402</v>
      </c>
      <c r="H9" s="6" t="n">
        <v>0.431</v>
      </c>
      <c r="I9" s="6" t="n">
        <v>0.443</v>
      </c>
      <c r="J9" s="6" t="n">
        <v>2.146</v>
      </c>
      <c r="K9" s="6" t="n">
        <v>2.207</v>
      </c>
      <c r="L9" s="17" t="n">
        <f aca="false">G9+H9+I9</f>
        <v>1.276</v>
      </c>
      <c r="M9" s="17" t="n">
        <f aca="false">SUM(F9:I9)</f>
        <v>2.231</v>
      </c>
      <c r="N9" s="17" t="n">
        <f aca="false">SUM(B9:E9)</f>
        <v>2.335</v>
      </c>
      <c r="O9" s="7" t="s">
        <v>55</v>
      </c>
      <c r="P9" s="7" t="s">
        <v>561</v>
      </c>
    </row>
    <row r="10" customFormat="false" ht="17.15" hidden="false" customHeight="false" outlineLevel="0" collapsed="false">
      <c r="A10" s="4" t="s">
        <v>567</v>
      </c>
      <c r="B10" s="6" t="n">
        <v>48.385</v>
      </c>
      <c r="C10" s="6" t="n">
        <v>42.314</v>
      </c>
      <c r="D10" s="6" t="n">
        <v>47.516</v>
      </c>
      <c r="E10" s="6" t="n">
        <v>51.242</v>
      </c>
      <c r="F10" s="6" t="n">
        <v>59.893</v>
      </c>
      <c r="G10" s="6" t="n">
        <v>56.311</v>
      </c>
      <c r="H10" s="6" t="n">
        <v>60.801</v>
      </c>
      <c r="I10" s="6" t="n">
        <v>64.601</v>
      </c>
      <c r="J10" s="6" t="n">
        <v>164.501</v>
      </c>
      <c r="K10" s="6" t="n">
        <v>200.966</v>
      </c>
      <c r="L10" s="17" t="n">
        <f aca="false">G10+H10+I10</f>
        <v>181.713</v>
      </c>
      <c r="M10" s="17" t="n">
        <f aca="false">SUM(F10:I10)</f>
        <v>241.606</v>
      </c>
      <c r="N10" s="17" t="n">
        <f aca="false">SUM(B10:E10)</f>
        <v>189.457</v>
      </c>
      <c r="O10" s="7" t="s">
        <v>55</v>
      </c>
      <c r="P10" s="7" t="s">
        <v>561</v>
      </c>
    </row>
    <row r="11" customFormat="false" ht="15" hidden="false" customHeight="false" outlineLevel="0" collapsed="false">
      <c r="A11" s="4" t="s">
        <v>568</v>
      </c>
      <c r="B11" s="22" t="n">
        <f aca="false">B7+B9-B10</f>
        <v>0</v>
      </c>
      <c r="C11" s="22" t="n">
        <f aca="false">C7+C9-C10</f>
        <v>0</v>
      </c>
      <c r="D11" s="22" t="n">
        <f aca="false">D7+D9-D10</f>
        <v>0</v>
      </c>
      <c r="E11" s="22" t="n">
        <f aca="false">E7+E9-E10</f>
        <v>0</v>
      </c>
      <c r="F11" s="22" t="n">
        <f aca="false">F7+F9-F10</f>
        <v>0</v>
      </c>
      <c r="G11" s="22" t="n">
        <f aca="false">G7+G9-G10</f>
        <v>0</v>
      </c>
      <c r="H11" s="22" t="n">
        <f aca="false">H7+H9-H10</f>
        <v>0</v>
      </c>
      <c r="I11" s="22" t="n">
        <f aca="false">I7+I9-I10</f>
        <v>0</v>
      </c>
      <c r="J11" s="22" t="n">
        <f aca="false">J7+J9-J10</f>
        <v>0</v>
      </c>
      <c r="K11" s="22" t="n">
        <f aca="false">K7+K9-K10</f>
        <v>0</v>
      </c>
      <c r="L11" s="22" t="n">
        <f aca="false">G11+H11+I11</f>
        <v>0</v>
      </c>
      <c r="M11" s="22" t="n">
        <f aca="false">SUM(F11:I11)</f>
        <v>0</v>
      </c>
      <c r="N11" s="22" t="n">
        <f aca="false">SUM(B11:E11)</f>
        <v>0</v>
      </c>
      <c r="O11" s="7" t="s">
        <v>565</v>
      </c>
      <c r="P11" s="7" t="s">
        <v>565</v>
      </c>
    </row>
    <row r="13" customFormat="false" ht="15" hidden="false" customHeight="false" outlineLevel="0" collapsed="false">
      <c r="A13" s="2" t="s">
        <v>569</v>
      </c>
    </row>
    <row r="14" customFormat="false" ht="17.15" hidden="false" customHeight="false" outlineLevel="0" collapsed="false">
      <c r="A14" s="0" t="s">
        <v>570</v>
      </c>
      <c r="B14" s="6" t="n">
        <v>28.332</v>
      </c>
      <c r="C14" s="6" t="n">
        <v>21.765</v>
      </c>
      <c r="D14" s="6" t="n">
        <v>24.971</v>
      </c>
      <c r="E14" s="6" t="n">
        <v>24.967</v>
      </c>
      <c r="F14" s="6" t="n">
        <v>30.766</v>
      </c>
      <c r="G14" s="6" t="n">
        <v>26.9</v>
      </c>
      <c r="H14" s="6" t="n">
        <v>23.394</v>
      </c>
      <c r="I14" s="6" t="n">
        <v>17.117</v>
      </c>
      <c r="J14" s="6" t="n">
        <v>87.109</v>
      </c>
      <c r="K14" s="6" t="n">
        <v>102.469</v>
      </c>
      <c r="L14" s="17" t="n">
        <f aca="false">G14+H14+I14</f>
        <v>67.411</v>
      </c>
      <c r="M14" s="17" t="n">
        <f aca="false">SUM(F14:I14)</f>
        <v>98.177</v>
      </c>
      <c r="N14" s="17" t="n">
        <f aca="false">SUM(B14:E14)</f>
        <v>100.035</v>
      </c>
      <c r="O14" s="7" t="s">
        <v>55</v>
      </c>
      <c r="P14" s="7" t="s">
        <v>561</v>
      </c>
    </row>
    <row r="15" customFormat="false" ht="17.15" hidden="false" customHeight="false" outlineLevel="0" collapsed="false">
      <c r="A15" s="0" t="s">
        <v>571</v>
      </c>
      <c r="B15" s="6" t="n">
        <v>-4.967</v>
      </c>
      <c r="C15" s="6" t="n">
        <v>-4.21</v>
      </c>
      <c r="D15" s="6" t="n">
        <v>-4.53</v>
      </c>
      <c r="E15" s="6" t="n">
        <v>-4.432</v>
      </c>
      <c r="F15" s="6" t="n">
        <v>-6.021</v>
      </c>
      <c r="G15" s="6" t="n">
        <v>-4.028</v>
      </c>
      <c r="H15" s="6" t="n">
        <v>-4.619</v>
      </c>
      <c r="I15" s="6" t="n">
        <v>-4.129</v>
      </c>
      <c r="J15" s="6" t="n">
        <v>-17.729</v>
      </c>
      <c r="K15" s="6" t="n">
        <v>-19.193</v>
      </c>
      <c r="L15" s="17" t="n">
        <f aca="false">G15+H15+I15</f>
        <v>-12.776</v>
      </c>
      <c r="M15" s="17" t="n">
        <f aca="false">SUM(F15:I15)</f>
        <v>-18.797</v>
      </c>
      <c r="N15" s="17" t="n">
        <f aca="false">SUM(B15:E15)</f>
        <v>-18.139</v>
      </c>
      <c r="O15" s="7" t="s">
        <v>55</v>
      </c>
      <c r="P15" s="7" t="s">
        <v>561</v>
      </c>
    </row>
    <row r="16" customFormat="false" ht="17.15" hidden="false" customHeight="false" outlineLevel="0" collapsed="false">
      <c r="A16" s="4" t="s">
        <v>572</v>
      </c>
      <c r="B16" s="6" t="n">
        <v>23.365</v>
      </c>
      <c r="C16" s="6" t="n">
        <v>17.555</v>
      </c>
      <c r="D16" s="6" t="n">
        <v>20.441</v>
      </c>
      <c r="E16" s="6" t="n">
        <v>20.535</v>
      </c>
      <c r="F16" s="6" t="n">
        <v>24.745</v>
      </c>
      <c r="G16" s="6" t="n">
        <v>22.872</v>
      </c>
      <c r="H16" s="6" t="n">
        <v>18.775</v>
      </c>
      <c r="I16" s="6" t="n">
        <v>12.988</v>
      </c>
      <c r="J16" s="6" t="n">
        <v>69.38</v>
      </c>
      <c r="K16" s="6" t="n">
        <v>83.276</v>
      </c>
      <c r="L16" s="17" t="n">
        <f aca="false">G16+H16+I16</f>
        <v>54.635</v>
      </c>
      <c r="M16" s="17" t="n">
        <f aca="false">SUM(F16:I16)</f>
        <v>79.38</v>
      </c>
      <c r="N16" s="17" t="n">
        <f aca="false">SUM(B16:E16)</f>
        <v>81.896</v>
      </c>
      <c r="O16" s="7" t="s">
        <v>55</v>
      </c>
      <c r="P16" s="7" t="s">
        <v>561</v>
      </c>
    </row>
    <row r="17" customFormat="false" ht="15" hidden="false" customHeight="false" outlineLevel="0" collapsed="false">
      <c r="A17" s="4" t="s">
        <v>573</v>
      </c>
      <c r="B17" s="22" t="n">
        <f aca="false">B14+B15-B16</f>
        <v>0</v>
      </c>
      <c r="C17" s="22" t="n">
        <f aca="false">C14+C15-C16</f>
        <v>0</v>
      </c>
      <c r="D17" s="22" t="n">
        <f aca="false">D14+D15-D16</f>
        <v>0</v>
      </c>
      <c r="E17" s="22" t="n">
        <f aca="false">E14+E15-E16</f>
        <v>0</v>
      </c>
      <c r="F17" s="22" t="n">
        <f aca="false">F14+F15-F16</f>
        <v>0</v>
      </c>
      <c r="G17" s="22" t="n">
        <f aca="false">G14+G15-G16</f>
        <v>0</v>
      </c>
      <c r="H17" s="22" t="n">
        <f aca="false">H14+H15-H16</f>
        <v>0</v>
      </c>
      <c r="I17" s="22" t="n">
        <f aca="false">I14+I15-I16</f>
        <v>0</v>
      </c>
      <c r="J17" s="22" t="n">
        <f aca="false">J14+J15-J16</f>
        <v>0</v>
      </c>
      <c r="K17" s="22" t="n">
        <f aca="false">K14+K15-K16</f>
        <v>0</v>
      </c>
      <c r="L17" s="22" t="n">
        <f aca="false">G17+H17+I17</f>
        <v>0</v>
      </c>
      <c r="M17" s="22" t="n">
        <f aca="false">SUM(F17:I17)</f>
        <v>0</v>
      </c>
      <c r="N17" s="22" t="n">
        <f aca="false">SUM(B17:E17)</f>
        <v>0</v>
      </c>
      <c r="O17" s="7" t="s">
        <v>565</v>
      </c>
      <c r="P17" s="7" t="s">
        <v>565</v>
      </c>
    </row>
    <row r="19" customFormat="false" ht="15" hidden="false" customHeight="false" outlineLevel="0" collapsed="false">
      <c r="A19" s="2" t="s">
        <v>574</v>
      </c>
    </row>
    <row r="20" customFormat="false" ht="17.15" hidden="false" customHeight="false" outlineLevel="0" collapsed="false">
      <c r="A20" s="4" t="s">
        <v>575</v>
      </c>
      <c r="B20" s="6" t="n">
        <v>8.839</v>
      </c>
      <c r="C20" s="6" t="n">
        <v>7.572</v>
      </c>
      <c r="D20" s="6" t="n">
        <v>8.491</v>
      </c>
      <c r="E20" s="6" t="n">
        <v>9.206</v>
      </c>
      <c r="F20" s="6" t="n">
        <v>10.905</v>
      </c>
      <c r="G20" s="6" t="n">
        <v>10.218</v>
      </c>
      <c r="H20" s="6" t="n">
        <v>11.33</v>
      </c>
      <c r="I20" s="6" t="n">
        <v>13.369</v>
      </c>
      <c r="J20" s="6" t="n">
        <v>30.161</v>
      </c>
      <c r="K20" s="6" t="n">
        <v>36.175</v>
      </c>
      <c r="L20" s="17" t="n">
        <f aca="false">G20+H20+I20</f>
        <v>34.917</v>
      </c>
      <c r="M20" s="17" t="n">
        <f aca="false">SUM(F20:I20)</f>
        <v>45.822</v>
      </c>
      <c r="N20" s="17" t="n">
        <f aca="false">SUM(B20:E20)</f>
        <v>34.108</v>
      </c>
      <c r="O20" s="7" t="s">
        <v>55</v>
      </c>
      <c r="P20" s="7" t="s">
        <v>561</v>
      </c>
    </row>
    <row r="21" customFormat="false" ht="17.15" hidden="false" customHeight="false" outlineLevel="0" collapsed="false">
      <c r="A21" s="4" t="s">
        <v>576</v>
      </c>
      <c r="B21" s="6" t="n">
        <v>12.18</v>
      </c>
      <c r="C21" s="6" t="n">
        <v>12.15</v>
      </c>
      <c r="D21" s="6" t="n">
        <v>12.942</v>
      </c>
      <c r="E21" s="6" t="n">
        <v>15.144</v>
      </c>
      <c r="F21" s="6" t="n">
        <v>17.136</v>
      </c>
      <c r="G21" s="6" t="n">
        <v>17.699</v>
      </c>
      <c r="H21" s="6" t="n">
        <v>21.656</v>
      </c>
      <c r="I21" s="6" t="n">
        <v>20.054</v>
      </c>
      <c r="J21" s="6" t="n">
        <v>43.873</v>
      </c>
      <c r="K21" s="6" t="n">
        <v>57.372</v>
      </c>
      <c r="L21" s="17" t="n">
        <f aca="false">G21+H21+I21</f>
        <v>59.409</v>
      </c>
      <c r="M21" s="17" t="n">
        <f aca="false">SUM(F21:I21)</f>
        <v>76.545</v>
      </c>
      <c r="N21" s="17" t="n">
        <f aca="false">SUM(B21:E21)</f>
        <v>52.416</v>
      </c>
      <c r="O21" s="7" t="s">
        <v>55</v>
      </c>
      <c r="P21" s="7" t="s">
        <v>561</v>
      </c>
    </row>
    <row r="22" customFormat="false" ht="17.15" hidden="false" customHeight="false" outlineLevel="0" collapsed="false">
      <c r="A22" s="4" t="s">
        <v>577</v>
      </c>
      <c r="B22" s="6" t="n">
        <v>3.24</v>
      </c>
      <c r="C22" s="6" t="n">
        <v>2.757</v>
      </c>
      <c r="D22" s="6" t="n">
        <v>2.979</v>
      </c>
      <c r="E22" s="6" t="n">
        <v>2.845</v>
      </c>
      <c r="F22" s="6" t="n">
        <v>3.41</v>
      </c>
      <c r="G22" s="6" t="n">
        <v>2.908</v>
      </c>
      <c r="H22" s="6" t="n">
        <v>3.431</v>
      </c>
      <c r="I22" s="6" t="n">
        <v>3.333</v>
      </c>
      <c r="J22" s="6" t="n">
        <v>11.347</v>
      </c>
      <c r="K22" s="6" t="n">
        <v>11.991</v>
      </c>
      <c r="L22" s="17" t="n">
        <f aca="false">G22+H22+I22</f>
        <v>9.672</v>
      </c>
      <c r="M22" s="17" t="n">
        <f aca="false">SUM(F22:I22)</f>
        <v>13.082</v>
      </c>
      <c r="N22" s="17" t="n">
        <f aca="false">SUM(B22:E22)</f>
        <v>11.821</v>
      </c>
      <c r="O22" s="7" t="s">
        <v>55</v>
      </c>
      <c r="P22" s="7" t="s">
        <v>561</v>
      </c>
    </row>
    <row r="23" customFormat="false" ht="17.15" hidden="false" customHeight="false" outlineLevel="0" collapsed="false">
      <c r="A23" s="4" t="s">
        <v>578</v>
      </c>
      <c r="B23" s="6" t="n">
        <v>0.761</v>
      </c>
      <c r="C23" s="6" t="n">
        <v>2.28</v>
      </c>
      <c r="D23" s="6" t="n">
        <v>2.663</v>
      </c>
      <c r="E23" s="6" t="n">
        <v>3.512</v>
      </c>
      <c r="F23" s="6" t="n">
        <v>3.697</v>
      </c>
      <c r="G23" s="6" t="n">
        <v>2.614</v>
      </c>
      <c r="H23" s="6" t="n">
        <v>5.609</v>
      </c>
      <c r="I23" s="6" t="n">
        <v>14.857</v>
      </c>
      <c r="J23" s="6" t="n">
        <v>9.74</v>
      </c>
      <c r="K23" s="6" t="n">
        <v>12.152</v>
      </c>
      <c r="L23" s="17" t="n">
        <f aca="false">G23+H23+I23</f>
        <v>23.08</v>
      </c>
      <c r="M23" s="17" t="n">
        <f aca="false">SUM(F23:I23)</f>
        <v>26.777</v>
      </c>
      <c r="N23" s="17" t="n">
        <f aca="false">SUM(B23:E23)</f>
        <v>9.216</v>
      </c>
      <c r="O23" s="7" t="s">
        <v>55</v>
      </c>
      <c r="P23" s="7" t="s">
        <v>561</v>
      </c>
    </row>
    <row r="24" customFormat="false" ht="15" hidden="false" customHeight="false" outlineLevel="0" collapsed="false">
      <c r="A24" s="4" t="s">
        <v>579</v>
      </c>
      <c r="B24" s="22" t="n">
        <f aca="false">B10-B20-B21-B22-B23-B16</f>
        <v>0</v>
      </c>
      <c r="C24" s="22" t="n">
        <f aca="false">C10-C20-C21-C22-C23-C16</f>
        <v>0</v>
      </c>
      <c r="D24" s="22" t="n">
        <f aca="false">D10-D20-D21-D22-D23-D16</f>
        <v>0</v>
      </c>
      <c r="E24" s="22" t="n">
        <f aca="false">E10-E20-E21-E22-E23-E16</f>
        <v>0</v>
      </c>
      <c r="F24" s="22" t="n">
        <f aca="false">F10-F20-F21-F22-F23-F16</f>
        <v>0</v>
      </c>
      <c r="G24" s="22" t="n">
        <f aca="false">G10-G20-G21-G22-G23-G16</f>
        <v>0</v>
      </c>
      <c r="H24" s="22" t="n">
        <f aca="false">H10-H20-H21-H22-H23-H16</f>
        <v>0</v>
      </c>
      <c r="I24" s="22" t="n">
        <f aca="false">I10-I20-I21-I22-I23-I16</f>
        <v>0</v>
      </c>
      <c r="J24" s="22" t="n">
        <f aca="false">J10-J20-J21-J22-J23-J16</f>
        <v>0</v>
      </c>
      <c r="K24" s="22" t="n">
        <f aca="false">K10-K20-K21-K22-K23-K16</f>
        <v>0</v>
      </c>
      <c r="L24" s="22" t="n">
        <f aca="false">G24+H24+I24</f>
        <v>0</v>
      </c>
      <c r="M24" s="22" t="n">
        <f aca="false">SUM(F24:I24)</f>
        <v>0</v>
      </c>
      <c r="N24" s="22" t="n">
        <f aca="false">SUM(B24:E24)</f>
        <v>0</v>
      </c>
      <c r="O24" s="7" t="s">
        <v>565</v>
      </c>
      <c r="P24" s="7" t="s">
        <v>565</v>
      </c>
    </row>
    <row r="25" customFormat="false" ht="17.15" hidden="false" customHeight="false" outlineLevel="0" collapsed="false">
      <c r="A25" s="4" t="s">
        <v>580</v>
      </c>
      <c r="B25" s="6" t="n">
        <v>0.188</v>
      </c>
      <c r="C25" s="6" t="n">
        <v>0.827</v>
      </c>
      <c r="D25" s="6" t="n">
        <v>0.093</v>
      </c>
      <c r="E25" s="6" t="n">
        <v>1.128</v>
      </c>
      <c r="F25" s="6" t="n">
        <v>0.609</v>
      </c>
      <c r="G25" s="6" t="n">
        <v>-1.12</v>
      </c>
      <c r="H25" s="6" t="n">
        <v>-0.019</v>
      </c>
      <c r="I25" s="6" t="n">
        <v>0.013</v>
      </c>
      <c r="J25" s="6" t="n">
        <v>1.283</v>
      </c>
      <c r="K25" s="6" t="n">
        <v>2.656</v>
      </c>
      <c r="L25" s="17" t="n">
        <f aca="false">G25+H25+I25</f>
        <v>-1.126</v>
      </c>
      <c r="M25" s="17" t="n">
        <f aca="false">SUM(F25:I25)</f>
        <v>-0.517</v>
      </c>
      <c r="N25" s="17" t="n">
        <f aca="false">SUM(B25:E25)</f>
        <v>2.236</v>
      </c>
      <c r="O25" s="7" t="s">
        <v>55</v>
      </c>
      <c r="P25" s="7" t="s">
        <v>561</v>
      </c>
    </row>
    <row r="26" customFormat="false" ht="17.15" hidden="false" customHeight="false" outlineLevel="0" collapsed="false">
      <c r="A26" s="4" t="s">
        <v>581</v>
      </c>
      <c r="B26" s="6" t="n">
        <v>23.553</v>
      </c>
      <c r="C26" s="6" t="n">
        <v>18.382</v>
      </c>
      <c r="D26" s="6" t="n">
        <v>20.534</v>
      </c>
      <c r="E26" s="6" t="n">
        <v>21.663</v>
      </c>
      <c r="F26" s="6" t="n">
        <v>25.354</v>
      </c>
      <c r="G26" s="6" t="n">
        <v>21.752</v>
      </c>
      <c r="H26" s="6" t="n">
        <v>18.756</v>
      </c>
      <c r="I26" s="6" t="n">
        <v>13.001</v>
      </c>
      <c r="J26" s="6" t="n">
        <v>70.663</v>
      </c>
      <c r="K26" s="6" t="n">
        <v>85.932</v>
      </c>
      <c r="L26" s="17" t="n">
        <f aca="false">G26+H26+I26</f>
        <v>53.509</v>
      </c>
      <c r="M26" s="17" t="n">
        <f aca="false">SUM(F26:I26)</f>
        <v>78.863</v>
      </c>
      <c r="N26" s="17" t="n">
        <f aca="false">SUM(B26:E26)</f>
        <v>84.132</v>
      </c>
      <c r="O26" s="7" t="s">
        <v>55</v>
      </c>
      <c r="P26" s="7" t="s">
        <v>561</v>
      </c>
    </row>
    <row r="27" customFormat="false" ht="15" hidden="false" customHeight="false" outlineLevel="0" collapsed="false">
      <c r="A27" s="4" t="s">
        <v>582</v>
      </c>
      <c r="B27" s="22" t="n">
        <f aca="false">B16+B25-B26</f>
        <v>0</v>
      </c>
      <c r="C27" s="22" t="n">
        <f aca="false">C16+C25-C26</f>
        <v>0</v>
      </c>
      <c r="D27" s="22" t="n">
        <f aca="false">D16+D25-D26</f>
        <v>0</v>
      </c>
      <c r="E27" s="22" t="n">
        <f aca="false">E16+E25-E26</f>
        <v>0</v>
      </c>
      <c r="F27" s="22" t="n">
        <f aca="false">F16+F25-F26</f>
        <v>0</v>
      </c>
      <c r="G27" s="22" t="n">
        <f aca="false">G16+G25-G26</f>
        <v>0</v>
      </c>
      <c r="H27" s="22" t="n">
        <f aca="false">H16+H25-H26</f>
        <v>0</v>
      </c>
      <c r="I27" s="22" t="n">
        <f aca="false">I16+I25-I26</f>
        <v>0</v>
      </c>
      <c r="J27" s="22" t="n">
        <f aca="false">J16+J25-J26</f>
        <v>0</v>
      </c>
      <c r="K27" s="22" t="n">
        <f aca="false">K16+K25-K26</f>
        <v>0</v>
      </c>
      <c r="L27" s="22" t="n">
        <f aca="false">G27+H27+I27</f>
        <v>0</v>
      </c>
      <c r="M27" s="22" t="n">
        <f aca="false">SUM(F27:I27)</f>
        <v>0</v>
      </c>
      <c r="N27" s="22" t="n">
        <f aca="false">SUM(B27:E27)</f>
        <v>0</v>
      </c>
      <c r="O27" s="7" t="s">
        <v>565</v>
      </c>
      <c r="P27" s="7" t="s">
        <v>565</v>
      </c>
    </row>
    <row r="28" customFormat="false" ht="17.15" hidden="false" customHeight="false" outlineLevel="0" collapsed="false">
      <c r="A28" s="4" t="s">
        <v>583</v>
      </c>
      <c r="B28" s="6" t="n">
        <v>2.715</v>
      </c>
      <c r="C28" s="6" t="n">
        <v>1.738</v>
      </c>
      <c r="D28" s="6" t="n">
        <v>2.197</v>
      </c>
      <c r="E28" s="6" t="n">
        <v>18.954</v>
      </c>
      <c r="F28" s="6" t="n">
        <v>2.586</v>
      </c>
      <c r="G28" s="6" t="n">
        <v>-5.021</v>
      </c>
      <c r="H28" s="6" t="n">
        <v>2.908</v>
      </c>
      <c r="I28" s="6" t="n">
        <v>3.141</v>
      </c>
      <c r="J28" s="6" t="n">
        <v>8.303</v>
      </c>
      <c r="K28" s="6" t="n">
        <v>25.474</v>
      </c>
      <c r="L28" s="17" t="n">
        <f aca="false">G28+H28+I28</f>
        <v>1.028</v>
      </c>
      <c r="M28" s="17" t="n">
        <f aca="false">SUM(F28:I28)</f>
        <v>3.614</v>
      </c>
      <c r="N28" s="17" t="n">
        <f aca="false">SUM(B28:E28)</f>
        <v>25.604</v>
      </c>
      <c r="O28" s="7" t="s">
        <v>55</v>
      </c>
      <c r="P28" s="7" t="s">
        <v>561</v>
      </c>
    </row>
    <row r="29" customFormat="false" ht="17.15" hidden="false" customHeight="false" outlineLevel="0" collapsed="false">
      <c r="A29" s="4" t="s">
        <v>584</v>
      </c>
      <c r="B29" s="6" t="n">
        <v>20.838</v>
      </c>
      <c r="C29" s="6" t="n">
        <v>16.644</v>
      </c>
      <c r="D29" s="6" t="n">
        <v>18.337</v>
      </c>
      <c r="E29" s="6" t="n">
        <v>2.709</v>
      </c>
      <c r="F29" s="6" t="n">
        <v>22.768</v>
      </c>
      <c r="G29" s="6" t="n">
        <v>26.773</v>
      </c>
      <c r="H29" s="6" t="n">
        <v>15.848</v>
      </c>
      <c r="I29" s="6" t="n">
        <v>9.86</v>
      </c>
      <c r="J29" s="6" t="n">
        <v>62.36</v>
      </c>
      <c r="K29" s="6" t="n">
        <v>60.458</v>
      </c>
      <c r="L29" s="17" t="n">
        <f aca="false">G29+H29+I29</f>
        <v>52.481</v>
      </c>
      <c r="M29" s="17" t="n">
        <f aca="false">SUM(F29:I29)</f>
        <v>75.249</v>
      </c>
      <c r="N29" s="17" t="n">
        <f aca="false">SUM(B29:E29)</f>
        <v>58.528</v>
      </c>
      <c r="O29" s="7" t="s">
        <v>55</v>
      </c>
      <c r="P29" s="7" t="s">
        <v>561</v>
      </c>
    </row>
    <row r="30" customFormat="false" ht="15" hidden="false" customHeight="false" outlineLevel="0" collapsed="false">
      <c r="A30" s="4" t="s">
        <v>585</v>
      </c>
      <c r="B30" s="22" t="n">
        <f aca="false">B26-B28-B29</f>
        <v>0</v>
      </c>
      <c r="C30" s="22" t="n">
        <f aca="false">C26-C28-C29</f>
        <v>0</v>
      </c>
      <c r="D30" s="22" t="n">
        <f aca="false">D26-D28-D29</f>
        <v>0</v>
      </c>
      <c r="E30" s="22" t="n">
        <f aca="false">E26-E28-E29</f>
        <v>0</v>
      </c>
      <c r="F30" s="22" t="n">
        <f aca="false">F26-F28-F29</f>
        <v>0</v>
      </c>
      <c r="G30" s="22" t="n">
        <f aca="false">G26-G28-G29</f>
        <v>0</v>
      </c>
      <c r="H30" s="22" t="n">
        <f aca="false">H26-H28-H29</f>
        <v>0</v>
      </c>
      <c r="I30" s="22" t="n">
        <f aca="false">I26-I28-I29</f>
        <v>0</v>
      </c>
      <c r="J30" s="22" t="n">
        <f aca="false">J26-J28-J29</f>
        <v>0</v>
      </c>
      <c r="K30" s="22" t="n">
        <f aca="false">K26-K28-K29</f>
        <v>0</v>
      </c>
      <c r="L30" s="22" t="n">
        <f aca="false">G30+H30+I30</f>
        <v>0</v>
      </c>
      <c r="M30" s="22" t="n">
        <f aca="false">SUM(F30:I30)</f>
        <v>0</v>
      </c>
      <c r="N30" s="22" t="n">
        <f aca="false">SUM(B30:E30)</f>
        <v>0</v>
      </c>
      <c r="O30" s="7" t="s">
        <v>565</v>
      </c>
      <c r="P30" s="7" t="s">
        <v>565</v>
      </c>
    </row>
    <row r="31" customFormat="false" ht="17.15" hidden="false" customHeight="false" outlineLevel="0" collapsed="false">
      <c r="A31" s="4" t="s">
        <v>586</v>
      </c>
      <c r="B31" s="6" t="n">
        <v>2.599</v>
      </c>
      <c r="C31" s="6" t="n">
        <v>2.59</v>
      </c>
      <c r="D31" s="6" t="n">
        <v>2.57</v>
      </c>
      <c r="E31" s="6" t="n">
        <v>2.572</v>
      </c>
      <c r="F31" s="6" t="n">
        <v>2.565</v>
      </c>
      <c r="G31" s="6" t="n">
        <v>2.564</v>
      </c>
      <c r="H31" s="6" t="n">
        <v>2.566</v>
      </c>
      <c r="I31" s="6" t="n">
        <v>2.573</v>
      </c>
      <c r="J31" s="6" t="n">
        <v>2.614</v>
      </c>
      <c r="K31" s="6" t="n">
        <v>2.574</v>
      </c>
      <c r="L31" s="17" t="n">
        <f aca="false">2.568</f>
        <v>2.568</v>
      </c>
      <c r="M31" s="17"/>
      <c r="N31" s="17"/>
      <c r="O31" s="7" t="s">
        <v>55</v>
      </c>
      <c r="P31" s="7" t="s">
        <v>561</v>
      </c>
    </row>
    <row r="32" customFormat="false" ht="17.15" hidden="false" customHeight="false" outlineLevel="0" collapsed="false">
      <c r="A32" s="0" t="s">
        <v>587</v>
      </c>
      <c r="B32" s="23" t="n">
        <v>8.02</v>
      </c>
      <c r="C32" s="23" t="n">
        <v>6.43</v>
      </c>
      <c r="D32" s="23" t="n">
        <v>7.14</v>
      </c>
      <c r="E32" s="23" t="n">
        <v>1.05</v>
      </c>
      <c r="F32" s="23" t="n">
        <v>8.88</v>
      </c>
      <c r="G32" s="23" t="n">
        <v>10.44</v>
      </c>
      <c r="H32" s="23" t="n">
        <v>6.18</v>
      </c>
      <c r="I32" s="23" t="n">
        <v>3.83</v>
      </c>
      <c r="J32" s="23" t="n">
        <v>23.86</v>
      </c>
      <c r="K32" s="23" t="n">
        <v>23.49</v>
      </c>
      <c r="L32" s="24" t="n">
        <f aca="false">20.44</f>
        <v>20.44</v>
      </c>
      <c r="M32" s="24" t="n">
        <f aca="false">SUM(F32:I32)</f>
        <v>29.33</v>
      </c>
      <c r="N32" s="24" t="n">
        <f aca="false">SUM(B32:E32)</f>
        <v>22.64</v>
      </c>
      <c r="O32" s="7" t="s">
        <v>55</v>
      </c>
      <c r="P32" s="7" t="s">
        <v>561</v>
      </c>
    </row>
    <row r="34" customFormat="false" ht="15" hidden="false" customHeight="false" outlineLevel="0" collapsed="false">
      <c r="A34" s="2" t="s">
        <v>588</v>
      </c>
    </row>
    <row r="35" customFormat="false" ht="17.15" hidden="false" customHeight="false" outlineLevel="0" collapsed="false">
      <c r="A35" s="4" t="s">
        <v>589</v>
      </c>
      <c r="B35" s="6" t="n">
        <v>4.46</v>
      </c>
      <c r="C35" s="6" t="n">
        <v>3.9</v>
      </c>
      <c r="D35" s="6" t="n">
        <v>4.342</v>
      </c>
      <c r="E35" s="6" t="n">
        <v>4.963</v>
      </c>
      <c r="F35" s="6" t="n">
        <v>5.411</v>
      </c>
      <c r="G35" s="6" t="n">
        <v>5.999</v>
      </c>
      <c r="H35" s="6" t="n">
        <v>6.356</v>
      </c>
      <c r="I35" s="6" t="n">
        <v>7.154</v>
      </c>
      <c r="J35" s="6" t="n">
        <v>15.498</v>
      </c>
      <c r="K35" s="6" t="n">
        <v>18.616</v>
      </c>
      <c r="L35" s="17" t="n">
        <f aca="false">G35+H35+I35</f>
        <v>19.509</v>
      </c>
      <c r="M35" s="17" t="n">
        <f aca="false">SUM(F35:I35)</f>
        <v>24.92</v>
      </c>
      <c r="N35" s="17" t="n">
        <f aca="false">SUM(B35:E35)</f>
        <v>17.665</v>
      </c>
      <c r="O35" s="7" t="s">
        <v>55</v>
      </c>
      <c r="P35" s="7" t="s">
        <v>561</v>
      </c>
    </row>
    <row r="36" customFormat="false" ht="17.15" hidden="false" customHeight="false" outlineLevel="0" collapsed="false">
      <c r="A36" s="4" t="s">
        <v>590</v>
      </c>
      <c r="B36" s="6" t="n">
        <v>4.262</v>
      </c>
      <c r="C36" s="6" t="n">
        <v>4.147</v>
      </c>
      <c r="D36" s="6" t="n">
        <v>4.834</v>
      </c>
      <c r="E36" s="6" t="n">
        <v>5.555</v>
      </c>
      <c r="F36" s="6" t="n">
        <v>5.89</v>
      </c>
      <c r="G36" s="6" t="n">
        <v>6.032</v>
      </c>
      <c r="H36" s="6" t="n">
        <v>7.658</v>
      </c>
      <c r="I36" s="6" t="n">
        <v>7.363</v>
      </c>
      <c r="J36" s="6" t="n">
        <v>16.69</v>
      </c>
      <c r="K36" s="6" t="n">
        <v>20.427</v>
      </c>
      <c r="L36" s="17" t="n">
        <f aca="false">G36+H36+I36</f>
        <v>21.053</v>
      </c>
      <c r="M36" s="17" t="n">
        <f aca="false">SUM(F36:I36)</f>
        <v>26.943</v>
      </c>
      <c r="N36" s="17" t="n">
        <f aca="false">SUM(B36:E36)</f>
        <v>18.798</v>
      </c>
      <c r="O36" s="7" t="s">
        <v>55</v>
      </c>
      <c r="P36" s="7" t="s">
        <v>561</v>
      </c>
    </row>
    <row r="37" customFormat="false" ht="17.15" hidden="false" customHeight="false" outlineLevel="0" collapsed="false">
      <c r="A37" s="4" t="s">
        <v>591</v>
      </c>
      <c r="B37" s="6" t="n">
        <v>27.988</v>
      </c>
      <c r="C37" s="6" t="n">
        <v>24.026</v>
      </c>
      <c r="D37" s="6" t="n">
        <v>25.561</v>
      </c>
      <c r="E37" s="6" t="n">
        <v>29.999</v>
      </c>
      <c r="F37" s="6" t="n">
        <v>36.214</v>
      </c>
      <c r="G37" s="6" t="n">
        <v>32.226</v>
      </c>
      <c r="H37" s="6" t="n">
        <v>31.862</v>
      </c>
      <c r="I37" s="6" t="n">
        <v>32.786</v>
      </c>
      <c r="J37" s="6" t="n">
        <v>91.328</v>
      </c>
      <c r="K37" s="6" t="n">
        <v>115.8</v>
      </c>
      <c r="L37" s="17" t="n">
        <f aca="false">G37+H37+I37</f>
        <v>96.874</v>
      </c>
      <c r="M37" s="17" t="n">
        <f aca="false">SUM(F37:I37)</f>
        <v>133.088</v>
      </c>
      <c r="N37" s="17" t="n">
        <f aca="false">SUM(B37:E37)</f>
        <v>107.574</v>
      </c>
      <c r="O37" s="7" t="s">
        <v>55</v>
      </c>
      <c r="P37" s="7" t="s">
        <v>561</v>
      </c>
    </row>
    <row r="38" customFormat="false" ht="17.15" hidden="false" customHeight="false" outlineLevel="0" collapsed="false">
      <c r="A38" s="4" t="s">
        <v>592</v>
      </c>
      <c r="B38" s="6" t="n">
        <v>14.425</v>
      </c>
      <c r="C38" s="6" t="n">
        <v>12.941</v>
      </c>
      <c r="D38" s="6" t="n">
        <v>16.538</v>
      </c>
      <c r="E38" s="6" t="n">
        <v>18.829</v>
      </c>
      <c r="F38" s="6" t="n">
        <v>21.383</v>
      </c>
      <c r="G38" s="6" t="n">
        <v>18.997</v>
      </c>
      <c r="H38" s="6" t="n">
        <v>30.116</v>
      </c>
      <c r="I38" s="6" t="n">
        <v>33.942</v>
      </c>
      <c r="J38" s="6" t="n">
        <v>37.256</v>
      </c>
      <c r="K38" s="6" t="n">
        <v>69.691</v>
      </c>
      <c r="L38" s="17" t="n">
        <f aca="false">G38+H38+I38</f>
        <v>83.055</v>
      </c>
      <c r="M38" s="17" t="n">
        <f aca="false">SUM(F38:I38)</f>
        <v>104.438</v>
      </c>
      <c r="N38" s="17" t="n">
        <f aca="false">SUM(B38:E38)</f>
        <v>62.733</v>
      </c>
      <c r="O38" s="7" t="s">
        <v>55</v>
      </c>
      <c r="P38" s="7" t="s">
        <v>561</v>
      </c>
    </row>
    <row r="39" customFormat="false" ht="17.15" hidden="false" customHeight="false" outlineLevel="0" collapsed="false">
      <c r="A39" s="4" t="s">
        <v>593</v>
      </c>
      <c r="B39" s="6" t="n">
        <v>0.411</v>
      </c>
      <c r="C39" s="6" t="n">
        <v>0.751</v>
      </c>
      <c r="D39" s="6" t="n">
        <v>0.474</v>
      </c>
      <c r="E39" s="6" t="n">
        <v>0.545</v>
      </c>
      <c r="F39" s="6" t="n">
        <v>0.754</v>
      </c>
      <c r="G39" s="6" t="n">
        <v>0.843</v>
      </c>
      <c r="H39" s="6" t="n">
        <v>0.962</v>
      </c>
      <c r="I39" s="6" t="n">
        <v>0.964</v>
      </c>
      <c r="J39" s="6" t="n">
        <v>1.969</v>
      </c>
      <c r="K39" s="6" t="n">
        <v>2.524</v>
      </c>
      <c r="L39" s="17" t="n">
        <f aca="false">G39+H39+I39</f>
        <v>2.769</v>
      </c>
      <c r="M39" s="17" t="n">
        <f aca="false">SUM(F39:I39)</f>
        <v>3.523</v>
      </c>
      <c r="N39" s="17" t="n">
        <f aca="false">SUM(B39:E39)</f>
        <v>2.181</v>
      </c>
      <c r="O39" s="7" t="s">
        <v>55</v>
      </c>
      <c r="P39" s="7" t="s">
        <v>561</v>
      </c>
    </row>
    <row r="40" customFormat="false" ht="17.15" hidden="false" customHeight="false" outlineLevel="0" collapsed="false">
      <c r="A40" s="4" t="s">
        <v>594</v>
      </c>
      <c r="B40" s="17" t="n">
        <f aca="false">B38+B39</f>
        <v>14.836</v>
      </c>
      <c r="C40" s="17" t="n">
        <f aca="false">C38+C39</f>
        <v>13.692</v>
      </c>
      <c r="D40" s="17" t="n">
        <f aca="false">D38+D39</f>
        <v>17.012</v>
      </c>
      <c r="E40" s="17" t="n">
        <f aca="false">E38+E39</f>
        <v>19.374</v>
      </c>
      <c r="F40" s="17" t="n">
        <f aca="false">F38+F39</f>
        <v>22.137</v>
      </c>
      <c r="G40" s="17" t="n">
        <f aca="false">G38+G39</f>
        <v>19.84</v>
      </c>
      <c r="H40" s="17" t="n">
        <f aca="false">H38+H39</f>
        <v>31.078</v>
      </c>
      <c r="I40" s="17" t="n">
        <f aca="false">I38+I39</f>
        <v>34.906</v>
      </c>
      <c r="J40" s="17" t="n">
        <f aca="false">J38+J39</f>
        <v>39.225</v>
      </c>
      <c r="K40" s="17" t="n">
        <f aca="false">K38+K39</f>
        <v>72.215</v>
      </c>
      <c r="L40" s="17" t="n">
        <f aca="false">G40+H40+I40</f>
        <v>85.824</v>
      </c>
      <c r="M40" s="17" t="n">
        <f aca="false">SUM(F40:I40)</f>
        <v>107.961</v>
      </c>
      <c r="N40" s="17" t="n">
        <f aca="false">SUM(B40:E40)</f>
        <v>64.914</v>
      </c>
      <c r="O40" s="7" t="s">
        <v>94</v>
      </c>
      <c r="P40" s="7" t="s">
        <v>561</v>
      </c>
    </row>
    <row r="41" customFormat="false" ht="17.15" hidden="false" customHeight="false" outlineLevel="0" collapsed="false">
      <c r="A41" s="4" t="s">
        <v>595</v>
      </c>
      <c r="B41" s="6" t="n">
        <v>13.152</v>
      </c>
      <c r="C41" s="6" t="n">
        <v>10.334</v>
      </c>
      <c r="D41" s="6" t="n">
        <v>8.549</v>
      </c>
      <c r="E41" s="6" t="n">
        <v>10.625</v>
      </c>
      <c r="F41" s="6" t="n">
        <v>14.077</v>
      </c>
      <c r="G41" s="6" t="n">
        <v>12.386</v>
      </c>
      <c r="H41" s="6" t="n">
        <v>0.784</v>
      </c>
      <c r="I41" s="6" t="n">
        <v>-2.12</v>
      </c>
      <c r="J41" s="6" t="n">
        <v>52.103</v>
      </c>
      <c r="K41" s="6" t="n">
        <v>43.585</v>
      </c>
      <c r="L41" s="17" t="n">
        <f aca="false">G41+H41+I41</f>
        <v>11.05</v>
      </c>
      <c r="M41" s="17" t="n">
        <f aca="false">SUM(F41:I41)</f>
        <v>25.127</v>
      </c>
      <c r="N41" s="17" t="n">
        <f aca="false">SUM(B41:E41)</f>
        <v>42.66</v>
      </c>
      <c r="O41" s="7" t="s">
        <v>55</v>
      </c>
      <c r="P41" s="7" t="s">
        <v>561</v>
      </c>
    </row>
    <row r="42" customFormat="false" ht="15" hidden="false" customHeight="false" outlineLevel="0" collapsed="false">
      <c r="A42" s="4" t="s">
        <v>596</v>
      </c>
      <c r="B42" s="22" t="n">
        <f aca="false">B37-B40-B41</f>
        <v>0</v>
      </c>
      <c r="C42" s="22" t="n">
        <f aca="false">C37-C40-C41</f>
        <v>0</v>
      </c>
      <c r="D42" s="22" t="n">
        <f aca="false">D37-D40-D41</f>
        <v>0</v>
      </c>
      <c r="E42" s="22" t="n">
        <f aca="false">E37-E40-E41</f>
        <v>0</v>
      </c>
      <c r="F42" s="22" t="n">
        <f aca="false">F37-F40-F41</f>
        <v>0</v>
      </c>
      <c r="G42" s="22" t="n">
        <f aca="false">G37-G40-G41</f>
        <v>0</v>
      </c>
      <c r="H42" s="22" t="n">
        <f aca="false">H37-H40-H41</f>
        <v>0</v>
      </c>
      <c r="I42" s="22" t="n">
        <f aca="false">I37-I40-I41</f>
        <v>0</v>
      </c>
      <c r="J42" s="22" t="n">
        <f aca="false">J37-J40-J41</f>
        <v>0</v>
      </c>
      <c r="K42" s="22" t="n">
        <f aca="false">K37-K40-K41</f>
        <v>0</v>
      </c>
      <c r="L42" s="22" t="n">
        <f aca="false">G42+H42+I42</f>
        <v>0</v>
      </c>
      <c r="M42" s="22" t="n">
        <f aca="false">SUM(F42:I42)</f>
        <v>0</v>
      </c>
      <c r="N42" s="22" t="n">
        <f aca="false">SUM(B42:E42)</f>
        <v>0</v>
      </c>
      <c r="O42" s="7" t="s">
        <v>565</v>
      </c>
      <c r="P42" s="7" t="s">
        <v>565</v>
      </c>
    </row>
    <row r="43" customFormat="false" ht="17.15" hidden="false" customHeight="false" outlineLevel="0" collapsed="false">
      <c r="A43" s="4" t="s">
        <v>597</v>
      </c>
      <c r="B43" s="6" t="n">
        <v>0</v>
      </c>
      <c r="C43" s="6" t="n">
        <v>12.754</v>
      </c>
      <c r="D43" s="6" t="n">
        <v>10.167</v>
      </c>
      <c r="E43" s="6" t="n">
        <v>3.327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30.125</v>
      </c>
      <c r="K43" s="6" t="n">
        <v>26.248</v>
      </c>
      <c r="L43" s="17" t="n">
        <f aca="false">G43+H43+I43</f>
        <v>0</v>
      </c>
      <c r="M43" s="17" t="n">
        <f aca="false">SUM(F43:I43)</f>
        <v>0</v>
      </c>
      <c r="N43" s="17" t="n">
        <f aca="false">SUM(B43:E43)</f>
        <v>26.248</v>
      </c>
      <c r="O43" s="7" t="s">
        <v>55</v>
      </c>
      <c r="P43" s="7" t="s">
        <v>561</v>
      </c>
    </row>
    <row r="44" customFormat="false" ht="17.15" hidden="false" customHeight="false" outlineLevel="0" collapsed="false">
      <c r="A44" s="4" t="s">
        <v>598</v>
      </c>
      <c r="B44" s="6" t="n">
        <v>1.269</v>
      </c>
      <c r="C44" s="6" t="n">
        <v>1.329</v>
      </c>
      <c r="D44" s="6" t="n">
        <v>1.327</v>
      </c>
      <c r="E44" s="6" t="n">
        <v>1.33</v>
      </c>
      <c r="F44" s="6" t="n">
        <v>1.338</v>
      </c>
      <c r="G44" s="6" t="n">
        <v>1.346</v>
      </c>
      <c r="H44" s="6" t="n">
        <v>1.353</v>
      </c>
      <c r="I44" s="6" t="n">
        <v>1.361</v>
      </c>
      <c r="J44" s="6" t="n">
        <v>5.072</v>
      </c>
      <c r="K44" s="6" t="n">
        <v>5.324</v>
      </c>
      <c r="L44" s="17" t="n">
        <f aca="false">G44+H44+I44</f>
        <v>4.06</v>
      </c>
      <c r="M44" s="17" t="n">
        <f aca="false">SUM(F44:I44)</f>
        <v>5.398</v>
      </c>
      <c r="N44" s="17" t="n">
        <f aca="false">SUM(B44:E44)</f>
        <v>5.255</v>
      </c>
      <c r="O44" s="7" t="s">
        <v>55</v>
      </c>
      <c r="P44" s="7" t="s">
        <v>561</v>
      </c>
    </row>
    <row r="46" customFormat="false" ht="17.15" hidden="false" customHeight="false" outlineLevel="0" collapsed="false">
      <c r="A46" s="2" t="s">
        <v>599</v>
      </c>
    </row>
    <row r="47" customFormat="false" ht="17.15" hidden="false" customHeight="false" outlineLevel="0" collapsed="false">
      <c r="A47" s="4" t="s">
        <v>600</v>
      </c>
      <c r="F47" s="12" t="n">
        <v>0.18</v>
      </c>
      <c r="G47" s="12" t="n">
        <v>0.19</v>
      </c>
      <c r="H47" s="12" t="n">
        <v>0.14</v>
      </c>
      <c r="I47" s="12" t="n">
        <v>0.1</v>
      </c>
      <c r="L47" s="15"/>
      <c r="M47" s="15"/>
      <c r="N47" s="15"/>
      <c r="O47" s="7" t="s">
        <v>55</v>
      </c>
      <c r="P47" s="7" t="s">
        <v>561</v>
      </c>
    </row>
    <row r="48" customFormat="false" ht="17.15" hidden="false" customHeight="false" outlineLevel="0" collapsed="false">
      <c r="A48" s="4" t="s">
        <v>601</v>
      </c>
      <c r="F48" s="12" t="n">
        <v>0.06</v>
      </c>
      <c r="G48" s="12" t="n">
        <v>0.12</v>
      </c>
      <c r="H48" s="12" t="n">
        <v>0.12</v>
      </c>
      <c r="I48" s="12" t="n">
        <v>0.14</v>
      </c>
      <c r="L48" s="15"/>
      <c r="M48" s="15"/>
      <c r="N48" s="15"/>
      <c r="O48" s="7" t="s">
        <v>55</v>
      </c>
      <c r="P48" s="7" t="s">
        <v>561</v>
      </c>
    </row>
    <row r="49" customFormat="false" ht="17.15" hidden="false" customHeight="false" outlineLevel="0" collapsed="false">
      <c r="A49" s="4" t="s">
        <v>602</v>
      </c>
      <c r="F49" s="23" t="n">
        <v>3.58</v>
      </c>
      <c r="G49" s="23" t="n">
        <v>3.56</v>
      </c>
      <c r="H49" s="23" t="n">
        <v>3.6</v>
      </c>
      <c r="I49" s="23" t="n">
        <v>3.64</v>
      </c>
      <c r="L49" s="24"/>
      <c r="M49" s="24"/>
      <c r="N49" s="24"/>
      <c r="O49" s="7" t="s">
        <v>55</v>
      </c>
      <c r="P49" s="7" t="s">
        <v>561</v>
      </c>
    </row>
    <row r="50" customFormat="false" ht="17.15" hidden="false" customHeight="false" outlineLevel="0" collapsed="false">
      <c r="A50" s="4" t="s">
        <v>603</v>
      </c>
      <c r="H50" s="6" t="n">
        <v>2.4</v>
      </c>
      <c r="I50" s="6" t="n">
        <v>9.89</v>
      </c>
      <c r="L50" s="17" t="n">
        <f aca="false">SUM(G50:I50)</f>
        <v>12.29</v>
      </c>
      <c r="M50" s="17"/>
      <c r="N50" s="17"/>
      <c r="O50" s="7" t="s">
        <v>55</v>
      </c>
      <c r="P50" s="7" t="s">
        <v>561</v>
      </c>
    </row>
    <row r="51" customFormat="false" ht="17.15" hidden="false" customHeight="false" outlineLevel="0" collapsed="false">
      <c r="A51" s="4" t="s">
        <v>604</v>
      </c>
      <c r="H51" s="6" t="n">
        <v>1.18</v>
      </c>
      <c r="L51" s="17" t="n">
        <f aca="false">SUM(G51:I51)</f>
        <v>1.18</v>
      </c>
      <c r="M51" s="17"/>
      <c r="N51" s="17"/>
      <c r="O51" s="7" t="s">
        <v>55</v>
      </c>
      <c r="P51" s="7" t="s">
        <v>561</v>
      </c>
    </row>
    <row r="52" customFormat="false" ht="17.15" hidden="false" customHeight="false" outlineLevel="0" collapsed="false">
      <c r="A52" s="4" t="s">
        <v>605</v>
      </c>
      <c r="G52" s="6" t="n">
        <v>8.03</v>
      </c>
      <c r="L52" s="17" t="n">
        <f aca="false">SUM(G52:I52)</f>
        <v>8.03</v>
      </c>
      <c r="M52" s="17"/>
      <c r="N52" s="17"/>
      <c r="O52" s="7" t="s">
        <v>55</v>
      </c>
      <c r="P52" s="7" t="s">
        <v>561</v>
      </c>
    </row>
    <row r="54" customFormat="false" ht="17.15" hidden="false" customHeight="false" outlineLevel="0" collapsed="false">
      <c r="A54" s="2" t="s">
        <v>606</v>
      </c>
    </row>
    <row r="55" customFormat="false" ht="17.15" hidden="false" customHeight="false" outlineLevel="0" collapsed="false">
      <c r="A55" s="4" t="s">
        <v>607</v>
      </c>
      <c r="B55" s="22" t="n">
        <f aca="false">SUMPRODUCT(ABS(B8:K8))+SUMPRODUCT(ABS(B11:K11))+SUMPRODUCT(ABS(B17:K17))+SUMPRODUCT(ABS(B24:K24))+SUMPRODUCT(ABS(B27:K27))+SUMPRODUCT(ABS(B30:K30))+SUMPRODUCT(ABS(B42:K42))</f>
        <v>0</v>
      </c>
    </row>
    <row r="56" customFormat="false" ht="17.15" hidden="false" customHeight="false" outlineLevel="0" collapsed="false">
      <c r="A56" s="4" t="s">
        <v>608</v>
      </c>
      <c r="B56" s="22" t="n">
        <f aca="false">MAX(0,ABS(SUM(C5:F5)-K5)-0.002)+MAX(0,ABS(SUM(C6:F6)-K6)-0.002)+MAX(0,ABS(SUM(C7:F7)-K7)-0.002)+MAX(0,ABS(SUM(C9:F9)-K9)-0.002)+MAX(0,ABS(SUM(C14:F14)-K14)-0.002)+MAX(0,ABS(SUM(C15:F15)-K15)-0.002)+MAX(0,ABS(SUM(C20:F20)-K20)-0.002)+MAX(0,ABS(SUM(C21:F21)-K21)-0.002)+MAX(0,ABS(SUM(C22:F22)-K22)-0.002)+MAX(0,ABS(SUM(C23:F23)-K23)-0.002)+MAX(0,ABS(SUM(C37:F37)-K37)-0.002)+MAX(0,ABS(SUM(C35:F35)-K35)-0.002)+MAX(0,ABS(SUM(C36:F36)-K36)-0.002)+MAX(0,ABS(SUM(C38:F38)-K38)-0.002)+MAX(0,ABS(SUM(C39:F39)-K39)-0.002)+MAX(0,ABS(SUM(C29:F29)-K29)-0.002)</f>
        <v>0</v>
      </c>
    </row>
    <row r="57" customFormat="false" ht="17.15" hidden="false" customHeight="false" outlineLevel="0" collapsed="false">
      <c r="A57" s="4" t="s">
        <v>609</v>
      </c>
      <c r="B57" s="22" t="n">
        <f aca="false">MAX(0,ABS(L5-(177.449))-0.002)+MAX(0,ABS(L6-(2.987))-0.002)+MAX(0,ABS(L9-(1.276))-0.002)+MAX(0,ABS(L10-(181.712))-0.002)+MAX(0,ABS(L14-(67.41))-0.002)+MAX(0,ABS(L15-(-12.775))-0.002)+MAX(0,ABS(L16-(54.635))-0.002)+MAX(0,ABS(L29-(52.481))-0.002)+MAX(0,ABS(L35-(19.509))-0.002)+MAX(0,ABS(L36-(21.053))-0.002)+MAX(0,ABS(L37-(96.873))-0.002)+MAX(0,ABS(L38-(83.055))-0.002)+MAX(0,ABS(L39-(2.769))-0.002)</f>
        <v>0</v>
      </c>
    </row>
    <row r="59" customFormat="false" ht="17.15" hidden="false" customHeight="false" outlineLevel="0" collapsed="false">
      <c r="A59" s="2" t="s">
        <v>610</v>
      </c>
    </row>
    <row r="60" customFormat="false" ht="15" hidden="false" customHeight="false" outlineLevel="0" collapsed="false">
      <c r="A60" s="3" t="s">
        <v>43</v>
      </c>
      <c r="B60" s="3" t="s">
        <v>611</v>
      </c>
      <c r="C60" s="3" t="s">
        <v>50</v>
      </c>
    </row>
    <row r="61" customFormat="false" ht="17.15" hidden="false" customHeight="false" outlineLevel="0" collapsed="false">
      <c r="A61" s="4" t="s">
        <v>612</v>
      </c>
      <c r="B61" s="15" t="n">
        <f aca="false">M5/N5-1</f>
        <v>0.274672654474624</v>
      </c>
      <c r="C61" s="7" t="s">
        <v>613</v>
      </c>
    </row>
    <row r="62" customFormat="false" ht="17.15" hidden="false" customHeight="false" outlineLevel="0" collapsed="false">
      <c r="A62" s="4" t="s">
        <v>614</v>
      </c>
      <c r="B62" s="15" t="n">
        <f aca="false">I5/E5-1</f>
        <v>0.25915498582325</v>
      </c>
    </row>
    <row r="63" customFormat="false" ht="15" hidden="false" customHeight="false" outlineLevel="0" collapsed="false">
      <c r="A63" s="4" t="s">
        <v>615</v>
      </c>
      <c r="B63" s="15" t="n">
        <f aca="false">AVERAGE(F47:I47)</f>
        <v>0.1525</v>
      </c>
      <c r="C63" s="4" t="s">
        <v>616</v>
      </c>
    </row>
    <row r="64" customFormat="false" ht="17.15" hidden="false" customHeight="false" outlineLevel="0" collapsed="false">
      <c r="A64" s="4" t="s">
        <v>617</v>
      </c>
      <c r="B64" s="15" t="n">
        <f aca="false">IF(g0_q=1,I47,g0_impr_ttm)</f>
        <v>0.1525</v>
      </c>
    </row>
    <row r="65" customFormat="false" ht="17.15" hidden="false" customHeight="false" outlineLevel="0" collapsed="false">
      <c r="A65" s="4" t="s">
        <v>618</v>
      </c>
      <c r="B65" s="15" t="n">
        <f aca="false">(1+IF(g0_q=1,g0_ads_q,g0_ads_ttm))/(1+g0_impr)-1</f>
        <v>0.106006641626572</v>
      </c>
      <c r="C65" s="4" t="s">
        <v>619</v>
      </c>
    </row>
    <row r="66" customFormat="false" ht="17.15" hidden="false" customHeight="false" outlineLevel="0" collapsed="false">
      <c r="A66" s="4" t="s">
        <v>620</v>
      </c>
      <c r="B66" s="15" t="n">
        <f aca="false">IF(g0_q=1,I6/E6-1,M6/N6-1)</f>
        <v>0.646394439617724</v>
      </c>
    </row>
    <row r="67" customFormat="false" ht="17.15" hidden="false" customHeight="false" outlineLevel="0" collapsed="false">
      <c r="A67" s="4" t="s">
        <v>621</v>
      </c>
      <c r="B67" s="15" t="n">
        <f aca="false">IF(g0_q=1,I9/E9-1,M9/N9-1)</f>
        <v>-0.0445396145610278</v>
      </c>
    </row>
    <row r="68" customFormat="false" ht="17.15" hidden="false" customHeight="false" outlineLevel="0" collapsed="false">
      <c r="A68" s="0" t="s">
        <v>622</v>
      </c>
      <c r="B68" s="17" t="n">
        <f aca="false">ot_legal_q2+ot_sev_q2+ot_legal_q3</f>
        <v>13.47</v>
      </c>
    </row>
    <row r="69" customFormat="false" ht="17.15" hidden="false" customHeight="false" outlineLevel="0" collapsed="false">
      <c r="A69" s="0" t="s">
        <v>623</v>
      </c>
      <c r="B69" s="15" t="n">
        <f aca="false">(L14+ot_oi_9m+L35*(1-rl_da_sh))/L7</f>
        <v>0.550965433918764</v>
      </c>
    </row>
    <row r="70" customFormat="false" ht="17.15" hidden="false" customHeight="false" outlineLevel="0" collapsed="false">
      <c r="A70" s="0" t="s">
        <v>624</v>
      </c>
      <c r="B70" s="15" t="n">
        <f aca="false">(I14+ot_legal_q3+I35*(1-rl_da_sh))/I7</f>
        <v>0.526875837775492</v>
      </c>
    </row>
    <row r="71" customFormat="false" ht="17.15" hidden="false" customHeight="false" outlineLevel="0" collapsed="false">
      <c r="A71" s="4" t="s">
        <v>625</v>
      </c>
      <c r="B71" s="15" t="n">
        <f aca="false">(K14+K35*(1-rl_da_sh))/K7</f>
        <v>0.604522059378443</v>
      </c>
    </row>
    <row r="72" customFormat="false" ht="17.15" hidden="false" customHeight="false" outlineLevel="0" collapsed="false">
      <c r="A72" s="0" t="s">
        <v>626</v>
      </c>
      <c r="B72" s="15" t="n">
        <f aca="false">IF(mb_q3=1,m_foa_q3,m_foa_9m)</f>
        <v>0.550965433918764</v>
      </c>
    </row>
    <row r="73" customFormat="false" ht="17.15" hidden="false" customHeight="false" outlineLevel="0" collapsed="false">
      <c r="A73" s="0" t="s">
        <v>627</v>
      </c>
      <c r="B73" s="17" t="n">
        <f aca="false">L10</f>
        <v>181.713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628</v>
      </c>
    </row>
    <row r="2" customFormat="false" ht="17.15" hidden="false" customHeight="false" outlineLevel="0" collapsed="false">
      <c r="A2" s="4" t="s">
        <v>629</v>
      </c>
    </row>
    <row r="4" customFormat="false" ht="17.15" hidden="false" customHeight="false" outlineLevel="0" collapsed="false">
      <c r="A4" s="5" t="s">
        <v>630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611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4" t="s">
        <v>631</v>
      </c>
      <c r="B6" s="0" t="s">
        <v>347</v>
      </c>
      <c r="C6" s="24" t="n">
        <f aca="false">cit_h+selfb*cfac</f>
        <v>38.279714</v>
      </c>
    </row>
    <row r="7" customFormat="false" ht="17.15" hidden="false" customHeight="false" outlineLevel="0" collapsed="false">
      <c r="A7" s="4" t="s">
        <v>632</v>
      </c>
      <c r="B7" s="0" t="s">
        <v>347</v>
      </c>
      <c r="C7" s="24" t="n">
        <f aca="false">cit_b2+selfb*cfac</f>
        <v>34.784674</v>
      </c>
    </row>
    <row r="8" customFormat="false" ht="17.15" hidden="false" customHeight="false" outlineLevel="0" collapsed="false">
      <c r="A8" s="4" t="s">
        <v>633</v>
      </c>
      <c r="B8" s="0" t="s">
        <v>347</v>
      </c>
      <c r="C8" s="24" t="n">
        <f aca="false">cit_b3+selfb*cfac</f>
        <v>43.006724</v>
      </c>
    </row>
    <row r="9" customFormat="false" ht="17.15" hidden="false" customHeight="false" outlineLevel="0" collapsed="false">
      <c r="A9" s="4" t="s">
        <v>634</v>
      </c>
      <c r="B9" s="0" t="s">
        <v>347</v>
      </c>
      <c r="C9" s="24" t="n">
        <f aca="false">am_26*cit_b3+(1-am_26)*cit_vr+selfb*cfac</f>
        <v>43.006724</v>
      </c>
    </row>
    <row r="10" customFormat="false" ht="17.15" hidden="false" customHeight="false" outlineLevel="0" collapsed="false">
      <c r="A10" s="4" t="s">
        <v>635</v>
      </c>
      <c r="B10" s="0" t="s">
        <v>347</v>
      </c>
      <c r="C10" s="24" t="n">
        <f aca="false">am_27*cit_b3+(1-am_27)*cit_vr+selfb*cfac</f>
        <v>45.681288</v>
      </c>
    </row>
    <row r="11" customFormat="false" ht="17.15" hidden="false" customHeight="false" outlineLevel="0" collapsed="false">
      <c r="A11" s="4" t="s">
        <v>636</v>
      </c>
      <c r="B11" s="0" t="s">
        <v>347</v>
      </c>
      <c r="C11" s="24" t="n">
        <f aca="false">(1-am_28)*cit_b3+am_28*cit_vr+selfb*cfac</f>
        <v>48.355852</v>
      </c>
    </row>
    <row r="12" customFormat="false" ht="17.15" hidden="false" customHeight="false" outlineLevel="0" collapsed="false">
      <c r="A12" s="0" t="s">
        <v>637</v>
      </c>
      <c r="B12" s="0" t="s">
        <v>74</v>
      </c>
      <c r="C12" s="25" t="n">
        <f aca="false">cx_24-Q!J10*cx_na</f>
        <v>32.64496</v>
      </c>
    </row>
    <row r="13" customFormat="false" ht="17.15" hidden="false" customHeight="false" outlineLevel="0" collapsed="false">
      <c r="A13" s="0" t="s">
        <v>638</v>
      </c>
      <c r="B13" s="0" t="s">
        <v>74</v>
      </c>
      <c r="C13" s="25" t="n">
        <f aca="false">cx_25-Q!K10*cx_na</f>
        <v>64.17636</v>
      </c>
    </row>
    <row r="14" customFormat="false" ht="17.15" hidden="false" customHeight="false" outlineLevel="0" collapsed="false">
      <c r="A14" s="0" t="s">
        <v>639</v>
      </c>
      <c r="B14" s="0" t="s">
        <v>74</v>
      </c>
      <c r="C14" s="25" t="n">
        <f aca="false">capex_9m-Q!L10*cx_na</f>
        <v>78.55548</v>
      </c>
    </row>
    <row r="15" customFormat="false" ht="17.15" hidden="false" customHeight="false" outlineLevel="0" collapsed="false">
      <c r="A15" s="0" t="s">
        <v>640</v>
      </c>
      <c r="B15" s="0" t="s">
        <v>128</v>
      </c>
      <c r="C15" s="15" t="n">
        <f aca="false">aicx_9m/capex_9m</f>
        <v>0.915309004474273</v>
      </c>
      <c r="N15" s="4" t="s">
        <v>641</v>
      </c>
    </row>
    <row r="16" customFormat="false" ht="17.15" hidden="false" customHeight="false" outlineLevel="0" collapsed="false">
      <c r="A16" s="0" t="s">
        <v>642</v>
      </c>
      <c r="B16" s="0" t="s">
        <v>643</v>
      </c>
      <c r="C16" s="19" t="n">
        <f aca="false">cx_23*ai_23/pmw_h*1000</f>
        <v>513.849189155384</v>
      </c>
      <c r="N16" s="4" t="s">
        <v>644</v>
      </c>
    </row>
    <row r="17" customFormat="false" ht="17.15" hidden="false" customHeight="false" outlineLevel="0" collapsed="false">
      <c r="A17" s="0" t="s">
        <v>645</v>
      </c>
      <c r="B17" s="0" t="s">
        <v>643</v>
      </c>
      <c r="C17" s="19" t="n">
        <f aca="false">aicx_24/pmw_h*1000</f>
        <v>852.800519878492</v>
      </c>
    </row>
    <row r="18" customFormat="false" ht="17.15" hidden="false" customHeight="false" outlineLevel="0" collapsed="false">
      <c r="A18" s="0" t="s">
        <v>646</v>
      </c>
      <c r="B18" s="0" t="s">
        <v>643</v>
      </c>
      <c r="C18" s="19" t="n">
        <f aca="false">aicx_25/pmw_b2*1000</f>
        <v>1844.96080084005</v>
      </c>
    </row>
    <row r="19" customFormat="false" ht="17.15" hidden="false" customHeight="false" outlineLevel="0" collapsed="false">
      <c r="A19" s="0" t="s">
        <v>647</v>
      </c>
      <c r="B19" s="0" t="s">
        <v>643</v>
      </c>
      <c r="C19" s="19" t="n">
        <f aca="false">aicx_9m/pmw_b3*1000</f>
        <v>1826.58600083094</v>
      </c>
    </row>
    <row r="20" customFormat="false" ht="17.15" hidden="false" customHeight="false" outlineLevel="0" collapsed="false">
      <c r="A20" s="4" t="s">
        <v>648</v>
      </c>
      <c r="B20" s="0" t="s">
        <v>643</v>
      </c>
      <c r="C20" s="19" t="n">
        <f aca="false">mw_pre24+mw_24+mw_25+mw_9m</f>
        <v>5038.19651070486</v>
      </c>
      <c r="N20" s="7" t="s">
        <v>649</v>
      </c>
    </row>
    <row r="21" customFormat="false" ht="17.15" hidden="false" customHeight="false" outlineLevel="0" collapsed="false">
      <c r="A21" s="4" t="s">
        <v>650</v>
      </c>
      <c r="B21" s="0" t="s">
        <v>643</v>
      </c>
      <c r="C21" s="19" t="n">
        <f aca="false">cip_0*cip_ai/pmw_b3*1000</f>
        <v>1872.94200785905</v>
      </c>
      <c r="N21" s="7" t="s">
        <v>651</v>
      </c>
    </row>
    <row r="22" customFormat="false" ht="17.15" hidden="false" customHeight="false" outlineLevel="0" collapsed="false">
      <c r="A22" s="4" t="s">
        <v>652</v>
      </c>
      <c r="B22" s="0" t="s">
        <v>643</v>
      </c>
      <c r="C22" s="19" t="n">
        <f aca="false">mw_pre24+mw_24</f>
        <v>1366.64970903388</v>
      </c>
    </row>
    <row r="23" customFormat="false" ht="17.15" hidden="false" customHeight="false" outlineLevel="0" collapsed="false">
      <c r="A23" s="4" t="s">
        <v>653</v>
      </c>
      <c r="B23" s="0" t="s">
        <v>643</v>
      </c>
      <c r="C23" s="19" t="n">
        <f aca="false">mw_25-MAX(0,mw_cip-mw_9m)</f>
        <v>1798.60479381194</v>
      </c>
    </row>
    <row r="24" customFormat="false" ht="17.15" hidden="false" customHeight="false" outlineLevel="0" collapsed="false">
      <c r="A24" s="4" t="s">
        <v>654</v>
      </c>
      <c r="B24" s="0" t="s">
        <v>643</v>
      </c>
      <c r="C24" s="19" t="n">
        <f aca="false">MAX(0,mw_9m-mw_cip)</f>
        <v>0</v>
      </c>
    </row>
    <row r="25" customFormat="false" ht="17.15" hidden="false" customHeight="false" outlineLevel="0" collapsed="false">
      <c r="A25" s="4" t="s">
        <v>655</v>
      </c>
      <c r="B25" s="0" t="s">
        <v>643</v>
      </c>
      <c r="C25" s="19" t="n">
        <f aca="false">base_h+base_b2+base_b3</f>
        <v>3165.25450284581</v>
      </c>
    </row>
    <row r="26" customFormat="false" ht="17.15" hidden="false" customHeight="false" outlineLevel="0" collapsed="false">
      <c r="A26" s="4" t="s">
        <v>656</v>
      </c>
      <c r="B26" s="0" t="s">
        <v>327</v>
      </c>
      <c r="C26" s="22" t="n">
        <f aca="false">(base_h*dpi_h+base_b2*dpi_b2+base_b3*dpi_b3)/base_tot</f>
        <v>4.25403565319157</v>
      </c>
    </row>
    <row r="27" customFormat="false" ht="17.15" hidden="false" customHeight="false" outlineLevel="0" collapsed="false">
      <c r="A27" s="4" t="s">
        <v>657</v>
      </c>
      <c r="B27" s="0" t="s">
        <v>327</v>
      </c>
      <c r="C27" s="22" t="n">
        <f aca="false">(base_h*he_h+base_b2*he_b2+base_b3*he_b3)/base_tot</f>
        <v>9.20592713717504</v>
      </c>
    </row>
    <row r="28" customFormat="false" ht="17.15" hidden="false" customHeight="false" outlineLevel="0" collapsed="false">
      <c r="A28" s="4" t="s">
        <v>658</v>
      </c>
      <c r="B28" s="0" t="s">
        <v>327</v>
      </c>
      <c r="C28" s="22" t="n">
        <f aca="false">(base_h*opx_h+base_b2*opx_b2+base_b3*opx_b3)/base_tot</f>
        <v>1.84350760722184</v>
      </c>
    </row>
    <row r="30" customFormat="false" ht="17.15" hidden="false" customHeight="false" outlineLevel="0" collapsed="false">
      <c r="A30" s="26" t="s">
        <v>659</v>
      </c>
    </row>
    <row r="31" customFormat="false" ht="15" hidden="false" customHeight="false" outlineLevel="0" collapsed="false">
      <c r="A31" s="3" t="s">
        <v>43</v>
      </c>
      <c r="B31" s="3" t="s">
        <v>44</v>
      </c>
      <c r="C31" s="21" t="s">
        <v>660</v>
      </c>
      <c r="D31" s="21" t="s">
        <v>661</v>
      </c>
      <c r="E31" s="21" t="s">
        <v>662</v>
      </c>
      <c r="F31" s="21" t="s">
        <v>663</v>
      </c>
      <c r="G31" s="21" t="s">
        <v>664</v>
      </c>
      <c r="H31" s="21" t="s">
        <v>665</v>
      </c>
      <c r="I31" s="21" t="s">
        <v>666</v>
      </c>
      <c r="J31" s="21" t="s">
        <v>667</v>
      </c>
      <c r="K31" s="21" t="s">
        <v>668</v>
      </c>
      <c r="L31" s="21" t="s">
        <v>669</v>
      </c>
      <c r="M31" s="21" t="s">
        <v>670</v>
      </c>
      <c r="N31" s="3" t="s">
        <v>50</v>
      </c>
    </row>
    <row r="32" customFormat="false" ht="17.15" hidden="false" customHeight="false" outlineLevel="0" collapsed="false">
      <c r="A32" s="5" t="s">
        <v>671</v>
      </c>
    </row>
    <row r="33" customFormat="false" ht="17.15" hidden="false" customHeight="false" outlineLevel="0" collapsed="false">
      <c r="A33" s="4" t="s">
        <v>672</v>
      </c>
      <c r="B33" s="0" t="s">
        <v>643</v>
      </c>
      <c r="F33" s="19" t="n">
        <f aca="false">(capex_g-capex_9m-Seg!F22)/pmw_26*1000</f>
        <v>1188.71005312805</v>
      </c>
      <c r="G33" s="19" t="n">
        <f aca="false">F33</f>
        <v>1188.71005312805</v>
      </c>
      <c r="H33" s="19" t="n">
        <f aca="false">(cx27_A-Seg!H22)/pmw_27*1000</f>
        <v>4894.35193282006</v>
      </c>
      <c r="I33" s="19" t="n">
        <f aca="false">H33*a28</f>
        <v>4894.35193282006</v>
      </c>
      <c r="J33" s="19" t="n">
        <f aca="false">$I$33+(g_tv*I38-$I$33)*MIN(1,(2029-2028)/conv_mw)</f>
        <v>3790.88102783609</v>
      </c>
      <c r="K33" s="19" t="n">
        <f aca="false">$I$33+(g_tv*J38-$I$33)*MIN(1,(2030-2028)/conv_mw)</f>
        <v>2744.27333826967</v>
      </c>
      <c r="L33" s="19" t="n">
        <f aca="false">$I$33+(g_tv*K38-$I$33)*MIN(1,(2031-2028)/conv_mw)</f>
        <v>1730.98019110554</v>
      </c>
      <c r="M33" s="19" t="n">
        <f aca="false">$I$33+(g_tv*L38-$I$33)*MIN(1,(2032-2028)/conv_mw)</f>
        <v>728.45234960053</v>
      </c>
      <c r="N33" s="7" t="s">
        <v>673</v>
      </c>
    </row>
    <row r="34" customFormat="false" ht="17.15" hidden="false" customHeight="false" outlineLevel="0" collapsed="false">
      <c r="A34" s="4" t="s">
        <v>674</v>
      </c>
      <c r="B34" s="0" t="s">
        <v>643</v>
      </c>
      <c r="E34" s="19" t="n">
        <f aca="false">mw_pre24+mw_24</f>
        <v>1366.64970903388</v>
      </c>
      <c r="F34" s="19" t="n">
        <f aca="false">E34+F33*0</f>
        <v>1366.64970903388</v>
      </c>
      <c r="G34" s="19" t="n">
        <f aca="false">F34</f>
        <v>1366.64970903388</v>
      </c>
      <c r="H34" s="19" t="n">
        <f aca="false">F34+H33*0</f>
        <v>1366.64970903388</v>
      </c>
      <c r="I34" s="19" t="n">
        <f aca="false">H34+I33*0</f>
        <v>1366.64970903388</v>
      </c>
      <c r="J34" s="19" t="n">
        <f aca="false">I34+J33*0</f>
        <v>1366.64970903388</v>
      </c>
      <c r="K34" s="19" t="n">
        <f aca="false">J34+K33*0</f>
        <v>1366.64970903388</v>
      </c>
      <c r="L34" s="19" t="n">
        <f aca="false">K34+L33*0</f>
        <v>1366.64970903388</v>
      </c>
      <c r="M34" s="19" t="n">
        <f aca="false">L34+M33*0</f>
        <v>1366.64970903388</v>
      </c>
    </row>
    <row r="35" customFormat="false" ht="17.15" hidden="false" customHeight="false" outlineLevel="0" collapsed="false">
      <c r="A35" s="4" t="s">
        <v>675</v>
      </c>
      <c r="B35" s="0" t="s">
        <v>643</v>
      </c>
      <c r="E35" s="19" t="n">
        <f aca="false">mw_25</f>
        <v>1844.96080084005</v>
      </c>
      <c r="F35" s="19" t="n">
        <f aca="false">E35+F33*0</f>
        <v>1844.96080084005</v>
      </c>
      <c r="G35" s="19" t="n">
        <f aca="false">F35</f>
        <v>1844.96080084005</v>
      </c>
      <c r="H35" s="19" t="n">
        <f aca="false">F35+H33*0</f>
        <v>1844.96080084005</v>
      </c>
      <c r="I35" s="19" t="n">
        <f aca="false">H35+I33*0</f>
        <v>1844.96080084005</v>
      </c>
      <c r="J35" s="19" t="n">
        <f aca="false">I35+J33*0</f>
        <v>1844.96080084005</v>
      </c>
      <c r="K35" s="19" t="n">
        <f aca="false">J35+K33*0</f>
        <v>1844.96080084005</v>
      </c>
      <c r="L35" s="19" t="n">
        <f aca="false">K35+L33*0</f>
        <v>1844.96080084005</v>
      </c>
      <c r="M35" s="19" t="n">
        <f aca="false">L35+M33*0</f>
        <v>1844.96080084005</v>
      </c>
    </row>
    <row r="36" customFormat="false" ht="17.15" hidden="false" customHeight="false" outlineLevel="0" collapsed="false">
      <c r="A36" s="4" t="s">
        <v>676</v>
      </c>
      <c r="B36" s="0" t="s">
        <v>643</v>
      </c>
      <c r="E36" s="19" t="n">
        <f aca="false">mw_9m</f>
        <v>1826.58600083094</v>
      </c>
      <c r="F36" s="19" t="n">
        <f aca="false">E36+F33*am_26</f>
        <v>3015.29605395899</v>
      </c>
      <c r="G36" s="19" t="n">
        <f aca="false">F36</f>
        <v>3015.29605395899</v>
      </c>
      <c r="H36" s="19" t="n">
        <f aca="false">F36+H33*am_27</f>
        <v>5462.47202036902</v>
      </c>
      <c r="I36" s="19" t="n">
        <f aca="false">H36+I33*(1-am_28)</f>
        <v>5462.47202036902</v>
      </c>
      <c r="J36" s="19" t="n">
        <f aca="false">I36+J33*(1-am_28)</f>
        <v>5462.47202036902</v>
      </c>
      <c r="K36" s="19" t="n">
        <f aca="false">J36+K33*(1-am_28)</f>
        <v>5462.47202036902</v>
      </c>
      <c r="L36" s="19" t="n">
        <f aca="false">K36+L33*(1-am_28)</f>
        <v>5462.47202036902</v>
      </c>
      <c r="M36" s="19" t="n">
        <f aca="false">L36+M33*(1-am_28)</f>
        <v>5462.47202036902</v>
      </c>
    </row>
    <row r="37" customFormat="false" ht="17.15" hidden="false" customHeight="false" outlineLevel="0" collapsed="false">
      <c r="A37" s="4" t="s">
        <v>677</v>
      </c>
      <c r="B37" s="0" t="s">
        <v>643</v>
      </c>
      <c r="E37" s="27" t="n">
        <v>0</v>
      </c>
      <c r="F37" s="19" t="n">
        <f aca="false">E37+F33*(1-am_26)</f>
        <v>0</v>
      </c>
      <c r="G37" s="19" t="n">
        <f aca="false">F37</f>
        <v>0</v>
      </c>
      <c r="H37" s="19" t="n">
        <f aca="false">F37+H33*(1-am_27)</f>
        <v>2447.17596641003</v>
      </c>
      <c r="I37" s="19" t="n">
        <f aca="false">H37+I33*am_28</f>
        <v>7341.52789923009</v>
      </c>
      <c r="J37" s="19" t="n">
        <f aca="false">I37+J33*am_28</f>
        <v>11132.4089270662</v>
      </c>
      <c r="K37" s="19" t="n">
        <f aca="false">J37+K33*am_28</f>
        <v>13876.6822653359</v>
      </c>
      <c r="L37" s="19" t="n">
        <f aca="false">K37+L33*am_28</f>
        <v>15607.6624564414</v>
      </c>
      <c r="M37" s="19" t="n">
        <f aca="false">L37+M33*am_28</f>
        <v>16336.1148060419</v>
      </c>
    </row>
    <row r="38" customFormat="false" ht="17.15" hidden="false" customHeight="false" outlineLevel="0" collapsed="false">
      <c r="A38" s="4" t="s">
        <v>678</v>
      </c>
      <c r="B38" s="0" t="s">
        <v>643</v>
      </c>
      <c r="E38" s="19" t="n">
        <f aca="false">E34+E35+E36+E37</f>
        <v>5038.19651070486</v>
      </c>
      <c r="F38" s="19" t="n">
        <f aca="false">F34+F35+F36+F37</f>
        <v>6226.90656383291</v>
      </c>
      <c r="G38" s="19" t="n">
        <f aca="false">G34+G35+G36+G37</f>
        <v>6226.90656383291</v>
      </c>
      <c r="H38" s="19" t="n">
        <f aca="false">H34+H35+H36+H37</f>
        <v>11121.258496653</v>
      </c>
      <c r="I38" s="19" t="n">
        <f aca="false">I34+I35+I36+I37</f>
        <v>16015.610429473</v>
      </c>
      <c r="J38" s="19" t="n">
        <f aca="false">J34+J35+J36+J37</f>
        <v>19806.4914573091</v>
      </c>
      <c r="K38" s="19" t="n">
        <f aca="false">K34+K35+K36+K37</f>
        <v>22550.7647955788</v>
      </c>
      <c r="L38" s="19" t="n">
        <f aca="false">L34+L35+L36+L37</f>
        <v>24281.7449866843</v>
      </c>
      <c r="M38" s="19" t="n">
        <f aca="false">M34+M35+M36+M37</f>
        <v>25010.1973362849</v>
      </c>
    </row>
    <row r="39" customFormat="false" ht="17.15" hidden="false" customHeight="false" outlineLevel="0" collapsed="false">
      <c r="A39" s="4" t="s">
        <v>679</v>
      </c>
      <c r="B39" s="0" t="s">
        <v>643</v>
      </c>
      <c r="F39" s="19" t="n">
        <f aca="false">(base_h+F34)/2</f>
        <v>1366.64970903388</v>
      </c>
      <c r="H39" s="19" t="n">
        <f aca="false">(F34+H34)/2</f>
        <v>1366.64970903388</v>
      </c>
      <c r="I39" s="19" t="n">
        <f aca="false">(H34+I34)/2</f>
        <v>1366.64970903388</v>
      </c>
      <c r="J39" s="19" t="n">
        <f aca="false">(I34+J34)/2</f>
        <v>1366.64970903388</v>
      </c>
      <c r="K39" s="19" t="n">
        <f aca="false">(J34+K34)/2</f>
        <v>1366.64970903388</v>
      </c>
      <c r="L39" s="19" t="n">
        <f aca="false">(K34+L34)/2</f>
        <v>1366.64970903388</v>
      </c>
      <c r="M39" s="19" t="n">
        <f aca="false">(L34+M34)/2</f>
        <v>1366.64970903388</v>
      </c>
      <c r="N39" s="7" t="s">
        <v>680</v>
      </c>
    </row>
    <row r="40" customFormat="false" ht="17.15" hidden="false" customHeight="false" outlineLevel="0" collapsed="false">
      <c r="A40" s="4" t="s">
        <v>681</v>
      </c>
      <c r="B40" s="0" t="s">
        <v>643</v>
      </c>
      <c r="F40" s="19" t="n">
        <f aca="false">(base_b2+F35)/2</f>
        <v>1821.78279732599</v>
      </c>
      <c r="H40" s="19" t="n">
        <f aca="false">(F35+H35)/2</f>
        <v>1844.96080084005</v>
      </c>
      <c r="I40" s="19" t="n">
        <f aca="false">(H35+I35)/2</f>
        <v>1844.96080084005</v>
      </c>
      <c r="J40" s="19" t="n">
        <f aca="false">(I35+J35)/2</f>
        <v>1844.96080084005</v>
      </c>
      <c r="K40" s="19" t="n">
        <f aca="false">(J35+K35)/2</f>
        <v>1844.96080084005</v>
      </c>
      <c r="L40" s="19" t="n">
        <f aca="false">(K35+L35)/2</f>
        <v>1844.96080084005</v>
      </c>
      <c r="M40" s="19" t="n">
        <f aca="false">(L35+M35)/2</f>
        <v>1844.96080084005</v>
      </c>
    </row>
    <row r="41" customFormat="false" ht="17.15" hidden="false" customHeight="false" outlineLevel="0" collapsed="false">
      <c r="A41" s="4" t="s">
        <v>682</v>
      </c>
      <c r="B41" s="0" t="s">
        <v>643</v>
      </c>
      <c r="F41" s="19" t="n">
        <f aca="false">(base_b3+F36)/2</f>
        <v>1507.64802697949</v>
      </c>
      <c r="H41" s="19" t="n">
        <f aca="false">(F36+H36)/2</f>
        <v>4238.884037164</v>
      </c>
      <c r="I41" s="19" t="n">
        <f aca="false">(H36+I36)/2</f>
        <v>5462.47202036902</v>
      </c>
      <c r="J41" s="19" t="n">
        <f aca="false">(I36+J36)/2</f>
        <v>5462.47202036902</v>
      </c>
      <c r="K41" s="19" t="n">
        <f aca="false">(J36+K36)/2</f>
        <v>5462.47202036902</v>
      </c>
      <c r="L41" s="19" t="n">
        <f aca="false">(K36+L36)/2</f>
        <v>5462.47202036902</v>
      </c>
      <c r="M41" s="19" t="n">
        <f aca="false">(L36+M36)/2</f>
        <v>5462.47202036902</v>
      </c>
    </row>
    <row r="42" customFormat="false" ht="17.15" hidden="false" customHeight="false" outlineLevel="0" collapsed="false">
      <c r="A42" s="4" t="s">
        <v>683</v>
      </c>
      <c r="B42" s="0" t="s">
        <v>643</v>
      </c>
      <c r="F42" s="19" t="n">
        <f aca="false">(0+F37)/2</f>
        <v>0</v>
      </c>
      <c r="H42" s="19" t="n">
        <f aca="false">(F37+H37)/2</f>
        <v>1223.58798320502</v>
      </c>
      <c r="I42" s="19" t="n">
        <f aca="false">(H37+I37)/2</f>
        <v>4894.35193282006</v>
      </c>
      <c r="J42" s="19" t="n">
        <f aca="false">(I37+J37)/2</f>
        <v>9236.96841314814</v>
      </c>
      <c r="K42" s="19" t="n">
        <f aca="false">(J37+K37)/2</f>
        <v>12504.545596201</v>
      </c>
      <c r="L42" s="19" t="n">
        <f aca="false">(K37+L37)/2</f>
        <v>14742.1723608886</v>
      </c>
      <c r="M42" s="19" t="n">
        <f aca="false">(L37+M37)/2</f>
        <v>15971.8886312417</v>
      </c>
    </row>
    <row r="43" customFormat="false" ht="17.15" hidden="false" customHeight="false" outlineLevel="0" collapsed="false">
      <c r="A43" s="4" t="s">
        <v>684</v>
      </c>
      <c r="B43" s="0" t="s">
        <v>643</v>
      </c>
      <c r="F43" s="19" t="n">
        <f aca="false">F39+F40+F41+F42</f>
        <v>4696.08053333936</v>
      </c>
      <c r="H43" s="19" t="n">
        <f aca="false">H39+H40+H41+H42</f>
        <v>8674.08253024294</v>
      </c>
      <c r="I43" s="19" t="n">
        <f aca="false">I39+I40+I41+I42</f>
        <v>13568.434463063</v>
      </c>
      <c r="J43" s="19" t="n">
        <f aca="false">J39+J40+J41+J42</f>
        <v>17911.0509433911</v>
      </c>
      <c r="K43" s="19" t="n">
        <f aca="false">K39+K40+K41+K42</f>
        <v>21178.628126444</v>
      </c>
      <c r="L43" s="19" t="n">
        <f aca="false">L39+L40+L41+L42</f>
        <v>23416.2548911316</v>
      </c>
      <c r="M43" s="19" t="n">
        <f aca="false">M39+M40+M41+M42</f>
        <v>24645.9711614846</v>
      </c>
    </row>
    <row r="44" customFormat="false" ht="17.15" hidden="false" customHeight="false" outlineLevel="0" collapsed="false">
      <c r="A44" s="4" t="s">
        <v>685</v>
      </c>
      <c r="B44" s="0" t="s">
        <v>643</v>
      </c>
      <c r="F44" s="19" t="n">
        <f aca="false">F43-base_tot</f>
        <v>1530.82603049355</v>
      </c>
      <c r="H44" s="19" t="n">
        <f aca="false">H43-base_tot</f>
        <v>5508.82802739713</v>
      </c>
      <c r="I44" s="19" t="n">
        <f aca="false">I43-base_tot</f>
        <v>10403.1799602172</v>
      </c>
      <c r="J44" s="19" t="n">
        <f aca="false">J43-base_tot</f>
        <v>14745.7964405453</v>
      </c>
      <c r="K44" s="19" t="n">
        <f aca="false">K43-base_tot</f>
        <v>18013.3736235982</v>
      </c>
      <c r="L44" s="19" t="n">
        <f aca="false">L43-base_tot</f>
        <v>20251.0003882858</v>
      </c>
      <c r="M44" s="19" t="n">
        <f aca="false">M43-base_tot</f>
        <v>21480.7166586388</v>
      </c>
    </row>
    <row r="45" customFormat="false" ht="17.15" hidden="false" customHeight="false" outlineLevel="0" collapsed="false">
      <c r="A45" s="5" t="s">
        <v>686</v>
      </c>
    </row>
    <row r="46" customFormat="false" ht="17.15" hidden="false" customHeight="false" outlineLevel="0" collapsed="false">
      <c r="A46" s="0" t="s">
        <v>687</v>
      </c>
      <c r="B46" s="0" t="s">
        <v>74</v>
      </c>
      <c r="F46" s="25" t="n">
        <f aca="false">F33*(0*cit_h+0*cit_b2+am_26*cit_b3+(1-am_26)*cit_vr)/1000</f>
        <v>38.3207122537407</v>
      </c>
      <c r="G46" s="25" t="n">
        <f aca="false">F46</f>
        <v>38.3207122537407</v>
      </c>
      <c r="H46" s="25" t="n">
        <f aca="false">H33*(0*cit_h+0*cit_b2+am_27*cit_b3+(1-am_27)*cit_vr)/1000</f>
        <v>170.870577076004</v>
      </c>
      <c r="I46" s="25" t="n">
        <f aca="false">I33*(0*cit_h+0*cit_b2+(1-am_28)*cit_b3+am_28*cit_vr)/1000</f>
        <v>183.960834558855</v>
      </c>
      <c r="J46" s="25" t="n">
        <f aca="false">J33*(0*cit_h+0*cit_b2+(1-am_28)*cit_b3+am_28*cit_vr)/1000</f>
        <v>142.485388702369</v>
      </c>
      <c r="K46" s="25" t="n">
        <f aca="false">K33*(0*cit_h+0*cit_b2+(1-am_28)*cit_b3+am_28*cit_vr)/1000</f>
        <v>103.147223676419</v>
      </c>
      <c r="L46" s="25" t="n">
        <f aca="false">L33*(0*cit_h+0*cit_b2+(1-am_28)*cit_b3+am_28*cit_vr)/1000</f>
        <v>65.0612307679201</v>
      </c>
      <c r="M46" s="25" t="n">
        <f aca="false">M33*(0*cit_h+0*cit_b2+(1-am_28)*cit_b3+am_28*cit_vr)/1000</f>
        <v>27.3798664273126</v>
      </c>
    </row>
    <row r="47" customFormat="false" ht="17.15" hidden="false" customHeight="false" outlineLevel="0" collapsed="false">
      <c r="A47" s="0" t="s">
        <v>688</v>
      </c>
      <c r="B47" s="0" t="s">
        <v>74</v>
      </c>
      <c r="F47" s="25" t="n">
        <f aca="false">F33*selfb*cfac/1000</f>
        <v>12.8018129171625</v>
      </c>
      <c r="G47" s="25" t="n">
        <f aca="false">F47</f>
        <v>12.8018129171625</v>
      </c>
      <c r="H47" s="25" t="n">
        <f aca="false">H33*selfb*cfac/1000</f>
        <v>52.7097231405057</v>
      </c>
      <c r="I47" s="25" t="n">
        <f aca="false">I33*selfb*cfac/1000</f>
        <v>52.7097231405057</v>
      </c>
      <c r="J47" s="25" t="n">
        <f aca="false">J33*selfb*cfac/1000</f>
        <v>40.8258932292808</v>
      </c>
      <c r="K47" s="25" t="n">
        <f aca="false">K33*selfb*cfac/1000</f>
        <v>29.5544517164952</v>
      </c>
      <c r="L47" s="25" t="n">
        <f aca="false">L33*selfb*cfac/1000</f>
        <v>18.6417911681111</v>
      </c>
      <c r="M47" s="25" t="n">
        <f aca="false">M33*selfb*cfac/1000</f>
        <v>7.84506757902291</v>
      </c>
    </row>
    <row r="48" customFormat="false" ht="17.15" hidden="false" customHeight="false" outlineLevel="0" collapsed="false">
      <c r="A48" s="4" t="s">
        <v>689</v>
      </c>
      <c r="B48" s="0" t="s">
        <v>643</v>
      </c>
      <c r="F48" s="27" t="n">
        <v>0</v>
      </c>
      <c r="G48" s="19" t="n">
        <f aca="false">F48</f>
        <v>0</v>
      </c>
      <c r="H48" s="27" t="n">
        <v>0</v>
      </c>
      <c r="I48" s="27" t="n">
        <v>0</v>
      </c>
      <c r="J48" s="19" t="n">
        <f aca="false">mw_pre24</f>
        <v>513.849189155384</v>
      </c>
      <c r="K48" s="19" t="n">
        <f aca="false">mw_24</f>
        <v>852.800519878492</v>
      </c>
      <c r="L48" s="19" t="n">
        <f aca="false">mw_25</f>
        <v>1844.96080084005</v>
      </c>
      <c r="M48" s="19" t="n">
        <f aca="false">mw_9m+F33</f>
        <v>3015.29605395899</v>
      </c>
      <c r="N48" s="7" t="s">
        <v>690</v>
      </c>
    </row>
    <row r="49" customFormat="false" ht="17.15" hidden="false" customHeight="false" outlineLevel="0" collapsed="false">
      <c r="A49" s="0" t="s">
        <v>691</v>
      </c>
      <c r="B49" s="0" t="s">
        <v>74</v>
      </c>
      <c r="F49" s="25" t="n">
        <f aca="false">F48*cit_vr/1000</f>
        <v>0</v>
      </c>
      <c r="G49" s="25" t="n">
        <f aca="false">F49</f>
        <v>0</v>
      </c>
      <c r="H49" s="25" t="n">
        <f aca="false">H48*cit_vr/1000</f>
        <v>0</v>
      </c>
      <c r="I49" s="25" t="n">
        <f aca="false">I48*cit_vr/1000</f>
        <v>0</v>
      </c>
      <c r="J49" s="25" t="n">
        <f aca="false">J48*cit_vr/1000</f>
        <v>19.3137164985088</v>
      </c>
      <c r="K49" s="25" t="n">
        <f aca="false">K48*cit_vr/1000</f>
        <v>32.053660525936</v>
      </c>
      <c r="L49" s="25" t="n">
        <f aca="false">L48*cit_vr/1000</f>
        <v>69.345346086576</v>
      </c>
      <c r="M49" s="25" t="n">
        <f aca="false">M48*cit_vr/1000</f>
        <v>113.333978868313</v>
      </c>
    </row>
    <row r="50" customFormat="false" ht="17.15" hidden="false" customHeight="false" outlineLevel="0" collapsed="false">
      <c r="A50" s="5" t="s">
        <v>692</v>
      </c>
      <c r="B50" s="7" t="s">
        <v>74</v>
      </c>
      <c r="F50" s="25" t="n">
        <f aca="false">F46+F47+F49</f>
        <v>51.1225251709032</v>
      </c>
      <c r="G50" s="25" t="n">
        <f aca="false">G46+G47+G49</f>
        <v>51.1225251709032</v>
      </c>
      <c r="H50" s="25" t="n">
        <f aca="false">H46+H47+H49</f>
        <v>223.58030021651</v>
      </c>
      <c r="I50" s="25" t="n">
        <f aca="false">I46+I47+I49</f>
        <v>236.670557699361</v>
      </c>
      <c r="J50" s="25" t="n">
        <f aca="false">J46+J47+J49</f>
        <v>202.624998430159</v>
      </c>
      <c r="K50" s="25" t="n">
        <f aca="false">K46+K47+K49</f>
        <v>164.75533591885</v>
      </c>
      <c r="L50" s="25" t="n">
        <f aca="false">L46+L47+L49</f>
        <v>153.048368022607</v>
      </c>
      <c r="M50" s="25" t="n">
        <f aca="false">M46+M47+M49</f>
        <v>148.558912874649</v>
      </c>
    </row>
    <row r="51" customFormat="false" ht="17.15" hidden="false" customHeight="false" outlineLevel="0" collapsed="false">
      <c r="A51" s="4" t="s">
        <v>693</v>
      </c>
      <c r="B51" s="0" t="s">
        <v>74</v>
      </c>
      <c r="E51" s="25" t="n">
        <f aca="false">capex_9m</f>
        <v>85.824</v>
      </c>
      <c r="F51" s="25" t="n">
        <f aca="false">F50+Seg!F22</f>
        <v>54.176</v>
      </c>
      <c r="G51" s="25" t="n">
        <f aca="false">E51+F51</f>
        <v>140</v>
      </c>
      <c r="H51" s="25" t="n">
        <f aca="false">H50+Seg!H22</f>
        <v>236.561760022156</v>
      </c>
      <c r="I51" s="25" t="n">
        <f aca="false">I50+Seg!I22</f>
        <v>252.344346298214</v>
      </c>
      <c r="J51" s="25" t="n">
        <f aca="false">J50+Seg!J22</f>
        <v>220.763855050992</v>
      </c>
      <c r="K51" s="25" t="n">
        <f aca="false">K50+Seg!K22</f>
        <v>184.843981854783</v>
      </c>
      <c r="L51" s="25" t="n">
        <f aca="false">L50+Seg!L22</f>
        <v>174.808131514147</v>
      </c>
      <c r="M51" s="25" t="n">
        <f aca="false">M50+Seg!M22</f>
        <v>172.13136568898</v>
      </c>
    </row>
    <row r="52" customFormat="false" ht="17.15" hidden="false" customHeight="false" outlineLevel="0" collapsed="false">
      <c r="A52" s="4" t="s">
        <v>694</v>
      </c>
      <c r="B52" s="0" t="s">
        <v>74</v>
      </c>
      <c r="G52" s="22" t="n">
        <f aca="false">G51-capex_g</f>
        <v>0</v>
      </c>
    </row>
    <row r="53" customFormat="false" ht="17.15" hidden="false" customHeight="false" outlineLevel="0" collapsed="false">
      <c r="A53" s="4" t="s">
        <v>695</v>
      </c>
      <c r="B53" s="0" t="s">
        <v>74</v>
      </c>
      <c r="H53" s="22" t="n">
        <f aca="false">H51-cx27_A</f>
        <v>0</v>
      </c>
    </row>
    <row r="54" customFormat="false" ht="17.15" hidden="false" customHeight="false" outlineLevel="0" collapsed="false">
      <c r="A54" s="5" t="s">
        <v>696</v>
      </c>
    </row>
    <row r="55" customFormat="false" ht="17.15" hidden="false" customHeight="false" outlineLevel="0" collapsed="false">
      <c r="A55" s="4" t="s">
        <v>697</v>
      </c>
      <c r="B55" s="0" t="s">
        <v>74</v>
      </c>
      <c r="F55" s="25" t="n">
        <f aca="false">cip_0*cip_it</f>
        <v>53.6994</v>
      </c>
    </row>
    <row r="56" customFormat="false" ht="15" hidden="false" customHeight="false" outlineLevel="0" collapsed="false">
      <c r="A56" s="4" t="s">
        <v>698</v>
      </c>
      <c r="B56" s="0" t="s">
        <v>74</v>
      </c>
      <c r="F56" s="25" t="n">
        <f aca="false">cip_0*(1-cip_it)</f>
        <v>35.7996</v>
      </c>
    </row>
    <row r="57" customFormat="false" ht="17.15" hidden="false" customHeight="false" outlineLevel="0" collapsed="false">
      <c r="A57" s="0" t="s">
        <v>699</v>
      </c>
      <c r="B57" s="0" t="s">
        <v>74</v>
      </c>
      <c r="F57" s="25" t="n">
        <f aca="false">F46+F49</f>
        <v>38.3207122537407</v>
      </c>
      <c r="H57" s="25" t="n">
        <f aca="false">H46+H49</f>
        <v>170.870577076004</v>
      </c>
      <c r="I57" s="25" t="n">
        <f aca="false">I46+I49</f>
        <v>183.960834558855</v>
      </c>
      <c r="J57" s="25" t="n">
        <f aca="false">J46+J49</f>
        <v>161.799105200878</v>
      </c>
      <c r="K57" s="25" t="n">
        <f aca="false">K46+K49</f>
        <v>135.200884202355</v>
      </c>
      <c r="L57" s="25" t="n">
        <f aca="false">L46+L49</f>
        <v>134.406576854496</v>
      </c>
      <c r="M57" s="25" t="n">
        <f aca="false">M46+M49</f>
        <v>140.713845295626</v>
      </c>
    </row>
    <row r="58" customFormat="false" ht="15" hidden="false" customHeight="false" outlineLevel="0" collapsed="false">
      <c r="A58" s="4" t="s">
        <v>700</v>
      </c>
      <c r="B58" s="0" t="s">
        <v>74</v>
      </c>
      <c r="F58" s="25" t="n">
        <f aca="false">F47</f>
        <v>12.8018129171625</v>
      </c>
      <c r="H58" s="25" t="n">
        <f aca="false">H47</f>
        <v>52.7097231405057</v>
      </c>
      <c r="I58" s="25" t="n">
        <f aca="false">I47</f>
        <v>52.7097231405057</v>
      </c>
      <c r="J58" s="25" t="n">
        <f aca="false">J47</f>
        <v>40.8258932292808</v>
      </c>
      <c r="K58" s="25" t="n">
        <f aca="false">K47</f>
        <v>29.5544517164952</v>
      </c>
      <c r="L58" s="25" t="n">
        <f aca="false">L47</f>
        <v>18.6417911681111</v>
      </c>
      <c r="M58" s="25" t="n">
        <f aca="false">M47</f>
        <v>7.84506757902291</v>
      </c>
    </row>
    <row r="59" customFormat="false" ht="17.15" hidden="false" customHeight="false" outlineLevel="0" collapsed="false">
      <c r="A59" s="4" t="s">
        <v>701</v>
      </c>
      <c r="B59" s="0" t="s">
        <v>74</v>
      </c>
      <c r="F59" s="25" t="n">
        <f aca="false">$F$55/life_it*IF((0)&lt;0,0,IF((0)=0,phi_q4,IF((0)&lt;life_it,1,IF((0)=life_it,1-phi_q4,0))))+$F$57/life_it*IF((0)&lt;0,0,IF((0)=0,phi_q4,IF((0)&lt;life_it,1,IF((0)=life_it,1-phi_q4,0))))</f>
        <v>1.91708567195293</v>
      </c>
      <c r="G59" s="25" t="n">
        <f aca="false">F59</f>
        <v>1.91708567195293</v>
      </c>
      <c r="H59" s="25" t="n">
        <f aca="false">$F$55/life_it*IF((1)&lt;0,0,IF((1)=0,phi_q4,IF((1)&lt;life_it,1,IF((1)=life_it,1-phi_q4,0))))+$F$57/life_it*IF((1)&lt;0,0,IF((1)=0,phi_q4,IF((1)&lt;life_it,1,IF((1)=life_it,1-phi_q4,0))))+$H$57/life_it*IF((0)&lt;0,0,IF((0)=0,phi_0,IF((0)&lt;life_it,1,IF((0)=life_it,1-phi_0,0))))</f>
        <v>22.4562927537903</v>
      </c>
      <c r="I59" s="25" t="n">
        <f aca="false">$F$55/life_it*IF((2)&lt;0,0,IF((2)=0,phi_q4,IF((2)&lt;life_it,1,IF((2)=life_it,1-phi_q4,0))))+$F$57/life_it*IF((2)&lt;0,0,IF((2)=0,phi_q4,IF((2)&lt;life_it,1,IF((2)=life_it,1-phi_q4,0))))+$H$57/life_it*IF((1)&lt;0,0,IF((1)=0,phi_0,IF((1)&lt;life_it,1,IF((1)=life_it,1-phi_0,0))))+$I$57/life_it*IF((0)&lt;0,0,IF((0)=0,phi_0,IF((0)&lt;life_it,1,IF((0)=life_it,1-phi_0,0))))</f>
        <v>51.4801496615765</v>
      </c>
      <c r="J59" s="25" t="n">
        <f aca="false">$F$55/life_it*IF((3)&lt;0,0,IF((3)=0,phi_q4,IF((3)&lt;life_it,1,IF((3)=life_it,1-phi_q4,0))))+$F$57/life_it*IF((3)&lt;0,0,IF((3)=0,phi_q4,IF((3)&lt;life_it,1,IF((3)=life_it,1-phi_q4,0))))+$H$57/life_it*IF((2)&lt;0,0,IF((2)=0,phi_0,IF((2)&lt;life_it,1,IF((2)=life_it,1-phi_0,0))))+$I$57/life_it*IF((1)&lt;0,0,IF((1)=0,phi_0,IF((1)&lt;life_it,1,IF((1)=life_it,1-phi_0,0))))+$J$57/life_it*IF((0)&lt;0,0,IF((0)=0,phi_0,IF((0)&lt;life_it,1,IF((0)=life_it,1-phi_0,0))))</f>
        <v>81.2168833648033</v>
      </c>
      <c r="K59" s="25" t="n">
        <f aca="false">$F$55/life_it*IF((4)&lt;0,0,IF((4)=0,phi_q4,IF((4)&lt;life_it,1,IF((4)=life_it,1-phi_q4,0))))+$F$57/life_it*IF((4)&lt;0,0,IF((4)=0,phi_q4,IF((4)&lt;life_it,1,IF((4)=life_it,1-phi_q4,0))))+$H$57/life_it*IF((3)&lt;0,0,IF((3)=0,phi_0,IF((3)&lt;life_it,1,IF((3)=life_it,1-phi_0,0))))+$I$57/life_it*IF((2)&lt;0,0,IF((2)=0,phi_0,IF((2)&lt;life_it,1,IF((2)=life_it,1-phi_0,0))))+$J$57/life_it*IF((1)&lt;0,0,IF((1)=0,phi_0,IF((1)&lt;life_it,1,IF((1)=life_it,1-phi_0,0))))+$K$57/life_it*IF((0)&lt;0,0,IF((0)=0,phi_0,IF((0)&lt;life_it,1,IF((0)=life_it,1-phi_0,0))))</f>
        <v>107.075141690011</v>
      </c>
      <c r="L59" s="25" t="n">
        <f aca="false">$F$55/life_it*IF((5)&lt;0,0,IF((5)=0,phi_q4,IF((5)&lt;life_it,1,IF((5)=life_it,1-phi_q4,0))))+$F$57/life_it*IF((5)&lt;0,0,IF((5)=0,phi_q4,IF((5)&lt;life_it,1,IF((5)=life_it,1-phi_q4,0))))+$H$57/life_it*IF((4)&lt;0,0,IF((4)=0,phi_0,IF((4)&lt;life_it,1,IF((4)=life_it,1-phi_0,0))))+$I$57/life_it*IF((3)&lt;0,0,IF((3)=0,phi_0,IF((3)&lt;life_it,1,IF((3)=life_it,1-phi_0,0))))+$J$57/life_it*IF((2)&lt;0,0,IF((2)=0,phi_0,IF((2)&lt;life_it,1,IF((2)=life_it,1-phi_0,0))))+$K$57/life_it*IF((1)&lt;0,0,IF((1)=0,phi_0,IF((1)&lt;life_it,1,IF((1)=life_it,1-phi_0,0))))+$L$57/life_it*IF((0)&lt;0,0,IF((0)=0,phi_0,IF((0)&lt;life_it,1,IF((0)=life_it,1-phi_0,0))))</f>
        <v>129.57552625091</v>
      </c>
      <c r="M59" s="25" t="n">
        <f aca="false">$F$55/life_it*IF((6)&lt;0,0,IF((6)=0,phi_q4,IF((6)&lt;life_it,1,IF((6)=life_it,1-phi_q4,0))))+$F$57/life_it*IF((6)&lt;0,0,IF((6)=0,phi_q4,IF((6)&lt;life_it,1,IF((6)=life_it,1-phi_q4,0))))+$H$57/life_it*IF((5)&lt;0,0,IF((5)=0,phi_0,IF((5)&lt;life_it,1,IF((5)=life_it,1-phi_0,0))))+$I$57/life_it*IF((4)&lt;0,0,IF((4)=0,phi_0,IF((4)&lt;life_it,1,IF((4)=life_it,1-phi_0,0))))+$J$57/life_it*IF((3)&lt;0,0,IF((3)=0,phi_0,IF((3)&lt;life_it,1,IF((3)=life_it,1-phi_0,0))))+$K$57/life_it*IF((2)&lt;0,0,IF((2)=0,phi_0,IF((2)&lt;life_it,1,IF((2)=life_it,1-phi_0,0))))+$L$57/life_it*IF((1)&lt;0,0,IF((1)=0,phi_0,IF((1)&lt;life_it,1,IF((1)=life_it,1-phi_0,0))))+$M$57/life_it*IF((0)&lt;0,0,IF((0)=0,phi_0,IF((0)&lt;life_it,1,IF((0)=life_it,1-phi_0,0))))</f>
        <v>150.322339573086</v>
      </c>
    </row>
    <row r="60" customFormat="false" ht="17.15" hidden="false" customHeight="false" outlineLevel="0" collapsed="false">
      <c r="A60" s="4" t="s">
        <v>702</v>
      </c>
      <c r="B60" s="0" t="s">
        <v>74</v>
      </c>
      <c r="F60" s="25" t="n">
        <f aca="false">$F$56/life_fac*IF((0)&lt;0,0,IF((0)=0,phi_q4,IF((0)&lt;life_fac,1,IF((0)=life_fac,1-phi_q4,0))))+$F$58/life_fac*IF((0)&lt;0,0,IF((0)=0,phi_q4,IF((0)&lt;life_fac,1,IF((0)=life_fac,1-phi_q4,0))))</f>
        <v>0.303758830732266</v>
      </c>
      <c r="G60" s="25" t="n">
        <f aca="false">F60</f>
        <v>0.303758830732266</v>
      </c>
      <c r="H60" s="25" t="n">
        <f aca="false">$F$56/life_fac*IF((1)&lt;0,0,IF((1)=0,phi_q4,IF((1)&lt;life_fac,1,IF((1)=life_fac,1-phi_q4,0))))+$F$58/life_fac*IF((1)&lt;0,0,IF((1)=0,phi_q4,IF((1)&lt;life_fac,1,IF((1)=life_fac,1-phi_q4,0))))+$H$58/life_fac*IF((0)&lt;0,0,IF((0)=0,phi_0,IF((0)&lt;life_fac,1,IF((0)=life_fac,1-phi_0,0))))</f>
        <v>3.08894218511445</v>
      </c>
      <c r="I60" s="25" t="n">
        <f aca="false">$F$56/life_fac*IF((2)&lt;0,0,IF((2)=0,phi_q4,IF((2)&lt;life_fac,1,IF((2)=life_fac,1-phi_q4,0))))+$F$58/life_fac*IF((2)&lt;0,0,IF((2)=0,phi_q4,IF((2)&lt;life_fac,1,IF((2)=life_fac,1-phi_q4,0))))+$H$58/life_fac*IF((1)&lt;0,0,IF((1)=0,phi_0,IF((1)&lt;life_fac,1,IF((1)=life_fac,1-phi_0,0))))+$I$58/life_fac*IF((0)&lt;0,0,IF((0)=0,phi_0,IF((0)&lt;life_fac,1,IF((0)=life_fac,1-phi_0,0))))</f>
        <v>5.72442834213973</v>
      </c>
      <c r="J60" s="25" t="n">
        <f aca="false">$F$56/life_fac*IF((3)&lt;0,0,IF((3)=0,phi_q4,IF((3)&lt;life_fac,1,IF((3)=life_fac,1-phi_q4,0))))+$F$58/life_fac*IF((3)&lt;0,0,IF((3)=0,phi_q4,IF((3)&lt;life_fac,1,IF((3)=life_fac,1-phi_q4,0))))+$H$58/life_fac*IF((2)&lt;0,0,IF((2)=0,phi_0,IF((2)&lt;life_fac,1,IF((2)=life_fac,1-phi_0,0))))+$I$58/life_fac*IF((1)&lt;0,0,IF((1)=0,phi_0,IF((1)&lt;life_fac,1,IF((1)=life_fac,1-phi_0,0))))+$J$58/life_fac*IF((0)&lt;0,0,IF((0)=0,phi_0,IF((0)&lt;life_fac,1,IF((0)=life_fac,1-phi_0,0))))</f>
        <v>8.2113666252747</v>
      </c>
      <c r="K60" s="25" t="n">
        <f aca="false">$F$56/life_fac*IF((4)&lt;0,0,IF((4)=0,phi_q4,IF((4)&lt;life_fac,1,IF((4)=life_fac,1-phi_q4,0))))+$F$58/life_fac*IF((4)&lt;0,0,IF((4)=0,phi_q4,IF((4)&lt;life_fac,1,IF((4)=life_fac,1-phi_q4,0))))+$H$58/life_fac*IF((3)&lt;0,0,IF((3)=0,phi_0,IF((3)&lt;life_fac,1,IF((3)=life_fac,1-phi_0,0))))+$I$58/life_fac*IF((2)&lt;0,0,IF((2)=0,phi_0,IF((2)&lt;life_fac,1,IF((2)=life_fac,1-phi_0,0))))+$J$58/life_fac*IF((1)&lt;0,0,IF((1)=0,phi_0,IF((1)&lt;life_fac,1,IF((1)=life_fac,1-phi_0,0))))+$K$58/life_fac*IF((0)&lt;0,0,IF((0)=0,phi_0,IF((0)&lt;life_fac,1,IF((0)=life_fac,1-phi_0,0))))</f>
        <v>10.1117682678289</v>
      </c>
      <c r="L60" s="25" t="n">
        <f aca="false">$F$56/life_fac*IF((5)&lt;0,0,IF((5)=0,phi_q4,IF((5)&lt;life_fac,1,IF((5)=life_fac,1-phi_q4,0))))+$F$58/life_fac*IF((5)&lt;0,0,IF((5)=0,phi_q4,IF((5)&lt;life_fac,1,IF((5)=life_fac,1-phi_q4,0))))+$H$58/life_fac*IF((4)&lt;0,0,IF((4)=0,phi_0,IF((4)&lt;life_fac,1,IF((4)=life_fac,1-phi_0,0))))+$I$58/life_fac*IF((3)&lt;0,0,IF((3)=0,phi_0,IF((3)&lt;life_fac,1,IF((3)=life_fac,1-phi_0,0))))+$J$58/life_fac*IF((2)&lt;0,0,IF((2)=0,phi_0,IF((2)&lt;life_fac,1,IF((2)=life_fac,1-phi_0,0))))+$K$58/life_fac*IF((1)&lt;0,0,IF((1)=0,phi_0,IF((1)&lt;life_fac,1,IF((1)=life_fac,1-phi_0,0))))+$L$58/life_fac*IF((0)&lt;0,0,IF((0)=0,phi_0,IF((0)&lt;life_fac,1,IF((0)=life_fac,1-phi_0,0))))</f>
        <v>11.4530825967989</v>
      </c>
      <c r="M60" s="25" t="n">
        <f aca="false">$F$56/life_fac*IF((6)&lt;0,0,IF((6)=0,phi_q4,IF((6)&lt;life_fac,1,IF((6)=life_fac,1-phi_q4,0))))+$F$58/life_fac*IF((6)&lt;0,0,IF((6)=0,phi_q4,IF((6)&lt;life_fac,1,IF((6)=life_fac,1-phi_q4,0))))+$H$58/life_fac*IF((5)&lt;0,0,IF((5)=0,phi_0,IF((5)&lt;life_fac,1,IF((5)=life_fac,1-phi_0,0))))+$I$58/life_fac*IF((4)&lt;0,0,IF((4)=0,phi_0,IF((4)&lt;life_fac,1,IF((4)=life_fac,1-phi_0,0))))+$J$58/life_fac*IF((3)&lt;0,0,IF((3)=0,phi_0,IF((3)&lt;life_fac,1,IF((3)=life_fac,1-phi_0,0))))+$K$58/life_fac*IF((2)&lt;0,0,IF((2)=0,phi_0,IF((2)&lt;life_fac,1,IF((2)=life_fac,1-phi_0,0))))+$L$58/life_fac*IF((1)&lt;0,0,IF((1)=0,phi_0,IF((1)&lt;life_fac,1,IF((1)=life_fac,1-phi_0,0))))+$M$58/life_fac*IF((0)&lt;0,0,IF((0)=0,phi_0,IF((0)&lt;life_fac,1,IF((0)=life_fac,1-phi_0,0))))</f>
        <v>12.2502131103408</v>
      </c>
    </row>
    <row r="61" customFormat="false" ht="17.15" hidden="false" customHeight="false" outlineLevel="0" collapsed="false">
      <c r="A61" s="2" t="s">
        <v>703</v>
      </c>
      <c r="B61" s="7" t="s">
        <v>74</v>
      </c>
      <c r="F61" s="25" t="n">
        <f aca="false">F59+F60</f>
        <v>2.2208445026852</v>
      </c>
      <c r="G61" s="25" t="n">
        <f aca="false">G59+G60</f>
        <v>2.2208445026852</v>
      </c>
      <c r="H61" s="25" t="n">
        <f aca="false">H59+H60</f>
        <v>25.5452349389048</v>
      </c>
      <c r="I61" s="25" t="n">
        <f aca="false">I59+I60</f>
        <v>57.2045780037162</v>
      </c>
      <c r="J61" s="25" t="n">
        <f aca="false">J59+J60</f>
        <v>89.428249990078</v>
      </c>
      <c r="K61" s="25" t="n">
        <f aca="false">K59+K60</f>
        <v>117.18690995784</v>
      </c>
      <c r="L61" s="25" t="n">
        <f aca="false">L59+L60</f>
        <v>141.028608847708</v>
      </c>
      <c r="M61" s="25" t="n">
        <f aca="false">M59+M60</f>
        <v>162.572552683427</v>
      </c>
    </row>
    <row r="62" customFormat="false" ht="17.15" hidden="false" customHeight="false" outlineLevel="0" collapsed="false">
      <c r="A62" s="5" t="s">
        <v>704</v>
      </c>
    </row>
    <row r="63" customFormat="false" ht="17.15" hidden="false" customHeight="false" outlineLevel="0" collapsed="false">
      <c r="A63" s="4" t="s">
        <v>705</v>
      </c>
      <c r="B63" s="0" t="s">
        <v>74</v>
      </c>
      <c r="F63" s="25" t="n">
        <f aca="false">((F39*opx_h+F40*opx_b2+F41*opx_b3+F42*opx_vr)-base_tot*opx0)/1000*0.25</f>
        <v>0.757779850261111</v>
      </c>
      <c r="G63" s="25" t="n">
        <f aca="false">F63</f>
        <v>0.757779850261111</v>
      </c>
      <c r="H63" s="25" t="n">
        <f aca="false">((H39*opx_h+H40*opx_b2+H41*opx_b3+H42*opx_vr)-base_tot*opx0)/1000*1</f>
        <v>11.0497429303467</v>
      </c>
      <c r="I63" s="25" t="n">
        <f aca="false">((I39*opx_h+I40*opx_b2+I41*opx_b3+I42*opx_vr)-base_tot*opx0)/1000*1</f>
        <v>21.1603990502251</v>
      </c>
      <c r="J63" s="25" t="n">
        <f aca="false">((J39*opx_h+J40*opx_b2+J41*opx_b3+J42*opx_vr)-base_tot*opx0)/1000*1</f>
        <v>30.2516473198271</v>
      </c>
      <c r="K63" s="25" t="n">
        <f aca="false">((K39*opx_h+K40*opx_b2+K41*opx_b3+K42*opx_vr)-base_tot*opx0)/1000*1</f>
        <v>37.0923056063208</v>
      </c>
      <c r="L63" s="25" t="n">
        <f aca="false">((L39*opx_h+L40*opx_b2+L41*opx_b3+L42*opx_vr)-base_tot*opx0)/1000*1</f>
        <v>41.7767672769826</v>
      </c>
      <c r="M63" s="25" t="n">
        <f aca="false">((M39*opx_h+M40*opx_b2+M41*opx_b3+M42*opx_vr)-base_tot*opx0)/1000*1</f>
        <v>44.351172814656</v>
      </c>
    </row>
    <row r="64" customFormat="false" ht="17.15" hidden="false" customHeight="false" outlineLevel="0" collapsed="false">
      <c r="A64" s="4" t="s">
        <v>706</v>
      </c>
      <c r="B64" s="0" t="s">
        <v>74</v>
      </c>
      <c r="F64" s="28" t="n">
        <v>0</v>
      </c>
      <c r="G64" s="25" t="n">
        <f aca="false">F64</f>
        <v>0</v>
      </c>
      <c r="H64" s="25" t="n">
        <f aca="false">rent_l/3</f>
        <v>0</v>
      </c>
      <c r="I64" s="25" t="n">
        <f aca="false">rent_l*2/3</f>
        <v>0</v>
      </c>
      <c r="J64" s="25" t="n">
        <f aca="false">rent_l</f>
        <v>0</v>
      </c>
      <c r="K64" s="25" t="n">
        <f aca="false">rent_l</f>
        <v>0</v>
      </c>
      <c r="L64" s="25" t="n">
        <f aca="false">rent_l</f>
        <v>0</v>
      </c>
      <c r="M64" s="25" t="n">
        <f aca="false">rent_l</f>
        <v>0</v>
      </c>
      <c r="N64" s="7" t="s">
        <v>707</v>
      </c>
    </row>
    <row r="65" customFormat="false" ht="17.15" hidden="false" customHeight="false" outlineLevel="0" collapsed="false">
      <c r="A65" s="2" t="s">
        <v>708</v>
      </c>
      <c r="B65" s="7" t="s">
        <v>74</v>
      </c>
      <c r="F65" s="25" t="n">
        <f aca="false">F63+F64+F61</f>
        <v>2.97862435294631</v>
      </c>
      <c r="G65" s="25" t="n">
        <f aca="false">G63+G64+G61</f>
        <v>2.97862435294631</v>
      </c>
      <c r="H65" s="25" t="n">
        <f aca="false">H63+H64+H61</f>
        <v>36.5949778692515</v>
      </c>
      <c r="I65" s="25" t="n">
        <f aca="false">I63+I64+I61</f>
        <v>78.3649770539413</v>
      </c>
      <c r="J65" s="25" t="n">
        <f aca="false">J63+J64+J61</f>
        <v>119.679897309905</v>
      </c>
      <c r="K65" s="25" t="n">
        <f aca="false">K63+K64+K61</f>
        <v>154.279215564161</v>
      </c>
      <c r="L65" s="25" t="n">
        <f aca="false">L63+L64+L61</f>
        <v>182.805376124691</v>
      </c>
      <c r="M65" s="25" t="n">
        <f aca="false">M63+M64+M61</f>
        <v>206.923725498083</v>
      </c>
    </row>
    <row r="66" customFormat="false" ht="17.15" hidden="false" customHeight="false" outlineLevel="0" collapsed="false">
      <c r="A66" s="5" t="s">
        <v>709</v>
      </c>
    </row>
    <row r="67" customFormat="false" ht="17.15" hidden="false" customHeight="false" outlineLevel="0" collapsed="false">
      <c r="A67" s="4" t="s">
        <v>710</v>
      </c>
      <c r="B67" s="0" t="s">
        <v>643</v>
      </c>
      <c r="F67" s="27" t="n">
        <v>0</v>
      </c>
      <c r="G67" s="19" t="n">
        <f aca="false">F67</f>
        <v>0</v>
      </c>
      <c r="H67" s="19" t="n">
        <f aca="false">0+mid*H48</f>
        <v>0</v>
      </c>
      <c r="I67" s="19" t="n">
        <f aca="false">H48+mid*I48</f>
        <v>0</v>
      </c>
      <c r="J67" s="19" t="n">
        <f aca="false">H48+I48+mid*J48</f>
        <v>256.924594577692</v>
      </c>
      <c r="K67" s="19" t="n">
        <f aca="false">H48+I48+J48+mid*K48</f>
        <v>940.24944909463</v>
      </c>
      <c r="L67" s="19" t="n">
        <f aca="false">H48+I48+J48+K48+mid*L48</f>
        <v>2289.1301094539</v>
      </c>
      <c r="M67" s="19" t="n">
        <f aca="false">H48+I48+J48+K48+L48</f>
        <v>3211.61050987392</v>
      </c>
      <c r="N67" s="7" t="s">
        <v>711</v>
      </c>
    </row>
    <row r="68" customFormat="false" ht="17.15" hidden="false" customHeight="false" outlineLevel="0" collapsed="false">
      <c r="A68" s="4" t="s">
        <v>712</v>
      </c>
      <c r="B68" s="0" t="s">
        <v>74</v>
      </c>
      <c r="F68" s="25" t="n">
        <f aca="false">(da_base-MIN(da_base*cip_it,F67*dpi0/1000))*0.25</f>
        <v>7.154</v>
      </c>
      <c r="G68" s="25" t="n">
        <f aca="false">F68</f>
        <v>7.154</v>
      </c>
      <c r="H68" s="25" t="n">
        <f aca="false">(da_base-MIN(da_base*cip_it,H67*dpi0/1000))*1</f>
        <v>28.616</v>
      </c>
      <c r="I68" s="25" t="n">
        <f aca="false">(da_base-MIN(da_base*cip_it,I67*dpi0/1000))*1</f>
        <v>28.616</v>
      </c>
      <c r="J68" s="25" t="n">
        <f aca="false">(da_base-MIN(da_base*cip_it,J67*dpi0/1000))*1</f>
        <v>27.5230336144847</v>
      </c>
      <c r="K68" s="25" t="n">
        <f aca="false">(da_base-MIN(da_base*cip_it,K67*dpi0/1000))*1</f>
        <v>24.6161453206577</v>
      </c>
      <c r="L68" s="25" t="n">
        <f aca="false">(da_base-MIN(da_base*cip_it,L67*dpi0/1000))*1</f>
        <v>18.8779588995888</v>
      </c>
      <c r="M68" s="25" t="n">
        <f aca="false">(da_base-MIN(da_base*cip_it,M67*dpi0/1000))*1</f>
        <v>14.9536943868316</v>
      </c>
    </row>
    <row r="69" customFormat="false" ht="17.15" hidden="false" customHeight="false" outlineLevel="0" collapsed="false">
      <c r="A69" s="5" t="s">
        <v>713</v>
      </c>
    </row>
    <row r="70" customFormat="false" ht="17.15" hidden="false" customHeight="false" outlineLevel="0" collapsed="false">
      <c r="A70" s="4" t="s">
        <v>714</v>
      </c>
      <c r="B70" s="0" t="s">
        <v>74</v>
      </c>
      <c r="F70" s="25" t="n">
        <f aca="false">((F39*he_h+F40*he_b2+F41*he_b3+F42*he_vr)-base_tot*he0)/1000*0.25</f>
        <v>4.15437383018245</v>
      </c>
      <c r="G70" s="25" t="n">
        <f aca="false">F70</f>
        <v>4.15437383018245</v>
      </c>
      <c r="H70" s="25" t="n">
        <f aca="false">((H39*he_h+H40*he_b2+H41*he_b3+H42*he_vr)-base_tot*he0)/1000*1</f>
        <v>61.5144117341028</v>
      </c>
      <c r="I70" s="25" t="n">
        <f aca="false">((I39*he_h+I40*he_b2+I41*he_b3+I42*he_vr)-base_tot*he0)/1000*1</f>
        <v>119.711711647207</v>
      </c>
      <c r="J70" s="25" t="n">
        <f aca="false">((J39*he_h+J40*he_b2+J41*he_b3+J42*he_vr)-base_tot*he0)/1000*1</f>
        <v>172.802243511487</v>
      </c>
      <c r="K70" s="25" t="n">
        <f aca="false">((K39*he_h+K40*he_b2+K41*he_b3+K42*he_vr)-base_tot*he0)/1000*1</f>
        <v>212.749913618141</v>
      </c>
      <c r="L70" s="25" t="n">
        <f aca="false">((L39*he_h+L40*he_b2+L41*he_b3+L42*he_vr)-base_tot*he0)/1000*1</f>
        <v>240.10595474891</v>
      </c>
      <c r="M70" s="25" t="n">
        <f aca="false">((M39*he_h+M40*he_b2+M41*he_b3+M42*he_vr)-base_tot*he0)/1000*1</f>
        <v>255.139815355977</v>
      </c>
      <c r="N70" s="4" t="s">
        <v>715</v>
      </c>
    </row>
    <row r="71" customFormat="false" ht="17.15" hidden="false" customHeight="false" outlineLevel="0" collapsed="false">
      <c r="A71" s="4" t="s">
        <v>716</v>
      </c>
      <c r="B71" s="0" t="s">
        <v>116</v>
      </c>
      <c r="F71" s="24" t="n">
        <f aca="false">F70/F65</f>
        <v>1.39472902182954</v>
      </c>
      <c r="H71" s="24" t="n">
        <f aca="false">H70/H65</f>
        <v>1.68095228678331</v>
      </c>
      <c r="I71" s="24" t="n">
        <f aca="false">I70/I65</f>
        <v>1.52761751674865</v>
      </c>
      <c r="J71" s="24" t="n">
        <f aca="false">J70/J65</f>
        <v>1.44387025219469</v>
      </c>
      <c r="K71" s="24" t="n">
        <f aca="false">K70/K65</f>
        <v>1.37899271032826</v>
      </c>
      <c r="L71" s="24" t="n">
        <f aca="false">L70/L65</f>
        <v>1.31345127719403</v>
      </c>
      <c r="M71" s="24" t="n">
        <f aca="false">M70/M65</f>
        <v>1.23301383029826</v>
      </c>
      <c r="N71" s="4" t="s">
        <v>717</v>
      </c>
    </row>
    <row r="73" customFormat="false" ht="17.15" hidden="false" customHeight="false" outlineLevel="0" collapsed="false">
      <c r="A73" s="26" t="s">
        <v>718</v>
      </c>
    </row>
    <row r="74" customFormat="false" ht="15" hidden="false" customHeight="false" outlineLevel="0" collapsed="false">
      <c r="A74" s="3" t="s">
        <v>43</v>
      </c>
      <c r="B74" s="3" t="s">
        <v>44</v>
      </c>
      <c r="C74" s="21" t="s">
        <v>660</v>
      </c>
      <c r="D74" s="21" t="s">
        <v>661</v>
      </c>
      <c r="E74" s="21" t="s">
        <v>662</v>
      </c>
      <c r="F74" s="21" t="s">
        <v>663</v>
      </c>
      <c r="G74" s="21" t="s">
        <v>664</v>
      </c>
      <c r="H74" s="21" t="s">
        <v>665</v>
      </c>
      <c r="I74" s="21" t="s">
        <v>666</v>
      </c>
      <c r="J74" s="21" t="s">
        <v>667</v>
      </c>
      <c r="K74" s="21" t="s">
        <v>668</v>
      </c>
      <c r="L74" s="21" t="s">
        <v>669</v>
      </c>
      <c r="M74" s="21" t="s">
        <v>670</v>
      </c>
      <c r="N74" s="3" t="s">
        <v>50</v>
      </c>
    </row>
    <row r="75" customFormat="false" ht="17.15" hidden="false" customHeight="false" outlineLevel="0" collapsed="false">
      <c r="A75" s="5" t="s">
        <v>671</v>
      </c>
    </row>
    <row r="76" customFormat="false" ht="17.15" hidden="false" customHeight="false" outlineLevel="0" collapsed="false">
      <c r="A76" s="4" t="s">
        <v>672</v>
      </c>
      <c r="B76" s="0" t="s">
        <v>643</v>
      </c>
      <c r="F76" s="19" t="n">
        <f aca="false">(capex_g-capex_9m-Seg!F43)/pmw_26*1000</f>
        <v>1188.71005312805</v>
      </c>
      <c r="G76" s="19" t="n">
        <f aca="false">F76</f>
        <v>1188.71005312805</v>
      </c>
      <c r="H76" s="19" t="n">
        <f aca="false">(cx27_B-Seg!H43)/pmw_27*1000</f>
        <v>4225.6372291173</v>
      </c>
      <c r="I76" s="19" t="n">
        <f aca="false">H76*a28</f>
        <v>4225.6372291173</v>
      </c>
      <c r="J76" s="19" t="n">
        <f aca="false">$I$76+(g_tv*I81-$I$76)*MIN(1,(2029-2028)/conv_mw)</f>
        <v>3279.31427950348</v>
      </c>
      <c r="K76" s="19" t="n">
        <f aca="false">$I$76+(g_tv*J81-$I$76)*MIN(1,(2030-2028)/conv_mw)</f>
        <v>2382.18104408222</v>
      </c>
      <c r="L76" s="19" t="n">
        <f aca="false">$I$76+(g_tv*K81-$I$76)*MIN(1,(2031-2028)/conv_mw)</f>
        <v>1514.05202505652</v>
      </c>
      <c r="M76" s="19" t="n">
        <f aca="false">$I$76+(g_tv*L81-$I$76)*MIN(1,(2032-2028)/conv_mw)</f>
        <v>655.611851121292</v>
      </c>
      <c r="N76" s="7" t="s">
        <v>673</v>
      </c>
    </row>
    <row r="77" customFormat="false" ht="17.15" hidden="false" customHeight="false" outlineLevel="0" collapsed="false">
      <c r="A77" s="4" t="s">
        <v>674</v>
      </c>
      <c r="B77" s="0" t="s">
        <v>643</v>
      </c>
      <c r="E77" s="19" t="n">
        <f aca="false">mw_pre24+mw_24</f>
        <v>1366.64970903388</v>
      </c>
      <c r="F77" s="19" t="n">
        <f aca="false">E77+F76*0</f>
        <v>1366.64970903388</v>
      </c>
      <c r="G77" s="19" t="n">
        <f aca="false">F77</f>
        <v>1366.64970903388</v>
      </c>
      <c r="H77" s="19" t="n">
        <f aca="false">F77+H76*0</f>
        <v>1366.64970903388</v>
      </c>
      <c r="I77" s="19" t="n">
        <f aca="false">H77+I76*0</f>
        <v>1366.64970903388</v>
      </c>
      <c r="J77" s="19" t="n">
        <f aca="false">I77+J76*0</f>
        <v>1366.64970903388</v>
      </c>
      <c r="K77" s="19" t="n">
        <f aca="false">J77+K76*0</f>
        <v>1366.64970903388</v>
      </c>
      <c r="L77" s="19" t="n">
        <f aca="false">K77+L76*0</f>
        <v>1366.64970903388</v>
      </c>
      <c r="M77" s="19" t="n">
        <f aca="false">L77+M76*0</f>
        <v>1366.64970903388</v>
      </c>
    </row>
    <row r="78" customFormat="false" ht="17.15" hidden="false" customHeight="false" outlineLevel="0" collapsed="false">
      <c r="A78" s="4" t="s">
        <v>675</v>
      </c>
      <c r="B78" s="0" t="s">
        <v>643</v>
      </c>
      <c r="E78" s="19" t="n">
        <f aca="false">mw_25</f>
        <v>1844.96080084005</v>
      </c>
      <c r="F78" s="19" t="n">
        <f aca="false">E78+F76*0</f>
        <v>1844.96080084005</v>
      </c>
      <c r="G78" s="19" t="n">
        <f aca="false">F78</f>
        <v>1844.96080084005</v>
      </c>
      <c r="H78" s="19" t="n">
        <f aca="false">F78+H76*0</f>
        <v>1844.96080084005</v>
      </c>
      <c r="I78" s="19" t="n">
        <f aca="false">H78+I76*0</f>
        <v>1844.96080084005</v>
      </c>
      <c r="J78" s="19" t="n">
        <f aca="false">I78+J76*0</f>
        <v>1844.96080084005</v>
      </c>
      <c r="K78" s="19" t="n">
        <f aca="false">J78+K76*0</f>
        <v>1844.96080084005</v>
      </c>
      <c r="L78" s="19" t="n">
        <f aca="false">K78+L76*0</f>
        <v>1844.96080084005</v>
      </c>
      <c r="M78" s="19" t="n">
        <f aca="false">L78+M76*0</f>
        <v>1844.96080084005</v>
      </c>
    </row>
    <row r="79" customFormat="false" ht="17.15" hidden="false" customHeight="false" outlineLevel="0" collapsed="false">
      <c r="A79" s="4" t="s">
        <v>676</v>
      </c>
      <c r="B79" s="0" t="s">
        <v>643</v>
      </c>
      <c r="E79" s="19" t="n">
        <f aca="false">mw_9m</f>
        <v>1826.58600083094</v>
      </c>
      <c r="F79" s="19" t="n">
        <f aca="false">E79+F76*am_26</f>
        <v>3015.29605395899</v>
      </c>
      <c r="G79" s="19" t="n">
        <f aca="false">F79</f>
        <v>3015.29605395899</v>
      </c>
      <c r="H79" s="19" t="n">
        <f aca="false">F79+H76*am_27</f>
        <v>5128.11466851764</v>
      </c>
      <c r="I79" s="19" t="n">
        <f aca="false">H79+I76*(1-am_28)</f>
        <v>5128.11466851764</v>
      </c>
      <c r="J79" s="19" t="n">
        <f aca="false">I79+J76*(1-am_28)</f>
        <v>5128.11466851764</v>
      </c>
      <c r="K79" s="19" t="n">
        <f aca="false">J79+K76*(1-am_28)</f>
        <v>5128.11466851764</v>
      </c>
      <c r="L79" s="19" t="n">
        <f aca="false">K79+L76*(1-am_28)</f>
        <v>5128.11466851764</v>
      </c>
      <c r="M79" s="19" t="n">
        <f aca="false">L79+M76*(1-am_28)</f>
        <v>5128.11466851764</v>
      </c>
    </row>
    <row r="80" customFormat="false" ht="17.15" hidden="false" customHeight="false" outlineLevel="0" collapsed="false">
      <c r="A80" s="4" t="s">
        <v>677</v>
      </c>
      <c r="B80" s="0" t="s">
        <v>643</v>
      </c>
      <c r="E80" s="27" t="n">
        <v>0</v>
      </c>
      <c r="F80" s="19" t="n">
        <f aca="false">E80+F76*(1-am_26)</f>
        <v>0</v>
      </c>
      <c r="G80" s="19" t="n">
        <f aca="false">F80</f>
        <v>0</v>
      </c>
      <c r="H80" s="19" t="n">
        <f aca="false">F80+H76*(1-am_27)</f>
        <v>2112.81861455865</v>
      </c>
      <c r="I80" s="19" t="n">
        <f aca="false">H80+I76*am_28</f>
        <v>6338.45584367595</v>
      </c>
      <c r="J80" s="19" t="n">
        <f aca="false">I80+J76*am_28</f>
        <v>9617.77012317943</v>
      </c>
      <c r="K80" s="19" t="n">
        <f aca="false">J80+K76*am_28</f>
        <v>11999.9511672616</v>
      </c>
      <c r="L80" s="19" t="n">
        <f aca="false">K80+L76*am_28</f>
        <v>13514.0031923182</v>
      </c>
      <c r="M80" s="19" t="n">
        <f aca="false">L80+M76*am_28</f>
        <v>14169.6150434395</v>
      </c>
    </row>
    <row r="81" customFormat="false" ht="17.15" hidden="false" customHeight="false" outlineLevel="0" collapsed="false">
      <c r="A81" s="4" t="s">
        <v>678</v>
      </c>
      <c r="B81" s="0" t="s">
        <v>643</v>
      </c>
      <c r="E81" s="19" t="n">
        <f aca="false">E77+E78+E79+E80</f>
        <v>5038.19651070486</v>
      </c>
      <c r="F81" s="19" t="n">
        <f aca="false">F77+F78+F79+F80</f>
        <v>6226.90656383291</v>
      </c>
      <c r="G81" s="19" t="n">
        <f aca="false">G77+G78+G79+G80</f>
        <v>6226.90656383291</v>
      </c>
      <c r="H81" s="19" t="n">
        <f aca="false">H77+H78+H79+H80</f>
        <v>10452.5437929502</v>
      </c>
      <c r="I81" s="19" t="n">
        <f aca="false">I77+I78+I79+I80</f>
        <v>14678.1810220675</v>
      </c>
      <c r="J81" s="19" t="n">
        <f aca="false">J77+J78+J79+J80</f>
        <v>17957.495301571</v>
      </c>
      <c r="K81" s="19" t="n">
        <f aca="false">K77+K78+K79+K80</f>
        <v>20339.6763456532</v>
      </c>
      <c r="L81" s="19" t="n">
        <f aca="false">L77+L78+L79+L80</f>
        <v>21853.7283707097</v>
      </c>
      <c r="M81" s="19" t="n">
        <f aca="false">M77+M78+M79+M80</f>
        <v>22509.340221831</v>
      </c>
    </row>
    <row r="82" customFormat="false" ht="17.15" hidden="false" customHeight="false" outlineLevel="0" collapsed="false">
      <c r="A82" s="4" t="s">
        <v>679</v>
      </c>
      <c r="B82" s="0" t="s">
        <v>643</v>
      </c>
      <c r="F82" s="19" t="n">
        <f aca="false">(base_h+F77)/2</f>
        <v>1366.64970903388</v>
      </c>
      <c r="H82" s="19" t="n">
        <f aca="false">(F77+H77)/2</f>
        <v>1366.64970903388</v>
      </c>
      <c r="I82" s="19" t="n">
        <f aca="false">(H77+I77)/2</f>
        <v>1366.64970903388</v>
      </c>
      <c r="J82" s="19" t="n">
        <f aca="false">(I77+J77)/2</f>
        <v>1366.64970903388</v>
      </c>
      <c r="K82" s="19" t="n">
        <f aca="false">(J77+K77)/2</f>
        <v>1366.64970903388</v>
      </c>
      <c r="L82" s="19" t="n">
        <f aca="false">(K77+L77)/2</f>
        <v>1366.64970903388</v>
      </c>
      <c r="M82" s="19" t="n">
        <f aca="false">(L77+M77)/2</f>
        <v>1366.64970903388</v>
      </c>
      <c r="N82" s="7" t="s">
        <v>680</v>
      </c>
    </row>
    <row r="83" customFormat="false" ht="17.15" hidden="false" customHeight="false" outlineLevel="0" collapsed="false">
      <c r="A83" s="4" t="s">
        <v>681</v>
      </c>
      <c r="B83" s="0" t="s">
        <v>643</v>
      </c>
      <c r="F83" s="19" t="n">
        <f aca="false">(base_b2+F78)/2</f>
        <v>1821.78279732599</v>
      </c>
      <c r="H83" s="19" t="n">
        <f aca="false">(F78+H78)/2</f>
        <v>1844.96080084005</v>
      </c>
      <c r="I83" s="19" t="n">
        <f aca="false">(H78+I78)/2</f>
        <v>1844.96080084005</v>
      </c>
      <c r="J83" s="19" t="n">
        <f aca="false">(I78+J78)/2</f>
        <v>1844.96080084005</v>
      </c>
      <c r="K83" s="19" t="n">
        <f aca="false">(J78+K78)/2</f>
        <v>1844.96080084005</v>
      </c>
      <c r="L83" s="19" t="n">
        <f aca="false">(K78+L78)/2</f>
        <v>1844.96080084005</v>
      </c>
      <c r="M83" s="19" t="n">
        <f aca="false">(L78+M78)/2</f>
        <v>1844.96080084005</v>
      </c>
    </row>
    <row r="84" customFormat="false" ht="17.15" hidden="false" customHeight="false" outlineLevel="0" collapsed="false">
      <c r="A84" s="4" t="s">
        <v>682</v>
      </c>
      <c r="B84" s="0" t="s">
        <v>643</v>
      </c>
      <c r="F84" s="19" t="n">
        <f aca="false">(base_b3+F79)/2</f>
        <v>1507.64802697949</v>
      </c>
      <c r="H84" s="19" t="n">
        <f aca="false">(F79+H79)/2</f>
        <v>4071.70536123831</v>
      </c>
      <c r="I84" s="19" t="n">
        <f aca="false">(H79+I79)/2</f>
        <v>5128.11466851764</v>
      </c>
      <c r="J84" s="19" t="n">
        <f aca="false">(I79+J79)/2</f>
        <v>5128.11466851764</v>
      </c>
      <c r="K84" s="19" t="n">
        <f aca="false">(J79+K79)/2</f>
        <v>5128.11466851764</v>
      </c>
      <c r="L84" s="19" t="n">
        <f aca="false">(K79+L79)/2</f>
        <v>5128.11466851764</v>
      </c>
      <c r="M84" s="19" t="n">
        <f aca="false">(L79+M79)/2</f>
        <v>5128.11466851764</v>
      </c>
    </row>
    <row r="85" customFormat="false" ht="17.15" hidden="false" customHeight="false" outlineLevel="0" collapsed="false">
      <c r="A85" s="4" t="s">
        <v>683</v>
      </c>
      <c r="B85" s="0" t="s">
        <v>643</v>
      </c>
      <c r="F85" s="19" t="n">
        <f aca="false">(0+F80)/2</f>
        <v>0</v>
      </c>
      <c r="H85" s="19" t="n">
        <f aca="false">(F80+H80)/2</f>
        <v>1056.40930727933</v>
      </c>
      <c r="I85" s="19" t="n">
        <f aca="false">(H80+I80)/2</f>
        <v>4225.6372291173</v>
      </c>
      <c r="J85" s="19" t="n">
        <f aca="false">(I80+J80)/2</f>
        <v>7978.11298342769</v>
      </c>
      <c r="K85" s="19" t="n">
        <f aca="false">(J80+K80)/2</f>
        <v>10808.8606452205</v>
      </c>
      <c r="L85" s="19" t="n">
        <f aca="false">(K80+L80)/2</f>
        <v>12756.9771797899</v>
      </c>
      <c r="M85" s="19" t="n">
        <f aca="false">(L80+M80)/2</f>
        <v>13841.8091178788</v>
      </c>
    </row>
    <row r="86" customFormat="false" ht="17.15" hidden="false" customHeight="false" outlineLevel="0" collapsed="false">
      <c r="A86" s="4" t="s">
        <v>684</v>
      </c>
      <c r="B86" s="0" t="s">
        <v>643</v>
      </c>
      <c r="F86" s="19" t="n">
        <f aca="false">F82+F83+F84+F85</f>
        <v>4696.08053333936</v>
      </c>
      <c r="H86" s="19" t="n">
        <f aca="false">H82+H83+H84+H85</f>
        <v>8339.72517839156</v>
      </c>
      <c r="I86" s="19" t="n">
        <f aca="false">I82+I83+I84+I85</f>
        <v>12565.3624075089</v>
      </c>
      <c r="J86" s="19" t="n">
        <f aca="false">J82+J83+J84+J85</f>
        <v>16317.8381618193</v>
      </c>
      <c r="K86" s="19" t="n">
        <f aca="false">K82+K83+K84+K85</f>
        <v>19148.5858236121</v>
      </c>
      <c r="L86" s="19" t="n">
        <f aca="false">L82+L83+L84+L85</f>
        <v>21096.7023581815</v>
      </c>
      <c r="M86" s="19" t="n">
        <f aca="false">M82+M83+M84+M85</f>
        <v>22181.5342962704</v>
      </c>
    </row>
    <row r="87" customFormat="false" ht="17.15" hidden="false" customHeight="false" outlineLevel="0" collapsed="false">
      <c r="A87" s="4" t="s">
        <v>685</v>
      </c>
      <c r="B87" s="0" t="s">
        <v>643</v>
      </c>
      <c r="F87" s="19" t="n">
        <f aca="false">F86-base_tot</f>
        <v>1530.82603049355</v>
      </c>
      <c r="H87" s="19" t="n">
        <f aca="false">H86-base_tot</f>
        <v>5174.47067554575</v>
      </c>
      <c r="I87" s="19" t="n">
        <f aca="false">I86-base_tot</f>
        <v>9400.10790466305</v>
      </c>
      <c r="J87" s="19" t="n">
        <f aca="false">J86-base_tot</f>
        <v>13152.5836589734</v>
      </c>
      <c r="K87" s="19" t="n">
        <f aca="false">K86-base_tot</f>
        <v>15983.3313207663</v>
      </c>
      <c r="L87" s="19" t="n">
        <f aca="false">L86-base_tot</f>
        <v>17931.4478553357</v>
      </c>
      <c r="M87" s="19" t="n">
        <f aca="false">M86-base_tot</f>
        <v>19016.2797934246</v>
      </c>
    </row>
    <row r="88" customFormat="false" ht="17.15" hidden="false" customHeight="false" outlineLevel="0" collapsed="false">
      <c r="A88" s="5" t="s">
        <v>686</v>
      </c>
    </row>
    <row r="89" customFormat="false" ht="17.15" hidden="false" customHeight="false" outlineLevel="0" collapsed="false">
      <c r="A89" s="0" t="s">
        <v>687</v>
      </c>
      <c r="B89" s="0" t="s">
        <v>74</v>
      </c>
      <c r="F89" s="25" t="n">
        <f aca="false">F76*(0*cit_h+0*cit_b2+am_26*cit_b3+(1-am_26)*cit_vr)/1000</f>
        <v>38.3207122537407</v>
      </c>
      <c r="G89" s="25" t="n">
        <f aca="false">F89</f>
        <v>38.3207122537407</v>
      </c>
      <c r="H89" s="25" t="n">
        <f aca="false">H76*(0*cit_h+0*cit_b2+am_27*cit_b3+(1-am_27)*cit_vr)/1000</f>
        <v>147.524551107851</v>
      </c>
      <c r="I89" s="25" t="n">
        <f aca="false">I76*(0*cit_h+0*cit_b2+(1-am_28)*cit_b3+am_28*cit_vr)/1000</f>
        <v>158.826288317907</v>
      </c>
      <c r="J89" s="25" t="n">
        <f aca="false">J76*(0*cit_h+0*cit_b2+(1-am_28)*cit_b3+am_28*cit_vr)/1000</f>
        <v>123.257460828044</v>
      </c>
      <c r="K89" s="25" t="n">
        <f aca="false">K76*(0*cit_h+0*cit_b2+(1-am_28)*cit_b3+am_28*cit_vr)/1000</f>
        <v>89.5374952506016</v>
      </c>
      <c r="L89" s="25" t="n">
        <f aca="false">L76*(0*cit_h+0*cit_b2+(1-am_28)*cit_b3+am_28*cit_vr)/1000</f>
        <v>56.9076923600873</v>
      </c>
      <c r="M89" s="25" t="n">
        <f aca="false">M76*(0*cit_h+0*cit_b2+(1-am_28)*cit_b3+am_28*cit_vr)/1000</f>
        <v>24.6420578116165</v>
      </c>
    </row>
    <row r="90" customFormat="false" ht="17.15" hidden="false" customHeight="false" outlineLevel="0" collapsed="false">
      <c r="A90" s="0" t="s">
        <v>688</v>
      </c>
      <c r="B90" s="0" t="s">
        <v>74</v>
      </c>
      <c r="F90" s="25" t="n">
        <f aca="false">F76*selfb*cfac/1000</f>
        <v>12.8018129171625</v>
      </c>
      <c r="G90" s="25" t="n">
        <f aca="false">F90</f>
        <v>12.8018129171625</v>
      </c>
      <c r="H90" s="25" t="n">
        <f aca="false">H76*selfb*cfac/1000</f>
        <v>45.5080001389788</v>
      </c>
      <c r="I90" s="25" t="n">
        <f aca="false">I76*selfb*cfac/1000</f>
        <v>45.5080001389788</v>
      </c>
      <c r="J90" s="25" t="n">
        <f aca="false">J76*selfb*cfac/1000</f>
        <v>35.3165751331128</v>
      </c>
      <c r="K90" s="25" t="n">
        <f aca="false">K76*selfb*cfac/1000</f>
        <v>25.6548987542434</v>
      </c>
      <c r="L90" s="25" t="n">
        <f aca="false">L76*selfb*cfac/1000</f>
        <v>16.3055832838462</v>
      </c>
      <c r="M90" s="25" t="n">
        <f aca="false">M76*selfb*cfac/1000</f>
        <v>7.06061183065075</v>
      </c>
    </row>
    <row r="91" customFormat="false" ht="17.15" hidden="false" customHeight="false" outlineLevel="0" collapsed="false">
      <c r="A91" s="4" t="s">
        <v>689</v>
      </c>
      <c r="B91" s="0" t="s">
        <v>643</v>
      </c>
      <c r="F91" s="27" t="n">
        <v>0</v>
      </c>
      <c r="G91" s="19" t="n">
        <f aca="false">F91</f>
        <v>0</v>
      </c>
      <c r="H91" s="27" t="n">
        <v>0</v>
      </c>
      <c r="I91" s="27" t="n">
        <v>0</v>
      </c>
      <c r="J91" s="19" t="n">
        <f aca="false">mw_pre24</f>
        <v>513.849189155384</v>
      </c>
      <c r="K91" s="19" t="n">
        <f aca="false">mw_24</f>
        <v>852.800519878492</v>
      </c>
      <c r="L91" s="19" t="n">
        <f aca="false">mw_25</f>
        <v>1844.96080084005</v>
      </c>
      <c r="M91" s="19" t="n">
        <f aca="false">mw_9m+F76</f>
        <v>3015.29605395899</v>
      </c>
      <c r="N91" s="7" t="s">
        <v>690</v>
      </c>
    </row>
    <row r="92" customFormat="false" ht="17.15" hidden="false" customHeight="false" outlineLevel="0" collapsed="false">
      <c r="A92" s="0" t="s">
        <v>691</v>
      </c>
      <c r="B92" s="0" t="s">
        <v>74</v>
      </c>
      <c r="F92" s="25" t="n">
        <f aca="false">F91*cit_vr/1000</f>
        <v>0</v>
      </c>
      <c r="G92" s="25" t="n">
        <f aca="false">F92</f>
        <v>0</v>
      </c>
      <c r="H92" s="25" t="n">
        <f aca="false">H91*cit_vr/1000</f>
        <v>0</v>
      </c>
      <c r="I92" s="25" t="n">
        <f aca="false">I91*cit_vr/1000</f>
        <v>0</v>
      </c>
      <c r="J92" s="25" t="n">
        <f aca="false">J91*cit_vr/1000</f>
        <v>19.3137164985088</v>
      </c>
      <c r="K92" s="25" t="n">
        <f aca="false">K91*cit_vr/1000</f>
        <v>32.053660525936</v>
      </c>
      <c r="L92" s="25" t="n">
        <f aca="false">L91*cit_vr/1000</f>
        <v>69.345346086576</v>
      </c>
      <c r="M92" s="25" t="n">
        <f aca="false">M91*cit_vr/1000</f>
        <v>113.333978868313</v>
      </c>
    </row>
    <row r="93" customFormat="false" ht="17.15" hidden="false" customHeight="false" outlineLevel="0" collapsed="false">
      <c r="A93" s="5" t="s">
        <v>692</v>
      </c>
      <c r="B93" s="7" t="s">
        <v>74</v>
      </c>
      <c r="F93" s="25" t="n">
        <f aca="false">F89+F90+F92</f>
        <v>51.1225251709032</v>
      </c>
      <c r="G93" s="25" t="n">
        <f aca="false">G89+G90+G92</f>
        <v>51.1225251709032</v>
      </c>
      <c r="H93" s="25" t="n">
        <f aca="false">H89+H90+H92</f>
        <v>193.032551246829</v>
      </c>
      <c r="I93" s="25" t="n">
        <f aca="false">I89+I90+I92</f>
        <v>204.334288456886</v>
      </c>
      <c r="J93" s="25" t="n">
        <f aca="false">J89+J90+J92</f>
        <v>177.887752459666</v>
      </c>
      <c r="K93" s="25" t="n">
        <f aca="false">K89+K90+K92</f>
        <v>147.246054530781</v>
      </c>
      <c r="L93" s="25" t="n">
        <f aca="false">L89+L90+L92</f>
        <v>142.558621730509</v>
      </c>
      <c r="M93" s="25" t="n">
        <f aca="false">M89+M90+M92</f>
        <v>145.036648510581</v>
      </c>
    </row>
    <row r="94" customFormat="false" ht="17.15" hidden="false" customHeight="false" outlineLevel="0" collapsed="false">
      <c r="A94" s="4" t="s">
        <v>693</v>
      </c>
      <c r="B94" s="0" t="s">
        <v>74</v>
      </c>
      <c r="E94" s="25" t="n">
        <f aca="false">capex_9m</f>
        <v>85.824</v>
      </c>
      <c r="F94" s="25" t="n">
        <f aca="false">F93+Seg!F43</f>
        <v>54.176</v>
      </c>
      <c r="G94" s="25" t="n">
        <f aca="false">E94+F94</f>
        <v>140</v>
      </c>
      <c r="H94" s="25" t="n">
        <f aca="false">H93+Seg!H43</f>
        <v>205.705878280136</v>
      </c>
      <c r="I94" s="25" t="n">
        <f aca="false">I93+Seg!I43</f>
        <v>219.283263325636</v>
      </c>
      <c r="J94" s="25" t="n">
        <f aca="false">J93+Seg!J43</f>
        <v>194.799862845107</v>
      </c>
      <c r="K94" s="25" t="n">
        <f aca="false">K93+Seg!K43</f>
        <v>165.565732395279</v>
      </c>
      <c r="L94" s="25" t="n">
        <f aca="false">L93+Seg!L43</f>
        <v>162.405246252792</v>
      </c>
      <c r="M94" s="25" t="n">
        <f aca="false">M93+Seg!M43</f>
        <v>166.54004152966</v>
      </c>
    </row>
    <row r="95" customFormat="false" ht="17.15" hidden="false" customHeight="false" outlineLevel="0" collapsed="false">
      <c r="A95" s="4" t="s">
        <v>694</v>
      </c>
      <c r="B95" s="0" t="s">
        <v>74</v>
      </c>
      <c r="G95" s="22" t="n">
        <f aca="false">G94-capex_g</f>
        <v>0</v>
      </c>
    </row>
    <row r="96" customFormat="false" ht="17.15" hidden="false" customHeight="false" outlineLevel="0" collapsed="false">
      <c r="A96" s="4" t="s">
        <v>695</v>
      </c>
      <c r="B96" s="0" t="s">
        <v>74</v>
      </c>
      <c r="H96" s="22" t="n">
        <f aca="false">H94-cx27_B</f>
        <v>0</v>
      </c>
    </row>
    <row r="97" customFormat="false" ht="17.15" hidden="false" customHeight="false" outlineLevel="0" collapsed="false">
      <c r="A97" s="5" t="s">
        <v>696</v>
      </c>
    </row>
    <row r="98" customFormat="false" ht="17.15" hidden="false" customHeight="false" outlineLevel="0" collapsed="false">
      <c r="A98" s="4" t="s">
        <v>697</v>
      </c>
      <c r="B98" s="0" t="s">
        <v>74</v>
      </c>
      <c r="F98" s="25" t="n">
        <f aca="false">cip_0*cip_it</f>
        <v>53.6994</v>
      </c>
    </row>
    <row r="99" customFormat="false" ht="15" hidden="false" customHeight="false" outlineLevel="0" collapsed="false">
      <c r="A99" s="4" t="s">
        <v>698</v>
      </c>
      <c r="B99" s="0" t="s">
        <v>74</v>
      </c>
      <c r="F99" s="25" t="n">
        <f aca="false">cip_0*(1-cip_it)</f>
        <v>35.7996</v>
      </c>
    </row>
    <row r="100" customFormat="false" ht="17.15" hidden="false" customHeight="false" outlineLevel="0" collapsed="false">
      <c r="A100" s="0" t="s">
        <v>699</v>
      </c>
      <c r="B100" s="0" t="s">
        <v>74</v>
      </c>
      <c r="F100" s="25" t="n">
        <f aca="false">F89+F92</f>
        <v>38.3207122537407</v>
      </c>
      <c r="H100" s="25" t="n">
        <f aca="false">H89+H92</f>
        <v>147.524551107851</v>
      </c>
      <c r="I100" s="25" t="n">
        <f aca="false">I89+I92</f>
        <v>158.826288317907</v>
      </c>
      <c r="J100" s="25" t="n">
        <f aca="false">J89+J92</f>
        <v>142.571177326553</v>
      </c>
      <c r="K100" s="25" t="n">
        <f aca="false">K89+K92</f>
        <v>121.591155776538</v>
      </c>
      <c r="L100" s="25" t="n">
        <f aca="false">L89+L92</f>
        <v>126.253038446663</v>
      </c>
      <c r="M100" s="25" t="n">
        <f aca="false">M89+M92</f>
        <v>137.97603667993</v>
      </c>
    </row>
    <row r="101" customFormat="false" ht="15" hidden="false" customHeight="false" outlineLevel="0" collapsed="false">
      <c r="A101" s="4" t="s">
        <v>700</v>
      </c>
      <c r="B101" s="0" t="s">
        <v>74</v>
      </c>
      <c r="F101" s="25" t="n">
        <f aca="false">F90</f>
        <v>12.8018129171625</v>
      </c>
      <c r="H101" s="25" t="n">
        <f aca="false">H90</f>
        <v>45.5080001389788</v>
      </c>
      <c r="I101" s="25" t="n">
        <f aca="false">I90</f>
        <v>45.5080001389788</v>
      </c>
      <c r="J101" s="25" t="n">
        <f aca="false">J90</f>
        <v>35.3165751331128</v>
      </c>
      <c r="K101" s="25" t="n">
        <f aca="false">K90</f>
        <v>25.6548987542434</v>
      </c>
      <c r="L101" s="25" t="n">
        <f aca="false">L90</f>
        <v>16.3055832838462</v>
      </c>
      <c r="M101" s="25" t="n">
        <f aca="false">M90</f>
        <v>7.06061183065075</v>
      </c>
    </row>
    <row r="102" customFormat="false" ht="17.15" hidden="false" customHeight="false" outlineLevel="0" collapsed="false">
      <c r="A102" s="4" t="s">
        <v>701</v>
      </c>
      <c r="B102" s="0" t="s">
        <v>74</v>
      </c>
      <c r="F102" s="25" t="n">
        <f aca="false">$F$98/life_it*IF((0)&lt;0,0,IF((0)=0,phi_q4,IF((0)&lt;life_it,1,IF((0)=life_it,1-phi_q4,0))))+$F$100/life_it*IF((0)&lt;0,0,IF((0)=0,phi_q4,IF((0)&lt;life_it,1,IF((0)=life_it,1-phi_q4,0))))</f>
        <v>1.91708567195293</v>
      </c>
      <c r="G102" s="25" t="n">
        <f aca="false">F102</f>
        <v>1.91708567195293</v>
      </c>
      <c r="H102" s="25" t="n">
        <f aca="false">$F$98/life_it*IF((1)&lt;0,0,IF((1)=0,phi_q4,IF((1)&lt;life_it,1,IF((1)=life_it,1-phi_q4,0))))+$F$100/life_it*IF((1)&lt;0,0,IF((1)=0,phi_q4,IF((1)&lt;life_it,1,IF((1)=life_it,1-phi_q4,0))))+$H$100/life_it*IF((0)&lt;0,0,IF((0)=0,phi_0,IF((0)&lt;life_it,1,IF((0)=life_it,1-phi_0,0))))</f>
        <v>21.4835416717839</v>
      </c>
      <c r="I102" s="25" t="n">
        <f aca="false">$F$98/life_it*IF((2)&lt;0,0,IF((2)=0,phi_q4,IF((2)&lt;life_it,1,IF((2)=life_it,1-phi_q4,0))))+$F$100/life_it*IF((2)&lt;0,0,IF((2)=0,phi_q4,IF((2)&lt;life_it,1,IF((2)=life_it,1-phi_q4,0))))+$H$100/life_it*IF((1)&lt;0,0,IF((1)=0,phi_0,IF((1)&lt;life_it,1,IF((1)=life_it,1-phi_0,0))))+$I$100/life_it*IF((0)&lt;0,0,IF((0)=0,phi_0,IF((0)&lt;life_it,1,IF((0)=life_it,1-phi_0,0))))</f>
        <v>46.5418725735114</v>
      </c>
      <c r="J102" s="25" t="n">
        <f aca="false">$F$98/life_it*IF((3)&lt;0,0,IF((3)=0,phi_q4,IF((3)&lt;life_it,1,IF((3)=life_it,1-phi_q4,0))))+$F$100/life_it*IF((3)&lt;0,0,IF((3)=0,phi_q4,IF((3)&lt;life_it,1,IF((3)=life_it,1-phi_q4,0))))+$H$100/life_it*IF((2)&lt;0,0,IF((2)=0,phi_0,IF((2)&lt;life_it,1,IF((2)=life_it,1-phi_0,0))))+$I$100/life_it*IF((1)&lt;0,0,IF((1)=0,phi_0,IF((1)&lt;life_it,1,IF((1)=life_it,1-phi_0,0))))+$J$100/life_it*IF((0)&lt;0,0,IF((0)=0,phi_0,IF((0)&lt;life_it,1,IF((0)=life_it,1-phi_0,0))))</f>
        <v>72.3356243351895</v>
      </c>
      <c r="K102" s="25" t="n">
        <f aca="false">$F$98/life_it*IF((4)&lt;0,0,IF((4)=0,phi_q4,IF((4)&lt;life_it,1,IF((4)=life_it,1-phi_q4,0))))+$F$100/life_it*IF((4)&lt;0,0,IF((4)=0,phi_q4,IF((4)&lt;life_it,1,IF((4)=life_it,1-phi_q4,0))))+$H$100/life_it*IF((3)&lt;0,0,IF((3)=0,phi_0,IF((3)&lt;life_it,1,IF((3)=life_it,1-phi_0,0))))+$I$100/life_it*IF((2)&lt;0,0,IF((2)=0,phi_0,IF((2)&lt;life_it,1,IF((2)=life_it,1-phi_0,0))))+$J$100/life_it*IF((1)&lt;0,0,IF((1)=0,phi_0,IF((1)&lt;life_it,1,IF((1)=life_it,1-phi_0,0))))+$K$100/life_it*IF((0)&lt;0,0,IF((0)=0,phi_0,IF((0)&lt;life_it,1,IF((0)=life_it,1-phi_0,0))))</f>
        <v>95.2233196583644</v>
      </c>
      <c r="L102" s="25" t="n">
        <f aca="false">$F$98/life_it*IF((5)&lt;0,0,IF((5)=0,phi_q4,IF((5)&lt;life_it,1,IF((5)=life_it,1-phi_q4,0))))+$F$100/life_it*IF((5)&lt;0,0,IF((5)=0,phi_q4,IF((5)&lt;life_it,1,IF((5)=life_it,1-phi_q4,0))))+$H$100/life_it*IF((4)&lt;0,0,IF((4)=0,phi_0,IF((4)&lt;life_it,1,IF((4)=life_it,1-phi_0,0))))+$I$100/life_it*IF((3)&lt;0,0,IF((3)=0,phi_0,IF((3)&lt;life_it,1,IF((3)=life_it,1-phi_0,0))))+$J$100/life_it*IF((2)&lt;0,0,IF((2)=0,phi_0,IF((2)&lt;life_it,1,IF((2)=life_it,1-phi_0,0))))+$K$100/life_it*IF((1)&lt;0,0,IF((1)=0,phi_0,IF((1)&lt;life_it,1,IF((1)=life_it,1-phi_0,0))))+$L$100/life_it*IF((0)&lt;0,0,IF((0)=0,phi_0,IF((0)&lt;life_it,1,IF((0)=life_it,1-phi_0,0))))</f>
        <v>115.682757399043</v>
      </c>
      <c r="M102" s="25" t="n">
        <f aca="false">$F$98/life_it*IF((6)&lt;0,0,IF((6)=0,phi_q4,IF((6)&lt;life_it,1,IF((6)=life_it,1-phi_q4,0))))+$F$100/life_it*IF((6)&lt;0,0,IF((6)=0,phi_q4,IF((6)&lt;life_it,1,IF((6)=life_it,1-phi_q4,0))))+$H$100/life_it*IF((5)&lt;0,0,IF((5)=0,phi_0,IF((5)&lt;life_it,1,IF((5)=life_it,1-phi_0,0))))+$I$100/life_it*IF((4)&lt;0,0,IF((4)=0,phi_0,IF((4)&lt;life_it,1,IF((4)=life_it,1-phi_0,0))))+$J$100/life_it*IF((3)&lt;0,0,IF((3)=0,phi_0,IF((3)&lt;life_it,1,IF((3)=life_it,1-phi_0,0))))+$K$100/life_it*IF((2)&lt;0,0,IF((2)=0,phi_0,IF((2)&lt;life_it,1,IF((2)=life_it,1-phi_0,0))))+$L$100/life_it*IF((1)&lt;0,0,IF((1)=0,phi_0,IF((1)&lt;life_it,1,IF((1)=life_it,1-phi_0,0))))+$M$100/life_it*IF((0)&lt;0,0,IF((0)=0,phi_0,IF((0)&lt;life_it,1,IF((0)=life_it,1-phi_0,0))))</f>
        <v>135.296303061253</v>
      </c>
    </row>
    <row r="103" customFormat="false" ht="17.15" hidden="false" customHeight="false" outlineLevel="0" collapsed="false">
      <c r="A103" s="4" t="s">
        <v>702</v>
      </c>
      <c r="B103" s="0" t="s">
        <v>74</v>
      </c>
      <c r="F103" s="25" t="n">
        <f aca="false">$F$99/life_fac*IF((0)&lt;0,0,IF((0)=0,phi_q4,IF((0)&lt;life_fac,1,IF((0)=life_fac,1-phi_q4,0))))+$F$101/life_fac*IF((0)&lt;0,0,IF((0)=0,phi_q4,IF((0)&lt;life_fac,1,IF((0)=life_fac,1-phi_q4,0))))</f>
        <v>0.303758830732266</v>
      </c>
      <c r="G103" s="25" t="n">
        <f aca="false">F103</f>
        <v>0.303758830732266</v>
      </c>
      <c r="H103" s="25" t="n">
        <f aca="false">$F$99/life_fac*IF((1)&lt;0,0,IF((1)=0,phi_q4,IF((1)&lt;life_fac,1,IF((1)=life_fac,1-phi_q4,0))))+$F$101/life_fac*IF((1)&lt;0,0,IF((1)=0,phi_q4,IF((1)&lt;life_fac,1,IF((1)=life_fac,1-phi_q4,0))))+$H$101/life_fac*IF((0)&lt;0,0,IF((0)=0,phi_0,IF((0)&lt;life_fac,1,IF((0)=life_fac,1-phi_0,0))))</f>
        <v>2.99892064759536</v>
      </c>
      <c r="I103" s="25" t="n">
        <f aca="false">$F$99/life_fac*IF((2)&lt;0,0,IF((2)=0,phi_q4,IF((2)&lt;life_fac,1,IF((2)=life_fac,1-phi_q4,0))))+$F$101/life_fac*IF((2)&lt;0,0,IF((2)=0,phi_q4,IF((2)&lt;life_fac,1,IF((2)=life_fac,1-phi_q4,0))))+$H$101/life_fac*IF((1)&lt;0,0,IF((1)=0,phi_0,IF((1)&lt;life_fac,1,IF((1)=life_fac,1-phi_0,0))))+$I$101/life_fac*IF((0)&lt;0,0,IF((0)=0,phi_0,IF((0)&lt;life_fac,1,IF((0)=life_fac,1-phi_0,0))))</f>
        <v>5.2743206545443</v>
      </c>
      <c r="J103" s="25" t="n">
        <f aca="false">$F$99/life_fac*IF((3)&lt;0,0,IF((3)=0,phi_q4,IF((3)&lt;life_fac,1,IF((3)=life_fac,1-phi_q4,0))))+$F$101/life_fac*IF((3)&lt;0,0,IF((3)=0,phi_q4,IF((3)&lt;life_fac,1,IF((3)=life_fac,1-phi_q4,0))))+$H$101/life_fac*IF((2)&lt;0,0,IF((2)=0,phi_0,IF((2)&lt;life_fac,1,IF((2)=life_fac,1-phi_0,0))))+$I$101/life_fac*IF((1)&lt;0,0,IF((1)=0,phi_0,IF((1)&lt;life_fac,1,IF((1)=life_fac,1-phi_0,0))))+$J$101/life_fac*IF((0)&lt;0,0,IF((0)=0,phi_0,IF((0)&lt;life_fac,1,IF((0)=life_fac,1-phi_0,0))))</f>
        <v>7.42232784891991</v>
      </c>
      <c r="K103" s="25" t="n">
        <f aca="false">$F$99/life_fac*IF((4)&lt;0,0,IF((4)=0,phi_q4,IF((4)&lt;life_fac,1,IF((4)=life_fac,1-phi_q4,0))))+$F$101/life_fac*IF((4)&lt;0,0,IF((4)=0,phi_q4,IF((4)&lt;life_fac,1,IF((4)=life_fac,1-phi_q4,0))))+$H$101/life_fac*IF((3)&lt;0,0,IF((3)=0,phi_0,IF((3)&lt;life_fac,1,IF((3)=life_fac,1-phi_0,0))))+$I$101/life_fac*IF((2)&lt;0,0,IF((2)=0,phi_0,IF((2)&lt;life_fac,1,IF((2)=life_fac,1-phi_0,0))))+$J$101/life_fac*IF((1)&lt;0,0,IF((1)=0,phi_0,IF((1)&lt;life_fac,1,IF((1)=life_fac,1-phi_0,0))))+$K$101/life_fac*IF((0)&lt;0,0,IF((0)=0,phi_0,IF((0)&lt;life_fac,1,IF((0)=life_fac,1-phi_0,0))))</f>
        <v>9.06738565083968</v>
      </c>
      <c r="L103" s="25" t="n">
        <f aca="false">$F$99/life_fac*IF((5)&lt;0,0,IF((5)=0,phi_q4,IF((5)&lt;life_fac,1,IF((5)=life_fac,1-phi_q4,0))))+$F$101/life_fac*IF((5)&lt;0,0,IF((5)=0,phi_q4,IF((5)&lt;life_fac,1,IF((5)=life_fac,1-phi_q4,0))))+$H$101/life_fac*IF((4)&lt;0,0,IF((4)=0,phi_0,IF((4)&lt;life_fac,1,IF((4)=life_fac,1-phi_0,0))))+$I$101/life_fac*IF((3)&lt;0,0,IF((3)=0,phi_0,IF((3)&lt;life_fac,1,IF((3)=life_fac,1-phi_0,0))))+$J$101/life_fac*IF((2)&lt;0,0,IF((2)=0,phi_0,IF((2)&lt;life_fac,1,IF((2)=life_fac,1-phi_0,0))))+$K$101/life_fac*IF((1)&lt;0,0,IF((1)=0,phi_0,IF((1)&lt;life_fac,1,IF((1)=life_fac,1-phi_0,0))))+$L$101/life_fac*IF((0)&lt;0,0,IF((0)=0,phi_0,IF((0)&lt;life_fac,1,IF((0)=life_fac,1-phi_0,0))))</f>
        <v>10.2332641451719</v>
      </c>
      <c r="M103" s="25" t="n">
        <f aca="false">$F$99/life_fac*IF((6)&lt;0,0,IF((6)=0,phi_q4,IF((6)&lt;life_fac,1,IF((6)=life_fac,1-phi_q4,0))))+$F$101/life_fac*IF((6)&lt;0,0,IF((6)=0,phi_q4,IF((6)&lt;life_fac,1,IF((6)=life_fac,1-phi_q4,0))))+$H$101/life_fac*IF((5)&lt;0,0,IF((5)=0,phi_0,IF((5)&lt;life_fac,1,IF((5)=life_fac,1-phi_0,0))))+$I$101/life_fac*IF((4)&lt;0,0,IF((4)=0,phi_0,IF((4)&lt;life_fac,1,IF((4)=life_fac,1-phi_0,0))))+$J$101/life_fac*IF((3)&lt;0,0,IF((3)=0,phi_0,IF((3)&lt;life_fac,1,IF((3)=life_fac,1-phi_0,0))))+$K$101/life_fac*IF((2)&lt;0,0,IF((2)=0,phi_0,IF((2)&lt;life_fac,1,IF((2)=life_fac,1-phi_0,0))))+$L$101/life_fac*IF((1)&lt;0,0,IF((1)=0,phi_0,IF((1)&lt;life_fac,1,IF((1)=life_fac,1-phi_0,0))))+$M$101/life_fac*IF((0)&lt;0,0,IF((0)=0,phi_0,IF((0)&lt;life_fac,1,IF((0)=life_fac,1-phi_0,0))))</f>
        <v>10.9329811661993</v>
      </c>
    </row>
    <row r="104" customFormat="false" ht="17.15" hidden="false" customHeight="false" outlineLevel="0" collapsed="false">
      <c r="A104" s="2" t="s">
        <v>703</v>
      </c>
      <c r="B104" s="7" t="s">
        <v>74</v>
      </c>
      <c r="F104" s="25" t="n">
        <f aca="false">F102+F103</f>
        <v>2.2208445026852</v>
      </c>
      <c r="G104" s="25" t="n">
        <f aca="false">G102+G103</f>
        <v>2.2208445026852</v>
      </c>
      <c r="H104" s="25" t="n">
        <f aca="false">H102+H103</f>
        <v>24.4824623193793</v>
      </c>
      <c r="I104" s="25" t="n">
        <f aca="false">I102+I103</f>
        <v>51.8161932280557</v>
      </c>
      <c r="J104" s="25" t="n">
        <f aca="false">J102+J103</f>
        <v>79.7579521841094</v>
      </c>
      <c r="K104" s="25" t="n">
        <f aca="false">K102+K103</f>
        <v>104.290705309204</v>
      </c>
      <c r="L104" s="25" t="n">
        <f aca="false">L102+L103</f>
        <v>125.916021544214</v>
      </c>
      <c r="M104" s="25" t="n">
        <f aca="false">M102+M103</f>
        <v>146.229284227452</v>
      </c>
    </row>
    <row r="105" customFormat="false" ht="17.15" hidden="false" customHeight="false" outlineLevel="0" collapsed="false">
      <c r="A105" s="5" t="s">
        <v>704</v>
      </c>
    </row>
    <row r="106" customFormat="false" ht="17.15" hidden="false" customHeight="false" outlineLevel="0" collapsed="false">
      <c r="A106" s="4" t="s">
        <v>705</v>
      </c>
      <c r="B106" s="0" t="s">
        <v>74</v>
      </c>
      <c r="F106" s="25" t="n">
        <f aca="false">((F82*opx_h+F83*opx_b2+F84*opx_b3+F85*opx_vr)-base_tot*opx0)/1000*0.25</f>
        <v>0.757779850261111</v>
      </c>
      <c r="G106" s="25" t="n">
        <f aca="false">F106</f>
        <v>0.757779850261111</v>
      </c>
      <c r="H106" s="25" t="n">
        <f aca="false">((H82*opx_h+H83*opx_b2+H84*opx_b3+H85*opx_vr)-base_tot*opx0)/1000*1</f>
        <v>10.3683008536176</v>
      </c>
      <c r="I106" s="25" t="n">
        <f aca="false">((I82*opx_h+I83*opx_b2+I84*opx_b3+I85*opx_vr)-base_tot*opx0)/1000*1</f>
        <v>19.0975392691198</v>
      </c>
      <c r="J106" s="25" t="n">
        <f aca="false">((J82*opx_h+J83*opx_b2+J84*opx_b3+J85*opx_vr)-base_tot*opx0)/1000*1</f>
        <v>26.953330555925</v>
      </c>
      <c r="K106" s="25" t="n">
        <f aca="false">((K82*opx_h+K83*opx_b2+K84*opx_b3+K85*opx_vr)-base_tot*opx0)/1000*1</f>
        <v>32.8794881842887</v>
      </c>
      <c r="L106" s="25" t="n">
        <f aca="false">((L82*opx_h+L83*opx_b2+L84*opx_b3+L85*opx_vr)-base_tot*opx0)/1000*1</f>
        <v>36.9578614770066</v>
      </c>
      <c r="M106" s="25" t="n">
        <f aca="false">((M82*opx_h+M83*opx_b2+M84*opx_b3+M85*opx_vr)-base_tot*opx0)/1000*1</f>
        <v>39.2289523100646</v>
      </c>
    </row>
    <row r="107" customFormat="false" ht="17.15" hidden="false" customHeight="false" outlineLevel="0" collapsed="false">
      <c r="A107" s="4" t="s">
        <v>706</v>
      </c>
      <c r="B107" s="0" t="s">
        <v>74</v>
      </c>
      <c r="F107" s="28" t="n">
        <v>0</v>
      </c>
      <c r="G107" s="25" t="n">
        <f aca="false">F107</f>
        <v>0</v>
      </c>
      <c r="H107" s="25" t="n">
        <f aca="false">rent_l/3</f>
        <v>0</v>
      </c>
      <c r="I107" s="25" t="n">
        <f aca="false">rent_l*2/3</f>
        <v>0</v>
      </c>
      <c r="J107" s="25" t="n">
        <f aca="false">rent_l</f>
        <v>0</v>
      </c>
      <c r="K107" s="25" t="n">
        <f aca="false">rent_l</f>
        <v>0</v>
      </c>
      <c r="L107" s="25" t="n">
        <f aca="false">rent_l</f>
        <v>0</v>
      </c>
      <c r="M107" s="25" t="n">
        <f aca="false">rent_l</f>
        <v>0</v>
      </c>
      <c r="N107" s="7" t="s">
        <v>707</v>
      </c>
    </row>
    <row r="108" customFormat="false" ht="17.15" hidden="false" customHeight="false" outlineLevel="0" collapsed="false">
      <c r="A108" s="2" t="s">
        <v>708</v>
      </c>
      <c r="B108" s="7" t="s">
        <v>74</v>
      </c>
      <c r="F108" s="25" t="n">
        <f aca="false">F106+F107+F104</f>
        <v>2.97862435294631</v>
      </c>
      <c r="G108" s="25" t="n">
        <f aca="false">G106+G107+G104</f>
        <v>2.97862435294631</v>
      </c>
      <c r="H108" s="25" t="n">
        <f aca="false">H106+H107+H104</f>
        <v>34.8507631729969</v>
      </c>
      <c r="I108" s="25" t="n">
        <f aca="false">I106+I107+I104</f>
        <v>70.9137324971755</v>
      </c>
      <c r="J108" s="25" t="n">
        <f aca="false">J106+J107+J104</f>
        <v>106.711282740034</v>
      </c>
      <c r="K108" s="25" t="n">
        <f aca="false">K106+K107+K104</f>
        <v>137.170193493493</v>
      </c>
      <c r="L108" s="25" t="n">
        <f aca="false">L106+L107+L104</f>
        <v>162.873883021221</v>
      </c>
      <c r="M108" s="25" t="n">
        <f aca="false">M106+M107+M104</f>
        <v>185.458236537517</v>
      </c>
    </row>
    <row r="109" customFormat="false" ht="17.15" hidden="false" customHeight="false" outlineLevel="0" collapsed="false">
      <c r="A109" s="5" t="s">
        <v>709</v>
      </c>
    </row>
    <row r="110" customFormat="false" ht="17.15" hidden="false" customHeight="false" outlineLevel="0" collapsed="false">
      <c r="A110" s="4" t="s">
        <v>710</v>
      </c>
      <c r="B110" s="0" t="s">
        <v>643</v>
      </c>
      <c r="F110" s="27" t="n">
        <v>0</v>
      </c>
      <c r="G110" s="19" t="n">
        <f aca="false">F110</f>
        <v>0</v>
      </c>
      <c r="H110" s="19" t="n">
        <f aca="false">0+mid*H91</f>
        <v>0</v>
      </c>
      <c r="I110" s="19" t="n">
        <f aca="false">H91+mid*I91</f>
        <v>0</v>
      </c>
      <c r="J110" s="19" t="n">
        <f aca="false">H91+I91+mid*J91</f>
        <v>256.924594577692</v>
      </c>
      <c r="K110" s="19" t="n">
        <f aca="false">H91+I91+J91+mid*K91</f>
        <v>940.24944909463</v>
      </c>
      <c r="L110" s="19" t="n">
        <f aca="false">H91+I91+J91+K91+mid*L91</f>
        <v>2289.1301094539</v>
      </c>
      <c r="M110" s="19" t="n">
        <f aca="false">H91+I91+J91+K91+L91</f>
        <v>3211.61050987392</v>
      </c>
      <c r="N110" s="7" t="s">
        <v>711</v>
      </c>
    </row>
    <row r="111" customFormat="false" ht="17.15" hidden="false" customHeight="false" outlineLevel="0" collapsed="false">
      <c r="A111" s="4" t="s">
        <v>712</v>
      </c>
      <c r="B111" s="0" t="s">
        <v>74</v>
      </c>
      <c r="F111" s="25" t="n">
        <f aca="false">(da_base-MIN(da_base*cip_it,F110*dpi0/1000))*0.25</f>
        <v>7.154</v>
      </c>
      <c r="G111" s="25" t="n">
        <f aca="false">F111</f>
        <v>7.154</v>
      </c>
      <c r="H111" s="25" t="n">
        <f aca="false">(da_base-MIN(da_base*cip_it,H110*dpi0/1000))*1</f>
        <v>28.616</v>
      </c>
      <c r="I111" s="25" t="n">
        <f aca="false">(da_base-MIN(da_base*cip_it,I110*dpi0/1000))*1</f>
        <v>28.616</v>
      </c>
      <c r="J111" s="25" t="n">
        <f aca="false">(da_base-MIN(da_base*cip_it,J110*dpi0/1000))*1</f>
        <v>27.5230336144847</v>
      </c>
      <c r="K111" s="25" t="n">
        <f aca="false">(da_base-MIN(da_base*cip_it,K110*dpi0/1000))*1</f>
        <v>24.6161453206577</v>
      </c>
      <c r="L111" s="25" t="n">
        <f aca="false">(da_base-MIN(da_base*cip_it,L110*dpi0/1000))*1</f>
        <v>18.8779588995888</v>
      </c>
      <c r="M111" s="25" t="n">
        <f aca="false">(da_base-MIN(da_base*cip_it,M110*dpi0/1000))*1</f>
        <v>14.9536943868316</v>
      </c>
    </row>
    <row r="112" customFormat="false" ht="17.15" hidden="false" customHeight="false" outlineLevel="0" collapsed="false">
      <c r="A112" s="5" t="s">
        <v>713</v>
      </c>
    </row>
    <row r="113" customFormat="false" ht="17.15" hidden="false" customHeight="false" outlineLevel="0" collapsed="false">
      <c r="A113" s="4" t="s">
        <v>714</v>
      </c>
      <c r="B113" s="0" t="s">
        <v>74</v>
      </c>
      <c r="F113" s="25" t="n">
        <f aca="false">((F82*he_h+F83*he_b2+F84*he_b3+F85*he_vr)-base_tot*he0)/1000*0.25</f>
        <v>4.15437383018245</v>
      </c>
      <c r="G113" s="25" t="n">
        <f aca="false">F113</f>
        <v>4.15437383018245</v>
      </c>
      <c r="H113" s="25" t="n">
        <f aca="false">((H82*he_h+H83*he_b2+H84*he_b3+H85*he_vr)-base_tot*he0)/1000*1</f>
        <v>57.6505979020729</v>
      </c>
      <c r="I113" s="25" t="n">
        <f aca="false">((I82*he_h+I83*he_b2+I84*he_b3+I85*he_vr)-base_tot*he0)/1000*1</f>
        <v>107.896407872919</v>
      </c>
      <c r="J113" s="25" t="n">
        <f aca="false">((J82*he_h+J83*he_b2+J84*he_b3+J85*he_vr)-base_tot*he0)/1000*1</f>
        <v>153.772191402645</v>
      </c>
      <c r="K113" s="25" t="n">
        <f aca="false">((K82*he_h+K83*he_b2+K84*he_b3+K85*he_vr)-base_tot*he0)/1000*1</f>
        <v>188.379414863188</v>
      </c>
      <c r="L113" s="25" t="n">
        <f aca="false">((L82*he_h+L83*he_b2+L84*he_b3+L85*he_vr)-base_tot*he0)/1000*1</f>
        <v>212.196057070117</v>
      </c>
      <c r="M113" s="25" t="n">
        <f aca="false">((M82*he_h+M83*he_b2+M84*he_b3+M85*he_vr)-base_tot*he0)/1000*1</f>
        <v>225.458638474069</v>
      </c>
      <c r="N113" s="4" t="s">
        <v>715</v>
      </c>
    </row>
    <row r="114" customFormat="false" ht="17.15" hidden="false" customHeight="false" outlineLevel="0" collapsed="false">
      <c r="A114" s="4" t="s">
        <v>716</v>
      </c>
      <c r="B114" s="0" t="s">
        <v>116</v>
      </c>
      <c r="F114" s="24" t="n">
        <f aca="false">F113/F108</f>
        <v>1.39472902182954</v>
      </c>
      <c r="H114" s="24" t="n">
        <f aca="false">H113/H108</f>
        <v>1.65421335584243</v>
      </c>
      <c r="I114" s="24" t="n">
        <f aca="false">I113/I108</f>
        <v>1.52151641259633</v>
      </c>
      <c r="J114" s="24" t="n">
        <f aca="false">J113/J108</f>
        <v>1.44101155430076</v>
      </c>
      <c r="K114" s="24" t="n">
        <f aca="false">K113/K108</f>
        <v>1.37332615829637</v>
      </c>
      <c r="L114" s="24" t="n">
        <f aca="false">L113/L108</f>
        <v>1.30282432722789</v>
      </c>
      <c r="M114" s="24" t="n">
        <f aca="false">M113/M108</f>
        <v>1.21568414907504</v>
      </c>
      <c r="N114" s="4" t="s">
        <v>717</v>
      </c>
    </row>
    <row r="116" customFormat="false" ht="17.15" hidden="false" customHeight="false" outlineLevel="0" collapsed="false">
      <c r="A116" s="26" t="s">
        <v>719</v>
      </c>
    </row>
    <row r="117" customFormat="false" ht="15" hidden="false" customHeight="false" outlineLevel="0" collapsed="false">
      <c r="A117" s="3" t="s">
        <v>43</v>
      </c>
      <c r="B117" s="3" t="s">
        <v>44</v>
      </c>
      <c r="C117" s="21" t="s">
        <v>660</v>
      </c>
      <c r="D117" s="21" t="s">
        <v>661</v>
      </c>
      <c r="E117" s="21" t="s">
        <v>662</v>
      </c>
      <c r="F117" s="21" t="s">
        <v>663</v>
      </c>
      <c r="G117" s="21" t="s">
        <v>664</v>
      </c>
      <c r="H117" s="21" t="s">
        <v>665</v>
      </c>
      <c r="I117" s="21" t="s">
        <v>666</v>
      </c>
      <c r="J117" s="21" t="s">
        <v>667</v>
      </c>
      <c r="K117" s="21" t="s">
        <v>668</v>
      </c>
      <c r="L117" s="21" t="s">
        <v>669</v>
      </c>
      <c r="M117" s="21" t="s">
        <v>670</v>
      </c>
      <c r="N117" s="3" t="s">
        <v>50</v>
      </c>
    </row>
    <row r="118" customFormat="false" ht="17.15" hidden="false" customHeight="false" outlineLevel="0" collapsed="false">
      <c r="A118" s="5" t="s">
        <v>671</v>
      </c>
    </row>
    <row r="119" customFormat="false" ht="17.15" hidden="false" customHeight="false" outlineLevel="0" collapsed="false">
      <c r="A119" s="4" t="s">
        <v>672</v>
      </c>
      <c r="B119" s="0" t="s">
        <v>643</v>
      </c>
      <c r="F119" s="19" t="n">
        <f aca="false">(capex_g-capex_9m-Seg!F64)/pmw_26*1000</f>
        <v>1188.71005312805</v>
      </c>
      <c r="G119" s="19" t="n">
        <f aca="false">F119</f>
        <v>1188.71005312805</v>
      </c>
      <c r="H119" s="19" t="n">
        <f aca="false">(cx27_C-Seg!H64)/pmw_27*1000</f>
        <v>3556.92252541454</v>
      </c>
      <c r="I119" s="19" t="n">
        <f aca="false">H119*a28</f>
        <v>3556.92252541454</v>
      </c>
      <c r="J119" s="19" t="n">
        <f aca="false">$I$119+(g_tv*I124-$I$119)*MIN(1,(2029-2028)/conv_mw)</f>
        <v>2767.74753117087</v>
      </c>
      <c r="K119" s="19" t="n">
        <f aca="false">$I$119+(g_tv*J124-$I$119)*MIN(1,(2030-2028)/conv_mw)</f>
        <v>2020.08874989476</v>
      </c>
      <c r="L119" s="19" t="n">
        <f aca="false">$I$119+(g_tv*K124-$I$119)*MIN(1,(2031-2028)/conv_mw)</f>
        <v>1297.12385900751</v>
      </c>
      <c r="M119" s="19" t="n">
        <f aca="false">$I$119+(g_tv*L124-$I$119)*MIN(1,(2032-2028)/conv_mw)</f>
        <v>582.771352642053</v>
      </c>
      <c r="N119" s="7" t="s">
        <v>673</v>
      </c>
    </row>
    <row r="120" customFormat="false" ht="17.15" hidden="false" customHeight="false" outlineLevel="0" collapsed="false">
      <c r="A120" s="4" t="s">
        <v>674</v>
      </c>
      <c r="B120" s="0" t="s">
        <v>643</v>
      </c>
      <c r="E120" s="19" t="n">
        <f aca="false">mw_pre24+mw_24</f>
        <v>1366.64970903388</v>
      </c>
      <c r="F120" s="19" t="n">
        <f aca="false">E120+F119*0</f>
        <v>1366.64970903388</v>
      </c>
      <c r="G120" s="19" t="n">
        <f aca="false">F120</f>
        <v>1366.64970903388</v>
      </c>
      <c r="H120" s="19" t="n">
        <f aca="false">F120+H119*0</f>
        <v>1366.64970903388</v>
      </c>
      <c r="I120" s="19" t="n">
        <f aca="false">H120+I119*0</f>
        <v>1366.64970903388</v>
      </c>
      <c r="J120" s="19" t="n">
        <f aca="false">I120+J119*0</f>
        <v>1366.64970903388</v>
      </c>
      <c r="K120" s="19" t="n">
        <f aca="false">J120+K119*0</f>
        <v>1366.64970903388</v>
      </c>
      <c r="L120" s="19" t="n">
        <f aca="false">K120+L119*0</f>
        <v>1366.64970903388</v>
      </c>
      <c r="M120" s="19" t="n">
        <f aca="false">L120+M119*0</f>
        <v>1366.64970903388</v>
      </c>
    </row>
    <row r="121" customFormat="false" ht="17.15" hidden="false" customHeight="false" outlineLevel="0" collapsed="false">
      <c r="A121" s="4" t="s">
        <v>675</v>
      </c>
      <c r="B121" s="0" t="s">
        <v>643</v>
      </c>
      <c r="E121" s="19" t="n">
        <f aca="false">mw_25</f>
        <v>1844.96080084005</v>
      </c>
      <c r="F121" s="19" t="n">
        <f aca="false">E121+F119*0</f>
        <v>1844.96080084005</v>
      </c>
      <c r="G121" s="19" t="n">
        <f aca="false">F121</f>
        <v>1844.96080084005</v>
      </c>
      <c r="H121" s="19" t="n">
        <f aca="false">F121+H119*0</f>
        <v>1844.96080084005</v>
      </c>
      <c r="I121" s="19" t="n">
        <f aca="false">H121+I119*0</f>
        <v>1844.96080084005</v>
      </c>
      <c r="J121" s="19" t="n">
        <f aca="false">I121+J119*0</f>
        <v>1844.96080084005</v>
      </c>
      <c r="K121" s="19" t="n">
        <f aca="false">J121+K119*0</f>
        <v>1844.96080084005</v>
      </c>
      <c r="L121" s="19" t="n">
        <f aca="false">K121+L119*0</f>
        <v>1844.96080084005</v>
      </c>
      <c r="M121" s="19" t="n">
        <f aca="false">L121+M119*0</f>
        <v>1844.96080084005</v>
      </c>
    </row>
    <row r="122" customFormat="false" ht="17.15" hidden="false" customHeight="false" outlineLevel="0" collapsed="false">
      <c r="A122" s="4" t="s">
        <v>676</v>
      </c>
      <c r="B122" s="0" t="s">
        <v>643</v>
      </c>
      <c r="E122" s="19" t="n">
        <f aca="false">mw_9m</f>
        <v>1826.58600083094</v>
      </c>
      <c r="F122" s="19" t="n">
        <f aca="false">E122+F119*am_26</f>
        <v>3015.29605395899</v>
      </c>
      <c r="G122" s="19" t="n">
        <f aca="false">F122</f>
        <v>3015.29605395899</v>
      </c>
      <c r="H122" s="19" t="n">
        <f aca="false">F122+H119*am_27</f>
        <v>4793.75731666626</v>
      </c>
      <c r="I122" s="19" t="n">
        <f aca="false">H122+I119*(1-am_28)</f>
        <v>4793.75731666626</v>
      </c>
      <c r="J122" s="19" t="n">
        <f aca="false">I122+J119*(1-am_28)</f>
        <v>4793.75731666626</v>
      </c>
      <c r="K122" s="19" t="n">
        <f aca="false">J122+K119*(1-am_28)</f>
        <v>4793.75731666626</v>
      </c>
      <c r="L122" s="19" t="n">
        <f aca="false">K122+L119*(1-am_28)</f>
        <v>4793.75731666626</v>
      </c>
      <c r="M122" s="19" t="n">
        <f aca="false">L122+M119*(1-am_28)</f>
        <v>4793.75731666626</v>
      </c>
    </row>
    <row r="123" customFormat="false" ht="17.15" hidden="false" customHeight="false" outlineLevel="0" collapsed="false">
      <c r="A123" s="4" t="s">
        <v>677</v>
      </c>
      <c r="B123" s="0" t="s">
        <v>643</v>
      </c>
      <c r="E123" s="27" t="n">
        <v>0</v>
      </c>
      <c r="F123" s="19" t="n">
        <f aca="false">E123+F119*(1-am_26)</f>
        <v>0</v>
      </c>
      <c r="G123" s="19" t="n">
        <f aca="false">F123</f>
        <v>0</v>
      </c>
      <c r="H123" s="19" t="n">
        <f aca="false">F123+H119*(1-am_27)</f>
        <v>1778.46126270727</v>
      </c>
      <c r="I123" s="19" t="n">
        <f aca="false">H123+I119*am_28</f>
        <v>5335.38378812181</v>
      </c>
      <c r="J123" s="19" t="n">
        <f aca="false">I123+J119*am_28</f>
        <v>8103.13131929268</v>
      </c>
      <c r="K123" s="19" t="n">
        <f aca="false">J123+K119*am_28</f>
        <v>10123.2200691874</v>
      </c>
      <c r="L123" s="19" t="n">
        <f aca="false">K123+L119*am_28</f>
        <v>11420.3439281949</v>
      </c>
      <c r="M123" s="19" t="n">
        <f aca="false">L123+M119*am_28</f>
        <v>12003.115280837</v>
      </c>
    </row>
    <row r="124" customFormat="false" ht="17.15" hidden="false" customHeight="false" outlineLevel="0" collapsed="false">
      <c r="A124" s="4" t="s">
        <v>678</v>
      </c>
      <c r="B124" s="0" t="s">
        <v>643</v>
      </c>
      <c r="E124" s="19" t="n">
        <f aca="false">E120+E121+E122+E123</f>
        <v>5038.19651070486</v>
      </c>
      <c r="F124" s="19" t="n">
        <f aca="false">F120+F121+F122+F123</f>
        <v>6226.90656383291</v>
      </c>
      <c r="G124" s="19" t="n">
        <f aca="false">G120+G121+G122+G123</f>
        <v>6226.90656383291</v>
      </c>
      <c r="H124" s="19" t="n">
        <f aca="false">H120+H121+H122+H123</f>
        <v>9783.82908924745</v>
      </c>
      <c r="I124" s="19" t="n">
        <f aca="false">I120+I121+I122+I123</f>
        <v>13340.751614662</v>
      </c>
      <c r="J124" s="19" t="n">
        <f aca="false">J120+J121+J122+J123</f>
        <v>16108.4991458329</v>
      </c>
      <c r="K124" s="19" t="n">
        <f aca="false">K120+K121+K122+K123</f>
        <v>18128.5878957276</v>
      </c>
      <c r="L124" s="19" t="n">
        <f aca="false">L120+L121+L122+L123</f>
        <v>19425.7117547351</v>
      </c>
      <c r="M124" s="19" t="n">
        <f aca="false">M120+M121+M122+M123</f>
        <v>20008.4831073772</v>
      </c>
    </row>
    <row r="125" customFormat="false" ht="17.15" hidden="false" customHeight="false" outlineLevel="0" collapsed="false">
      <c r="A125" s="4" t="s">
        <v>679</v>
      </c>
      <c r="B125" s="0" t="s">
        <v>643</v>
      </c>
      <c r="F125" s="19" t="n">
        <f aca="false">(base_h+F120)/2</f>
        <v>1366.64970903388</v>
      </c>
      <c r="H125" s="19" t="n">
        <f aca="false">(F120+H120)/2</f>
        <v>1366.64970903388</v>
      </c>
      <c r="I125" s="19" t="n">
        <f aca="false">(H120+I120)/2</f>
        <v>1366.64970903388</v>
      </c>
      <c r="J125" s="19" t="n">
        <f aca="false">(I120+J120)/2</f>
        <v>1366.64970903388</v>
      </c>
      <c r="K125" s="19" t="n">
        <f aca="false">(J120+K120)/2</f>
        <v>1366.64970903388</v>
      </c>
      <c r="L125" s="19" t="n">
        <f aca="false">(K120+L120)/2</f>
        <v>1366.64970903388</v>
      </c>
      <c r="M125" s="19" t="n">
        <f aca="false">(L120+M120)/2</f>
        <v>1366.64970903388</v>
      </c>
      <c r="N125" s="7" t="s">
        <v>680</v>
      </c>
    </row>
    <row r="126" customFormat="false" ht="17.15" hidden="false" customHeight="false" outlineLevel="0" collapsed="false">
      <c r="A126" s="4" t="s">
        <v>681</v>
      </c>
      <c r="B126" s="0" t="s">
        <v>643</v>
      </c>
      <c r="F126" s="19" t="n">
        <f aca="false">(base_b2+F121)/2</f>
        <v>1821.78279732599</v>
      </c>
      <c r="H126" s="19" t="n">
        <f aca="false">(F121+H121)/2</f>
        <v>1844.96080084005</v>
      </c>
      <c r="I126" s="19" t="n">
        <f aca="false">(H121+I121)/2</f>
        <v>1844.96080084005</v>
      </c>
      <c r="J126" s="19" t="n">
        <f aca="false">(I121+J121)/2</f>
        <v>1844.96080084005</v>
      </c>
      <c r="K126" s="19" t="n">
        <f aca="false">(J121+K121)/2</f>
        <v>1844.96080084005</v>
      </c>
      <c r="L126" s="19" t="n">
        <f aca="false">(K121+L121)/2</f>
        <v>1844.96080084005</v>
      </c>
      <c r="M126" s="19" t="n">
        <f aca="false">(L121+M121)/2</f>
        <v>1844.96080084005</v>
      </c>
    </row>
    <row r="127" customFormat="false" ht="17.15" hidden="false" customHeight="false" outlineLevel="0" collapsed="false">
      <c r="A127" s="4" t="s">
        <v>682</v>
      </c>
      <c r="B127" s="0" t="s">
        <v>643</v>
      </c>
      <c r="F127" s="19" t="n">
        <f aca="false">(base_b3+F122)/2</f>
        <v>1507.64802697949</v>
      </c>
      <c r="H127" s="19" t="n">
        <f aca="false">(F122+H122)/2</f>
        <v>3904.52668531262</v>
      </c>
      <c r="I127" s="19" t="n">
        <f aca="false">(H122+I122)/2</f>
        <v>4793.75731666626</v>
      </c>
      <c r="J127" s="19" t="n">
        <f aca="false">(I122+J122)/2</f>
        <v>4793.75731666626</v>
      </c>
      <c r="K127" s="19" t="n">
        <f aca="false">(J122+K122)/2</f>
        <v>4793.75731666626</v>
      </c>
      <c r="L127" s="19" t="n">
        <f aca="false">(K122+L122)/2</f>
        <v>4793.75731666626</v>
      </c>
      <c r="M127" s="19" t="n">
        <f aca="false">(L122+M122)/2</f>
        <v>4793.75731666626</v>
      </c>
    </row>
    <row r="128" customFormat="false" ht="17.15" hidden="false" customHeight="false" outlineLevel="0" collapsed="false">
      <c r="A128" s="4" t="s">
        <v>683</v>
      </c>
      <c r="B128" s="0" t="s">
        <v>643</v>
      </c>
      <c r="F128" s="19" t="n">
        <f aca="false">(0+F123)/2</f>
        <v>0</v>
      </c>
      <c r="H128" s="19" t="n">
        <f aca="false">(F123+H123)/2</f>
        <v>889.230631353635</v>
      </c>
      <c r="I128" s="19" t="n">
        <f aca="false">(H123+I123)/2</f>
        <v>3556.92252541454</v>
      </c>
      <c r="J128" s="19" t="n">
        <f aca="false">(I123+J123)/2</f>
        <v>6719.25755370724</v>
      </c>
      <c r="K128" s="19" t="n">
        <f aca="false">(J123+K123)/2</f>
        <v>9113.17569424006</v>
      </c>
      <c r="L128" s="19" t="n">
        <f aca="false">(K123+L123)/2</f>
        <v>10771.7819986912</v>
      </c>
      <c r="M128" s="19" t="n">
        <f aca="false">(L123+M123)/2</f>
        <v>11711.729604516</v>
      </c>
    </row>
    <row r="129" customFormat="false" ht="17.15" hidden="false" customHeight="false" outlineLevel="0" collapsed="false">
      <c r="A129" s="4" t="s">
        <v>684</v>
      </c>
      <c r="B129" s="0" t="s">
        <v>643</v>
      </c>
      <c r="F129" s="19" t="n">
        <f aca="false">F125+F126+F127+F128</f>
        <v>4696.08053333936</v>
      </c>
      <c r="H129" s="19" t="n">
        <f aca="false">H125+H126+H127+H128</f>
        <v>8005.36782654018</v>
      </c>
      <c r="I129" s="19" t="n">
        <f aca="false">I125+I126+I127+I128</f>
        <v>11562.2903519547</v>
      </c>
      <c r="J129" s="19" t="n">
        <f aca="false">J125+J126+J127+J128</f>
        <v>14724.6253802474</v>
      </c>
      <c r="K129" s="19" t="n">
        <f aca="false">K125+K126+K127+K128</f>
        <v>17118.5435207802</v>
      </c>
      <c r="L129" s="19" t="n">
        <f aca="false">L125+L126+L127+L128</f>
        <v>18777.1498252314</v>
      </c>
      <c r="M129" s="19" t="n">
        <f aca="false">M125+M126+M127+M128</f>
        <v>19717.0974310562</v>
      </c>
    </row>
    <row r="130" customFormat="false" ht="17.15" hidden="false" customHeight="false" outlineLevel="0" collapsed="false">
      <c r="A130" s="4" t="s">
        <v>685</v>
      </c>
      <c r="B130" s="0" t="s">
        <v>643</v>
      </c>
      <c r="F130" s="19" t="n">
        <f aca="false">F129-base_tot</f>
        <v>1530.82603049355</v>
      </c>
      <c r="H130" s="19" t="n">
        <f aca="false">H129-base_tot</f>
        <v>4840.11332369437</v>
      </c>
      <c r="I130" s="19" t="n">
        <f aca="false">I129-base_tot</f>
        <v>8397.0358491089</v>
      </c>
      <c r="J130" s="19" t="n">
        <f aca="false">J129-base_tot</f>
        <v>11559.3708774016</v>
      </c>
      <c r="K130" s="19" t="n">
        <f aca="false">K129-base_tot</f>
        <v>13953.2890179344</v>
      </c>
      <c r="L130" s="19" t="n">
        <f aca="false">L129-base_tot</f>
        <v>15611.8953223856</v>
      </c>
      <c r="M130" s="19" t="n">
        <f aca="false">M129-base_tot</f>
        <v>16551.8429282103</v>
      </c>
    </row>
    <row r="131" customFormat="false" ht="17.15" hidden="false" customHeight="false" outlineLevel="0" collapsed="false">
      <c r="A131" s="5" t="s">
        <v>686</v>
      </c>
    </row>
    <row r="132" customFormat="false" ht="17.15" hidden="false" customHeight="false" outlineLevel="0" collapsed="false">
      <c r="A132" s="0" t="s">
        <v>687</v>
      </c>
      <c r="B132" s="0" t="s">
        <v>74</v>
      </c>
      <c r="F132" s="25" t="n">
        <f aca="false">F119*(0*cit_h+0*cit_b2+am_26*cit_b3+(1-am_26)*cit_vr)/1000</f>
        <v>38.3207122537407</v>
      </c>
      <c r="G132" s="25" t="n">
        <f aca="false">F132</f>
        <v>38.3207122537407</v>
      </c>
      <c r="H132" s="25" t="n">
        <f aca="false">H119*(0*cit_h+0*cit_b2+am_27*cit_b3+(1-am_27)*cit_vr)/1000</f>
        <v>124.178525139697</v>
      </c>
      <c r="I132" s="25" t="n">
        <f aca="false">I119*(0*cit_h+0*cit_b2+(1-am_28)*cit_b3+am_28*cit_vr)/1000</f>
        <v>133.69174207696</v>
      </c>
      <c r="J132" s="25" t="n">
        <f aca="false">J119*(0*cit_h+0*cit_b2+(1-am_28)*cit_b3+am_28*cit_vr)/1000</f>
        <v>104.029532953719</v>
      </c>
      <c r="K132" s="25" t="n">
        <f aca="false">K119*(0*cit_h+0*cit_b2+(1-am_28)*cit_b3+am_28*cit_vr)/1000</f>
        <v>75.9277668247845</v>
      </c>
      <c r="L132" s="25" t="n">
        <f aca="false">L119*(0*cit_h+0*cit_b2+(1-am_28)*cit_b3+am_28*cit_vr)/1000</f>
        <v>48.7541539522545</v>
      </c>
      <c r="M132" s="25" t="n">
        <f aca="false">M119*(0*cit_h+0*cit_b2+(1-am_28)*cit_b3+am_28*cit_vr)/1000</f>
        <v>21.9042491959204</v>
      </c>
    </row>
    <row r="133" customFormat="false" ht="17.15" hidden="false" customHeight="false" outlineLevel="0" collapsed="false">
      <c r="A133" s="0" t="s">
        <v>688</v>
      </c>
      <c r="B133" s="0" t="s">
        <v>74</v>
      </c>
      <c r="F133" s="25" t="n">
        <f aca="false">F119*selfb*cfac/1000</f>
        <v>12.8018129171625</v>
      </c>
      <c r="G133" s="25" t="n">
        <f aca="false">F133</f>
        <v>12.8018129171625</v>
      </c>
      <c r="H133" s="25" t="n">
        <f aca="false">H119*selfb*cfac/1000</f>
        <v>38.3062771374519</v>
      </c>
      <c r="I133" s="25" t="n">
        <f aca="false">I119*selfb*cfac/1000</f>
        <v>38.3062771374519</v>
      </c>
      <c r="J133" s="25" t="n">
        <f aca="false">J119*selfb*cfac/1000</f>
        <v>29.8072570369447</v>
      </c>
      <c r="K133" s="25" t="n">
        <f aca="false">K119*selfb*cfac/1000</f>
        <v>21.7553457919916</v>
      </c>
      <c r="L133" s="25" t="n">
        <f aca="false">L119*selfb*cfac/1000</f>
        <v>13.9693753995813</v>
      </c>
      <c r="M133" s="25" t="n">
        <f aca="false">M119*selfb*cfac/1000</f>
        <v>6.2761560822786</v>
      </c>
    </row>
    <row r="134" customFormat="false" ht="17.15" hidden="false" customHeight="false" outlineLevel="0" collapsed="false">
      <c r="A134" s="4" t="s">
        <v>689</v>
      </c>
      <c r="B134" s="0" t="s">
        <v>643</v>
      </c>
      <c r="F134" s="27" t="n">
        <v>0</v>
      </c>
      <c r="G134" s="19" t="n">
        <f aca="false">F134</f>
        <v>0</v>
      </c>
      <c r="H134" s="27" t="n">
        <v>0</v>
      </c>
      <c r="I134" s="27" t="n">
        <v>0</v>
      </c>
      <c r="J134" s="19" t="n">
        <f aca="false">mw_pre24</f>
        <v>513.849189155384</v>
      </c>
      <c r="K134" s="19" t="n">
        <f aca="false">mw_24</f>
        <v>852.800519878492</v>
      </c>
      <c r="L134" s="19" t="n">
        <f aca="false">mw_25</f>
        <v>1844.96080084005</v>
      </c>
      <c r="M134" s="19" t="n">
        <f aca="false">mw_9m+F119</f>
        <v>3015.29605395899</v>
      </c>
      <c r="N134" s="7" t="s">
        <v>690</v>
      </c>
    </row>
    <row r="135" customFormat="false" ht="17.15" hidden="false" customHeight="false" outlineLevel="0" collapsed="false">
      <c r="A135" s="0" t="s">
        <v>691</v>
      </c>
      <c r="B135" s="0" t="s">
        <v>74</v>
      </c>
      <c r="F135" s="25" t="n">
        <f aca="false">F134*cit_vr/1000</f>
        <v>0</v>
      </c>
      <c r="G135" s="25" t="n">
        <f aca="false">F135</f>
        <v>0</v>
      </c>
      <c r="H135" s="25" t="n">
        <f aca="false">H134*cit_vr/1000</f>
        <v>0</v>
      </c>
      <c r="I135" s="25" t="n">
        <f aca="false">I134*cit_vr/1000</f>
        <v>0</v>
      </c>
      <c r="J135" s="25" t="n">
        <f aca="false">J134*cit_vr/1000</f>
        <v>19.3137164985088</v>
      </c>
      <c r="K135" s="25" t="n">
        <f aca="false">K134*cit_vr/1000</f>
        <v>32.053660525936</v>
      </c>
      <c r="L135" s="25" t="n">
        <f aca="false">L134*cit_vr/1000</f>
        <v>69.345346086576</v>
      </c>
      <c r="M135" s="25" t="n">
        <f aca="false">M134*cit_vr/1000</f>
        <v>113.333978868313</v>
      </c>
    </row>
    <row r="136" customFormat="false" ht="17.15" hidden="false" customHeight="false" outlineLevel="0" collapsed="false">
      <c r="A136" s="5" t="s">
        <v>692</v>
      </c>
      <c r="B136" s="7" t="s">
        <v>74</v>
      </c>
      <c r="F136" s="25" t="n">
        <f aca="false">F132+F133+F135</f>
        <v>51.1225251709032</v>
      </c>
      <c r="G136" s="25" t="n">
        <f aca="false">G132+G133+G135</f>
        <v>51.1225251709032</v>
      </c>
      <c r="H136" s="25" t="n">
        <f aca="false">H132+H133+H135</f>
        <v>162.484802277149</v>
      </c>
      <c r="I136" s="25" t="n">
        <f aca="false">I132+I133+I135</f>
        <v>171.998019214412</v>
      </c>
      <c r="J136" s="25" t="n">
        <f aca="false">J132+J133+J135</f>
        <v>153.150506489173</v>
      </c>
      <c r="K136" s="25" t="n">
        <f aca="false">K132+K133+K135</f>
        <v>129.736773142712</v>
      </c>
      <c r="L136" s="25" t="n">
        <f aca="false">L132+L133+L135</f>
        <v>132.068875438412</v>
      </c>
      <c r="M136" s="25" t="n">
        <f aca="false">M132+M133+M135</f>
        <v>141.514384146512</v>
      </c>
    </row>
    <row r="137" customFormat="false" ht="17.15" hidden="false" customHeight="false" outlineLevel="0" collapsed="false">
      <c r="A137" s="4" t="s">
        <v>693</v>
      </c>
      <c r="B137" s="0" t="s">
        <v>74</v>
      </c>
      <c r="E137" s="25" t="n">
        <f aca="false">capex_9m</f>
        <v>85.824</v>
      </c>
      <c r="F137" s="25" t="n">
        <f aca="false">F136+Seg!F64</f>
        <v>54.176</v>
      </c>
      <c r="G137" s="25" t="n">
        <f aca="false">E137+F137</f>
        <v>140</v>
      </c>
      <c r="H137" s="25" t="n">
        <f aca="false">H136+Seg!H64</f>
        <v>174.849996538115</v>
      </c>
      <c r="I137" s="25" t="n">
        <f aca="false">I136+Seg!I64</f>
        <v>186.222180353058</v>
      </c>
      <c r="J137" s="25" t="n">
        <f aca="false">J136+Seg!J64</f>
        <v>168.835870639222</v>
      </c>
      <c r="K137" s="25" t="n">
        <f aca="false">K136+Seg!K64</f>
        <v>146.287482935774</v>
      </c>
      <c r="L137" s="25" t="n">
        <f aca="false">L136+Seg!L64</f>
        <v>150.002360991437</v>
      </c>
      <c r="M137" s="25" t="n">
        <f aca="false">M136+Seg!M64</f>
        <v>160.94871737034</v>
      </c>
    </row>
    <row r="138" customFormat="false" ht="17.15" hidden="false" customHeight="false" outlineLevel="0" collapsed="false">
      <c r="A138" s="4" t="s">
        <v>694</v>
      </c>
      <c r="B138" s="0" t="s">
        <v>74</v>
      </c>
      <c r="G138" s="22" t="n">
        <f aca="false">G137-capex_g</f>
        <v>0</v>
      </c>
    </row>
    <row r="139" customFormat="false" ht="17.15" hidden="false" customHeight="false" outlineLevel="0" collapsed="false">
      <c r="A139" s="4" t="s">
        <v>695</v>
      </c>
      <c r="B139" s="0" t="s">
        <v>74</v>
      </c>
      <c r="H139" s="22" t="n">
        <f aca="false">H137-cx27_C</f>
        <v>0</v>
      </c>
    </row>
    <row r="140" customFormat="false" ht="17.15" hidden="false" customHeight="false" outlineLevel="0" collapsed="false">
      <c r="A140" s="5" t="s">
        <v>696</v>
      </c>
    </row>
    <row r="141" customFormat="false" ht="17.15" hidden="false" customHeight="false" outlineLevel="0" collapsed="false">
      <c r="A141" s="4" t="s">
        <v>697</v>
      </c>
      <c r="B141" s="0" t="s">
        <v>74</v>
      </c>
      <c r="F141" s="25" t="n">
        <f aca="false">cip_0*cip_it</f>
        <v>53.6994</v>
      </c>
    </row>
    <row r="142" customFormat="false" ht="15" hidden="false" customHeight="false" outlineLevel="0" collapsed="false">
      <c r="A142" s="4" t="s">
        <v>698</v>
      </c>
      <c r="B142" s="0" t="s">
        <v>74</v>
      </c>
      <c r="F142" s="25" t="n">
        <f aca="false">cip_0*(1-cip_it)</f>
        <v>35.7996</v>
      </c>
    </row>
    <row r="143" customFormat="false" ht="17.15" hidden="false" customHeight="false" outlineLevel="0" collapsed="false">
      <c r="A143" s="0" t="s">
        <v>699</v>
      </c>
      <c r="B143" s="0" t="s">
        <v>74</v>
      </c>
      <c r="F143" s="25" t="n">
        <f aca="false">F132+F135</f>
        <v>38.3207122537407</v>
      </c>
      <c r="H143" s="25" t="n">
        <f aca="false">H132+H135</f>
        <v>124.178525139697</v>
      </c>
      <c r="I143" s="25" t="n">
        <f aca="false">I132+I135</f>
        <v>133.69174207696</v>
      </c>
      <c r="J143" s="25" t="n">
        <f aca="false">J132+J135</f>
        <v>123.343249452228</v>
      </c>
      <c r="K143" s="25" t="n">
        <f aca="false">K132+K135</f>
        <v>107.98142735072</v>
      </c>
      <c r="L143" s="25" t="n">
        <f aca="false">L132+L135</f>
        <v>118.09950003883</v>
      </c>
      <c r="M143" s="25" t="n">
        <f aca="false">M132+M135</f>
        <v>135.238228064234</v>
      </c>
    </row>
    <row r="144" customFormat="false" ht="15" hidden="false" customHeight="false" outlineLevel="0" collapsed="false">
      <c r="A144" s="4" t="s">
        <v>700</v>
      </c>
      <c r="B144" s="0" t="s">
        <v>74</v>
      </c>
      <c r="F144" s="25" t="n">
        <f aca="false">F133</f>
        <v>12.8018129171625</v>
      </c>
      <c r="H144" s="25" t="n">
        <f aca="false">H133</f>
        <v>38.3062771374519</v>
      </c>
      <c r="I144" s="25" t="n">
        <f aca="false">I133</f>
        <v>38.3062771374519</v>
      </c>
      <c r="J144" s="25" t="n">
        <f aca="false">J133</f>
        <v>29.8072570369447</v>
      </c>
      <c r="K144" s="25" t="n">
        <f aca="false">K133</f>
        <v>21.7553457919916</v>
      </c>
      <c r="L144" s="25" t="n">
        <f aca="false">L133</f>
        <v>13.9693753995813</v>
      </c>
      <c r="M144" s="25" t="n">
        <f aca="false">M133</f>
        <v>6.2761560822786</v>
      </c>
    </row>
    <row r="145" customFormat="false" ht="17.15" hidden="false" customHeight="false" outlineLevel="0" collapsed="false">
      <c r="A145" s="4" t="s">
        <v>701</v>
      </c>
      <c r="B145" s="0" t="s">
        <v>74</v>
      </c>
      <c r="F145" s="25" t="n">
        <f aca="false">$F$141/life_it*IF((0)&lt;0,0,IF((0)=0,phi_q4,IF((0)&lt;life_it,1,IF((0)=life_it,1-phi_q4,0))))+$F$143/life_it*IF((0)&lt;0,0,IF((0)=0,phi_q4,IF((0)&lt;life_it,1,IF((0)=life_it,1-phi_q4,0))))</f>
        <v>1.91708567195293</v>
      </c>
      <c r="G145" s="25" t="n">
        <f aca="false">F145</f>
        <v>1.91708567195293</v>
      </c>
      <c r="H145" s="25" t="n">
        <f aca="false">$F$141/life_it*IF((1)&lt;0,0,IF((1)=0,phi_q4,IF((1)&lt;life_it,1,IF((1)=life_it,1-phi_q4,0))))+$F$143/life_it*IF((1)&lt;0,0,IF((1)=0,phi_q4,IF((1)&lt;life_it,1,IF((1)=life_it,1-phi_q4,0))))+$H$143/life_it*IF((0)&lt;0,0,IF((0)=0,phi_0,IF((0)&lt;life_it,1,IF((0)=life_it,1-phi_0,0))))</f>
        <v>20.5107905897775</v>
      </c>
      <c r="I145" s="25" t="n">
        <f aca="false">$F$141/life_it*IF((2)&lt;0,0,IF((2)=0,phi_q4,IF((2)&lt;life_it,1,IF((2)=life_it,1-phi_q4,0))))+$F$143/life_it*IF((2)&lt;0,0,IF((2)=0,phi_q4,IF((2)&lt;life_it,1,IF((2)=life_it,1-phi_q4,0))))+$H$143/life_it*IF((1)&lt;0,0,IF((1)=0,phi_0,IF((1)&lt;life_it,1,IF((1)=life_it,1-phi_0,0))))+$I$143/life_it*IF((0)&lt;0,0,IF((0)=0,phi_0,IF((0)&lt;life_it,1,IF((0)=life_it,1-phi_0,0))))</f>
        <v>41.6035954854463</v>
      </c>
      <c r="J145" s="25" t="n">
        <f aca="false">$F$141/life_it*IF((3)&lt;0,0,IF((3)=0,phi_q4,IF((3)&lt;life_it,1,IF((3)=life_it,1-phi_q4,0))))+$F$143/life_it*IF((3)&lt;0,0,IF((3)=0,phi_q4,IF((3)&lt;life_it,1,IF((3)=life_it,1-phi_q4,0))))+$H$143/life_it*IF((2)&lt;0,0,IF((2)=0,phi_0,IF((2)&lt;life_it,1,IF((2)=life_it,1-phi_0,0))))+$I$143/life_it*IF((1)&lt;0,0,IF((1)=0,phi_0,IF((1)&lt;life_it,1,IF((1)=life_it,1-phi_0,0))))+$J$143/life_it*IF((0)&lt;0,0,IF((0)=0,phi_0,IF((0)&lt;life_it,1,IF((0)=life_it,1-phi_0,0))))</f>
        <v>63.4543653055757</v>
      </c>
      <c r="K145" s="25" t="n">
        <f aca="false">$F$141/life_it*IF((4)&lt;0,0,IF((4)=0,phi_q4,IF((4)&lt;life_it,1,IF((4)=life_it,1-phi_q4,0))))+$F$143/life_it*IF((4)&lt;0,0,IF((4)=0,phi_q4,IF((4)&lt;life_it,1,IF((4)=life_it,1-phi_q4,0))))+$H$143/life_it*IF((3)&lt;0,0,IF((3)=0,phi_0,IF((3)&lt;life_it,1,IF((3)=life_it,1-phi_0,0))))+$I$143/life_it*IF((2)&lt;0,0,IF((2)=0,phi_0,IF((2)&lt;life_it,1,IF((2)=life_it,1-phi_0,0))))+$J$143/life_it*IF((1)&lt;0,0,IF((1)=0,phi_0,IF((1)&lt;life_it,1,IF((1)=life_it,1-phi_0,0))))+$K$143/life_it*IF((0)&lt;0,0,IF((0)=0,phi_0,IF((0)&lt;life_it,1,IF((0)=life_it,1-phi_0,0))))</f>
        <v>83.3714976267176</v>
      </c>
      <c r="L145" s="25" t="n">
        <f aca="false">$F$141/life_it*IF((5)&lt;0,0,IF((5)=0,phi_q4,IF((5)&lt;life_it,1,IF((5)=life_it,1-phi_q4,0))))+$F$143/life_it*IF((5)&lt;0,0,IF((5)=0,phi_q4,IF((5)&lt;life_it,1,IF((5)=life_it,1-phi_q4,0))))+$H$143/life_it*IF((4)&lt;0,0,IF((4)=0,phi_0,IF((4)&lt;life_it,1,IF((4)=life_it,1-phi_0,0))))+$I$143/life_it*IF((3)&lt;0,0,IF((3)=0,phi_0,IF((3)&lt;life_it,1,IF((3)=life_it,1-phi_0,0))))+$J$143/life_it*IF((2)&lt;0,0,IF((2)=0,phi_0,IF((2)&lt;life_it,1,IF((2)=life_it,1-phi_0,0))))+$K$143/life_it*IF((1)&lt;0,0,IF((1)=0,phi_0,IF((1)&lt;life_it,1,IF((1)=life_it,1-phi_0,0))))+$L$143/life_it*IF((0)&lt;0,0,IF((0)=0,phi_0,IF((0)&lt;life_it,1,IF((0)=life_it,1-phi_0,0))))</f>
        <v>101.789988547176</v>
      </c>
      <c r="M145" s="25" t="n">
        <f aca="false">$F$141/life_it*IF((6)&lt;0,0,IF((6)=0,phi_q4,IF((6)&lt;life_it,1,IF((6)=life_it,1-phi_q4,0))))+$F$143/life_it*IF((6)&lt;0,0,IF((6)=0,phi_q4,IF((6)&lt;life_it,1,IF((6)=life_it,1-phi_q4,0))))+$H$143/life_it*IF((5)&lt;0,0,IF((5)=0,phi_0,IF((5)&lt;life_it,1,IF((5)=life_it,1-phi_0,0))))+$I$143/life_it*IF((4)&lt;0,0,IF((4)=0,phi_0,IF((4)&lt;life_it,1,IF((4)=life_it,1-phi_0,0))))+$J$143/life_it*IF((3)&lt;0,0,IF((3)=0,phi_0,IF((3)&lt;life_it,1,IF((3)=life_it,1-phi_0,0))))+$K$143/life_it*IF((2)&lt;0,0,IF((2)=0,phi_0,IF((2)&lt;life_it,1,IF((2)=life_it,1-phi_0,0))))+$L$143/life_it*IF((1)&lt;0,0,IF((1)=0,phi_0,IF((1)&lt;life_it,1,IF((1)=life_it,1-phi_0,0))))+$M$143/life_it*IF((0)&lt;0,0,IF((0)=0,phi_0,IF((0)&lt;life_it,1,IF((0)=life_it,1-phi_0,0))))</f>
        <v>120.27026654942</v>
      </c>
    </row>
    <row r="146" customFormat="false" ht="17.15" hidden="false" customHeight="false" outlineLevel="0" collapsed="false">
      <c r="A146" s="4" t="s">
        <v>702</v>
      </c>
      <c r="B146" s="0" t="s">
        <v>74</v>
      </c>
      <c r="F146" s="25" t="n">
        <f aca="false">$F$142/life_fac*IF((0)&lt;0,0,IF((0)=0,phi_q4,IF((0)&lt;life_fac,1,IF((0)=life_fac,1-phi_q4,0))))+$F$144/life_fac*IF((0)&lt;0,0,IF((0)=0,phi_q4,IF((0)&lt;life_fac,1,IF((0)=life_fac,1-phi_q4,0))))</f>
        <v>0.303758830732266</v>
      </c>
      <c r="G146" s="25" t="n">
        <f aca="false">F146</f>
        <v>0.303758830732266</v>
      </c>
      <c r="H146" s="25" t="n">
        <f aca="false">$F$142/life_fac*IF((1)&lt;0,0,IF((1)=0,phi_q4,IF((1)&lt;life_fac,1,IF((1)=life_fac,1-phi_q4,0))))+$F$144/life_fac*IF((1)&lt;0,0,IF((1)=0,phi_q4,IF((1)&lt;life_fac,1,IF((1)=life_fac,1-phi_q4,0))))+$H$144/life_fac*IF((0)&lt;0,0,IF((0)=0,phi_0,IF((0)&lt;life_fac,1,IF((0)=life_fac,1-phi_0,0))))</f>
        <v>2.90889911007627</v>
      </c>
      <c r="I146" s="25" t="n">
        <f aca="false">$F$142/life_fac*IF((2)&lt;0,0,IF((2)=0,phi_q4,IF((2)&lt;life_fac,1,IF((2)=life_fac,1-phi_q4,0))))+$F$144/life_fac*IF((2)&lt;0,0,IF((2)=0,phi_q4,IF((2)&lt;life_fac,1,IF((2)=life_fac,1-phi_q4,0))))+$H$144/life_fac*IF((1)&lt;0,0,IF((1)=0,phi_0,IF((1)&lt;life_fac,1,IF((1)=life_fac,1-phi_0,0))))+$I$144/life_fac*IF((0)&lt;0,0,IF((0)=0,phi_0,IF((0)&lt;life_fac,1,IF((0)=life_fac,1-phi_0,0))))</f>
        <v>4.82421296694887</v>
      </c>
      <c r="J146" s="25" t="n">
        <f aca="false">$F$142/life_fac*IF((3)&lt;0,0,IF((3)=0,phi_q4,IF((3)&lt;life_fac,1,IF((3)=life_fac,1-phi_q4,0))))+$F$144/life_fac*IF((3)&lt;0,0,IF((3)=0,phi_q4,IF((3)&lt;life_fac,1,IF((3)=life_fac,1-phi_q4,0))))+$H$144/life_fac*IF((2)&lt;0,0,IF((2)=0,phi_0,IF((2)&lt;life_fac,1,IF((2)=life_fac,1-phi_0,0))))+$I$144/life_fac*IF((1)&lt;0,0,IF((1)=0,phi_0,IF((1)&lt;life_fac,1,IF((1)=life_fac,1-phi_0,0))))+$J$144/life_fac*IF((0)&lt;0,0,IF((0)=0,phi_0,IF((0)&lt;life_fac,1,IF((0)=life_fac,1-phi_0,0))))</f>
        <v>6.63328907256512</v>
      </c>
      <c r="K146" s="25" t="n">
        <f aca="false">$F$142/life_fac*IF((4)&lt;0,0,IF((4)=0,phi_q4,IF((4)&lt;life_fac,1,IF((4)=life_fac,1-phi_q4,0))))+$F$144/life_fac*IF((4)&lt;0,0,IF((4)=0,phi_q4,IF((4)&lt;life_fac,1,IF((4)=life_fac,1-phi_q4,0))))+$H$144/life_fac*IF((3)&lt;0,0,IF((3)=0,phi_0,IF((3)&lt;life_fac,1,IF((3)=life_fac,1-phi_0,0))))+$I$144/life_fac*IF((2)&lt;0,0,IF((2)=0,phi_0,IF((2)&lt;life_fac,1,IF((2)=life_fac,1-phi_0,0))))+$J$144/life_fac*IF((1)&lt;0,0,IF((1)=0,phi_0,IF((1)&lt;life_fac,1,IF((1)=life_fac,1-phi_0,0))))+$K$144/life_fac*IF((0)&lt;0,0,IF((0)=0,phi_0,IF((0)&lt;life_fac,1,IF((0)=life_fac,1-phi_0,0))))</f>
        <v>8.02300303385044</v>
      </c>
      <c r="L146" s="25" t="n">
        <f aca="false">$F$142/life_fac*IF((5)&lt;0,0,IF((5)=0,phi_q4,IF((5)&lt;life_fac,1,IF((5)=life_fac,1-phi_q4,0))))+$F$144/life_fac*IF((5)&lt;0,0,IF((5)=0,phi_q4,IF((5)&lt;life_fac,1,IF((5)=life_fac,1-phi_q4,0))))+$H$144/life_fac*IF((4)&lt;0,0,IF((4)=0,phi_0,IF((4)&lt;life_fac,1,IF((4)=life_fac,1-phi_0,0))))+$I$144/life_fac*IF((3)&lt;0,0,IF((3)=0,phi_0,IF((3)&lt;life_fac,1,IF((3)=life_fac,1-phi_0,0))))+$J$144/life_fac*IF((2)&lt;0,0,IF((2)=0,phi_0,IF((2)&lt;life_fac,1,IF((2)=life_fac,1-phi_0,0))))+$K$144/life_fac*IF((1)&lt;0,0,IF((1)=0,phi_0,IF((1)&lt;life_fac,1,IF((1)=life_fac,1-phi_0,0))))+$L$144/life_fac*IF((0)&lt;0,0,IF((0)=0,phi_0,IF((0)&lt;life_fac,1,IF((0)=life_fac,1-phi_0,0))))</f>
        <v>9.01344569354489</v>
      </c>
      <c r="M146" s="25" t="n">
        <f aca="false">$F$142/life_fac*IF((6)&lt;0,0,IF((6)=0,phi_q4,IF((6)&lt;life_fac,1,IF((6)=life_fac,1-phi_q4,0))))+$F$144/life_fac*IF((6)&lt;0,0,IF((6)=0,phi_q4,IF((6)&lt;life_fac,1,IF((6)=life_fac,1-phi_q4,0))))+$H$144/life_fac*IF((5)&lt;0,0,IF((5)=0,phi_0,IF((5)&lt;life_fac,1,IF((5)=life_fac,1-phi_0,0))))+$I$144/life_fac*IF((4)&lt;0,0,IF((4)=0,phi_0,IF((4)&lt;life_fac,1,IF((4)=life_fac,1-phi_0,0))))+$J$144/life_fac*IF((3)&lt;0,0,IF((3)=0,phi_0,IF((3)&lt;life_fac,1,IF((3)=life_fac,1-phi_0,0))))+$K$144/life_fac*IF((2)&lt;0,0,IF((2)=0,phi_0,IF((2)&lt;life_fac,1,IF((2)=life_fac,1-phi_0,0))))+$L$144/life_fac*IF((1)&lt;0,0,IF((1)=0,phi_0,IF((1)&lt;life_fac,1,IF((1)=life_fac,1-phi_0,0))))+$M$144/life_fac*IF((0)&lt;0,0,IF((0)=0,phi_0,IF((0)&lt;life_fac,1,IF((0)=life_fac,1-phi_0,0))))</f>
        <v>9.61574922205768</v>
      </c>
    </row>
    <row r="147" customFormat="false" ht="17.15" hidden="false" customHeight="false" outlineLevel="0" collapsed="false">
      <c r="A147" s="2" t="s">
        <v>703</v>
      </c>
      <c r="B147" s="7" t="s">
        <v>74</v>
      </c>
      <c r="F147" s="25" t="n">
        <f aca="false">F145+F146</f>
        <v>2.2208445026852</v>
      </c>
      <c r="G147" s="25" t="n">
        <f aca="false">G145+G146</f>
        <v>2.2208445026852</v>
      </c>
      <c r="H147" s="25" t="n">
        <f aca="false">H145+H146</f>
        <v>23.4196896998538</v>
      </c>
      <c r="I147" s="25" t="n">
        <f aca="false">I145+I146</f>
        <v>46.4278084523951</v>
      </c>
      <c r="J147" s="25" t="n">
        <f aca="false">J145+J146</f>
        <v>70.0876543781409</v>
      </c>
      <c r="K147" s="25" t="n">
        <f aca="false">K145+K146</f>
        <v>91.3945006605681</v>
      </c>
      <c r="L147" s="25" t="n">
        <f aca="false">L145+L146</f>
        <v>110.80343424072</v>
      </c>
      <c r="M147" s="25" t="n">
        <f aca="false">M145+M146</f>
        <v>129.886015771477</v>
      </c>
    </row>
    <row r="148" customFormat="false" ht="17.15" hidden="false" customHeight="false" outlineLevel="0" collapsed="false">
      <c r="A148" s="5" t="s">
        <v>704</v>
      </c>
    </row>
    <row r="149" customFormat="false" ht="17.15" hidden="false" customHeight="false" outlineLevel="0" collapsed="false">
      <c r="A149" s="4" t="s">
        <v>705</v>
      </c>
      <c r="B149" s="0" t="s">
        <v>74</v>
      </c>
      <c r="F149" s="25" t="n">
        <f aca="false">((F125*opx_h+F126*opx_b2+F127*opx_b3+F128*opx_vr)-base_tot*opx0)/1000*0.25</f>
        <v>0.757779850261111</v>
      </c>
      <c r="G149" s="25" t="n">
        <f aca="false">F149</f>
        <v>0.757779850261111</v>
      </c>
      <c r="H149" s="25" t="n">
        <f aca="false">((H125*opx_h+H126*opx_b2+H127*opx_b3+H128*opx_vr)-base_tot*opx0)/1000*1</f>
        <v>9.68685877688844</v>
      </c>
      <c r="I149" s="25" t="n">
        <f aca="false">((I125*opx_h+I126*opx_b2+I127*opx_b3+I128*opx_vr)-base_tot*opx0)/1000*1</f>
        <v>17.0346794880146</v>
      </c>
      <c r="J149" s="25" t="n">
        <f aca="false">((J125*opx_h+J126*opx_b2+J127*opx_b3+J128*opx_vr)-base_tot*opx0)/1000*1</f>
        <v>23.6550137920229</v>
      </c>
      <c r="K149" s="25" t="n">
        <f aca="false">((K125*opx_h+K126*opx_b2+K127*opx_b3+K128*opx_vr)-base_tot*opx0)/1000*1</f>
        <v>28.6666707622565</v>
      </c>
      <c r="L149" s="25" t="n">
        <f aca="false">((L125*opx_h+L126*opx_b2+L127*opx_b3+L128*opx_vr)-base_tot*opx0)/1000*1</f>
        <v>32.1389556770306</v>
      </c>
      <c r="M149" s="25" t="n">
        <f aca="false">((M125*opx_h+M126*opx_b2+M127*opx_b3+M128*opx_vr)-base_tot*opx0)/1000*1</f>
        <v>34.1067318054732</v>
      </c>
    </row>
    <row r="150" customFormat="false" ht="17.15" hidden="false" customHeight="false" outlineLevel="0" collapsed="false">
      <c r="A150" s="4" t="s">
        <v>706</v>
      </c>
      <c r="B150" s="0" t="s">
        <v>74</v>
      </c>
      <c r="F150" s="28" t="n">
        <v>0</v>
      </c>
      <c r="G150" s="25" t="n">
        <f aca="false">F150</f>
        <v>0</v>
      </c>
      <c r="H150" s="25" t="n">
        <f aca="false">rent_l/3</f>
        <v>0</v>
      </c>
      <c r="I150" s="25" t="n">
        <f aca="false">rent_l*2/3</f>
        <v>0</v>
      </c>
      <c r="J150" s="25" t="n">
        <f aca="false">rent_l</f>
        <v>0</v>
      </c>
      <c r="K150" s="25" t="n">
        <f aca="false">rent_l</f>
        <v>0</v>
      </c>
      <c r="L150" s="25" t="n">
        <f aca="false">rent_l</f>
        <v>0</v>
      </c>
      <c r="M150" s="25" t="n">
        <f aca="false">rent_l</f>
        <v>0</v>
      </c>
      <c r="N150" s="7" t="s">
        <v>707</v>
      </c>
    </row>
    <row r="151" customFormat="false" ht="17.15" hidden="false" customHeight="false" outlineLevel="0" collapsed="false">
      <c r="A151" s="2" t="s">
        <v>708</v>
      </c>
      <c r="B151" s="7" t="s">
        <v>74</v>
      </c>
      <c r="F151" s="25" t="n">
        <f aca="false">F149+F150+F147</f>
        <v>2.97862435294631</v>
      </c>
      <c r="G151" s="25" t="n">
        <f aca="false">G149+G150+G147</f>
        <v>2.97862435294631</v>
      </c>
      <c r="H151" s="25" t="n">
        <f aca="false">H149+H150+H147</f>
        <v>33.1065484767422</v>
      </c>
      <c r="I151" s="25" t="n">
        <f aca="false">I149+I150+I147</f>
        <v>63.4624879404097</v>
      </c>
      <c r="J151" s="25" t="n">
        <f aca="false">J149+J150+J147</f>
        <v>93.7426681701638</v>
      </c>
      <c r="K151" s="25" t="n">
        <f aca="false">K149+K150+K147</f>
        <v>120.061171422825</v>
      </c>
      <c r="L151" s="25" t="n">
        <f aca="false">L149+L150+L147</f>
        <v>142.942389917751</v>
      </c>
      <c r="M151" s="25" t="n">
        <f aca="false">M149+M150+M147</f>
        <v>163.99274757695</v>
      </c>
    </row>
    <row r="152" customFormat="false" ht="17.15" hidden="false" customHeight="false" outlineLevel="0" collapsed="false">
      <c r="A152" s="5" t="s">
        <v>709</v>
      </c>
    </row>
    <row r="153" customFormat="false" ht="17.15" hidden="false" customHeight="false" outlineLevel="0" collapsed="false">
      <c r="A153" s="4" t="s">
        <v>710</v>
      </c>
      <c r="B153" s="0" t="s">
        <v>643</v>
      </c>
      <c r="F153" s="27" t="n">
        <v>0</v>
      </c>
      <c r="G153" s="19" t="n">
        <f aca="false">F153</f>
        <v>0</v>
      </c>
      <c r="H153" s="19" t="n">
        <f aca="false">0+mid*H134</f>
        <v>0</v>
      </c>
      <c r="I153" s="19" t="n">
        <f aca="false">H134+mid*I134</f>
        <v>0</v>
      </c>
      <c r="J153" s="19" t="n">
        <f aca="false">H134+I134+mid*J134</f>
        <v>256.924594577692</v>
      </c>
      <c r="K153" s="19" t="n">
        <f aca="false">H134+I134+J134+mid*K134</f>
        <v>940.24944909463</v>
      </c>
      <c r="L153" s="19" t="n">
        <f aca="false">H134+I134+J134+K134+mid*L134</f>
        <v>2289.1301094539</v>
      </c>
      <c r="M153" s="19" t="n">
        <f aca="false">H134+I134+J134+K134+L134</f>
        <v>3211.61050987392</v>
      </c>
      <c r="N153" s="7" t="s">
        <v>711</v>
      </c>
    </row>
    <row r="154" customFormat="false" ht="17.15" hidden="false" customHeight="false" outlineLevel="0" collapsed="false">
      <c r="A154" s="4" t="s">
        <v>712</v>
      </c>
      <c r="B154" s="0" t="s">
        <v>74</v>
      </c>
      <c r="F154" s="25" t="n">
        <f aca="false">(da_base-MIN(da_base*cip_it,F153*dpi0/1000))*0.25</f>
        <v>7.154</v>
      </c>
      <c r="G154" s="25" t="n">
        <f aca="false">F154</f>
        <v>7.154</v>
      </c>
      <c r="H154" s="25" t="n">
        <f aca="false">(da_base-MIN(da_base*cip_it,H153*dpi0/1000))*1</f>
        <v>28.616</v>
      </c>
      <c r="I154" s="25" t="n">
        <f aca="false">(da_base-MIN(da_base*cip_it,I153*dpi0/1000))*1</f>
        <v>28.616</v>
      </c>
      <c r="J154" s="25" t="n">
        <f aca="false">(da_base-MIN(da_base*cip_it,J153*dpi0/1000))*1</f>
        <v>27.5230336144847</v>
      </c>
      <c r="K154" s="25" t="n">
        <f aca="false">(da_base-MIN(da_base*cip_it,K153*dpi0/1000))*1</f>
        <v>24.6161453206577</v>
      </c>
      <c r="L154" s="25" t="n">
        <f aca="false">(da_base-MIN(da_base*cip_it,L153*dpi0/1000))*1</f>
        <v>18.8779588995888</v>
      </c>
      <c r="M154" s="25" t="n">
        <f aca="false">(da_base-MIN(da_base*cip_it,M153*dpi0/1000))*1</f>
        <v>14.9536943868316</v>
      </c>
    </row>
    <row r="155" customFormat="false" ht="17.15" hidden="false" customHeight="false" outlineLevel="0" collapsed="false">
      <c r="A155" s="5" t="s">
        <v>713</v>
      </c>
    </row>
    <row r="156" customFormat="false" ht="17.15" hidden="false" customHeight="false" outlineLevel="0" collapsed="false">
      <c r="A156" s="4" t="s">
        <v>714</v>
      </c>
      <c r="B156" s="0" t="s">
        <v>74</v>
      </c>
      <c r="F156" s="25" t="n">
        <f aca="false">((F125*he_h+F126*he_b2+F127*he_b3+F128*he_vr)-base_tot*he0)/1000*0.25</f>
        <v>4.15437383018245</v>
      </c>
      <c r="G156" s="25" t="n">
        <f aca="false">F156</f>
        <v>4.15437383018245</v>
      </c>
      <c r="H156" s="25" t="n">
        <f aca="false">((H125*he_h+H126*he_b2+H127*he_b3+H128*he_vr)-base_tot*he0)/1000*1</f>
        <v>53.786784070043</v>
      </c>
      <c r="I156" s="25" t="n">
        <f aca="false">((I125*he_h+I126*he_b2+I127*he_b3+I128*he_vr)-base_tot*he0)/1000*1</f>
        <v>96.0811040986301</v>
      </c>
      <c r="J156" s="25" t="n">
        <f aca="false">((J125*he_h+J126*he_b2+J127*he_b3+J128*he_vr)-base_tot*he0)/1000*1</f>
        <v>134.742139293803</v>
      </c>
      <c r="K156" s="25" t="n">
        <f aca="false">((K125*he_h+K126*he_b2+K127*he_b3+K128*he_vr)-base_tot*he0)/1000*1</f>
        <v>164.008916108235</v>
      </c>
      <c r="L156" s="25" t="n">
        <f aca="false">((L125*he_h+L126*he_b2+L127*he_b3+L128*he_vr)-base_tot*he0)/1000*1</f>
        <v>184.286159391323</v>
      </c>
      <c r="M156" s="25" t="n">
        <f aca="false">((M125*he_h+M126*he_b2+M127*he_b3+M128*he_vr)-base_tot*he0)/1000*1</f>
        <v>195.777461592162</v>
      </c>
      <c r="N156" s="4" t="s">
        <v>715</v>
      </c>
    </row>
    <row r="157" customFormat="false" ht="17.15" hidden="false" customHeight="false" outlineLevel="0" collapsed="false">
      <c r="A157" s="4" t="s">
        <v>716</v>
      </c>
      <c r="B157" s="0" t="s">
        <v>116</v>
      </c>
      <c r="F157" s="24" t="n">
        <f aca="false">F156/F151</f>
        <v>1.39472902182954</v>
      </c>
      <c r="H157" s="24" t="n">
        <f aca="false">H156/H151</f>
        <v>1.6246569499031</v>
      </c>
      <c r="I157" s="24" t="n">
        <f aca="false">I156/I151</f>
        <v>1.51398262527698</v>
      </c>
      <c r="J157" s="24" t="n">
        <f aca="false">J156/J151</f>
        <v>1.43736189639083</v>
      </c>
      <c r="K157" s="24" t="n">
        <f aca="false">K156/K151</f>
        <v>1.36604461013159</v>
      </c>
      <c r="L157" s="24" t="n">
        <f aca="false">L156/L151</f>
        <v>1.28923379200083</v>
      </c>
      <c r="M157" s="24" t="n">
        <f aca="false">M156/M151</f>
        <v>1.19381780282873</v>
      </c>
      <c r="N157" s="4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720</v>
      </c>
    </row>
    <row r="2" customFormat="false" ht="17.15" hidden="false" customHeight="false" outlineLevel="0" collapsed="false">
      <c r="A2" s="4" t="s">
        <v>721</v>
      </c>
    </row>
    <row r="4" customFormat="false" ht="17.15" hidden="false" customHeight="false" outlineLevel="0" collapsed="false">
      <c r="A4" s="26" t="s">
        <v>659</v>
      </c>
    </row>
    <row r="5" customFormat="false" ht="15" hidden="false" customHeight="false" outlineLevel="0" collapsed="false">
      <c r="A5" s="3" t="s">
        <v>43</v>
      </c>
      <c r="B5" s="3" t="s">
        <v>44</v>
      </c>
      <c r="C5" s="21" t="s">
        <v>660</v>
      </c>
      <c r="D5" s="21" t="s">
        <v>661</v>
      </c>
      <c r="E5" s="21" t="s">
        <v>662</v>
      </c>
      <c r="F5" s="21" t="s">
        <v>663</v>
      </c>
      <c r="G5" s="21" t="s">
        <v>664</v>
      </c>
      <c r="H5" s="21" t="s">
        <v>665</v>
      </c>
      <c r="I5" s="21" t="s">
        <v>666</v>
      </c>
      <c r="J5" s="21" t="s">
        <v>667</v>
      </c>
      <c r="K5" s="21" t="s">
        <v>668</v>
      </c>
      <c r="L5" s="21" t="s">
        <v>669</v>
      </c>
      <c r="M5" s="21" t="s">
        <v>670</v>
      </c>
      <c r="N5" s="3" t="s">
        <v>50</v>
      </c>
    </row>
    <row r="6" customFormat="false" ht="17.15" hidden="false" customHeight="false" outlineLevel="0" collapsed="false">
      <c r="A6" s="4" t="s">
        <v>722</v>
      </c>
      <c r="B6" s="0" t="s">
        <v>128</v>
      </c>
      <c r="F6" s="15" t="n">
        <f aca="false">g0_impr</f>
        <v>0.1525</v>
      </c>
      <c r="H6" s="15" t="n">
        <f aca="false">g0_impr+(gl_impr-g0_impr)*MIN(1,(2027-2026)/conv_n)</f>
        <v>0.126875</v>
      </c>
      <c r="I6" s="15" t="n">
        <f aca="false">g0_impr+(gl_impr-g0_impr)*MIN(1,(2028-2026)/conv_n)</f>
        <v>0.10125</v>
      </c>
      <c r="J6" s="15" t="n">
        <f aca="false">g0_impr+(gl_impr-g0_impr)*MIN(1,(2029-2026)/conv_n)</f>
        <v>0.075625</v>
      </c>
      <c r="K6" s="15" t="n">
        <f aca="false">g0_impr+(gl_impr-g0_impr)*MIN(1,(2030-2026)/conv_n)</f>
        <v>0.05</v>
      </c>
      <c r="L6" s="15" t="n">
        <f aca="false">g0_impr+(gl_impr-g0_impr)*MIN(1,(2031-2026)/conv_n)</f>
        <v>0.05</v>
      </c>
      <c r="M6" s="15" t="n">
        <f aca="false">g0_impr+(gl_impr-g0_impr)*MIN(1,(2032-2026)/conv_n)</f>
        <v>0.05</v>
      </c>
      <c r="N6" s="7" t="s">
        <v>723</v>
      </c>
    </row>
    <row r="7" customFormat="false" ht="17.15" hidden="false" customHeight="false" outlineLevel="0" collapsed="false">
      <c r="A7" s="4" t="s">
        <v>724</v>
      </c>
      <c r="B7" s="0" t="s">
        <v>128</v>
      </c>
      <c r="F7" s="15" t="n">
        <f aca="false">g0_price</f>
        <v>0.106006641626572</v>
      </c>
      <c r="H7" s="15" t="n">
        <f aca="false">g0_price+(gl_price-g0_price)*MIN(1,(2027-2026)/conv_n)</f>
        <v>0.0870049812199288</v>
      </c>
      <c r="I7" s="15" t="n">
        <f aca="false">g0_price+(gl_price-g0_price)*MIN(1,(2028-2026)/conv_n)</f>
        <v>0.0680033208132859</v>
      </c>
      <c r="J7" s="15" t="n">
        <f aca="false">g0_price+(gl_price-g0_price)*MIN(1,(2029-2026)/conv_n)</f>
        <v>0.0490016604066429</v>
      </c>
      <c r="K7" s="15" t="n">
        <f aca="false">g0_price+(gl_price-g0_price)*MIN(1,(2030-2026)/conv_n)</f>
        <v>0.03</v>
      </c>
      <c r="L7" s="15" t="n">
        <f aca="false">g0_price+(gl_price-g0_price)*MIN(1,(2031-2026)/conv_n)</f>
        <v>0.03</v>
      </c>
      <c r="M7" s="15" t="n">
        <f aca="false">g0_price+(gl_price-g0_price)*MIN(1,(2032-2026)/conv_n)</f>
        <v>0.03</v>
      </c>
      <c r="N7" s="7" t="s">
        <v>725</v>
      </c>
    </row>
    <row r="8" customFormat="false" ht="17.15" hidden="false" customHeight="false" outlineLevel="0" collapsed="false">
      <c r="A8" s="0" t="s">
        <v>726</v>
      </c>
      <c r="B8" s="0" t="s">
        <v>74</v>
      </c>
      <c r="C8" s="25" t="n">
        <f aca="false">Q!J5</f>
        <v>160.633</v>
      </c>
      <c r="D8" s="25" t="n">
        <f aca="false">Q!K5</f>
        <v>196.175</v>
      </c>
      <c r="E8" s="25" t="n">
        <f aca="false">Q!L5</f>
        <v>177.448</v>
      </c>
      <c r="F8" s="25" t="n">
        <f aca="false">Q!F5*(1+F6)*(1+F7)</f>
        <v>74.1056441131912</v>
      </c>
      <c r="G8" s="25" t="n">
        <f aca="false">E8+F8</f>
        <v>251.553644113191</v>
      </c>
      <c r="H8" s="25" t="n">
        <f aca="false">G8*(1+H6)*(1+H7)</f>
        <v>308.132772339813</v>
      </c>
      <c r="I8" s="25" t="n">
        <f aca="false">H8*(1+I6)*(1+I7)</f>
        <v>362.406865051495</v>
      </c>
      <c r="J8" s="25" t="n">
        <f aca="false">I8*(1+J6)*(1+J7)</f>
        <v>408.915411797407</v>
      </c>
      <c r="K8" s="25" t="n">
        <f aca="false">J8*(1+K6)*(1+K7)</f>
        <v>442.242017858895</v>
      </c>
      <c r="L8" s="25" t="n">
        <f aca="false">K8*(1+L6)*(1+L7)</f>
        <v>478.284742314395</v>
      </c>
      <c r="M8" s="25" t="n">
        <f aca="false">L8*(1+M6)*(1+M7)</f>
        <v>517.264948813018</v>
      </c>
      <c r="N8" s="7" t="s">
        <v>727</v>
      </c>
    </row>
    <row r="9" customFormat="false" ht="17.15" hidden="false" customHeight="false" outlineLevel="0" collapsed="false">
      <c r="A9" s="4" t="s">
        <v>728</v>
      </c>
      <c r="B9" s="0" t="s">
        <v>116</v>
      </c>
      <c r="F9" s="23" t="n">
        <v>0</v>
      </c>
      <c r="H9" s="24" t="n">
        <f aca="false">MIN(1,(2027-2026)/conv_n)</f>
        <v>0.25</v>
      </c>
      <c r="I9" s="24" t="n">
        <f aca="false">MIN(1,(2028-2026)/conv_n)</f>
        <v>0.5</v>
      </c>
      <c r="J9" s="24" t="n">
        <f aca="false">MIN(1,(2029-2026)/conv_n)</f>
        <v>0.75</v>
      </c>
      <c r="K9" s="24" t="n">
        <f aca="false">MIN(1,(2030-2026)/conv_n)</f>
        <v>1</v>
      </c>
      <c r="L9" s="24" t="n">
        <f aca="false">MIN(1,(2031-2026)/conv_n)</f>
        <v>1</v>
      </c>
      <c r="M9" s="24" t="n">
        <f aca="false">MIN(1,(2032-2026)/conv_n)</f>
        <v>1</v>
      </c>
    </row>
    <row r="10" customFormat="false" ht="17.15" hidden="false" customHeight="false" outlineLevel="0" collapsed="false">
      <c r="A10" s="4" t="s">
        <v>729</v>
      </c>
      <c r="B10" s="0" t="s">
        <v>128</v>
      </c>
      <c r="F10" s="15" t="n">
        <f aca="false">pA*F9</f>
        <v>0</v>
      </c>
      <c r="H10" s="15" t="n">
        <f aca="false">pA*H9</f>
        <v>0.025</v>
      </c>
      <c r="I10" s="15" t="n">
        <f aca="false">pA*I9</f>
        <v>0.05</v>
      </c>
      <c r="J10" s="15" t="n">
        <f aca="false">pA*J9</f>
        <v>0.075</v>
      </c>
      <c r="K10" s="15" t="n">
        <f aca="false">pA*K9</f>
        <v>0.1</v>
      </c>
      <c r="L10" s="15" t="n">
        <f aca="false">pA*L9</f>
        <v>0.1</v>
      </c>
      <c r="M10" s="15" t="n">
        <f aca="false">pA*M9</f>
        <v>0.1</v>
      </c>
      <c r="N10" s="7" t="s">
        <v>730</v>
      </c>
    </row>
    <row r="11" customFormat="false" ht="15" hidden="false" customHeight="false" outlineLevel="0" collapsed="false">
      <c r="A11" s="5" t="s">
        <v>560</v>
      </c>
      <c r="B11" s="7" t="s">
        <v>74</v>
      </c>
      <c r="C11" s="25" t="n">
        <f aca="false">C8</f>
        <v>160.633</v>
      </c>
      <c r="D11" s="25" t="n">
        <f aca="false">D8</f>
        <v>196.175</v>
      </c>
      <c r="E11" s="25" t="n">
        <f aca="false">E8</f>
        <v>177.448</v>
      </c>
      <c r="F11" s="25" t="n">
        <f aca="false">F8*(1+F10)</f>
        <v>74.1056441131912</v>
      </c>
      <c r="G11" s="25" t="n">
        <f aca="false">E11+F11</f>
        <v>251.553644113191</v>
      </c>
      <c r="H11" s="25" t="n">
        <f aca="false">H8*(1+H10)</f>
        <v>315.836091648308</v>
      </c>
      <c r="I11" s="25" t="n">
        <f aca="false">I8*(1+I10)</f>
        <v>380.527208304069</v>
      </c>
      <c r="J11" s="25" t="n">
        <f aca="false">J8*(1+J10)</f>
        <v>439.584067682212</v>
      </c>
      <c r="K11" s="25" t="n">
        <f aca="false">K8*(1+K10)</f>
        <v>486.466219644785</v>
      </c>
      <c r="L11" s="25" t="n">
        <f aca="false">L8*(1+L10)</f>
        <v>526.113216545835</v>
      </c>
      <c r="M11" s="25" t="n">
        <f aca="false">M8*(1+M10)</f>
        <v>568.99144369432</v>
      </c>
    </row>
    <row r="12" customFormat="false" ht="17.15" hidden="false" customHeight="false" outlineLevel="0" collapsed="false">
      <c r="A12" s="0" t="s">
        <v>731</v>
      </c>
      <c r="B12" s="0" t="s">
        <v>128</v>
      </c>
      <c r="D12" s="15" t="n">
        <f aca="false">D11/C11-1</f>
        <v>0.221262131691496</v>
      </c>
      <c r="G12" s="15" t="n">
        <f aca="false">G11/D11-1</f>
        <v>0.282292056139626</v>
      </c>
      <c r="H12" s="15" t="n">
        <f aca="false">H11/G11-1</f>
        <v>0.255541706667512</v>
      </c>
      <c r="I12" s="15" t="n">
        <f aca="false">I11/H11-1</f>
        <v>0.204824965754061</v>
      </c>
      <c r="J12" s="15" t="n">
        <f aca="false">J11/I11-1</f>
        <v>0.15519746837906</v>
      </c>
      <c r="K12" s="15" t="n">
        <f aca="false">K11/J11-1</f>
        <v>0.106651162790698</v>
      </c>
      <c r="L12" s="15" t="n">
        <f aca="false">L11/K11-1</f>
        <v>0.0815000000000001</v>
      </c>
      <c r="M12" s="15" t="n">
        <f aca="false">M11/L11-1</f>
        <v>0.0814999999999999</v>
      </c>
    </row>
    <row r="13" customFormat="false" ht="17.15" hidden="false" customHeight="false" outlineLevel="0" collapsed="false">
      <c r="A13" s="0" t="s">
        <v>732</v>
      </c>
      <c r="B13" s="0" t="s">
        <v>128</v>
      </c>
      <c r="F13" s="15" t="n">
        <f aca="false">g0_other</f>
        <v>0.646394439617724</v>
      </c>
      <c r="H13" s="15" t="n">
        <f aca="false">g0_other+(gl_other-g0_other)*MIN(1,(2027-2026)/conv_n)</f>
        <v>0.522295829713293</v>
      </c>
      <c r="I13" s="15" t="n">
        <f aca="false">g0_other+(gl_other-g0_other)*MIN(1,(2028-2026)/conv_n)</f>
        <v>0.398197219808862</v>
      </c>
      <c r="J13" s="15" t="n">
        <f aca="false">g0_other+(gl_other-g0_other)*MIN(1,(2029-2026)/conv_n)</f>
        <v>0.274098609904431</v>
      </c>
      <c r="K13" s="15" t="n">
        <f aca="false">g0_other+(gl_other-g0_other)*MIN(1,(2030-2026)/conv_n)</f>
        <v>0.15</v>
      </c>
      <c r="L13" s="15" t="n">
        <f aca="false">g0_other+(gl_other-g0_other)*MIN(1,(2031-2026)/conv_n)</f>
        <v>0.15</v>
      </c>
      <c r="M13" s="15" t="n">
        <f aca="false">g0_other+(gl_other-g0_other)*MIN(1,(2032-2026)/conv_n)</f>
        <v>0.15</v>
      </c>
      <c r="N13" s="4" t="s">
        <v>733</v>
      </c>
    </row>
    <row r="14" customFormat="false" ht="15" hidden="false" customHeight="false" outlineLevel="0" collapsed="false">
      <c r="A14" s="5" t="s">
        <v>562</v>
      </c>
      <c r="B14" s="7" t="s">
        <v>74</v>
      </c>
      <c r="C14" s="25" t="n">
        <f aca="false">Q!J6</f>
        <v>1.722</v>
      </c>
      <c r="D14" s="25" t="n">
        <f aca="false">Q!K6</f>
        <v>2.584</v>
      </c>
      <c r="E14" s="25" t="n">
        <f aca="false">Q!L6</f>
        <v>2.989</v>
      </c>
      <c r="F14" s="25" t="n">
        <f aca="false">Q!F6*(1+F13)</f>
        <v>1.3187619461338</v>
      </c>
      <c r="G14" s="25" t="n">
        <f aca="false">E14+F14</f>
        <v>4.3077619461338</v>
      </c>
      <c r="H14" s="25" t="n">
        <f aca="false">G14*(1+H13)</f>
        <v>6.5576880459971</v>
      </c>
      <c r="I14" s="25" t="n">
        <f aca="false">H14*(1+I13)</f>
        <v>9.16894119428695</v>
      </c>
      <c r="J14" s="25" t="n">
        <f aca="false">I14*(1+J13)</f>
        <v>11.6821352299365</v>
      </c>
      <c r="K14" s="25" t="n">
        <f aca="false">J14*(1+K13)</f>
        <v>13.4344555144269</v>
      </c>
      <c r="L14" s="25" t="n">
        <f aca="false">K14*(1+L13)</f>
        <v>15.449623841591</v>
      </c>
      <c r="M14" s="25" t="n">
        <f aca="false">L14*(1+M13)</f>
        <v>17.7670674178296</v>
      </c>
    </row>
    <row r="15" customFormat="false" ht="15" hidden="false" customHeight="false" outlineLevel="0" collapsed="false">
      <c r="A15" s="29" t="s">
        <v>734</v>
      </c>
      <c r="B15" s="30" t="s">
        <v>74</v>
      </c>
      <c r="C15" s="31" t="n">
        <f aca="false">Q!J7</f>
        <v>162.355</v>
      </c>
      <c r="D15" s="31" t="n">
        <f aca="false">Q!K7</f>
        <v>198.759</v>
      </c>
      <c r="E15" s="31" t="n">
        <f aca="false">Q!L7</f>
        <v>180.437</v>
      </c>
      <c r="F15" s="31" t="n">
        <f aca="false">F11+F14</f>
        <v>75.424406059325</v>
      </c>
      <c r="G15" s="31" t="n">
        <f aca="false">E15+F15</f>
        <v>255.861406059325</v>
      </c>
      <c r="H15" s="31" t="n">
        <f aca="false">H11+H14</f>
        <v>322.393779694305</v>
      </c>
      <c r="I15" s="31" t="n">
        <f aca="false">I11+I14</f>
        <v>389.696149498356</v>
      </c>
      <c r="J15" s="31" t="n">
        <f aca="false">J11+J14</f>
        <v>451.266202912148</v>
      </c>
      <c r="K15" s="31" t="n">
        <f aca="false">K11+K14</f>
        <v>499.900675159212</v>
      </c>
      <c r="L15" s="31" t="n">
        <f aca="false">L11+L14</f>
        <v>541.562840387426</v>
      </c>
      <c r="M15" s="31" t="n">
        <f aca="false">M11+M14</f>
        <v>586.75851111215</v>
      </c>
      <c r="N15" s="30"/>
    </row>
    <row r="16" customFormat="false" ht="17.15" hidden="false" customHeight="false" outlineLevel="0" collapsed="false">
      <c r="A16" s="0" t="s">
        <v>735</v>
      </c>
      <c r="B16" s="0" t="s">
        <v>128</v>
      </c>
      <c r="F16" s="15" t="n">
        <f aca="false">g0_rl</f>
        <v>-0.0445396145610278</v>
      </c>
      <c r="H16" s="15" t="n">
        <f aca="false">g0_rl+(gl_rl-g0_rl)*MIN(1,(2027-2026)/conv_n)</f>
        <v>-0.0209047109207709</v>
      </c>
      <c r="I16" s="15" t="n">
        <f aca="false">g0_rl+(gl_rl-g0_rl)*MIN(1,(2028-2026)/conv_n)</f>
        <v>0.00273019271948608</v>
      </c>
      <c r="J16" s="15" t="n">
        <f aca="false">g0_rl+(gl_rl-g0_rl)*MIN(1,(2029-2026)/conv_n)</f>
        <v>0.026365096359743</v>
      </c>
      <c r="K16" s="15" t="n">
        <f aca="false">g0_rl+(gl_rl-g0_rl)*MIN(1,(2030-2026)/conv_n)</f>
        <v>0.05</v>
      </c>
      <c r="L16" s="15" t="n">
        <f aca="false">g0_rl+(gl_rl-g0_rl)*MIN(1,(2031-2026)/conv_n)</f>
        <v>0.05</v>
      </c>
      <c r="M16" s="15" t="n">
        <f aca="false">g0_rl+(gl_rl-g0_rl)*MIN(1,(2032-2026)/conv_n)</f>
        <v>0.05</v>
      </c>
      <c r="N16" s="4" t="s">
        <v>733</v>
      </c>
    </row>
    <row r="17" customFormat="false" ht="15" hidden="false" customHeight="false" outlineLevel="0" collapsed="false">
      <c r="A17" s="29" t="s">
        <v>736</v>
      </c>
      <c r="B17" s="30" t="s">
        <v>74</v>
      </c>
      <c r="C17" s="31" t="n">
        <f aca="false">Q!J9</f>
        <v>2.146</v>
      </c>
      <c r="D17" s="31" t="n">
        <f aca="false">Q!K9</f>
        <v>2.207</v>
      </c>
      <c r="E17" s="31" t="n">
        <f aca="false">Q!L9</f>
        <v>1.276</v>
      </c>
      <c r="F17" s="31" t="n">
        <f aca="false">Q!F9*(1+F16)</f>
        <v>0.912464668094218</v>
      </c>
      <c r="G17" s="31" t="n">
        <f aca="false">E17+F17</f>
        <v>2.18846466809422</v>
      </c>
      <c r="H17" s="31" t="n">
        <f aca="false">G17*(1+H16)</f>
        <v>2.14271544684739</v>
      </c>
      <c r="I17" s="31" t="n">
        <f aca="false">H17*(1+I16)</f>
        <v>2.1485654729603</v>
      </c>
      <c r="J17" s="31" t="n">
        <f aca="false">I17*(1+J16)</f>
        <v>2.20521260869012</v>
      </c>
      <c r="K17" s="31" t="n">
        <f aca="false">J17*(1+K16)</f>
        <v>2.31547323912462</v>
      </c>
      <c r="L17" s="31" t="n">
        <f aca="false">K17*(1+L16)</f>
        <v>2.43124690108085</v>
      </c>
      <c r="M17" s="31" t="n">
        <f aca="false">L17*(1+M16)</f>
        <v>2.5528092461349</v>
      </c>
      <c r="N17" s="30"/>
    </row>
    <row r="18" customFormat="false" ht="15" hidden="false" customHeight="false" outlineLevel="0" collapsed="false">
      <c r="A18" s="2" t="s">
        <v>567</v>
      </c>
      <c r="B18" s="7" t="s">
        <v>74</v>
      </c>
      <c r="C18" s="25" t="n">
        <f aca="false">Q!J10</f>
        <v>164.501</v>
      </c>
      <c r="D18" s="25" t="n">
        <f aca="false">Q!K10</f>
        <v>200.966</v>
      </c>
      <c r="E18" s="25" t="n">
        <f aca="false">Q!L10</f>
        <v>181.713</v>
      </c>
      <c r="F18" s="25" t="n">
        <f aca="false">F15+F17</f>
        <v>76.3368707274192</v>
      </c>
      <c r="G18" s="25" t="n">
        <f aca="false">E18+F18</f>
        <v>258.049870727419</v>
      </c>
      <c r="H18" s="25" t="n">
        <f aca="false">H15+H17</f>
        <v>324.536495141153</v>
      </c>
      <c r="I18" s="25" t="n">
        <f aca="false">I15+I17</f>
        <v>391.844714971317</v>
      </c>
      <c r="J18" s="25" t="n">
        <f aca="false">J15+J17</f>
        <v>453.471415520839</v>
      </c>
      <c r="K18" s="25" t="n">
        <f aca="false">K15+K17</f>
        <v>502.216148398336</v>
      </c>
      <c r="L18" s="25" t="n">
        <f aca="false">L15+L17</f>
        <v>543.994087288507</v>
      </c>
      <c r="M18" s="25" t="n">
        <f aca="false">M15+M17</f>
        <v>589.311320358285</v>
      </c>
    </row>
    <row r="19" customFormat="false" ht="17.15" hidden="false" customHeight="false" outlineLevel="0" collapsed="false">
      <c r="A19" s="4" t="s">
        <v>564</v>
      </c>
      <c r="B19" s="0" t="s">
        <v>74</v>
      </c>
      <c r="C19" s="22" t="n">
        <f aca="false">C11+C14-C15</f>
        <v>0</v>
      </c>
      <c r="D19" s="22" t="n">
        <f aca="false">D11+D14-D15</f>
        <v>0</v>
      </c>
      <c r="E19" s="22" t="n">
        <f aca="false">E11+E14-E15</f>
        <v>0</v>
      </c>
      <c r="F19" s="22" t="n">
        <f aca="false">F11+F14-F15</f>
        <v>0</v>
      </c>
      <c r="G19" s="22" t="n">
        <f aca="false">G11+G14-G15</f>
        <v>0</v>
      </c>
      <c r="H19" s="22" t="n">
        <f aca="false">H11+H14-H15</f>
        <v>0</v>
      </c>
      <c r="I19" s="22" t="n">
        <f aca="false">I11+I14-I15</f>
        <v>0</v>
      </c>
      <c r="J19" s="22" t="n">
        <f aca="false">J11+J14-J15</f>
        <v>0</v>
      </c>
      <c r="K19" s="22" t="n">
        <f aca="false">K11+K14-K15</f>
        <v>0</v>
      </c>
      <c r="L19" s="22" t="n">
        <f aca="false">L11+L14-L15</f>
        <v>0</v>
      </c>
      <c r="M19" s="22" t="n">
        <f aca="false">M11+M14-M15</f>
        <v>0</v>
      </c>
    </row>
    <row r="20" customFormat="false" ht="15" hidden="false" customHeight="false" outlineLevel="0" collapsed="false">
      <c r="A20" s="4" t="s">
        <v>568</v>
      </c>
      <c r="B20" s="0" t="s">
        <v>74</v>
      </c>
      <c r="C20" s="22" t="n">
        <f aca="false">C15+C17-C18</f>
        <v>0</v>
      </c>
      <c r="D20" s="22" t="n">
        <f aca="false">D15+D17-D18</f>
        <v>0</v>
      </c>
      <c r="E20" s="22" t="n">
        <f aca="false">E15+E17-E18</f>
        <v>0</v>
      </c>
      <c r="F20" s="22" t="n">
        <f aca="false">F15+F17-F18</f>
        <v>0</v>
      </c>
      <c r="G20" s="22" t="n">
        <f aca="false">G15+G17-G18</f>
        <v>0</v>
      </c>
      <c r="H20" s="22" t="n">
        <f aca="false">H15+H17-H18</f>
        <v>0</v>
      </c>
      <c r="I20" s="22" t="n">
        <f aca="false">I15+I17-I18</f>
        <v>0</v>
      </c>
      <c r="J20" s="22" t="n">
        <f aca="false">J15+J17-J18</f>
        <v>0</v>
      </c>
      <c r="K20" s="22" t="n">
        <f aca="false">K15+K17-K18</f>
        <v>0</v>
      </c>
      <c r="L20" s="22" t="n">
        <f aca="false">L15+L17-L18</f>
        <v>0</v>
      </c>
      <c r="M20" s="22" t="n">
        <f aca="false">M15+M17-M18</f>
        <v>0</v>
      </c>
    </row>
    <row r="21" customFormat="false" ht="17.15" hidden="false" customHeight="false" outlineLevel="0" collapsed="false">
      <c r="A21" s="4" t="s">
        <v>737</v>
      </c>
      <c r="B21" s="0" t="s">
        <v>74</v>
      </c>
      <c r="C21" s="22" t="n">
        <f aca="false">C18-Q!J10</f>
        <v>0</v>
      </c>
      <c r="D21" s="22" t="n">
        <f aca="false">D18-Q!K10</f>
        <v>0</v>
      </c>
      <c r="E21" s="22" t="n">
        <f aca="false">E18-Q!L10</f>
        <v>0</v>
      </c>
    </row>
    <row r="22" customFormat="false" ht="17.15" hidden="false" customHeight="false" outlineLevel="0" collapsed="false">
      <c r="A22" s="4" t="s">
        <v>738</v>
      </c>
      <c r="B22" s="0" t="s">
        <v>74</v>
      </c>
      <c r="F22" s="25" t="n">
        <f aca="false">F18*cx_na</f>
        <v>3.05347482909677</v>
      </c>
      <c r="G22" s="25" t="n">
        <f aca="false">F22</f>
        <v>3.05347482909677</v>
      </c>
      <c r="H22" s="25" t="n">
        <f aca="false">H18*cx_na</f>
        <v>12.9814598056461</v>
      </c>
      <c r="I22" s="25" t="n">
        <f aca="false">I18*cx_na</f>
        <v>15.6737885988527</v>
      </c>
      <c r="J22" s="25" t="n">
        <f aca="false">J18*cx_na</f>
        <v>18.1388566208335</v>
      </c>
      <c r="K22" s="25" t="n">
        <f aca="false">K18*cx_na</f>
        <v>20.0886459359335</v>
      </c>
      <c r="L22" s="25" t="n">
        <f aca="false">L18*cx_na</f>
        <v>21.7597634915403</v>
      </c>
      <c r="M22" s="25" t="n">
        <f aca="false">M18*cx_na</f>
        <v>23.5724528143314</v>
      </c>
    </row>
    <row r="23" customFormat="false" ht="17.15" hidden="false" customHeight="false" outlineLevel="0" collapsed="false">
      <c r="A23" s="4" t="s">
        <v>739</v>
      </c>
      <c r="B23" s="0" t="s">
        <v>74</v>
      </c>
      <c r="F23" s="25" t="n">
        <f aca="false">$F$22/life_na*IF((0)&lt;0,0,IF((0)=0,phi_q4,IF((0)&lt;life_na,1,IF((0)=life_na,1-phi_q4,0))))</f>
        <v>0.0381684353637096</v>
      </c>
      <c r="G23" s="25" t="n">
        <f aca="false">F23</f>
        <v>0.0381684353637096</v>
      </c>
      <c r="H23" s="25" t="n">
        <f aca="false">$F$22/life_na*IF((1)&lt;0,0,IF((1)=0,phi_q4,IF((1)&lt;life_na,1,IF((1)=life_na,1-phi_q4,0))))+$H$22/life_na*IF((0)&lt;0,0,IF((0)=0,phi_0,IF((0)&lt;life_na,1,IF((0)=life_na,1-phi_0,0))))</f>
        <v>0.629883978050829</v>
      </c>
      <c r="I23" s="25" t="n">
        <f aca="false">$F$22/life_na*IF((2)&lt;0,0,IF((2)=0,phi_q4,IF((2)&lt;life_na,1,IF((2)=life_na,1-phi_q4,0))))+$H$22/life_na*IF((1)&lt;0,0,IF((1)=0,phi_0,IF((1)&lt;life_na,1,IF((1)=life_na,1-phi_0,0))))+$I$22/life_na*IF((0)&lt;0,0,IF((0)=0,phi_0,IF((0)&lt;life_na,1,IF((0)=life_na,1-phi_0,0))))</f>
        <v>1.9953381784456</v>
      </c>
      <c r="J23" s="25" t="n">
        <f aca="false">$F$22/life_na*IF((3)&lt;0,0,IF((3)=0,phi_q4,IF((3)&lt;life_na,1,IF((3)=life_na,1-phi_q4,0))))+$H$22/life_na*IF((2)&lt;0,0,IF((2)=0,phi_0,IF((2)&lt;life_na,1,IF((2)=life_na,1-phi_0,0))))+$I$22/life_na*IF((1)&lt;0,0,IF((1)=0,phi_0,IF((1)&lt;life_na,1,IF((1)=life_na,1-phi_0,0))))+$J$22/life_na*IF((0)&lt;0,0,IF((0)=0,phi_0,IF((0)&lt;life_na,1,IF((0)=life_na,1-phi_0,0))))</f>
        <v>3.62434373888039</v>
      </c>
      <c r="K23" s="25" t="n">
        <f aca="false">$F$22/life_na*IF((4)&lt;0,0,IF((4)=0,phi_q4,IF((4)&lt;life_na,1,IF((4)=life_na,1-phi_q4,0))))+$H$22/life_na*IF((3)&lt;0,0,IF((3)=0,phi_0,IF((3)&lt;life_na,1,IF((3)=life_na,1-phi_0,0))))+$I$22/life_na*IF((2)&lt;0,0,IF((2)=0,phi_0,IF((2)&lt;life_na,1,IF((2)=life_na,1-phi_0,0))))+$J$22/life_na*IF((1)&lt;0,0,IF((1)=0,phi_0,IF((1)&lt;life_na,1,IF((1)=life_na,1-phi_0,0))))+$K$22/life_na*IF((0)&lt;0,0,IF((0)=0,phi_0,IF((0)&lt;life_na,1,IF((0)=life_na,1-phi_0,0))))</f>
        <v>5.48697413384124</v>
      </c>
      <c r="L23" s="25" t="n">
        <f aca="false">$F$22/life_na*IF((5)&lt;0,0,IF((5)=0,phi_q4,IF((5)&lt;life_na,1,IF((5)=life_na,1-phi_q4,0))))+$H$22/life_na*IF((4)&lt;0,0,IF((4)=0,phi_0,IF((4)&lt;life_na,1,IF((4)=life_na,1-phi_0,0))))+$I$22/life_na*IF((3)&lt;0,0,IF((3)=0,phi_0,IF((3)&lt;life_na,1,IF((3)=life_na,1-phi_0,0))))+$J$22/life_na*IF((2)&lt;0,0,IF((2)=0,phi_0,IF((2)&lt;life_na,1,IF((2)=life_na,1-phi_0,0))))+$K$22/life_na*IF((1)&lt;0,0,IF((1)=0,phi_0,IF((1)&lt;life_na,1,IF((1)=life_na,1-phi_0,0))))+$L$22/life_na*IF((0)&lt;0,0,IF((0)=0,phi_0,IF((0)&lt;life_na,1,IF((0)=life_na,1-phi_0,0))))</f>
        <v>7.53761666632476</v>
      </c>
      <c r="M23" s="25" t="n">
        <f aca="false">$F$22/life_na*IF((6)&lt;0,0,IF((6)=0,phi_q4,IF((6)&lt;life_na,1,IF((6)=life_na,1-phi_q4,0))))+$H$22/life_na*IF((5)&lt;0,0,IF((5)=0,phi_0,IF((5)&lt;life_na,1,IF((5)=life_na,1-phi_0,0))))+$I$22/life_na*IF((4)&lt;0,0,IF((4)=0,phi_0,IF((4)&lt;life_na,1,IF((4)=life_na,1-phi_0,0))))+$J$22/life_na*IF((3)&lt;0,0,IF((3)=0,phi_0,IF((3)&lt;life_na,1,IF((3)=life_na,1-phi_0,0))))+$K$22/life_na*IF((2)&lt;0,0,IF((2)=0,phi_0,IF((2)&lt;life_na,1,IF((2)=life_na,1-phi_0,0))))+$L$22/life_na*IF((1)&lt;0,0,IF((1)=0,phi_0,IF((1)&lt;life_na,1,IF((1)=life_na,1-phi_0,0))))+$M$22/life_na*IF((0)&lt;0,0,IF((0)=0,phi_0,IF((0)&lt;life_na,1,IF((0)=life_na,1-phi_0,0))))</f>
        <v>9.75891024854856</v>
      </c>
    </row>
    <row r="25" customFormat="false" ht="17.15" hidden="false" customHeight="false" outlineLevel="0" collapsed="false">
      <c r="A25" s="26" t="s">
        <v>718</v>
      </c>
    </row>
    <row r="26" customFormat="false" ht="15" hidden="false" customHeight="false" outlineLevel="0" collapsed="false">
      <c r="A26" s="3" t="s">
        <v>43</v>
      </c>
      <c r="B26" s="3" t="s">
        <v>44</v>
      </c>
      <c r="C26" s="21" t="s">
        <v>660</v>
      </c>
      <c r="D26" s="21" t="s">
        <v>661</v>
      </c>
      <c r="E26" s="21" t="s">
        <v>662</v>
      </c>
      <c r="F26" s="21" t="s">
        <v>663</v>
      </c>
      <c r="G26" s="21" t="s">
        <v>664</v>
      </c>
      <c r="H26" s="21" t="s">
        <v>665</v>
      </c>
      <c r="I26" s="21" t="s">
        <v>666</v>
      </c>
      <c r="J26" s="21" t="s">
        <v>667</v>
      </c>
      <c r="K26" s="21" t="s">
        <v>668</v>
      </c>
      <c r="L26" s="21" t="s">
        <v>669</v>
      </c>
      <c r="M26" s="21" t="s">
        <v>670</v>
      </c>
      <c r="N26" s="3" t="s">
        <v>50</v>
      </c>
    </row>
    <row r="27" customFormat="false" ht="17.15" hidden="false" customHeight="false" outlineLevel="0" collapsed="false">
      <c r="A27" s="4" t="s">
        <v>722</v>
      </c>
      <c r="B27" s="0" t="s">
        <v>128</v>
      </c>
      <c r="F27" s="15" t="n">
        <f aca="false">g0_impr</f>
        <v>0.1525</v>
      </c>
      <c r="H27" s="15" t="n">
        <f aca="false">g0_impr+(gl_impr-g0_impr)*MIN(1,(2027-2026)/conv_n)</f>
        <v>0.126875</v>
      </c>
      <c r="I27" s="15" t="n">
        <f aca="false">g0_impr+(gl_impr-g0_impr)*MIN(1,(2028-2026)/conv_n)</f>
        <v>0.10125</v>
      </c>
      <c r="J27" s="15" t="n">
        <f aca="false">g0_impr+(gl_impr-g0_impr)*MIN(1,(2029-2026)/conv_n)</f>
        <v>0.075625</v>
      </c>
      <c r="K27" s="15" t="n">
        <f aca="false">g0_impr+(gl_impr-g0_impr)*MIN(1,(2030-2026)/conv_n)</f>
        <v>0.05</v>
      </c>
      <c r="L27" s="15" t="n">
        <f aca="false">g0_impr+(gl_impr-g0_impr)*MIN(1,(2031-2026)/conv_n)</f>
        <v>0.05</v>
      </c>
      <c r="M27" s="15" t="n">
        <f aca="false">g0_impr+(gl_impr-g0_impr)*MIN(1,(2032-2026)/conv_n)</f>
        <v>0.05</v>
      </c>
      <c r="N27" s="7" t="s">
        <v>723</v>
      </c>
    </row>
    <row r="28" customFormat="false" ht="17.15" hidden="false" customHeight="false" outlineLevel="0" collapsed="false">
      <c r="A28" s="4" t="s">
        <v>724</v>
      </c>
      <c r="B28" s="0" t="s">
        <v>128</v>
      </c>
      <c r="F28" s="15" t="n">
        <f aca="false">g0_price</f>
        <v>0.106006641626572</v>
      </c>
      <c r="H28" s="15" t="n">
        <f aca="false">g0_price+(gl_price-g0_price)*MIN(1,(2027-2026)/conv_n)</f>
        <v>0.0870049812199288</v>
      </c>
      <c r="I28" s="15" t="n">
        <f aca="false">g0_price+(gl_price-g0_price)*MIN(1,(2028-2026)/conv_n)</f>
        <v>0.0680033208132859</v>
      </c>
      <c r="J28" s="15" t="n">
        <f aca="false">g0_price+(gl_price-g0_price)*MIN(1,(2029-2026)/conv_n)</f>
        <v>0.0490016604066429</v>
      </c>
      <c r="K28" s="15" t="n">
        <f aca="false">g0_price+(gl_price-g0_price)*MIN(1,(2030-2026)/conv_n)</f>
        <v>0.03</v>
      </c>
      <c r="L28" s="15" t="n">
        <f aca="false">g0_price+(gl_price-g0_price)*MIN(1,(2031-2026)/conv_n)</f>
        <v>0.03</v>
      </c>
      <c r="M28" s="15" t="n">
        <f aca="false">g0_price+(gl_price-g0_price)*MIN(1,(2032-2026)/conv_n)</f>
        <v>0.03</v>
      </c>
      <c r="N28" s="7" t="s">
        <v>725</v>
      </c>
    </row>
    <row r="29" customFormat="false" ht="17.15" hidden="false" customHeight="false" outlineLevel="0" collapsed="false">
      <c r="A29" s="0" t="s">
        <v>726</v>
      </c>
      <c r="B29" s="0" t="s">
        <v>74</v>
      </c>
      <c r="C29" s="25" t="n">
        <f aca="false">Q!J5</f>
        <v>160.633</v>
      </c>
      <c r="D29" s="25" t="n">
        <f aca="false">Q!K5</f>
        <v>196.175</v>
      </c>
      <c r="E29" s="25" t="n">
        <f aca="false">Q!L5</f>
        <v>177.448</v>
      </c>
      <c r="F29" s="25" t="n">
        <f aca="false">Q!F5*(1+F27)*(1+F28)</f>
        <v>74.1056441131912</v>
      </c>
      <c r="G29" s="25" t="n">
        <f aca="false">E29+F29</f>
        <v>251.553644113191</v>
      </c>
      <c r="H29" s="25" t="n">
        <f aca="false">G29*(1+H27)*(1+H28)</f>
        <v>308.132772339813</v>
      </c>
      <c r="I29" s="25" t="n">
        <f aca="false">H29*(1+I27)*(1+I28)</f>
        <v>362.406865051495</v>
      </c>
      <c r="J29" s="25" t="n">
        <f aca="false">I29*(1+J27)*(1+J28)</f>
        <v>408.915411797407</v>
      </c>
      <c r="K29" s="25" t="n">
        <f aca="false">J29*(1+K27)*(1+K28)</f>
        <v>442.242017858895</v>
      </c>
      <c r="L29" s="25" t="n">
        <f aca="false">K29*(1+L27)*(1+L28)</f>
        <v>478.284742314395</v>
      </c>
      <c r="M29" s="25" t="n">
        <f aca="false">L29*(1+M27)*(1+M28)</f>
        <v>517.264948813018</v>
      </c>
      <c r="N29" s="7" t="s">
        <v>727</v>
      </c>
    </row>
    <row r="30" customFormat="false" ht="17.15" hidden="false" customHeight="false" outlineLevel="0" collapsed="false">
      <c r="A30" s="4" t="s">
        <v>728</v>
      </c>
      <c r="B30" s="0" t="s">
        <v>116</v>
      </c>
      <c r="F30" s="23" t="n">
        <v>0</v>
      </c>
      <c r="H30" s="24" t="n">
        <f aca="false">MIN(1,(2027-2026)/conv_n)</f>
        <v>0.25</v>
      </c>
      <c r="I30" s="24" t="n">
        <f aca="false">MIN(1,(2028-2026)/conv_n)</f>
        <v>0.5</v>
      </c>
      <c r="J30" s="24" t="n">
        <f aca="false">MIN(1,(2029-2026)/conv_n)</f>
        <v>0.75</v>
      </c>
      <c r="K30" s="24" t="n">
        <f aca="false">MIN(1,(2030-2026)/conv_n)</f>
        <v>1</v>
      </c>
      <c r="L30" s="24" t="n">
        <f aca="false">MIN(1,(2031-2026)/conv_n)</f>
        <v>1</v>
      </c>
      <c r="M30" s="24" t="n">
        <f aca="false">MIN(1,(2032-2026)/conv_n)</f>
        <v>1</v>
      </c>
    </row>
    <row r="31" customFormat="false" ht="17.15" hidden="false" customHeight="false" outlineLevel="0" collapsed="false">
      <c r="A31" s="4" t="s">
        <v>729</v>
      </c>
      <c r="B31" s="0" t="s">
        <v>128</v>
      </c>
      <c r="F31" s="15" t="n">
        <f aca="false">0*F30</f>
        <v>0</v>
      </c>
      <c r="H31" s="15" t="n">
        <f aca="false">0*H30</f>
        <v>0</v>
      </c>
      <c r="I31" s="15" t="n">
        <f aca="false">0*I30</f>
        <v>0</v>
      </c>
      <c r="J31" s="15" t="n">
        <f aca="false">0*J30</f>
        <v>0</v>
      </c>
      <c r="K31" s="15" t="n">
        <f aca="false">0*K30</f>
        <v>0</v>
      </c>
      <c r="L31" s="15" t="n">
        <f aca="false">0*L30</f>
        <v>0</v>
      </c>
      <c r="M31" s="15" t="n">
        <f aca="false">0*M30</f>
        <v>0</v>
      </c>
      <c r="N31" s="4" t="s">
        <v>740</v>
      </c>
    </row>
    <row r="32" customFormat="false" ht="15" hidden="false" customHeight="false" outlineLevel="0" collapsed="false">
      <c r="A32" s="5" t="s">
        <v>560</v>
      </c>
      <c r="B32" s="7" t="s">
        <v>74</v>
      </c>
      <c r="C32" s="25" t="n">
        <f aca="false">C29</f>
        <v>160.633</v>
      </c>
      <c r="D32" s="25" t="n">
        <f aca="false">D29</f>
        <v>196.175</v>
      </c>
      <c r="E32" s="25" t="n">
        <f aca="false">E29</f>
        <v>177.448</v>
      </c>
      <c r="F32" s="25" t="n">
        <f aca="false">F29*(1+F31)</f>
        <v>74.1056441131912</v>
      </c>
      <c r="G32" s="25" t="n">
        <f aca="false">E32+F32</f>
        <v>251.553644113191</v>
      </c>
      <c r="H32" s="25" t="n">
        <f aca="false">H29*(1+H31)</f>
        <v>308.132772339813</v>
      </c>
      <c r="I32" s="25" t="n">
        <f aca="false">I29*(1+I31)</f>
        <v>362.406865051495</v>
      </c>
      <c r="J32" s="25" t="n">
        <f aca="false">J29*(1+J31)</f>
        <v>408.915411797407</v>
      </c>
      <c r="K32" s="25" t="n">
        <f aca="false">K29*(1+K31)</f>
        <v>442.242017858895</v>
      </c>
      <c r="L32" s="25" t="n">
        <f aca="false">L29*(1+L31)</f>
        <v>478.284742314395</v>
      </c>
      <c r="M32" s="25" t="n">
        <f aca="false">M29*(1+M31)</f>
        <v>517.264948813018</v>
      </c>
    </row>
    <row r="33" customFormat="false" ht="17.15" hidden="false" customHeight="false" outlineLevel="0" collapsed="false">
      <c r="A33" s="0" t="s">
        <v>731</v>
      </c>
      <c r="B33" s="0" t="s">
        <v>128</v>
      </c>
      <c r="D33" s="15" t="n">
        <f aca="false">D32/C32-1</f>
        <v>0.221262131691496</v>
      </c>
      <c r="G33" s="15" t="n">
        <f aca="false">G32/D32-1</f>
        <v>0.282292056139626</v>
      </c>
      <c r="H33" s="15" t="n">
        <f aca="false">H32/G32-1</f>
        <v>0.224918738212207</v>
      </c>
      <c r="I33" s="15" t="n">
        <f aca="false">I32/H32-1</f>
        <v>0.176138657045631</v>
      </c>
      <c r="J33" s="15" t="n">
        <f aca="false">J32/I32-1</f>
        <v>0.128332410974895</v>
      </c>
      <c r="K33" s="15" t="n">
        <f aca="false">K32/J32-1</f>
        <v>0.0814999999999999</v>
      </c>
      <c r="L33" s="15" t="n">
        <f aca="false">L32/K32-1</f>
        <v>0.0815000000000001</v>
      </c>
      <c r="M33" s="15" t="n">
        <f aca="false">M32/L32-1</f>
        <v>0.0815000000000001</v>
      </c>
    </row>
    <row r="34" customFormat="false" ht="17.15" hidden="false" customHeight="false" outlineLevel="0" collapsed="false">
      <c r="A34" s="0" t="s">
        <v>732</v>
      </c>
      <c r="B34" s="0" t="s">
        <v>128</v>
      </c>
      <c r="F34" s="15" t="n">
        <f aca="false">g0_other</f>
        <v>0.646394439617724</v>
      </c>
      <c r="H34" s="15" t="n">
        <f aca="false">g0_other+(gl_other-g0_other)*MIN(1,(2027-2026)/conv_n)</f>
        <v>0.522295829713293</v>
      </c>
      <c r="I34" s="15" t="n">
        <f aca="false">g0_other+(gl_other-g0_other)*MIN(1,(2028-2026)/conv_n)</f>
        <v>0.398197219808862</v>
      </c>
      <c r="J34" s="15" t="n">
        <f aca="false">g0_other+(gl_other-g0_other)*MIN(1,(2029-2026)/conv_n)</f>
        <v>0.274098609904431</v>
      </c>
      <c r="K34" s="15" t="n">
        <f aca="false">g0_other+(gl_other-g0_other)*MIN(1,(2030-2026)/conv_n)</f>
        <v>0.15</v>
      </c>
      <c r="L34" s="15" t="n">
        <f aca="false">g0_other+(gl_other-g0_other)*MIN(1,(2031-2026)/conv_n)</f>
        <v>0.15</v>
      </c>
      <c r="M34" s="15" t="n">
        <f aca="false">g0_other+(gl_other-g0_other)*MIN(1,(2032-2026)/conv_n)</f>
        <v>0.15</v>
      </c>
      <c r="N34" s="4" t="s">
        <v>733</v>
      </c>
    </row>
    <row r="35" customFormat="false" ht="15" hidden="false" customHeight="false" outlineLevel="0" collapsed="false">
      <c r="A35" s="5" t="s">
        <v>562</v>
      </c>
      <c r="B35" s="7" t="s">
        <v>74</v>
      </c>
      <c r="C35" s="25" t="n">
        <f aca="false">Q!J6</f>
        <v>1.722</v>
      </c>
      <c r="D35" s="25" t="n">
        <f aca="false">Q!K6</f>
        <v>2.584</v>
      </c>
      <c r="E35" s="25" t="n">
        <f aca="false">Q!L6</f>
        <v>2.989</v>
      </c>
      <c r="F35" s="25" t="n">
        <f aca="false">Q!F6*(1+F34)</f>
        <v>1.3187619461338</v>
      </c>
      <c r="G35" s="25" t="n">
        <f aca="false">E35+F35</f>
        <v>4.3077619461338</v>
      </c>
      <c r="H35" s="25" t="n">
        <f aca="false">G35*(1+H34)</f>
        <v>6.5576880459971</v>
      </c>
      <c r="I35" s="25" t="n">
        <f aca="false">H35*(1+I34)</f>
        <v>9.16894119428695</v>
      </c>
      <c r="J35" s="25" t="n">
        <f aca="false">I35*(1+J34)</f>
        <v>11.6821352299365</v>
      </c>
      <c r="K35" s="25" t="n">
        <f aca="false">J35*(1+K34)</f>
        <v>13.4344555144269</v>
      </c>
      <c r="L35" s="25" t="n">
        <f aca="false">K35*(1+L34)</f>
        <v>15.449623841591</v>
      </c>
      <c r="M35" s="25" t="n">
        <f aca="false">L35*(1+M34)</f>
        <v>17.7670674178296</v>
      </c>
    </row>
    <row r="36" customFormat="false" ht="15" hidden="false" customHeight="false" outlineLevel="0" collapsed="false">
      <c r="A36" s="29" t="s">
        <v>734</v>
      </c>
      <c r="B36" s="30" t="s">
        <v>74</v>
      </c>
      <c r="C36" s="31" t="n">
        <f aca="false">Q!J7</f>
        <v>162.355</v>
      </c>
      <c r="D36" s="31" t="n">
        <f aca="false">Q!K7</f>
        <v>198.759</v>
      </c>
      <c r="E36" s="31" t="n">
        <f aca="false">Q!L7</f>
        <v>180.437</v>
      </c>
      <c r="F36" s="31" t="n">
        <f aca="false">F32+F35</f>
        <v>75.424406059325</v>
      </c>
      <c r="G36" s="31" t="n">
        <f aca="false">E36+F36</f>
        <v>255.861406059325</v>
      </c>
      <c r="H36" s="31" t="n">
        <f aca="false">H32+H35</f>
        <v>314.69046038581</v>
      </c>
      <c r="I36" s="31" t="n">
        <f aca="false">I32+I35</f>
        <v>371.575806245782</v>
      </c>
      <c r="J36" s="31" t="n">
        <f aca="false">J32+J35</f>
        <v>420.597547027343</v>
      </c>
      <c r="K36" s="31" t="n">
        <f aca="false">K32+K35</f>
        <v>455.676473373322</v>
      </c>
      <c r="L36" s="31" t="n">
        <f aca="false">L32+L35</f>
        <v>493.734366155986</v>
      </c>
      <c r="M36" s="31" t="n">
        <f aca="false">M32+M35</f>
        <v>535.032016230848</v>
      </c>
      <c r="N36" s="30"/>
    </row>
    <row r="37" customFormat="false" ht="17.15" hidden="false" customHeight="false" outlineLevel="0" collapsed="false">
      <c r="A37" s="0" t="s">
        <v>735</v>
      </c>
      <c r="B37" s="0" t="s">
        <v>128</v>
      </c>
      <c r="F37" s="15" t="n">
        <f aca="false">g0_rl</f>
        <v>-0.0445396145610278</v>
      </c>
      <c r="H37" s="15" t="n">
        <f aca="false">g0_rl+(gl_rl-g0_rl)*MIN(1,(2027-2026)/conv_n)</f>
        <v>-0.0209047109207709</v>
      </c>
      <c r="I37" s="15" t="n">
        <f aca="false">g0_rl+(gl_rl-g0_rl)*MIN(1,(2028-2026)/conv_n)</f>
        <v>0.00273019271948608</v>
      </c>
      <c r="J37" s="15" t="n">
        <f aca="false">g0_rl+(gl_rl-g0_rl)*MIN(1,(2029-2026)/conv_n)</f>
        <v>0.026365096359743</v>
      </c>
      <c r="K37" s="15" t="n">
        <f aca="false">g0_rl+(gl_rl-g0_rl)*MIN(1,(2030-2026)/conv_n)</f>
        <v>0.05</v>
      </c>
      <c r="L37" s="15" t="n">
        <f aca="false">g0_rl+(gl_rl-g0_rl)*MIN(1,(2031-2026)/conv_n)</f>
        <v>0.05</v>
      </c>
      <c r="M37" s="15" t="n">
        <f aca="false">g0_rl+(gl_rl-g0_rl)*MIN(1,(2032-2026)/conv_n)</f>
        <v>0.05</v>
      </c>
      <c r="N37" s="4" t="s">
        <v>733</v>
      </c>
    </row>
    <row r="38" customFormat="false" ht="15" hidden="false" customHeight="false" outlineLevel="0" collapsed="false">
      <c r="A38" s="29" t="s">
        <v>736</v>
      </c>
      <c r="B38" s="30" t="s">
        <v>74</v>
      </c>
      <c r="C38" s="31" t="n">
        <f aca="false">Q!J9</f>
        <v>2.146</v>
      </c>
      <c r="D38" s="31" t="n">
        <f aca="false">Q!K9</f>
        <v>2.207</v>
      </c>
      <c r="E38" s="31" t="n">
        <f aca="false">Q!L9</f>
        <v>1.276</v>
      </c>
      <c r="F38" s="31" t="n">
        <f aca="false">Q!F9*(1+F37)</f>
        <v>0.912464668094218</v>
      </c>
      <c r="G38" s="31" t="n">
        <f aca="false">E38+F38</f>
        <v>2.18846466809422</v>
      </c>
      <c r="H38" s="31" t="n">
        <f aca="false">G38*(1+H37)</f>
        <v>2.14271544684739</v>
      </c>
      <c r="I38" s="31" t="n">
        <f aca="false">H38*(1+I37)</f>
        <v>2.1485654729603</v>
      </c>
      <c r="J38" s="31" t="n">
        <f aca="false">I38*(1+J37)</f>
        <v>2.20521260869012</v>
      </c>
      <c r="K38" s="31" t="n">
        <f aca="false">J38*(1+K37)</f>
        <v>2.31547323912462</v>
      </c>
      <c r="L38" s="31" t="n">
        <f aca="false">K38*(1+L37)</f>
        <v>2.43124690108085</v>
      </c>
      <c r="M38" s="31" t="n">
        <f aca="false">L38*(1+M37)</f>
        <v>2.5528092461349</v>
      </c>
      <c r="N38" s="30"/>
    </row>
    <row r="39" customFormat="false" ht="15" hidden="false" customHeight="false" outlineLevel="0" collapsed="false">
      <c r="A39" s="2" t="s">
        <v>567</v>
      </c>
      <c r="B39" s="7" t="s">
        <v>74</v>
      </c>
      <c r="C39" s="25" t="n">
        <f aca="false">Q!J10</f>
        <v>164.501</v>
      </c>
      <c r="D39" s="25" t="n">
        <f aca="false">Q!K10</f>
        <v>200.966</v>
      </c>
      <c r="E39" s="25" t="n">
        <f aca="false">Q!L10</f>
        <v>181.713</v>
      </c>
      <c r="F39" s="25" t="n">
        <f aca="false">F36+F38</f>
        <v>76.3368707274192</v>
      </c>
      <c r="G39" s="25" t="n">
        <f aca="false">E39+F39</f>
        <v>258.049870727419</v>
      </c>
      <c r="H39" s="25" t="n">
        <f aca="false">H36+H38</f>
        <v>316.833175832657</v>
      </c>
      <c r="I39" s="25" t="n">
        <f aca="false">I36+I38</f>
        <v>373.724371718742</v>
      </c>
      <c r="J39" s="25" t="n">
        <f aca="false">J36+J38</f>
        <v>422.802759636033</v>
      </c>
      <c r="K39" s="25" t="n">
        <f aca="false">K36+K38</f>
        <v>457.991946612447</v>
      </c>
      <c r="L39" s="25" t="n">
        <f aca="false">L36+L38</f>
        <v>496.165613057067</v>
      </c>
      <c r="M39" s="25" t="n">
        <f aca="false">M36+M38</f>
        <v>537.584825476983</v>
      </c>
    </row>
    <row r="40" customFormat="false" ht="17.15" hidden="false" customHeight="false" outlineLevel="0" collapsed="false">
      <c r="A40" s="4" t="s">
        <v>564</v>
      </c>
      <c r="B40" s="0" t="s">
        <v>74</v>
      </c>
      <c r="C40" s="22" t="n">
        <f aca="false">C32+C35-C36</f>
        <v>0</v>
      </c>
      <c r="D40" s="22" t="n">
        <f aca="false">D32+D35-D36</f>
        <v>0</v>
      </c>
      <c r="E40" s="22" t="n">
        <f aca="false">E32+E35-E36</f>
        <v>0</v>
      </c>
      <c r="F40" s="22" t="n">
        <f aca="false">F32+F35-F36</f>
        <v>0</v>
      </c>
      <c r="G40" s="22" t="n">
        <f aca="false">G32+G35-G36</f>
        <v>0</v>
      </c>
      <c r="H40" s="22" t="n">
        <f aca="false">H32+H35-H36</f>
        <v>0</v>
      </c>
      <c r="I40" s="22" t="n">
        <f aca="false">I32+I35-I36</f>
        <v>0</v>
      </c>
      <c r="J40" s="22" t="n">
        <f aca="false">J32+J35-J36</f>
        <v>0</v>
      </c>
      <c r="K40" s="22" t="n">
        <f aca="false">K32+K35-K36</f>
        <v>0</v>
      </c>
      <c r="L40" s="22" t="n">
        <f aca="false">L32+L35-L36</f>
        <v>0</v>
      </c>
      <c r="M40" s="22" t="n">
        <f aca="false">M32+M35-M36</f>
        <v>0</v>
      </c>
    </row>
    <row r="41" customFormat="false" ht="15" hidden="false" customHeight="false" outlineLevel="0" collapsed="false">
      <c r="A41" s="4" t="s">
        <v>568</v>
      </c>
      <c r="B41" s="0" t="s">
        <v>74</v>
      </c>
      <c r="C41" s="22" t="n">
        <f aca="false">C36+C38-C39</f>
        <v>0</v>
      </c>
      <c r="D41" s="22" t="n">
        <f aca="false">D36+D38-D39</f>
        <v>0</v>
      </c>
      <c r="E41" s="22" t="n">
        <f aca="false">E36+E38-E39</f>
        <v>0</v>
      </c>
      <c r="F41" s="22" t="n">
        <f aca="false">F36+F38-F39</f>
        <v>0</v>
      </c>
      <c r="G41" s="22" t="n">
        <f aca="false">G36+G38-G39</f>
        <v>0</v>
      </c>
      <c r="H41" s="22" t="n">
        <f aca="false">H36+H38-H39</f>
        <v>0</v>
      </c>
      <c r="I41" s="22" t="n">
        <f aca="false">I36+I38-I39</f>
        <v>0</v>
      </c>
      <c r="J41" s="22" t="n">
        <f aca="false">J36+J38-J39</f>
        <v>0</v>
      </c>
      <c r="K41" s="22" t="n">
        <f aca="false">K36+K38-K39</f>
        <v>0</v>
      </c>
      <c r="L41" s="22" t="n">
        <f aca="false">L36+L38-L39</f>
        <v>0</v>
      </c>
      <c r="M41" s="22" t="n">
        <f aca="false">M36+M38-M39</f>
        <v>0</v>
      </c>
    </row>
    <row r="42" customFormat="false" ht="17.15" hidden="false" customHeight="false" outlineLevel="0" collapsed="false">
      <c r="A42" s="4" t="s">
        <v>737</v>
      </c>
      <c r="B42" s="0" t="s">
        <v>74</v>
      </c>
      <c r="C42" s="22" t="n">
        <f aca="false">C39-Q!J10</f>
        <v>0</v>
      </c>
      <c r="D42" s="22" t="n">
        <f aca="false">D39-Q!K10</f>
        <v>0</v>
      </c>
      <c r="E42" s="22" t="n">
        <f aca="false">E39-Q!L10</f>
        <v>0</v>
      </c>
    </row>
    <row r="43" customFormat="false" ht="17.15" hidden="false" customHeight="false" outlineLevel="0" collapsed="false">
      <c r="A43" s="4" t="s">
        <v>738</v>
      </c>
      <c r="B43" s="0" t="s">
        <v>74</v>
      </c>
      <c r="F43" s="25" t="n">
        <f aca="false">F39*cx_na</f>
        <v>3.05347482909677</v>
      </c>
      <c r="G43" s="25" t="n">
        <f aca="false">F43</f>
        <v>3.05347482909677</v>
      </c>
      <c r="H43" s="25" t="n">
        <f aca="false">H39*cx_na</f>
        <v>12.6733270333063</v>
      </c>
      <c r="I43" s="25" t="n">
        <f aca="false">I39*cx_na</f>
        <v>14.9489748687497</v>
      </c>
      <c r="J43" s="25" t="n">
        <f aca="false">J39*cx_na</f>
        <v>16.9121103854413</v>
      </c>
      <c r="K43" s="25" t="n">
        <f aca="false">K39*cx_na</f>
        <v>18.3196778644979</v>
      </c>
      <c r="L43" s="25" t="n">
        <f aca="false">L39*cx_na</f>
        <v>19.8466245222827</v>
      </c>
      <c r="M43" s="25" t="n">
        <f aca="false">M39*cx_na</f>
        <v>21.5033930190793</v>
      </c>
    </row>
    <row r="44" customFormat="false" ht="17.15" hidden="false" customHeight="false" outlineLevel="0" collapsed="false">
      <c r="A44" s="4" t="s">
        <v>739</v>
      </c>
      <c r="B44" s="0" t="s">
        <v>74</v>
      </c>
      <c r="F44" s="25" t="n">
        <f aca="false">$F$43/life_na*IF((0)&lt;0,0,IF((0)=0,phi_q4,IF((0)&lt;life_na,1,IF((0)=life_na,1-phi_q4,0))))</f>
        <v>0.0381684353637096</v>
      </c>
      <c r="G44" s="25" t="n">
        <f aca="false">F44</f>
        <v>0.0381684353637096</v>
      </c>
      <c r="H44" s="25" t="n">
        <f aca="false">$F$43/life_na*IF((1)&lt;0,0,IF((1)=0,phi_q4,IF((1)&lt;life_na,1,IF((1)=life_na,1-phi_q4,0))))+$H$43/life_na*IF((0)&lt;0,0,IF((0)=0,phi_0,IF((0)&lt;life_na,1,IF((0)=life_na,1-phi_0,0))))</f>
        <v>0.622180658742334</v>
      </c>
      <c r="I44" s="25" t="n">
        <f aca="false">$F$43/life_na*IF((2)&lt;0,0,IF((2)=0,phi_q4,IF((2)&lt;life_na,1,IF((2)=life_na,1-phi_q4,0))))+$H$43/life_na*IF((1)&lt;0,0,IF((1)=0,phi_0,IF((1)&lt;life_na,1,IF((1)=life_na,1-phi_0,0))))+$I$43/life_na*IF((0)&lt;0,0,IF((0)=0,phi_0,IF((0)&lt;life_na,1,IF((0)=life_na,1-phi_0,0))))</f>
        <v>1.94640455795905</v>
      </c>
      <c r="J44" s="25" t="n">
        <f aca="false">$F$43/life_na*IF((3)&lt;0,0,IF((3)=0,phi_q4,IF((3)&lt;life_na,1,IF((3)=life_na,1-phi_q4,0))))+$H$43/life_na*IF((2)&lt;0,0,IF((2)=0,phi_0,IF((2)&lt;life_na,1,IF((2)=life_na,1-phi_0,0))))+$I$43/life_na*IF((1)&lt;0,0,IF((1)=0,phi_0,IF((1)&lt;life_na,1,IF((1)=life_na,1-phi_0,0))))+$J$43/life_na*IF((0)&lt;0,0,IF((0)=0,phi_0,IF((0)&lt;life_na,1,IF((0)=life_na,1-phi_0,0))))</f>
        <v>3.49038043275131</v>
      </c>
      <c r="K44" s="25" t="n">
        <f aca="false">$F$43/life_na*IF((4)&lt;0,0,IF((4)=0,phi_q4,IF((4)&lt;life_na,1,IF((4)=life_na,1-phi_q4,0))))+$H$43/life_na*IF((3)&lt;0,0,IF((3)=0,phi_0,IF((3)&lt;life_na,1,IF((3)=life_na,1-phi_0,0))))+$I$43/life_na*IF((2)&lt;0,0,IF((2)=0,phi_0,IF((2)&lt;life_na,1,IF((2)=life_na,1-phi_0,0))))+$J$43/life_na*IF((1)&lt;0,0,IF((1)=0,phi_0,IF((1)&lt;life_na,1,IF((1)=life_na,1-phi_0,0))))+$K$43/life_na*IF((0)&lt;0,0,IF((0)=0,phi_0,IF((0)&lt;life_na,1,IF((0)=life_na,1-phi_0,0))))</f>
        <v>5.21678065827185</v>
      </c>
      <c r="L44" s="25" t="n">
        <f aca="false">$F$43/life_na*IF((5)&lt;0,0,IF((5)=0,phi_q4,IF((5)&lt;life_na,1,IF((5)=life_na,1-phi_q4,0))))+$H$43/life_na*IF((4)&lt;0,0,IF((4)=0,phi_0,IF((4)&lt;life_na,1,IF((4)=life_na,1-phi_0,0))))+$I$43/life_na*IF((3)&lt;0,0,IF((3)=0,phi_0,IF((3)&lt;life_na,1,IF((3)=life_na,1-phi_0,0))))+$J$43/life_na*IF((2)&lt;0,0,IF((2)=0,phi_0,IF((2)&lt;life_na,1,IF((2)=life_na,1-phi_0,0))))+$K$43/life_na*IF((1)&lt;0,0,IF((1)=0,phi_0,IF((1)&lt;life_na,1,IF((1)=life_na,1-phi_0,0))))+$L$43/life_na*IF((0)&lt;0,0,IF((0)=0,phi_0,IF((0)&lt;life_na,1,IF((0)=life_na,1-phi_0,0))))</f>
        <v>7.08692211116626</v>
      </c>
      <c r="M44" s="25" t="n">
        <f aca="false">$F$43/life_na*IF((6)&lt;0,0,IF((6)=0,phi_q4,IF((6)&lt;life_na,1,IF((6)=life_na,1-phi_q4,0))))+$H$43/life_na*IF((5)&lt;0,0,IF((5)=0,phi_0,IF((5)&lt;life_na,1,IF((5)=life_na,1-phi_0,0))))+$I$43/life_na*IF((4)&lt;0,0,IF((4)=0,phi_0,IF((4)&lt;life_na,1,IF((4)=life_na,1-phi_0,0))))+$J$43/life_na*IF((3)&lt;0,0,IF((3)=0,phi_0,IF((3)&lt;life_na,1,IF((3)=life_na,1-phi_0,0))))+$K$43/life_na*IF((2)&lt;0,0,IF((2)=0,phi_0,IF((2)&lt;life_na,1,IF((2)=life_na,1-phi_0,0))))+$L$43/life_na*IF((1)&lt;0,0,IF((1)=0,phi_0,IF((1)&lt;life_na,1,IF((1)=life_na,1-phi_0,0))))+$M$43/life_na*IF((0)&lt;0,0,IF((0)=0,phi_0,IF((0)&lt;life_na,1,IF((0)=life_na,1-phi_0,0))))</f>
        <v>9.11300377581445</v>
      </c>
    </row>
    <row r="46" customFormat="false" ht="17.15" hidden="false" customHeight="false" outlineLevel="0" collapsed="false">
      <c r="A46" s="26" t="s">
        <v>719</v>
      </c>
    </row>
    <row r="47" customFormat="false" ht="15" hidden="false" customHeight="false" outlineLevel="0" collapsed="false">
      <c r="A47" s="3" t="s">
        <v>43</v>
      </c>
      <c r="B47" s="3" t="s">
        <v>44</v>
      </c>
      <c r="C47" s="21" t="s">
        <v>660</v>
      </c>
      <c r="D47" s="21" t="s">
        <v>661</v>
      </c>
      <c r="E47" s="21" t="s">
        <v>662</v>
      </c>
      <c r="F47" s="21" t="s">
        <v>663</v>
      </c>
      <c r="G47" s="21" t="s">
        <v>664</v>
      </c>
      <c r="H47" s="21" t="s">
        <v>665</v>
      </c>
      <c r="I47" s="21" t="s">
        <v>666</v>
      </c>
      <c r="J47" s="21" t="s">
        <v>667</v>
      </c>
      <c r="K47" s="21" t="s">
        <v>668</v>
      </c>
      <c r="L47" s="21" t="s">
        <v>669</v>
      </c>
      <c r="M47" s="21" t="s">
        <v>670</v>
      </c>
      <c r="N47" s="3" t="s">
        <v>50</v>
      </c>
    </row>
    <row r="48" customFormat="false" ht="17.15" hidden="false" customHeight="false" outlineLevel="0" collapsed="false">
      <c r="A48" s="4" t="s">
        <v>722</v>
      </c>
      <c r="B48" s="0" t="s">
        <v>128</v>
      </c>
      <c r="F48" s="15" t="n">
        <f aca="false">g0_impr</f>
        <v>0.1525</v>
      </c>
      <c r="H48" s="15" t="n">
        <f aca="false">g0_impr+(gl_impr-g0_impr)*MIN(1,(2027-2026)/conv_n)</f>
        <v>0.126875</v>
      </c>
      <c r="I48" s="15" t="n">
        <f aca="false">g0_impr+(gl_impr-g0_impr)*MIN(1,(2028-2026)/conv_n)</f>
        <v>0.10125</v>
      </c>
      <c r="J48" s="15" t="n">
        <f aca="false">g0_impr+(gl_impr-g0_impr)*MIN(1,(2029-2026)/conv_n)</f>
        <v>0.075625</v>
      </c>
      <c r="K48" s="15" t="n">
        <f aca="false">g0_impr+(gl_impr-g0_impr)*MIN(1,(2030-2026)/conv_n)</f>
        <v>0.05</v>
      </c>
      <c r="L48" s="15" t="n">
        <f aca="false">g0_impr+(gl_impr-g0_impr)*MIN(1,(2031-2026)/conv_n)</f>
        <v>0.05</v>
      </c>
      <c r="M48" s="15" t="n">
        <f aca="false">g0_impr+(gl_impr-g0_impr)*MIN(1,(2032-2026)/conv_n)</f>
        <v>0.05</v>
      </c>
      <c r="N48" s="7" t="s">
        <v>723</v>
      </c>
    </row>
    <row r="49" customFormat="false" ht="17.15" hidden="false" customHeight="false" outlineLevel="0" collapsed="false">
      <c r="A49" s="4" t="s">
        <v>724</v>
      </c>
      <c r="B49" s="0" t="s">
        <v>128</v>
      </c>
      <c r="F49" s="15" t="n">
        <f aca="false">g0_price</f>
        <v>0.106006641626572</v>
      </c>
      <c r="H49" s="15" t="n">
        <f aca="false">g0_price+(gl_price-g0_price)*MIN(1,(2027-2026)/conv_n)</f>
        <v>0.0870049812199288</v>
      </c>
      <c r="I49" s="15" t="n">
        <f aca="false">g0_price+(gl_price-g0_price)*MIN(1,(2028-2026)/conv_n)</f>
        <v>0.0680033208132859</v>
      </c>
      <c r="J49" s="15" t="n">
        <f aca="false">g0_price+(gl_price-g0_price)*MIN(1,(2029-2026)/conv_n)</f>
        <v>0.0490016604066429</v>
      </c>
      <c r="K49" s="15" t="n">
        <f aca="false">g0_price+(gl_price-g0_price)*MIN(1,(2030-2026)/conv_n)</f>
        <v>0.03</v>
      </c>
      <c r="L49" s="15" t="n">
        <f aca="false">g0_price+(gl_price-g0_price)*MIN(1,(2031-2026)/conv_n)</f>
        <v>0.03</v>
      </c>
      <c r="M49" s="15" t="n">
        <f aca="false">g0_price+(gl_price-g0_price)*MIN(1,(2032-2026)/conv_n)</f>
        <v>0.03</v>
      </c>
      <c r="N49" s="7" t="s">
        <v>725</v>
      </c>
    </row>
    <row r="50" customFormat="false" ht="17.15" hidden="false" customHeight="false" outlineLevel="0" collapsed="false">
      <c r="A50" s="0" t="s">
        <v>726</v>
      </c>
      <c r="B50" s="0" t="s">
        <v>74</v>
      </c>
      <c r="C50" s="25" t="n">
        <f aca="false">Q!J5</f>
        <v>160.633</v>
      </c>
      <c r="D50" s="25" t="n">
        <f aca="false">Q!K5</f>
        <v>196.175</v>
      </c>
      <c r="E50" s="25" t="n">
        <f aca="false">Q!L5</f>
        <v>177.448</v>
      </c>
      <c r="F50" s="25" t="n">
        <f aca="false">Q!F5*(1+F48)*(1+F49)</f>
        <v>74.1056441131912</v>
      </c>
      <c r="G50" s="25" t="n">
        <f aca="false">E50+F50</f>
        <v>251.553644113191</v>
      </c>
      <c r="H50" s="25" t="n">
        <f aca="false">G50*(1+H48)*(1+H49)</f>
        <v>308.132772339813</v>
      </c>
      <c r="I50" s="25" t="n">
        <f aca="false">H50*(1+I48)*(1+I49)</f>
        <v>362.406865051495</v>
      </c>
      <c r="J50" s="25" t="n">
        <f aca="false">I50*(1+J48)*(1+J49)</f>
        <v>408.915411797407</v>
      </c>
      <c r="K50" s="25" t="n">
        <f aca="false">J50*(1+K48)*(1+K49)</f>
        <v>442.242017858895</v>
      </c>
      <c r="L50" s="25" t="n">
        <f aca="false">K50*(1+L48)*(1+L49)</f>
        <v>478.284742314395</v>
      </c>
      <c r="M50" s="25" t="n">
        <f aca="false">L50*(1+M48)*(1+M49)</f>
        <v>517.264948813018</v>
      </c>
      <c r="N50" s="7" t="s">
        <v>727</v>
      </c>
    </row>
    <row r="51" customFormat="false" ht="17.15" hidden="false" customHeight="false" outlineLevel="0" collapsed="false">
      <c r="A51" s="4" t="s">
        <v>728</v>
      </c>
      <c r="B51" s="0" t="s">
        <v>116</v>
      </c>
      <c r="F51" s="23" t="n">
        <v>0</v>
      </c>
      <c r="H51" s="24" t="n">
        <f aca="false">MIN(1,(2027-2026)/conv_n)</f>
        <v>0.25</v>
      </c>
      <c r="I51" s="24" t="n">
        <f aca="false">MIN(1,(2028-2026)/conv_n)</f>
        <v>0.5</v>
      </c>
      <c r="J51" s="24" t="n">
        <f aca="false">MIN(1,(2029-2026)/conv_n)</f>
        <v>0.75</v>
      </c>
      <c r="K51" s="24" t="n">
        <f aca="false">MIN(1,(2030-2026)/conv_n)</f>
        <v>1</v>
      </c>
      <c r="L51" s="24" t="n">
        <f aca="false">MIN(1,(2031-2026)/conv_n)</f>
        <v>1</v>
      </c>
      <c r="M51" s="24" t="n">
        <f aca="false">MIN(1,(2032-2026)/conv_n)</f>
        <v>1</v>
      </c>
    </row>
    <row r="52" customFormat="false" ht="17.15" hidden="false" customHeight="false" outlineLevel="0" collapsed="false">
      <c r="A52" s="4" t="s">
        <v>729</v>
      </c>
      <c r="B52" s="0" t="s">
        <v>128</v>
      </c>
      <c r="F52" s="15" t="n">
        <f aca="false">pC*F51</f>
        <v>-0</v>
      </c>
      <c r="H52" s="15" t="n">
        <f aca="false">pC*H51</f>
        <v>-0.025</v>
      </c>
      <c r="I52" s="15" t="n">
        <f aca="false">pC*I51</f>
        <v>-0.05</v>
      </c>
      <c r="J52" s="15" t="n">
        <f aca="false">pC*J51</f>
        <v>-0.075</v>
      </c>
      <c r="K52" s="15" t="n">
        <f aca="false">pC*K51</f>
        <v>-0.1</v>
      </c>
      <c r="L52" s="15" t="n">
        <f aca="false">pC*L51</f>
        <v>-0.1</v>
      </c>
      <c r="M52" s="15" t="n">
        <f aca="false">pC*M51</f>
        <v>-0.1</v>
      </c>
      <c r="N52" s="7" t="s">
        <v>741</v>
      </c>
    </row>
    <row r="53" customFormat="false" ht="15" hidden="false" customHeight="false" outlineLevel="0" collapsed="false">
      <c r="A53" s="5" t="s">
        <v>560</v>
      </c>
      <c r="B53" s="7" t="s">
        <v>74</v>
      </c>
      <c r="C53" s="25" t="n">
        <f aca="false">C50</f>
        <v>160.633</v>
      </c>
      <c r="D53" s="25" t="n">
        <f aca="false">D50</f>
        <v>196.175</v>
      </c>
      <c r="E53" s="25" t="n">
        <f aca="false">E50</f>
        <v>177.448</v>
      </c>
      <c r="F53" s="25" t="n">
        <f aca="false">F50*(1+F52)</f>
        <v>74.1056441131912</v>
      </c>
      <c r="G53" s="25" t="n">
        <f aca="false">E53+F53</f>
        <v>251.553644113191</v>
      </c>
      <c r="H53" s="25" t="n">
        <f aca="false">H50*(1+H52)</f>
        <v>300.429453031317</v>
      </c>
      <c r="I53" s="25" t="n">
        <f aca="false">I50*(1+I52)</f>
        <v>344.28652179892</v>
      </c>
      <c r="J53" s="25" t="n">
        <f aca="false">J50*(1+J52)</f>
        <v>378.246755912601</v>
      </c>
      <c r="K53" s="25" t="n">
        <f aca="false">K50*(1+K52)</f>
        <v>398.017816073006</v>
      </c>
      <c r="L53" s="25" t="n">
        <f aca="false">L50*(1+L52)</f>
        <v>430.456268082956</v>
      </c>
      <c r="M53" s="25" t="n">
        <f aca="false">M50*(1+M52)</f>
        <v>465.538453931717</v>
      </c>
    </row>
    <row r="54" customFormat="false" ht="17.15" hidden="false" customHeight="false" outlineLevel="0" collapsed="false">
      <c r="A54" s="0" t="s">
        <v>731</v>
      </c>
      <c r="B54" s="0" t="s">
        <v>128</v>
      </c>
      <c r="D54" s="15" t="n">
        <f aca="false">D53/C53-1</f>
        <v>0.221262131691496</v>
      </c>
      <c r="G54" s="15" t="n">
        <f aca="false">G53/D53-1</f>
        <v>0.282292056139626</v>
      </c>
      <c r="H54" s="15" t="n">
        <f aca="false">H53/G53-1</f>
        <v>0.194295769756902</v>
      </c>
      <c r="I54" s="15" t="n">
        <f aca="false">I53/H53-1</f>
        <v>0.145981255582923</v>
      </c>
      <c r="J54" s="15" t="n">
        <f aca="false">J53/I53-1</f>
        <v>0.0986394527913457</v>
      </c>
      <c r="K54" s="15" t="n">
        <f aca="false">K53/J53-1</f>
        <v>0.0522702702702702</v>
      </c>
      <c r="L54" s="15" t="n">
        <f aca="false">L53/K53-1</f>
        <v>0.0815000000000001</v>
      </c>
      <c r="M54" s="15" t="n">
        <f aca="false">M53/L53-1</f>
        <v>0.0815000000000001</v>
      </c>
    </row>
    <row r="55" customFormat="false" ht="17.15" hidden="false" customHeight="false" outlineLevel="0" collapsed="false">
      <c r="A55" s="0" t="s">
        <v>732</v>
      </c>
      <c r="B55" s="0" t="s">
        <v>128</v>
      </c>
      <c r="F55" s="15" t="n">
        <f aca="false">g0_other</f>
        <v>0.646394439617724</v>
      </c>
      <c r="H55" s="15" t="n">
        <f aca="false">g0_other+(gl_other-g0_other)*MIN(1,(2027-2026)/conv_n)</f>
        <v>0.522295829713293</v>
      </c>
      <c r="I55" s="15" t="n">
        <f aca="false">g0_other+(gl_other-g0_other)*MIN(1,(2028-2026)/conv_n)</f>
        <v>0.398197219808862</v>
      </c>
      <c r="J55" s="15" t="n">
        <f aca="false">g0_other+(gl_other-g0_other)*MIN(1,(2029-2026)/conv_n)</f>
        <v>0.274098609904431</v>
      </c>
      <c r="K55" s="15" t="n">
        <f aca="false">g0_other+(gl_other-g0_other)*MIN(1,(2030-2026)/conv_n)</f>
        <v>0.15</v>
      </c>
      <c r="L55" s="15" t="n">
        <f aca="false">g0_other+(gl_other-g0_other)*MIN(1,(2031-2026)/conv_n)</f>
        <v>0.15</v>
      </c>
      <c r="M55" s="15" t="n">
        <f aca="false">g0_other+(gl_other-g0_other)*MIN(1,(2032-2026)/conv_n)</f>
        <v>0.15</v>
      </c>
      <c r="N55" s="4" t="s">
        <v>733</v>
      </c>
    </row>
    <row r="56" customFormat="false" ht="15" hidden="false" customHeight="false" outlineLevel="0" collapsed="false">
      <c r="A56" s="5" t="s">
        <v>562</v>
      </c>
      <c r="B56" s="7" t="s">
        <v>74</v>
      </c>
      <c r="C56" s="25" t="n">
        <f aca="false">Q!J6</f>
        <v>1.722</v>
      </c>
      <c r="D56" s="25" t="n">
        <f aca="false">Q!K6</f>
        <v>2.584</v>
      </c>
      <c r="E56" s="25" t="n">
        <f aca="false">Q!L6</f>
        <v>2.989</v>
      </c>
      <c r="F56" s="25" t="n">
        <f aca="false">Q!F6*(1+F55)</f>
        <v>1.3187619461338</v>
      </c>
      <c r="G56" s="25" t="n">
        <f aca="false">E56+F56</f>
        <v>4.3077619461338</v>
      </c>
      <c r="H56" s="25" t="n">
        <f aca="false">G56*(1+H55)</f>
        <v>6.5576880459971</v>
      </c>
      <c r="I56" s="25" t="n">
        <f aca="false">H56*(1+I55)</f>
        <v>9.16894119428695</v>
      </c>
      <c r="J56" s="25" t="n">
        <f aca="false">I56*(1+J55)</f>
        <v>11.6821352299365</v>
      </c>
      <c r="K56" s="25" t="n">
        <f aca="false">J56*(1+K55)</f>
        <v>13.4344555144269</v>
      </c>
      <c r="L56" s="25" t="n">
        <f aca="false">K56*(1+L55)</f>
        <v>15.449623841591</v>
      </c>
      <c r="M56" s="25" t="n">
        <f aca="false">L56*(1+M55)</f>
        <v>17.7670674178296</v>
      </c>
    </row>
    <row r="57" customFormat="false" ht="15" hidden="false" customHeight="false" outlineLevel="0" collapsed="false">
      <c r="A57" s="29" t="s">
        <v>734</v>
      </c>
      <c r="B57" s="30" t="s">
        <v>74</v>
      </c>
      <c r="C57" s="31" t="n">
        <f aca="false">Q!J7</f>
        <v>162.355</v>
      </c>
      <c r="D57" s="31" t="n">
        <f aca="false">Q!K7</f>
        <v>198.759</v>
      </c>
      <c r="E57" s="31" t="n">
        <f aca="false">Q!L7</f>
        <v>180.437</v>
      </c>
      <c r="F57" s="31" t="n">
        <f aca="false">F53+F56</f>
        <v>75.424406059325</v>
      </c>
      <c r="G57" s="31" t="n">
        <f aca="false">E57+F57</f>
        <v>255.861406059325</v>
      </c>
      <c r="H57" s="31" t="n">
        <f aca="false">H53+H56</f>
        <v>306.987141077315</v>
      </c>
      <c r="I57" s="31" t="n">
        <f aca="false">I53+I56</f>
        <v>353.455462993207</v>
      </c>
      <c r="J57" s="31" t="n">
        <f aca="false">J53+J56</f>
        <v>389.928891142538</v>
      </c>
      <c r="K57" s="31" t="n">
        <f aca="false">K53+K56</f>
        <v>411.452271587433</v>
      </c>
      <c r="L57" s="31" t="n">
        <f aca="false">L53+L56</f>
        <v>445.905891924547</v>
      </c>
      <c r="M57" s="31" t="n">
        <f aca="false">M53+M56</f>
        <v>483.305521349546</v>
      </c>
      <c r="N57" s="30"/>
    </row>
    <row r="58" customFormat="false" ht="17.15" hidden="false" customHeight="false" outlineLevel="0" collapsed="false">
      <c r="A58" s="0" t="s">
        <v>735</v>
      </c>
      <c r="B58" s="0" t="s">
        <v>128</v>
      </c>
      <c r="F58" s="15" t="n">
        <f aca="false">g0_rl</f>
        <v>-0.0445396145610278</v>
      </c>
      <c r="H58" s="15" t="n">
        <f aca="false">g0_rl+(gl_rl-g0_rl)*MIN(1,(2027-2026)/conv_n)</f>
        <v>-0.0209047109207709</v>
      </c>
      <c r="I58" s="15" t="n">
        <f aca="false">g0_rl+(gl_rl-g0_rl)*MIN(1,(2028-2026)/conv_n)</f>
        <v>0.00273019271948608</v>
      </c>
      <c r="J58" s="15" t="n">
        <f aca="false">g0_rl+(gl_rl-g0_rl)*MIN(1,(2029-2026)/conv_n)</f>
        <v>0.026365096359743</v>
      </c>
      <c r="K58" s="15" t="n">
        <f aca="false">g0_rl+(gl_rl-g0_rl)*MIN(1,(2030-2026)/conv_n)</f>
        <v>0.05</v>
      </c>
      <c r="L58" s="15" t="n">
        <f aca="false">g0_rl+(gl_rl-g0_rl)*MIN(1,(2031-2026)/conv_n)</f>
        <v>0.05</v>
      </c>
      <c r="M58" s="15" t="n">
        <f aca="false">g0_rl+(gl_rl-g0_rl)*MIN(1,(2032-2026)/conv_n)</f>
        <v>0.05</v>
      </c>
      <c r="N58" s="4" t="s">
        <v>733</v>
      </c>
    </row>
    <row r="59" customFormat="false" ht="15" hidden="false" customHeight="false" outlineLevel="0" collapsed="false">
      <c r="A59" s="29" t="s">
        <v>736</v>
      </c>
      <c r="B59" s="30" t="s">
        <v>74</v>
      </c>
      <c r="C59" s="31" t="n">
        <f aca="false">Q!J9</f>
        <v>2.146</v>
      </c>
      <c r="D59" s="31" t="n">
        <f aca="false">Q!K9</f>
        <v>2.207</v>
      </c>
      <c r="E59" s="31" t="n">
        <f aca="false">Q!L9</f>
        <v>1.276</v>
      </c>
      <c r="F59" s="31" t="n">
        <f aca="false">Q!F9*(1+F58)</f>
        <v>0.912464668094218</v>
      </c>
      <c r="G59" s="31" t="n">
        <f aca="false">E59+F59</f>
        <v>2.18846466809422</v>
      </c>
      <c r="H59" s="31" t="n">
        <f aca="false">G59*(1+H58)</f>
        <v>2.14271544684739</v>
      </c>
      <c r="I59" s="31" t="n">
        <f aca="false">H59*(1+I58)</f>
        <v>2.1485654729603</v>
      </c>
      <c r="J59" s="31" t="n">
        <f aca="false">I59*(1+J58)</f>
        <v>2.20521260869012</v>
      </c>
      <c r="K59" s="31" t="n">
        <f aca="false">J59*(1+K58)</f>
        <v>2.31547323912462</v>
      </c>
      <c r="L59" s="31" t="n">
        <f aca="false">K59*(1+L58)</f>
        <v>2.43124690108085</v>
      </c>
      <c r="M59" s="31" t="n">
        <f aca="false">L59*(1+M58)</f>
        <v>2.5528092461349</v>
      </c>
      <c r="N59" s="30"/>
    </row>
    <row r="60" customFormat="false" ht="15" hidden="false" customHeight="false" outlineLevel="0" collapsed="false">
      <c r="A60" s="2" t="s">
        <v>567</v>
      </c>
      <c r="B60" s="7" t="s">
        <v>74</v>
      </c>
      <c r="C60" s="25" t="n">
        <f aca="false">Q!J10</f>
        <v>164.501</v>
      </c>
      <c r="D60" s="25" t="n">
        <f aca="false">Q!K10</f>
        <v>200.966</v>
      </c>
      <c r="E60" s="25" t="n">
        <f aca="false">Q!L10</f>
        <v>181.713</v>
      </c>
      <c r="F60" s="25" t="n">
        <f aca="false">F57+F59</f>
        <v>76.3368707274192</v>
      </c>
      <c r="G60" s="25" t="n">
        <f aca="false">E60+F60</f>
        <v>258.049870727419</v>
      </c>
      <c r="H60" s="25" t="n">
        <f aca="false">H57+H59</f>
        <v>309.129856524162</v>
      </c>
      <c r="I60" s="25" t="n">
        <f aca="false">I57+I59</f>
        <v>355.604028466167</v>
      </c>
      <c r="J60" s="25" t="n">
        <f aca="false">J57+J59</f>
        <v>392.134103751228</v>
      </c>
      <c r="K60" s="25" t="n">
        <f aca="false">K57+K59</f>
        <v>413.767744826557</v>
      </c>
      <c r="L60" s="25" t="n">
        <f aca="false">L57+L59</f>
        <v>448.337138825627</v>
      </c>
      <c r="M60" s="25" t="n">
        <f aca="false">M57+M59</f>
        <v>485.858330595681</v>
      </c>
    </row>
    <row r="61" customFormat="false" ht="17.15" hidden="false" customHeight="false" outlineLevel="0" collapsed="false">
      <c r="A61" s="4" t="s">
        <v>564</v>
      </c>
      <c r="B61" s="0" t="s">
        <v>74</v>
      </c>
      <c r="C61" s="22" t="n">
        <f aca="false">C53+C56-C57</f>
        <v>0</v>
      </c>
      <c r="D61" s="22" t="n">
        <f aca="false">D53+D56-D57</f>
        <v>0</v>
      </c>
      <c r="E61" s="22" t="n">
        <f aca="false">E53+E56-E57</f>
        <v>0</v>
      </c>
      <c r="F61" s="22" t="n">
        <f aca="false">F53+F56-F57</f>
        <v>0</v>
      </c>
      <c r="G61" s="22" t="n">
        <f aca="false">G53+G56-G57</f>
        <v>0</v>
      </c>
      <c r="H61" s="22" t="n">
        <f aca="false">H53+H56-H57</f>
        <v>0</v>
      </c>
      <c r="I61" s="22" t="n">
        <f aca="false">I53+I56-I57</f>
        <v>0</v>
      </c>
      <c r="J61" s="22" t="n">
        <f aca="false">J53+J56-J57</f>
        <v>0</v>
      </c>
      <c r="K61" s="22" t="n">
        <f aca="false">K53+K56-K57</f>
        <v>0</v>
      </c>
      <c r="L61" s="22" t="n">
        <f aca="false">L53+L56-L57</f>
        <v>0</v>
      </c>
      <c r="M61" s="22" t="n">
        <f aca="false">M53+M56-M57</f>
        <v>0</v>
      </c>
    </row>
    <row r="62" customFormat="false" ht="15" hidden="false" customHeight="false" outlineLevel="0" collapsed="false">
      <c r="A62" s="4" t="s">
        <v>568</v>
      </c>
      <c r="B62" s="0" t="s">
        <v>74</v>
      </c>
      <c r="C62" s="22" t="n">
        <f aca="false">C57+C59-C60</f>
        <v>0</v>
      </c>
      <c r="D62" s="22" t="n">
        <f aca="false">D57+D59-D60</f>
        <v>0</v>
      </c>
      <c r="E62" s="22" t="n">
        <f aca="false">E57+E59-E60</f>
        <v>0</v>
      </c>
      <c r="F62" s="22" t="n">
        <f aca="false">F57+F59-F60</f>
        <v>0</v>
      </c>
      <c r="G62" s="22" t="n">
        <f aca="false">G57+G59-G60</f>
        <v>0</v>
      </c>
      <c r="H62" s="22" t="n">
        <f aca="false">H57+H59-H60</f>
        <v>0</v>
      </c>
      <c r="I62" s="22" t="n">
        <f aca="false">I57+I59-I60</f>
        <v>0</v>
      </c>
      <c r="J62" s="22" t="n">
        <f aca="false">J57+J59-J60</f>
        <v>0</v>
      </c>
      <c r="K62" s="22" t="n">
        <f aca="false">K57+K59-K60</f>
        <v>0</v>
      </c>
      <c r="L62" s="22" t="n">
        <f aca="false">L57+L59-L60</f>
        <v>0</v>
      </c>
      <c r="M62" s="22" t="n">
        <f aca="false">M57+M59-M60</f>
        <v>0</v>
      </c>
    </row>
    <row r="63" customFormat="false" ht="17.15" hidden="false" customHeight="false" outlineLevel="0" collapsed="false">
      <c r="A63" s="4" t="s">
        <v>737</v>
      </c>
      <c r="B63" s="0" t="s">
        <v>74</v>
      </c>
      <c r="C63" s="22" t="n">
        <f aca="false">C60-Q!J10</f>
        <v>0</v>
      </c>
      <c r="D63" s="22" t="n">
        <f aca="false">D60-Q!K10</f>
        <v>0</v>
      </c>
      <c r="E63" s="22" t="n">
        <f aca="false">E60-Q!L10</f>
        <v>0</v>
      </c>
    </row>
    <row r="64" customFormat="false" ht="17.15" hidden="false" customHeight="false" outlineLevel="0" collapsed="false">
      <c r="A64" s="4" t="s">
        <v>738</v>
      </c>
      <c r="B64" s="0" t="s">
        <v>74</v>
      </c>
      <c r="F64" s="25" t="n">
        <f aca="false">F60*cx_na</f>
        <v>3.05347482909677</v>
      </c>
      <c r="G64" s="25" t="n">
        <f aca="false">F64</f>
        <v>3.05347482909677</v>
      </c>
      <c r="H64" s="25" t="n">
        <f aca="false">H60*cx_na</f>
        <v>12.3651942609665</v>
      </c>
      <c r="I64" s="25" t="n">
        <f aca="false">I60*cx_na</f>
        <v>14.2241611386467</v>
      </c>
      <c r="J64" s="25" t="n">
        <f aca="false">J60*cx_na</f>
        <v>15.6853641500491</v>
      </c>
      <c r="K64" s="25" t="n">
        <f aca="false">K60*cx_na</f>
        <v>16.5507097930623</v>
      </c>
      <c r="L64" s="25" t="n">
        <f aca="false">L60*cx_na</f>
        <v>17.9334855530251</v>
      </c>
      <c r="M64" s="25" t="n">
        <f aca="false">M60*cx_na</f>
        <v>19.4343332238272</v>
      </c>
    </row>
    <row r="65" customFormat="false" ht="17.15" hidden="false" customHeight="false" outlineLevel="0" collapsed="false">
      <c r="A65" s="4" t="s">
        <v>739</v>
      </c>
      <c r="B65" s="0" t="s">
        <v>74</v>
      </c>
      <c r="F65" s="25" t="n">
        <f aca="false">$F$64/life_na*IF((0)&lt;0,0,IF((0)=0,phi_q4,IF((0)&lt;life_na,1,IF((0)=life_na,1-phi_q4,0))))</f>
        <v>0.0381684353637096</v>
      </c>
      <c r="G65" s="25" t="n">
        <f aca="false">F65</f>
        <v>0.0381684353637096</v>
      </c>
      <c r="H65" s="25" t="n">
        <f aca="false">$F$64/life_na*IF((1)&lt;0,0,IF((1)=0,phi_q4,IF((1)&lt;life_na,1,IF((1)=life_na,1-phi_q4,0))))+$H$64/life_na*IF((0)&lt;0,0,IF((0)=0,phi_0,IF((0)&lt;life_na,1,IF((0)=life_na,1-phi_0,0))))</f>
        <v>0.614477339433839</v>
      </c>
      <c r="I65" s="25" t="n">
        <f aca="false">$F$64/life_na*IF((2)&lt;0,0,IF((2)=0,phi_q4,IF((2)&lt;life_na,1,IF((2)=life_na,1-phi_q4,0))))+$H$64/life_na*IF((1)&lt;0,0,IF((1)=0,phi_0,IF((1)&lt;life_na,1,IF((1)=life_na,1-phi_0,0))))+$I$64/life_na*IF((0)&lt;0,0,IF((0)=0,phi_0,IF((0)&lt;life_na,1,IF((0)=life_na,1-phi_0,0))))</f>
        <v>1.89747093747249</v>
      </c>
      <c r="J65" s="25" t="n">
        <f aca="false">$F$64/life_na*IF((3)&lt;0,0,IF((3)=0,phi_q4,IF((3)&lt;life_na,1,IF((3)=life_na,1-phi_q4,0))))+$H$64/life_na*IF((2)&lt;0,0,IF((2)=0,phi_0,IF((2)&lt;life_na,1,IF((2)=life_na,1-phi_0,0))))+$I$64/life_na*IF((1)&lt;0,0,IF((1)=0,phi_0,IF((1)&lt;life_na,1,IF((1)=life_na,1-phi_0,0))))+$J$64/life_na*IF((0)&lt;0,0,IF((0)=0,phi_0,IF((0)&lt;life_na,1,IF((0)=life_na,1-phi_0,0))))</f>
        <v>3.35641712662222</v>
      </c>
      <c r="K65" s="25" t="n">
        <f aca="false">$F$64/life_na*IF((4)&lt;0,0,IF((4)=0,phi_q4,IF((4)&lt;life_na,1,IF((4)=life_na,1-phi_q4,0))))+$H$64/life_na*IF((3)&lt;0,0,IF((3)=0,phi_0,IF((3)&lt;life_na,1,IF((3)=life_na,1-phi_0,0))))+$I$64/life_na*IF((2)&lt;0,0,IF((2)=0,phi_0,IF((2)&lt;life_na,1,IF((2)=life_na,1-phi_0,0))))+$J$64/life_na*IF((1)&lt;0,0,IF((1)=0,phi_0,IF((1)&lt;life_na,1,IF((1)=life_na,1-phi_0,0))))+$K$64/life_na*IF((0)&lt;0,0,IF((0)=0,phi_0,IF((0)&lt;life_na,1,IF((0)=life_na,1-phi_0,0))))</f>
        <v>4.94658718270246</v>
      </c>
      <c r="L65" s="25" t="n">
        <f aca="false">$F$64/life_na*IF((5)&lt;0,0,IF((5)=0,phi_q4,IF((5)&lt;life_na,1,IF((5)=life_na,1-phi_q4,0))))+$H$64/life_na*IF((4)&lt;0,0,IF((4)=0,phi_0,IF((4)&lt;life_na,1,IF((4)=life_na,1-phi_0,0))))+$I$64/life_na*IF((3)&lt;0,0,IF((3)=0,phi_0,IF((3)&lt;life_na,1,IF((3)=life_na,1-phi_0,0))))+$J$64/life_na*IF((2)&lt;0,0,IF((2)=0,phi_0,IF((2)&lt;life_na,1,IF((2)=life_na,1-phi_0,0))))+$K$64/life_na*IF((1)&lt;0,0,IF((1)=0,phi_0,IF((1)&lt;life_na,1,IF((1)=life_na,1-phi_0,0))))+$L$64/life_na*IF((0)&lt;0,0,IF((0)=0,phi_0,IF((0)&lt;life_na,1,IF((0)=life_na,1-phi_0,0))))</f>
        <v>6.63622755600776</v>
      </c>
      <c r="M65" s="25" t="n">
        <f aca="false">$F$64/life_na*IF((6)&lt;0,0,IF((6)=0,phi_q4,IF((6)&lt;life_na,1,IF((6)=life_na,1-phi_q4,0))))+$H$64/life_na*IF((5)&lt;0,0,IF((5)=0,phi_0,IF((5)&lt;life_na,1,IF((5)=life_na,1-phi_0,0))))+$I$64/life_na*IF((4)&lt;0,0,IF((4)=0,phi_0,IF((4)&lt;life_na,1,IF((4)=life_na,1-phi_0,0))))+$J$64/life_na*IF((3)&lt;0,0,IF((3)=0,phi_0,IF((3)&lt;life_na,1,IF((3)=life_na,1-phi_0,0))))+$K$64/life_na*IF((2)&lt;0,0,IF((2)=0,phi_0,IF((2)&lt;life_na,1,IF((2)=life_na,1-phi_0,0))))+$L$64/life_na*IF((1)&lt;0,0,IF((1)=0,phi_0,IF((1)&lt;life_na,1,IF((1)=life_na,1-phi_0,0))))+$M$64/life_na*IF((0)&lt;0,0,IF((0)=0,phi_0,IF((0)&lt;life_na,1,IF((0)=life_na,1-phi_0,0))))</f>
        <v>8.46709730308032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742</v>
      </c>
    </row>
    <row r="2" customFormat="false" ht="17.15" hidden="false" customHeight="false" outlineLevel="0" collapsed="false">
      <c r="A2" s="0" t="s">
        <v>743</v>
      </c>
    </row>
    <row r="4" customFormat="false" ht="17.15" hidden="false" customHeight="false" outlineLevel="0" collapsed="false">
      <c r="A4" s="2" t="s">
        <v>744</v>
      </c>
    </row>
    <row r="5" customFormat="false" ht="15" hidden="false" customHeight="false" outlineLevel="0" collapsed="false">
      <c r="A5" s="3" t="s">
        <v>43</v>
      </c>
      <c r="B5" s="3" t="s">
        <v>44</v>
      </c>
      <c r="C5" s="21" t="s">
        <v>660</v>
      </c>
      <c r="D5" s="21" t="s">
        <v>661</v>
      </c>
      <c r="E5" s="21" t="s">
        <v>662</v>
      </c>
      <c r="F5" s="21" t="s">
        <v>663</v>
      </c>
      <c r="G5" s="21" t="s">
        <v>664</v>
      </c>
      <c r="H5" s="21" t="s">
        <v>665</v>
      </c>
      <c r="I5" s="21" t="s">
        <v>666</v>
      </c>
      <c r="J5" s="21" t="s">
        <v>667</v>
      </c>
      <c r="K5" s="21" t="s">
        <v>668</v>
      </c>
      <c r="L5" s="21" t="s">
        <v>669</v>
      </c>
      <c r="M5" s="21" t="s">
        <v>670</v>
      </c>
      <c r="N5" s="3" t="s">
        <v>50</v>
      </c>
    </row>
    <row r="6" customFormat="false" ht="17.15" hidden="false" customHeight="false" outlineLevel="0" collapsed="false">
      <c r="A6" s="4" t="s">
        <v>564</v>
      </c>
      <c r="B6" s="0" t="s">
        <v>74</v>
      </c>
      <c r="C6" s="22" t="n">
        <f aca="false">MAX(ABS(C18),ABS(C65),ABS(C112))</f>
        <v>0</v>
      </c>
      <c r="D6" s="22" t="n">
        <f aca="false">MAX(ABS(D18),ABS(D65),ABS(D112))</f>
        <v>0</v>
      </c>
      <c r="E6" s="22" t="n">
        <f aca="false">MAX(ABS(E18),ABS(E65),ABS(E112))</f>
        <v>0</v>
      </c>
      <c r="F6" s="22" t="n">
        <f aca="false">MAX(ABS(F18),ABS(F65),ABS(F112))</f>
        <v>0</v>
      </c>
      <c r="G6" s="22" t="n">
        <f aca="false">MAX(ABS(G18),ABS(G65),ABS(G112))</f>
        <v>0</v>
      </c>
      <c r="H6" s="22" t="n">
        <f aca="false">MAX(ABS(H18),ABS(H65),ABS(H112))</f>
        <v>0</v>
      </c>
      <c r="I6" s="22" t="n">
        <f aca="false">MAX(ABS(I18),ABS(I65),ABS(I112))</f>
        <v>0</v>
      </c>
      <c r="J6" s="22" t="n">
        <f aca="false">MAX(ABS(J18),ABS(J65),ABS(J112))</f>
        <v>0</v>
      </c>
      <c r="K6" s="22" t="n">
        <f aca="false">MAX(ABS(K18),ABS(K65),ABS(K112))</f>
        <v>0</v>
      </c>
      <c r="L6" s="22" t="n">
        <f aca="false">MAX(ABS(L18),ABS(L65),ABS(L112))</f>
        <v>0</v>
      </c>
      <c r="M6" s="22" t="n">
        <f aca="false">MAX(ABS(M18),ABS(M65),ABS(M112))</f>
        <v>0</v>
      </c>
      <c r="N6" s="4" t="s">
        <v>745</v>
      </c>
    </row>
    <row r="7" customFormat="false" ht="17.15" hidden="false" customHeight="false" outlineLevel="0" collapsed="false">
      <c r="A7" s="4" t="s">
        <v>568</v>
      </c>
      <c r="B7" s="0" t="s">
        <v>74</v>
      </c>
      <c r="C7" s="22" t="n">
        <f aca="false">MAX(ABS(C19),ABS(C66),ABS(C113))</f>
        <v>0</v>
      </c>
      <c r="D7" s="22" t="n">
        <f aca="false">MAX(ABS(D19),ABS(D66),ABS(D113))</f>
        <v>0</v>
      </c>
      <c r="E7" s="22" t="n">
        <f aca="false">MAX(ABS(E19),ABS(E66),ABS(E113))</f>
        <v>0</v>
      </c>
      <c r="F7" s="22" t="n">
        <f aca="false">MAX(ABS(F19),ABS(F66),ABS(F113))</f>
        <v>0</v>
      </c>
      <c r="G7" s="22" t="n">
        <f aca="false">MAX(ABS(G19),ABS(G66),ABS(G113))</f>
        <v>0</v>
      </c>
      <c r="H7" s="22" t="n">
        <f aca="false">MAX(ABS(H19),ABS(H66),ABS(H113))</f>
        <v>0</v>
      </c>
      <c r="I7" s="22" t="n">
        <f aca="false">MAX(ABS(I19),ABS(I66),ABS(I113))</f>
        <v>0</v>
      </c>
      <c r="J7" s="22" t="n">
        <f aca="false">MAX(ABS(J19),ABS(J66),ABS(J113))</f>
        <v>0</v>
      </c>
      <c r="K7" s="22" t="n">
        <f aca="false">MAX(ABS(K19),ABS(K66),ABS(K113))</f>
        <v>0</v>
      </c>
      <c r="L7" s="22" t="n">
        <f aca="false">MAX(ABS(L19),ABS(L66),ABS(L113))</f>
        <v>0</v>
      </c>
      <c r="M7" s="22" t="n">
        <f aca="false">MAX(ABS(M19),ABS(M66),ABS(M113))</f>
        <v>0</v>
      </c>
      <c r="N7" s="4" t="s">
        <v>745</v>
      </c>
    </row>
    <row r="8" customFormat="false" ht="17.15" hidden="false" customHeight="false" outlineLevel="0" collapsed="false">
      <c r="A8" s="4" t="s">
        <v>573</v>
      </c>
      <c r="B8" s="0" t="s">
        <v>74</v>
      </c>
      <c r="C8" s="22" t="n">
        <f aca="false">MAX(ABS(C32),ABS(C79),ABS(C126))</f>
        <v>0</v>
      </c>
      <c r="D8" s="22" t="n">
        <f aca="false">MAX(ABS(D32),ABS(D79),ABS(D126))</f>
        <v>0</v>
      </c>
      <c r="E8" s="22" t="n">
        <f aca="false">MAX(ABS(E32),ABS(E79),ABS(E126))</f>
        <v>0</v>
      </c>
      <c r="F8" s="22" t="n">
        <f aca="false">MAX(ABS(F32),ABS(F79),ABS(F126))</f>
        <v>0</v>
      </c>
      <c r="G8" s="22" t="n">
        <f aca="false">MAX(ABS(G32),ABS(G79),ABS(G126))</f>
        <v>0</v>
      </c>
      <c r="H8" s="22" t="n">
        <f aca="false">MAX(ABS(H32),ABS(H79),ABS(H126))</f>
        <v>0</v>
      </c>
      <c r="I8" s="22" t="n">
        <f aca="false">MAX(ABS(I32),ABS(I79),ABS(I126))</f>
        <v>0</v>
      </c>
      <c r="J8" s="22" t="n">
        <f aca="false">MAX(ABS(J32),ABS(J79),ABS(J126))</f>
        <v>0</v>
      </c>
      <c r="K8" s="22" t="n">
        <f aca="false">MAX(ABS(K32),ABS(K79),ABS(K126))</f>
        <v>0</v>
      </c>
      <c r="L8" s="22" t="n">
        <f aca="false">MAX(ABS(L32),ABS(L79),ABS(L126))</f>
        <v>0</v>
      </c>
      <c r="M8" s="22" t="n">
        <f aca="false">MAX(ABS(M32),ABS(M79),ABS(M126))</f>
        <v>0</v>
      </c>
      <c r="N8" s="4" t="s">
        <v>745</v>
      </c>
    </row>
    <row r="10" customFormat="false" ht="17.15" hidden="false" customHeight="false" outlineLevel="0" collapsed="false">
      <c r="A10" s="26" t="s">
        <v>659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21" t="s">
        <v>660</v>
      </c>
      <c r="D11" s="21" t="s">
        <v>661</v>
      </c>
      <c r="E11" s="21" t="s">
        <v>662</v>
      </c>
      <c r="F11" s="21" t="s">
        <v>663</v>
      </c>
      <c r="G11" s="21" t="s">
        <v>664</v>
      </c>
      <c r="H11" s="21" t="s">
        <v>665</v>
      </c>
      <c r="I11" s="21" t="s">
        <v>666</v>
      </c>
      <c r="J11" s="21" t="s">
        <v>667</v>
      </c>
      <c r="K11" s="21" t="s">
        <v>668</v>
      </c>
      <c r="L11" s="21" t="s">
        <v>669</v>
      </c>
      <c r="M11" s="21" t="s">
        <v>670</v>
      </c>
      <c r="N11" s="3" t="s">
        <v>50</v>
      </c>
    </row>
    <row r="12" customFormat="false" ht="15" hidden="false" customHeight="false" outlineLevel="0" collapsed="false">
      <c r="A12" s="0" t="s">
        <v>560</v>
      </c>
      <c r="B12" s="0" t="s">
        <v>74</v>
      </c>
      <c r="C12" s="25" t="n">
        <f aca="false">Seg!C11</f>
        <v>160.633</v>
      </c>
      <c r="D12" s="25" t="n">
        <f aca="false">Seg!D11</f>
        <v>196.175</v>
      </c>
      <c r="E12" s="25" t="n">
        <f aca="false">Seg!E11</f>
        <v>177.448</v>
      </c>
      <c r="F12" s="25" t="n">
        <f aca="false">Seg!F11</f>
        <v>74.1056441131912</v>
      </c>
      <c r="G12" s="25" t="n">
        <f aca="false">Seg!G11</f>
        <v>251.553644113191</v>
      </c>
      <c r="H12" s="25" t="n">
        <f aca="false">Seg!H11</f>
        <v>315.836091648308</v>
      </c>
      <c r="I12" s="25" t="n">
        <f aca="false">Seg!I11</f>
        <v>380.527208304069</v>
      </c>
      <c r="J12" s="25" t="n">
        <f aca="false">Seg!J11</f>
        <v>439.584067682212</v>
      </c>
      <c r="K12" s="25" t="n">
        <f aca="false">Seg!K11</f>
        <v>486.466219644785</v>
      </c>
      <c r="L12" s="25" t="n">
        <f aca="false">Seg!L11</f>
        <v>526.113216545835</v>
      </c>
      <c r="M12" s="25" t="n">
        <f aca="false">Seg!M11</f>
        <v>568.99144369432</v>
      </c>
    </row>
    <row r="13" customFormat="false" ht="15" hidden="false" customHeight="false" outlineLevel="0" collapsed="false">
      <c r="A13" s="0" t="s">
        <v>562</v>
      </c>
      <c r="B13" s="0" t="s">
        <v>74</v>
      </c>
      <c r="C13" s="25" t="n">
        <f aca="false">Seg!C14</f>
        <v>1.722</v>
      </c>
      <c r="D13" s="25" t="n">
        <f aca="false">Seg!D14</f>
        <v>2.584</v>
      </c>
      <c r="E13" s="25" t="n">
        <f aca="false">Seg!E14</f>
        <v>2.989</v>
      </c>
      <c r="F13" s="25" t="n">
        <f aca="false">Seg!F14</f>
        <v>1.3187619461338</v>
      </c>
      <c r="G13" s="25" t="n">
        <f aca="false">Seg!G14</f>
        <v>4.3077619461338</v>
      </c>
      <c r="H13" s="25" t="n">
        <f aca="false">Seg!H14</f>
        <v>6.5576880459971</v>
      </c>
      <c r="I13" s="25" t="n">
        <f aca="false">Seg!I14</f>
        <v>9.16894119428695</v>
      </c>
      <c r="J13" s="25" t="n">
        <f aca="false">Seg!J14</f>
        <v>11.6821352299365</v>
      </c>
      <c r="K13" s="25" t="n">
        <f aca="false">Seg!K14</f>
        <v>13.4344555144269</v>
      </c>
      <c r="L13" s="25" t="n">
        <f aca="false">Seg!L14</f>
        <v>15.449623841591</v>
      </c>
      <c r="M13" s="25" t="n">
        <f aca="false">Seg!M14</f>
        <v>17.7670674178296</v>
      </c>
    </row>
    <row r="14" customFormat="false" ht="15" hidden="false" customHeight="false" outlineLevel="0" collapsed="false">
      <c r="A14" s="29" t="s">
        <v>734</v>
      </c>
      <c r="B14" s="30" t="s">
        <v>74</v>
      </c>
      <c r="C14" s="31" t="n">
        <f aca="false">Seg!C15</f>
        <v>162.355</v>
      </c>
      <c r="D14" s="31" t="n">
        <f aca="false">Seg!D15</f>
        <v>198.759</v>
      </c>
      <c r="E14" s="31" t="n">
        <f aca="false">Seg!E15</f>
        <v>180.437</v>
      </c>
      <c r="F14" s="31" t="n">
        <f aca="false">Seg!F15</f>
        <v>75.424406059325</v>
      </c>
      <c r="G14" s="31" t="n">
        <f aca="false">Seg!G15</f>
        <v>255.861406059325</v>
      </c>
      <c r="H14" s="31" t="n">
        <f aca="false">Seg!H15</f>
        <v>322.393779694305</v>
      </c>
      <c r="I14" s="31" t="n">
        <f aca="false">Seg!I15</f>
        <v>389.696149498356</v>
      </c>
      <c r="J14" s="31" t="n">
        <f aca="false">Seg!J15</f>
        <v>451.266202912148</v>
      </c>
      <c r="K14" s="31" t="n">
        <f aca="false">Seg!K15</f>
        <v>499.900675159212</v>
      </c>
      <c r="L14" s="31" t="n">
        <f aca="false">Seg!L15</f>
        <v>541.562840387426</v>
      </c>
      <c r="M14" s="31" t="n">
        <f aca="false">Seg!M15</f>
        <v>586.75851111215</v>
      </c>
      <c r="N14" s="30"/>
    </row>
    <row r="15" customFormat="false" ht="15" hidden="false" customHeight="false" outlineLevel="0" collapsed="false">
      <c r="A15" s="29" t="s">
        <v>736</v>
      </c>
      <c r="B15" s="30" t="s">
        <v>74</v>
      </c>
      <c r="C15" s="31" t="n">
        <f aca="false">Seg!C17</f>
        <v>2.146</v>
      </c>
      <c r="D15" s="31" t="n">
        <f aca="false">Seg!D17</f>
        <v>2.207</v>
      </c>
      <c r="E15" s="31" t="n">
        <f aca="false">Seg!E17</f>
        <v>1.276</v>
      </c>
      <c r="F15" s="31" t="n">
        <f aca="false">Seg!F17</f>
        <v>0.912464668094218</v>
      </c>
      <c r="G15" s="31" t="n">
        <f aca="false">Seg!G17</f>
        <v>2.18846466809422</v>
      </c>
      <c r="H15" s="31" t="n">
        <f aca="false">Seg!H17</f>
        <v>2.14271544684739</v>
      </c>
      <c r="I15" s="31" t="n">
        <f aca="false">Seg!I17</f>
        <v>2.1485654729603</v>
      </c>
      <c r="J15" s="31" t="n">
        <f aca="false">Seg!J17</f>
        <v>2.20521260869012</v>
      </c>
      <c r="K15" s="31" t="n">
        <f aca="false">Seg!K17</f>
        <v>2.31547323912462</v>
      </c>
      <c r="L15" s="31" t="n">
        <f aca="false">Seg!L17</f>
        <v>2.43124690108085</v>
      </c>
      <c r="M15" s="31" t="n">
        <f aca="false">Seg!M17</f>
        <v>2.5528092461349</v>
      </c>
      <c r="N15" s="30"/>
    </row>
    <row r="16" customFormat="false" ht="15" hidden="false" customHeight="false" outlineLevel="0" collapsed="false">
      <c r="A16" s="2" t="s">
        <v>567</v>
      </c>
      <c r="B16" s="7" t="s">
        <v>74</v>
      </c>
      <c r="C16" s="25" t="n">
        <f aca="false">Seg!C18</f>
        <v>164.501</v>
      </c>
      <c r="D16" s="25" t="n">
        <f aca="false">Seg!D18</f>
        <v>200.966</v>
      </c>
      <c r="E16" s="25" t="n">
        <f aca="false">Seg!E18</f>
        <v>181.713</v>
      </c>
      <c r="F16" s="25" t="n">
        <f aca="false">Seg!F18</f>
        <v>76.3368707274192</v>
      </c>
      <c r="G16" s="25" t="n">
        <f aca="false">Seg!G18</f>
        <v>258.049870727419</v>
      </c>
      <c r="H16" s="25" t="n">
        <f aca="false">Seg!H18</f>
        <v>324.536495141153</v>
      </c>
      <c r="I16" s="25" t="n">
        <f aca="false">Seg!I18</f>
        <v>391.844714971317</v>
      </c>
      <c r="J16" s="25" t="n">
        <f aca="false">Seg!J18</f>
        <v>453.471415520839</v>
      </c>
      <c r="K16" s="25" t="n">
        <f aca="false">Seg!K18</f>
        <v>502.216148398336</v>
      </c>
      <c r="L16" s="25" t="n">
        <f aca="false">Seg!L18</f>
        <v>543.994087288507</v>
      </c>
      <c r="M16" s="25" t="n">
        <f aca="false">Seg!M18</f>
        <v>589.311320358285</v>
      </c>
    </row>
    <row r="17" customFormat="false" ht="15" hidden="false" customHeight="false" outlineLevel="0" collapsed="false">
      <c r="A17" s="4" t="s">
        <v>746</v>
      </c>
      <c r="B17" s="0" t="s">
        <v>128</v>
      </c>
      <c r="D17" s="15" t="n">
        <f aca="false">D16/C16-1</f>
        <v>0.221670384982462</v>
      </c>
      <c r="G17" s="15" t="n">
        <f aca="false">G16/D16-1</f>
        <v>0.284047404672528</v>
      </c>
      <c r="H17" s="15" t="n">
        <f aca="false">H16/G16-1</f>
        <v>0.257650291497196</v>
      </c>
      <c r="I17" s="15" t="n">
        <f aca="false">I16/H16-1</f>
        <v>0.207397999417259</v>
      </c>
      <c r="J17" s="15" t="n">
        <f aca="false">J16/I16-1</f>
        <v>0.157273272280916</v>
      </c>
      <c r="K17" s="15" t="n">
        <f aca="false">K16/J16-1</f>
        <v>0.107492404612784</v>
      </c>
      <c r="L17" s="15" t="n">
        <f aca="false">L16/K16-1</f>
        <v>0.0831871675640223</v>
      </c>
      <c r="M17" s="15" t="n">
        <f aca="false">M16/L16-1</f>
        <v>0.0833046426950301</v>
      </c>
    </row>
    <row r="18" customFormat="false" ht="17.15" hidden="false" customHeight="false" outlineLevel="0" collapsed="false">
      <c r="A18" s="4" t="s">
        <v>564</v>
      </c>
      <c r="B18" s="0" t="s">
        <v>74</v>
      </c>
      <c r="C18" s="22" t="n">
        <f aca="false">C12+C13-C14</f>
        <v>0</v>
      </c>
      <c r="D18" s="22" t="n">
        <f aca="false">D12+D13-D14</f>
        <v>0</v>
      </c>
      <c r="E18" s="22" t="n">
        <f aca="false">E12+E13-E14</f>
        <v>0</v>
      </c>
      <c r="F18" s="22" t="n">
        <f aca="false">F12+F13-F14</f>
        <v>0</v>
      </c>
      <c r="G18" s="22" t="n">
        <f aca="false">G12+G13-G14</f>
        <v>0</v>
      </c>
      <c r="H18" s="22" t="n">
        <f aca="false">H12+H13-H14</f>
        <v>0</v>
      </c>
      <c r="I18" s="22" t="n">
        <f aca="false">I12+I13-I14</f>
        <v>0</v>
      </c>
      <c r="J18" s="22" t="n">
        <f aca="false">J12+J13-J14</f>
        <v>0</v>
      </c>
      <c r="K18" s="22" t="n">
        <f aca="false">K12+K13-K14</f>
        <v>0</v>
      </c>
      <c r="L18" s="22" t="n">
        <f aca="false">L12+L13-L14</f>
        <v>0</v>
      </c>
      <c r="M18" s="22" t="n">
        <f aca="false">M12+M13-M14</f>
        <v>0</v>
      </c>
    </row>
    <row r="19" customFormat="false" ht="15" hidden="false" customHeight="false" outlineLevel="0" collapsed="false">
      <c r="A19" s="4" t="s">
        <v>568</v>
      </c>
      <c r="B19" s="0" t="s">
        <v>74</v>
      </c>
      <c r="C19" s="22" t="n">
        <f aca="false">C14+C15-C16</f>
        <v>0</v>
      </c>
      <c r="D19" s="22" t="n">
        <f aca="false">D14+D15-D16</f>
        <v>0</v>
      </c>
      <c r="E19" s="22" t="n">
        <f aca="false">E14+E15-E16</f>
        <v>0</v>
      </c>
      <c r="F19" s="22" t="n">
        <f aca="false">F14+F15-F16</f>
        <v>0</v>
      </c>
      <c r="G19" s="22" t="n">
        <f aca="false">G14+G15-G16</f>
        <v>0</v>
      </c>
      <c r="H19" s="22" t="n">
        <f aca="false">H14+H15-H16</f>
        <v>0</v>
      </c>
      <c r="I19" s="22" t="n">
        <f aca="false">I14+I15-I16</f>
        <v>0</v>
      </c>
      <c r="J19" s="22" t="n">
        <f aca="false">J14+J15-J16</f>
        <v>0</v>
      </c>
      <c r="K19" s="22" t="n">
        <f aca="false">K14+K15-K16</f>
        <v>0</v>
      </c>
      <c r="L19" s="22" t="n">
        <f aca="false">L14+L15-L16</f>
        <v>0</v>
      </c>
      <c r="M19" s="22" t="n">
        <f aca="false">M14+M15-M16</f>
        <v>0</v>
      </c>
    </row>
    <row r="20" customFormat="false" ht="17.15" hidden="false" customHeight="false" outlineLevel="0" collapsed="false">
      <c r="A20" s="4" t="s">
        <v>747</v>
      </c>
      <c r="B20" s="0" t="s">
        <v>74</v>
      </c>
      <c r="F20" s="25" t="n">
        <f aca="false">Seg!F11-Seg!F8</f>
        <v>0</v>
      </c>
      <c r="G20" s="25" t="n">
        <f aca="false">F20</f>
        <v>0</v>
      </c>
      <c r="H20" s="25" t="n">
        <f aca="false">Seg!H11-Seg!H8</f>
        <v>7.70331930849528</v>
      </c>
      <c r="I20" s="25" t="n">
        <f aca="false">Seg!I11-Seg!I8</f>
        <v>18.1203432525747</v>
      </c>
      <c r="J20" s="25" t="n">
        <f aca="false">Seg!J11-Seg!J8</f>
        <v>30.6686558848054</v>
      </c>
      <c r="K20" s="25" t="n">
        <f aca="false">Seg!K11-Seg!K8</f>
        <v>44.2242017858895</v>
      </c>
      <c r="L20" s="25" t="n">
        <f aca="false">Seg!L11-Seg!L8</f>
        <v>47.8284742314396</v>
      </c>
      <c r="M20" s="25" t="n">
        <f aca="false">Seg!M11-Seg!M8</f>
        <v>51.7264948813018</v>
      </c>
    </row>
    <row r="21" customFormat="false" ht="17.15" hidden="false" customHeight="false" outlineLevel="0" collapsed="false">
      <c r="A21" s="0" t="s">
        <v>748</v>
      </c>
      <c r="B21" s="0" t="s">
        <v>74</v>
      </c>
      <c r="F21" s="25" t="n">
        <f aca="false">m_foa*(F14-F20)+inc_m*F20-Thesis!F63-Thesis!F64</f>
        <v>40.7984607622799</v>
      </c>
      <c r="H21" s="25" t="n">
        <f aca="false">m_foa*(H14-H20)+inc_m*H20-Thesis!H63-Thesis!H64</f>
        <v>168.881644538438</v>
      </c>
      <c r="I21" s="25" t="n">
        <f aca="false">m_foa*(I14-I20)+inc_m*I20-Thesis!I63-Thesis!I64</f>
        <v>198.967318036385</v>
      </c>
      <c r="J21" s="25" t="n">
        <f aca="false">m_foa*(J14-J20)+inc_m*J20-Thesis!J63-Thesis!J64</f>
        <v>227.551420185345</v>
      </c>
      <c r="K21" s="25" t="n">
        <f aca="false">m_foa*(K14-K20)+inc_m*K20-Thesis!K63-Thesis!K64</f>
        <v>251.56025179039</v>
      </c>
      <c r="L21" s="25" t="n">
        <f aca="false">m_foa*(L14-L20)+inc_m*L20-Thesis!L63-Thesis!L64</f>
        <v>270.90800510948</v>
      </c>
      <c r="M21" s="25" t="n">
        <f aca="false">m_foa*(M14-M20)+inc_m*M20-Thesis!M63-Thesis!M64</f>
        <v>294.400494817511</v>
      </c>
    </row>
    <row r="22" customFormat="false" ht="17.15" hidden="false" customHeight="false" outlineLevel="0" collapsed="false">
      <c r="A22" s="0" t="s">
        <v>749</v>
      </c>
      <c r="B22" s="0" t="s">
        <v>74</v>
      </c>
      <c r="F22" s="25" t="n">
        <f aca="false">Thesis!F68*(1-rl_da_sh)+Thesis!F61+Seg!F23</f>
        <v>9.05531293804891</v>
      </c>
      <c r="H22" s="25" t="n">
        <f aca="false">Thesis!H68*(1-rl_da_sh)+Thesis!H61+Seg!H23</f>
        <v>53.3603189169556</v>
      </c>
      <c r="I22" s="25" t="n">
        <f aca="false">Thesis!I68*(1-rl_da_sh)+Thesis!I61+Seg!I23</f>
        <v>86.3851161821618</v>
      </c>
      <c r="J22" s="25" t="n">
        <f aca="false">Thesis!J68*(1-rl_da_sh)+Thesis!J61+Seg!J23</f>
        <v>119.199475662719</v>
      </c>
      <c r="K22" s="25" t="n">
        <f aca="false">Thesis!K68*(1-rl_da_sh)+Thesis!K61+Seg!K23</f>
        <v>146.059222146306</v>
      </c>
      <c r="L22" s="25" t="n">
        <f aca="false">Thesis!L68*(1-rl_da_sh)+Thesis!L61+Seg!L23</f>
        <v>166.500286468643</v>
      </c>
      <c r="M22" s="25" t="n">
        <f aca="false">Thesis!M68*(1-rl_da_sh)+Thesis!M61+Seg!M23</f>
        <v>186.537472599466</v>
      </c>
    </row>
    <row r="23" customFormat="false" ht="17.15" hidden="false" customHeight="false" outlineLevel="0" collapsed="false">
      <c r="A23" s="5" t="s">
        <v>750</v>
      </c>
      <c r="B23" s="7" t="s">
        <v>74</v>
      </c>
      <c r="C23" s="25" t="n">
        <f aca="false">Q!J14</f>
        <v>87.109</v>
      </c>
      <c r="D23" s="25" t="n">
        <f aca="false">Q!K14</f>
        <v>102.469</v>
      </c>
      <c r="E23" s="25" t="n">
        <f aca="false">Q!L14</f>
        <v>67.411</v>
      </c>
      <c r="F23" s="25" t="n">
        <f aca="false">F21-F22</f>
        <v>31.743147824231</v>
      </c>
      <c r="G23" s="25" t="n">
        <f aca="false">E23+F23</f>
        <v>99.154147824231</v>
      </c>
      <c r="H23" s="25" t="n">
        <f aca="false">H21-H22</f>
        <v>115.521325621482</v>
      </c>
      <c r="I23" s="25" t="n">
        <f aca="false">I21-I22</f>
        <v>112.582201854223</v>
      </c>
      <c r="J23" s="25" t="n">
        <f aca="false">J21-J22</f>
        <v>108.351944522626</v>
      </c>
      <c r="K23" s="25" t="n">
        <f aca="false">K21-K22</f>
        <v>105.501029644084</v>
      </c>
      <c r="L23" s="25" t="n">
        <f aca="false">L21-L22</f>
        <v>104.407718640837</v>
      </c>
      <c r="M23" s="25" t="n">
        <f aca="false">M21-M22</f>
        <v>107.863022218045</v>
      </c>
      <c r="N23" s="7" t="s">
        <v>751</v>
      </c>
    </row>
    <row r="24" customFormat="false" ht="17.15" hidden="false" customHeight="false" outlineLevel="0" collapsed="false">
      <c r="A24" s="5" t="s">
        <v>752</v>
      </c>
      <c r="B24" s="7" t="s">
        <v>74</v>
      </c>
      <c r="C24" s="25" t="n">
        <f aca="false">Q!J15</f>
        <v>-17.729</v>
      </c>
      <c r="D24" s="25" t="n">
        <f aca="false">Q!K15</f>
        <v>-19.193</v>
      </c>
      <c r="E24" s="25" t="n">
        <f aca="false">Q!L15</f>
        <v>-12.776</v>
      </c>
      <c r="F24" s="25" t="n">
        <f aca="false">-(rl_loss26+Q!L15)</f>
        <v>-5.724</v>
      </c>
      <c r="G24" s="25" t="n">
        <f aca="false">E24+F24</f>
        <v>-18.5</v>
      </c>
      <c r="H24" s="25" t="n">
        <f aca="false">-rl_loss27</f>
        <v>-15</v>
      </c>
      <c r="I24" s="25" t="n">
        <f aca="false">-(rl_loss27+(rl_loss32-rl_loss27)*(2028-2027)/5)</f>
        <v>-13</v>
      </c>
      <c r="J24" s="25" t="n">
        <f aca="false">-(rl_loss27+(rl_loss32-rl_loss27)*(2029-2027)/5)</f>
        <v>-11</v>
      </c>
      <c r="K24" s="25" t="n">
        <f aca="false">-(rl_loss27+(rl_loss32-rl_loss27)*(2030-2027)/5)</f>
        <v>-9</v>
      </c>
      <c r="L24" s="25" t="n">
        <f aca="false">-(rl_loss27+(rl_loss32-rl_loss27)*(2031-2027)/5)</f>
        <v>-7</v>
      </c>
      <c r="M24" s="25" t="n">
        <f aca="false">-(rl_loss27+(rl_loss32-rl_loss27)*(2032-2027)/5)</f>
        <v>-5</v>
      </c>
      <c r="N24" s="7" t="s">
        <v>753</v>
      </c>
    </row>
    <row r="25" customFormat="false" ht="17.15" hidden="false" customHeight="false" outlineLevel="0" collapsed="false">
      <c r="A25" s="0" t="s">
        <v>754</v>
      </c>
      <c r="B25" s="0" t="s">
        <v>74</v>
      </c>
      <c r="F25" s="25" t="n">
        <f aca="false">Thesis!F68*rl_da_sh</f>
        <v>0.3577</v>
      </c>
      <c r="H25" s="25" t="n">
        <f aca="false">Thesis!H68*rl_da_sh</f>
        <v>1.4308</v>
      </c>
      <c r="I25" s="25" t="n">
        <f aca="false">Thesis!I68*rl_da_sh</f>
        <v>1.4308</v>
      </c>
      <c r="J25" s="25" t="n">
        <f aca="false">Thesis!J68*rl_da_sh</f>
        <v>1.37615168072424</v>
      </c>
      <c r="K25" s="25" t="n">
        <f aca="false">Thesis!K68*rl_da_sh</f>
        <v>1.23080726603289</v>
      </c>
      <c r="L25" s="25" t="n">
        <f aca="false">Thesis!L68*rl_da_sh</f>
        <v>0.943897944979439</v>
      </c>
      <c r="M25" s="25" t="n">
        <f aca="false">Thesis!M68*rl_da_sh</f>
        <v>0.747684719341578</v>
      </c>
    </row>
    <row r="26" customFormat="false" ht="15" hidden="false" customHeight="false" outlineLevel="0" collapsed="false">
      <c r="A26" s="0" t="s">
        <v>755</v>
      </c>
      <c r="B26" s="0" t="s">
        <v>74</v>
      </c>
      <c r="F26" s="25" t="n">
        <f aca="false">F24+F25</f>
        <v>-5.3663</v>
      </c>
      <c r="H26" s="25" t="n">
        <f aca="false">H24+H25</f>
        <v>-13.5692</v>
      </c>
      <c r="I26" s="25" t="n">
        <f aca="false">I24+I25</f>
        <v>-11.5692</v>
      </c>
      <c r="J26" s="25" t="n">
        <f aca="false">J24+J25</f>
        <v>-9.62384831927576</v>
      </c>
      <c r="K26" s="25" t="n">
        <f aca="false">K24+K25</f>
        <v>-7.76919273396711</v>
      </c>
      <c r="L26" s="25" t="n">
        <f aca="false">L24+L25</f>
        <v>-6.05610205502056</v>
      </c>
      <c r="M26" s="25" t="n">
        <f aca="false">M24+M25</f>
        <v>-4.25231528065842</v>
      </c>
    </row>
    <row r="27" customFormat="false" ht="15" hidden="false" customHeight="false" outlineLevel="0" collapsed="false">
      <c r="A27" s="4" t="s">
        <v>756</v>
      </c>
      <c r="B27" s="0" t="s">
        <v>74</v>
      </c>
      <c r="C27" s="25" t="n">
        <f aca="false">C23+C24</f>
        <v>69.38</v>
      </c>
      <c r="D27" s="25" t="n">
        <f aca="false">D23+D24</f>
        <v>83.276</v>
      </c>
      <c r="E27" s="25" t="n">
        <f aca="false">E23+E24</f>
        <v>54.635</v>
      </c>
      <c r="F27" s="25" t="n">
        <f aca="false">F23+F24</f>
        <v>26.019147824231</v>
      </c>
      <c r="G27" s="25" t="n">
        <f aca="false">G23+G24</f>
        <v>80.654147824231</v>
      </c>
      <c r="H27" s="25" t="n">
        <f aca="false">H23+H24</f>
        <v>100.521325621482</v>
      </c>
      <c r="I27" s="25" t="n">
        <f aca="false">I23+I24</f>
        <v>99.5822018542232</v>
      </c>
      <c r="J27" s="25" t="n">
        <f aca="false">J23+J24</f>
        <v>97.3519445226264</v>
      </c>
      <c r="K27" s="25" t="n">
        <f aca="false">K23+K24</f>
        <v>96.5010296440836</v>
      </c>
      <c r="L27" s="25" t="n">
        <f aca="false">L23+L24</f>
        <v>97.4077186408373</v>
      </c>
      <c r="M27" s="25" t="n">
        <f aca="false">M23+M24</f>
        <v>102.863022218045</v>
      </c>
    </row>
    <row r="28" customFormat="false" ht="17.15" hidden="false" customHeight="false" outlineLevel="0" collapsed="false">
      <c r="A28" s="4" t="s">
        <v>757</v>
      </c>
      <c r="B28" s="0" t="s">
        <v>74</v>
      </c>
      <c r="F28" s="25" t="n">
        <f aca="false">F21+F26</f>
        <v>35.4321607622799</v>
      </c>
      <c r="H28" s="25" t="n">
        <f aca="false">H21+H26</f>
        <v>155.312444538438</v>
      </c>
      <c r="I28" s="25" t="n">
        <f aca="false">I21+I26</f>
        <v>187.398118036385</v>
      </c>
      <c r="J28" s="25" t="n">
        <f aca="false">J21+J26</f>
        <v>217.927571866069</v>
      </c>
      <c r="K28" s="25" t="n">
        <f aca="false">K21+K26</f>
        <v>243.791059056423</v>
      </c>
      <c r="L28" s="25" t="n">
        <f aca="false">L21+L26</f>
        <v>264.851903054459</v>
      </c>
      <c r="M28" s="25" t="n">
        <f aca="false">M21+M26</f>
        <v>290.148179536852</v>
      </c>
    </row>
    <row r="29" customFormat="false" ht="17.15" hidden="false" customHeight="false" outlineLevel="0" collapsed="false">
      <c r="A29" s="4" t="s">
        <v>758</v>
      </c>
      <c r="B29" s="0" t="s">
        <v>74</v>
      </c>
      <c r="C29" s="25" t="n">
        <f aca="false">Q!J35</f>
        <v>15.498</v>
      </c>
      <c r="D29" s="25" t="n">
        <f aca="false">Q!K35</f>
        <v>18.616</v>
      </c>
      <c r="E29" s="25" t="n">
        <f aca="false">Q!L35</f>
        <v>19.509</v>
      </c>
      <c r="F29" s="25" t="n">
        <f aca="false">Thesis!F68+Thesis!F61+Seg!F23</f>
        <v>9.41301293804891</v>
      </c>
      <c r="G29" s="25" t="n">
        <f aca="false">E29+F29</f>
        <v>28.9220129380489</v>
      </c>
      <c r="H29" s="25" t="n">
        <f aca="false">Thesis!H68+Thesis!H61+Seg!H23</f>
        <v>54.7911189169556</v>
      </c>
      <c r="I29" s="25" t="n">
        <f aca="false">Thesis!I68+Thesis!I61+Seg!I23</f>
        <v>87.8159161821618</v>
      </c>
      <c r="J29" s="25" t="n">
        <f aca="false">Thesis!J68+Thesis!J61+Seg!J23</f>
        <v>120.575627343443</v>
      </c>
      <c r="K29" s="25" t="n">
        <f aca="false">Thesis!K68+Thesis!K61+Seg!K23</f>
        <v>147.290029412339</v>
      </c>
      <c r="L29" s="25" t="n">
        <f aca="false">Thesis!L68+Thesis!L61+Seg!L23</f>
        <v>167.444184413622</v>
      </c>
      <c r="M29" s="25" t="n">
        <f aca="false">Thesis!M68+Thesis!M61+Seg!M23</f>
        <v>187.285157318807</v>
      </c>
    </row>
    <row r="30" customFormat="false" ht="17.15" hidden="false" customHeight="false" outlineLevel="0" collapsed="false">
      <c r="A30" s="4" t="s">
        <v>759</v>
      </c>
      <c r="B30" s="0" t="s">
        <v>74</v>
      </c>
      <c r="F30" s="25" t="n">
        <f aca="false">Thesis!F61</f>
        <v>2.2208445026852</v>
      </c>
      <c r="G30" s="25" t="n">
        <f aca="false">F30</f>
        <v>2.2208445026852</v>
      </c>
      <c r="H30" s="25" t="n">
        <f aca="false">Thesis!H61</f>
        <v>25.5452349389048</v>
      </c>
      <c r="I30" s="25" t="n">
        <f aca="false">Thesis!I61</f>
        <v>57.2045780037162</v>
      </c>
      <c r="J30" s="25" t="n">
        <f aca="false">Thesis!J61</f>
        <v>89.428249990078</v>
      </c>
      <c r="K30" s="25" t="n">
        <f aca="false">Thesis!K61</f>
        <v>117.18690995784</v>
      </c>
      <c r="L30" s="25" t="n">
        <f aca="false">Thesis!L61</f>
        <v>141.028608847708</v>
      </c>
      <c r="M30" s="25" t="n">
        <f aca="false">Thesis!M61</f>
        <v>162.572552683427</v>
      </c>
    </row>
    <row r="31" customFormat="false" ht="17.15" hidden="false" customHeight="false" outlineLevel="0" collapsed="false">
      <c r="A31" s="26" t="s">
        <v>760</v>
      </c>
      <c r="B31" s="30" t="s">
        <v>74</v>
      </c>
      <c r="C31" s="31" t="n">
        <f aca="false">Q!J16</f>
        <v>69.38</v>
      </c>
      <c r="D31" s="31" t="n">
        <f aca="false">Q!K16</f>
        <v>83.276</v>
      </c>
      <c r="E31" s="31" t="n">
        <f aca="false">Q!L16</f>
        <v>54.635</v>
      </c>
      <c r="F31" s="31" t="n">
        <f aca="false">F28-F29</f>
        <v>26.019147824231</v>
      </c>
      <c r="G31" s="31" t="n">
        <f aca="false">E31+F31</f>
        <v>80.654147824231</v>
      </c>
      <c r="H31" s="31" t="n">
        <f aca="false">H28-H29</f>
        <v>100.521325621482</v>
      </c>
      <c r="I31" s="31" t="n">
        <f aca="false">I28-I29</f>
        <v>99.5822018542232</v>
      </c>
      <c r="J31" s="31" t="n">
        <f aca="false">J28-J29</f>
        <v>97.3519445226264</v>
      </c>
      <c r="K31" s="31" t="n">
        <f aca="false">K28-K29</f>
        <v>96.5010296440836</v>
      </c>
      <c r="L31" s="31" t="n">
        <f aca="false">L28-L29</f>
        <v>97.4077186408373</v>
      </c>
      <c r="M31" s="31" t="n">
        <f aca="false">M28-M29</f>
        <v>102.863022218045</v>
      </c>
      <c r="N31" s="32" t="s">
        <v>761</v>
      </c>
    </row>
    <row r="32" customFormat="false" ht="15" hidden="false" customHeight="false" outlineLevel="0" collapsed="false">
      <c r="A32" s="4" t="s">
        <v>573</v>
      </c>
      <c r="B32" s="0" t="s">
        <v>74</v>
      </c>
      <c r="C32" s="22" t="n">
        <f aca="false">C27-C31</f>
        <v>0</v>
      </c>
      <c r="D32" s="22" t="n">
        <f aca="false">D27-D31</f>
        <v>0</v>
      </c>
      <c r="E32" s="22" t="n">
        <f aca="false">E27-E31</f>
        <v>0</v>
      </c>
      <c r="F32" s="22" t="n">
        <f aca="false">F27-F31</f>
        <v>0</v>
      </c>
      <c r="G32" s="22" t="n">
        <f aca="false">G27-G31</f>
        <v>0</v>
      </c>
      <c r="H32" s="22" t="n">
        <f aca="false">H27-H31</f>
        <v>0</v>
      </c>
      <c r="I32" s="22" t="n">
        <f aca="false">I27-I31</f>
        <v>0</v>
      </c>
      <c r="J32" s="22" t="n">
        <f aca="false">J27-J31</f>
        <v>0</v>
      </c>
      <c r="K32" s="22" t="n">
        <f aca="false">K27-K31</f>
        <v>0</v>
      </c>
      <c r="L32" s="22" t="n">
        <f aca="false">L27-L31</f>
        <v>0</v>
      </c>
      <c r="M32" s="22" t="n">
        <f aca="false">M27-M31</f>
        <v>0</v>
      </c>
    </row>
    <row r="33" customFormat="false" ht="17.15" hidden="false" customHeight="false" outlineLevel="0" collapsed="false">
      <c r="A33" s="4" t="s">
        <v>762</v>
      </c>
      <c r="B33" s="0" t="s">
        <v>74</v>
      </c>
      <c r="E33" s="25" t="n">
        <f aca="false">-ot_oi_9m</f>
        <v>-13.47</v>
      </c>
      <c r="F33" s="28" t="n">
        <v>0</v>
      </c>
      <c r="G33" s="25" t="n">
        <f aca="false">E33+F33</f>
        <v>-13.47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0</v>
      </c>
      <c r="N33" s="7" t="s">
        <v>763</v>
      </c>
    </row>
    <row r="34" customFormat="false" ht="15" hidden="false" customHeight="false" outlineLevel="0" collapsed="false">
      <c r="A34" s="4" t="s">
        <v>764</v>
      </c>
      <c r="B34" s="0" t="s">
        <v>74</v>
      </c>
      <c r="E34" s="25" t="n">
        <f aca="false">E31-E33</f>
        <v>68.105</v>
      </c>
      <c r="F34" s="25" t="n">
        <f aca="false">F31-F33</f>
        <v>26.019147824231</v>
      </c>
      <c r="G34" s="25" t="n">
        <f aca="false">G31-G33</f>
        <v>94.124147824231</v>
      </c>
      <c r="H34" s="25" t="n">
        <f aca="false">H31-H33</f>
        <v>100.521325621482</v>
      </c>
      <c r="I34" s="25" t="n">
        <f aca="false">I31-I33</f>
        <v>99.5822018542232</v>
      </c>
      <c r="J34" s="25" t="n">
        <f aca="false">J31-J33</f>
        <v>97.3519445226264</v>
      </c>
      <c r="K34" s="25" t="n">
        <f aca="false">K31-K33</f>
        <v>96.5010296440836</v>
      </c>
      <c r="L34" s="25" t="n">
        <f aca="false">L31-L33</f>
        <v>97.4077186408373</v>
      </c>
      <c r="M34" s="25" t="n">
        <f aca="false">M31-M33</f>
        <v>102.863022218045</v>
      </c>
    </row>
    <row r="35" customFormat="false" ht="17.15" hidden="false" customHeight="false" outlineLevel="0" collapsed="false">
      <c r="A35" s="4" t="s">
        <v>765</v>
      </c>
      <c r="B35" s="0" t="s">
        <v>74</v>
      </c>
      <c r="F35" s="25" t="n">
        <f aca="false">Thesis!F70</f>
        <v>4.15437383018245</v>
      </c>
      <c r="G35" s="25" t="n">
        <f aca="false">F35</f>
        <v>4.15437383018245</v>
      </c>
      <c r="H35" s="25" t="n">
        <f aca="false">Thesis!H70</f>
        <v>61.5144117341028</v>
      </c>
      <c r="I35" s="25" t="n">
        <f aca="false">Thesis!I70</f>
        <v>119.711711647207</v>
      </c>
      <c r="J35" s="25" t="n">
        <f aca="false">Thesis!J70</f>
        <v>172.802243511487</v>
      </c>
      <c r="K35" s="25" t="n">
        <f aca="false">Thesis!K70</f>
        <v>212.749913618141</v>
      </c>
      <c r="L35" s="25" t="n">
        <f aca="false">Thesis!L70</f>
        <v>240.10595474891</v>
      </c>
      <c r="M35" s="25" t="n">
        <f aca="false">Thesis!M70</f>
        <v>255.139815355977</v>
      </c>
    </row>
    <row r="36" customFormat="false" ht="17.15" hidden="false" customHeight="false" outlineLevel="0" collapsed="false">
      <c r="A36" s="2" t="s">
        <v>766</v>
      </c>
      <c r="B36" s="7" t="s">
        <v>74</v>
      </c>
      <c r="E36" s="25" t="n">
        <f aca="false">E34</f>
        <v>68.105</v>
      </c>
      <c r="F36" s="25" t="n">
        <f aca="false">F34+(internal_ai_reading=2)*F35</f>
        <v>30.1735216544135</v>
      </c>
      <c r="G36" s="25" t="n">
        <f aca="false">G34+(internal_ai_reading=2)*G35</f>
        <v>98.2785216544135</v>
      </c>
      <c r="H36" s="25" t="n">
        <f aca="false">H34+(internal_ai_reading=2)*H35</f>
        <v>162.035737355585</v>
      </c>
      <c r="I36" s="25" t="n">
        <f aca="false">I34+(internal_ai_reading=2)*I35</f>
        <v>219.29391350143</v>
      </c>
      <c r="J36" s="25" t="n">
        <f aca="false">J34+(internal_ai_reading=2)*J35</f>
        <v>270.154188034113</v>
      </c>
      <c r="K36" s="25" t="n">
        <f aca="false">K34+(internal_ai_reading=2)*K35</f>
        <v>309.250943262224</v>
      </c>
      <c r="L36" s="25" t="n">
        <f aca="false">L34+(internal_ai_reading=2)*L35</f>
        <v>337.513673389748</v>
      </c>
      <c r="M36" s="25" t="n">
        <f aca="false">M34+(internal_ai_reading=2)*M35</f>
        <v>358.002837574022</v>
      </c>
    </row>
    <row r="37" customFormat="false" ht="15" hidden="false" customHeight="false" outlineLevel="0" collapsed="false">
      <c r="A37" s="4" t="s">
        <v>767</v>
      </c>
      <c r="B37" s="0" t="s">
        <v>128</v>
      </c>
      <c r="C37" s="15" t="n">
        <f aca="false">C31/C16</f>
        <v>0.421760354040401</v>
      </c>
      <c r="D37" s="15" t="n">
        <f aca="false">D31/D16</f>
        <v>0.414378551595792</v>
      </c>
      <c r="E37" s="15" t="n">
        <f aca="false">E31/E16</f>
        <v>0.300666435532956</v>
      </c>
      <c r="F37" s="15" t="n">
        <f aca="false">F31/F16</f>
        <v>0.340846403268732</v>
      </c>
      <c r="G37" s="15" t="n">
        <f aca="false">G31/G16</f>
        <v>0.312552560467766</v>
      </c>
      <c r="H37" s="15" t="n">
        <f aca="false">H31/H16</f>
        <v>0.309738125377122</v>
      </c>
      <c r="I37" s="15" t="n">
        <f aca="false">I31/I16</f>
        <v>0.254136901812017</v>
      </c>
      <c r="J37" s="15" t="n">
        <f aca="false">J31/J16</f>
        <v>0.214681545937823</v>
      </c>
      <c r="K37" s="15" t="n">
        <f aca="false">K31/K16</f>
        <v>0.192150391722456</v>
      </c>
      <c r="L37" s="15" t="n">
        <f aca="false">L31/L16</f>
        <v>0.179060252522887</v>
      </c>
      <c r="M37" s="15" t="n">
        <f aca="false">M31/M16</f>
        <v>0.17454784706241</v>
      </c>
    </row>
    <row r="38" customFormat="false" ht="15" hidden="false" customHeight="false" outlineLevel="0" collapsed="false">
      <c r="A38" s="4" t="s">
        <v>768</v>
      </c>
      <c r="B38" s="0" t="s">
        <v>128</v>
      </c>
      <c r="E38" s="15" t="n">
        <f aca="false">E34/E16</f>
        <v>0.37479431851326</v>
      </c>
      <c r="F38" s="15" t="n">
        <f aca="false">F34/F16</f>
        <v>0.340846403268732</v>
      </c>
      <c r="G38" s="15" t="n">
        <f aca="false">G34/G16</f>
        <v>0.364751772821678</v>
      </c>
      <c r="H38" s="15" t="n">
        <f aca="false">H34/H16</f>
        <v>0.309738125377122</v>
      </c>
      <c r="I38" s="15" t="n">
        <f aca="false">I34/I16</f>
        <v>0.254136901812017</v>
      </c>
      <c r="J38" s="15" t="n">
        <f aca="false">J34/J16</f>
        <v>0.214681545937823</v>
      </c>
      <c r="K38" s="15" t="n">
        <f aca="false">K34/K16</f>
        <v>0.192150391722456</v>
      </c>
      <c r="L38" s="15" t="n">
        <f aca="false">L34/L16</f>
        <v>0.179060252522887</v>
      </c>
      <c r="M38" s="15" t="n">
        <f aca="false">M34/M16</f>
        <v>0.17454784706241</v>
      </c>
    </row>
    <row r="39" customFormat="false" ht="17.15" hidden="false" customHeight="false" outlineLevel="0" collapsed="false">
      <c r="A39" s="0" t="s">
        <v>769</v>
      </c>
      <c r="B39" s="0" t="s">
        <v>128</v>
      </c>
      <c r="C39" s="15" t="n">
        <f aca="false">C23/C14</f>
        <v>0.536534138154045</v>
      </c>
      <c r="D39" s="15" t="n">
        <f aca="false">D23/D14</f>
        <v>0.51554395021106</v>
      </c>
      <c r="E39" s="15" t="n">
        <f aca="false">E23/E14</f>
        <v>0.373598541319131</v>
      </c>
      <c r="F39" s="15" t="n">
        <f aca="false">F23/F14</f>
        <v>0.420860428112135</v>
      </c>
      <c r="G39" s="15" t="n">
        <f aca="false">G23/G14</f>
        <v>0.387530692304727</v>
      </c>
      <c r="H39" s="15" t="n">
        <f aca="false">H23/H14</f>
        <v>0.358323680224289</v>
      </c>
      <c r="I39" s="15" t="n">
        <f aca="false">I23/I14</f>
        <v>0.288897393518378</v>
      </c>
      <c r="J39" s="15" t="n">
        <f aca="false">J23/J14</f>
        <v>0.240106491076444</v>
      </c>
      <c r="K39" s="15" t="n">
        <f aca="false">K23/K14</f>
        <v>0.21104398310821</v>
      </c>
      <c r="L39" s="15" t="n">
        <f aca="false">L23/L14</f>
        <v>0.192789665122049</v>
      </c>
      <c r="M39" s="15" t="n">
        <f aca="false">M23/M14</f>
        <v>0.1838286453035</v>
      </c>
    </row>
    <row r="40" customFormat="false" ht="17.15" hidden="false" customHeight="false" outlineLevel="0" collapsed="false">
      <c r="A40" s="4" t="s">
        <v>770</v>
      </c>
      <c r="B40" s="0" t="s">
        <v>74</v>
      </c>
      <c r="F40" s="25" t="n">
        <f aca="false">r_cash*CF!F31*0.25</f>
        <v>0.82449</v>
      </c>
      <c r="G40" s="25" t="n">
        <f aca="false">F40</f>
        <v>0.82449</v>
      </c>
      <c r="H40" s="25" t="n">
        <f aca="false">r_cash*CF!H31*1</f>
        <v>3.15978565884841</v>
      </c>
      <c r="I40" s="25" t="n">
        <f aca="false">r_cash*CF!I31*1</f>
        <v>1.6</v>
      </c>
      <c r="J40" s="25" t="n">
        <f aca="false">r_cash*CF!J31*1</f>
        <v>1.6</v>
      </c>
      <c r="K40" s="25" t="n">
        <f aca="false">r_cash*CF!K31*1</f>
        <v>2.3758941010127</v>
      </c>
      <c r="L40" s="25" t="n">
        <f aca="false">r_cash*CF!L31*1</f>
        <v>5.87707182920388</v>
      </c>
      <c r="M40" s="25" t="n">
        <f aca="false">r_cash*CF!M31*1</f>
        <v>10.9017793067442</v>
      </c>
    </row>
    <row r="41" customFormat="false" ht="17.15" hidden="false" customHeight="false" outlineLevel="0" collapsed="false">
      <c r="A41" s="4" t="s">
        <v>771</v>
      </c>
      <c r="B41" s="0" t="s">
        <v>74</v>
      </c>
      <c r="F41" s="25" t="n">
        <f aca="false">r_debt*CF!F38*0.25</f>
        <v>1.008</v>
      </c>
      <c r="G41" s="25" t="n">
        <f aca="false">F41</f>
        <v>1.008</v>
      </c>
      <c r="H41" s="25" t="n">
        <f aca="false">r_debt*CF!H38*1</f>
        <v>4.032</v>
      </c>
      <c r="I41" s="25" t="n">
        <f aca="false">r_debt*CF!I38*1</f>
        <v>4.31248753359006</v>
      </c>
      <c r="J41" s="25" t="n">
        <f aca="false">r_debt*CF!J38*1</f>
        <v>6.60743569732952</v>
      </c>
      <c r="K41" s="25" t="n">
        <f aca="false">r_debt*CF!K38*1</f>
        <v>6.60743569732952</v>
      </c>
      <c r="L41" s="25" t="n">
        <f aca="false">r_debt*CF!L38*1</f>
        <v>6.60743569732952</v>
      </c>
      <c r="M41" s="25" t="n">
        <f aca="false">r_debt*CF!M38*1</f>
        <v>6.60743569732952</v>
      </c>
    </row>
    <row r="42" customFormat="false" ht="15" hidden="false" customHeight="false" outlineLevel="0" collapsed="false">
      <c r="A42" s="4" t="s">
        <v>772</v>
      </c>
      <c r="B42" s="0" t="s">
        <v>74</v>
      </c>
      <c r="C42" s="25" t="n">
        <f aca="false">Q!J25</f>
        <v>1.283</v>
      </c>
      <c r="D42" s="25" t="n">
        <f aca="false">Q!K25</f>
        <v>2.656</v>
      </c>
      <c r="E42" s="25" t="n">
        <f aca="false">Q!L25</f>
        <v>-1.126</v>
      </c>
      <c r="F42" s="25" t="n">
        <f aca="false">F40-F41</f>
        <v>-0.18351</v>
      </c>
      <c r="G42" s="25" t="n">
        <f aca="false">E42+F42</f>
        <v>-1.30951</v>
      </c>
      <c r="H42" s="25" t="n">
        <f aca="false">H40-H41</f>
        <v>-0.872214341151592</v>
      </c>
      <c r="I42" s="25" t="n">
        <f aca="false">I40-I41</f>
        <v>-2.71248753359006</v>
      </c>
      <c r="J42" s="25" t="n">
        <f aca="false">J40-J41</f>
        <v>-5.00743569732952</v>
      </c>
      <c r="K42" s="25" t="n">
        <f aca="false">K40-K41</f>
        <v>-4.23154159631682</v>
      </c>
      <c r="L42" s="25" t="n">
        <f aca="false">L40-L41</f>
        <v>-0.730363868125648</v>
      </c>
      <c r="M42" s="25" t="n">
        <f aca="false">M40-M41</f>
        <v>4.29434360941468</v>
      </c>
    </row>
    <row r="43" customFormat="false" ht="15" hidden="false" customHeight="false" outlineLevel="0" collapsed="false">
      <c r="A43" s="4" t="s">
        <v>581</v>
      </c>
      <c r="B43" s="0" t="s">
        <v>74</v>
      </c>
      <c r="C43" s="25" t="n">
        <f aca="false">C31+C42</f>
        <v>70.663</v>
      </c>
      <c r="D43" s="25" t="n">
        <f aca="false">D31+D42</f>
        <v>85.932</v>
      </c>
      <c r="E43" s="25" t="n">
        <f aca="false">E31+E42</f>
        <v>53.509</v>
      </c>
      <c r="F43" s="25" t="n">
        <f aca="false">F31+F42</f>
        <v>25.835637824231</v>
      </c>
      <c r="G43" s="25" t="n">
        <f aca="false">G31+G42</f>
        <v>79.344637824231</v>
      </c>
      <c r="H43" s="25" t="n">
        <f aca="false">H31+H42</f>
        <v>99.6491112803304</v>
      </c>
      <c r="I43" s="25" t="n">
        <f aca="false">I31+I42</f>
        <v>96.8697143206331</v>
      </c>
      <c r="J43" s="25" t="n">
        <f aca="false">J31+J42</f>
        <v>92.3445088252968</v>
      </c>
      <c r="K43" s="25" t="n">
        <f aca="false">K31+K42</f>
        <v>92.2694880477667</v>
      </c>
      <c r="L43" s="25" t="n">
        <f aca="false">L31+L42</f>
        <v>96.6773547727116</v>
      </c>
      <c r="M43" s="25" t="n">
        <f aca="false">M31+M42</f>
        <v>107.15736582746</v>
      </c>
    </row>
    <row r="44" customFormat="false" ht="17.15" hidden="false" customHeight="false" outlineLevel="0" collapsed="false">
      <c r="A44" s="4" t="s">
        <v>773</v>
      </c>
      <c r="B44" s="0" t="s">
        <v>74</v>
      </c>
      <c r="C44" s="25" t="n">
        <f aca="false">Q!J28</f>
        <v>8.303</v>
      </c>
      <c r="D44" s="25" t="n">
        <f aca="false">Q!K28</f>
        <v>25.474</v>
      </c>
      <c r="E44" s="25" t="n">
        <f aca="false">Q!L28</f>
        <v>1.028</v>
      </c>
      <c r="F44" s="25" t="n">
        <f aca="false">F43*tax</f>
        <v>4.13370205187696</v>
      </c>
      <c r="G44" s="25" t="n">
        <f aca="false">E44+F44</f>
        <v>5.16170205187696</v>
      </c>
      <c r="H44" s="25" t="n">
        <f aca="false">H43*tax</f>
        <v>15.9438578048529</v>
      </c>
      <c r="I44" s="25" t="n">
        <f aca="false">I43*tax</f>
        <v>15.4991542913013</v>
      </c>
      <c r="J44" s="25" t="n">
        <f aca="false">J43*tax</f>
        <v>14.7751214120475</v>
      </c>
      <c r="K44" s="25" t="n">
        <f aca="false">K43*tax</f>
        <v>14.7631180876427</v>
      </c>
      <c r="L44" s="25" t="n">
        <f aca="false">L43*tax</f>
        <v>15.4683767636339</v>
      </c>
      <c r="M44" s="25" t="n">
        <f aca="false">M43*tax</f>
        <v>17.1451785323936</v>
      </c>
      <c r="N44" s="7" t="s">
        <v>774</v>
      </c>
    </row>
    <row r="45" customFormat="false" ht="15" hidden="false" customHeight="false" outlineLevel="0" collapsed="false">
      <c r="A45" s="2" t="s">
        <v>775</v>
      </c>
      <c r="B45" s="7" t="s">
        <v>74</v>
      </c>
      <c r="C45" s="25" t="n">
        <f aca="false">C43-C44</f>
        <v>62.36</v>
      </c>
      <c r="D45" s="25" t="n">
        <f aca="false">D43-D44</f>
        <v>60.458</v>
      </c>
      <c r="E45" s="25" t="n">
        <f aca="false">E43-E44</f>
        <v>52.481</v>
      </c>
      <c r="F45" s="25" t="n">
        <f aca="false">F43-F44</f>
        <v>21.7019357723541</v>
      </c>
      <c r="G45" s="25" t="n">
        <f aca="false">G43-G44</f>
        <v>74.1829357723541</v>
      </c>
      <c r="H45" s="25" t="n">
        <f aca="false">H43-H44</f>
        <v>83.7052534754775</v>
      </c>
      <c r="I45" s="25" t="n">
        <f aca="false">I43-I44</f>
        <v>81.3705600293318</v>
      </c>
      <c r="J45" s="25" t="n">
        <f aca="false">J43-J44</f>
        <v>77.5693874132493</v>
      </c>
      <c r="K45" s="25" t="n">
        <f aca="false">K43-K44</f>
        <v>77.5063699601241</v>
      </c>
      <c r="L45" s="25" t="n">
        <f aca="false">L43-L44</f>
        <v>81.2089780090778</v>
      </c>
      <c r="M45" s="25" t="n">
        <f aca="false">M43-M44</f>
        <v>90.0121872950662</v>
      </c>
    </row>
    <row r="46" customFormat="false" ht="17.15" hidden="false" customHeight="false" outlineLevel="0" collapsed="false">
      <c r="A46" s="4" t="s">
        <v>776</v>
      </c>
      <c r="B46" s="0" t="s">
        <v>74</v>
      </c>
      <c r="C46" s="22" t="n">
        <f aca="false">C45-Q!J29</f>
        <v>0</v>
      </c>
      <c r="D46" s="22" t="n">
        <f aca="false">D45-Q!K29</f>
        <v>0</v>
      </c>
      <c r="E46" s="22" t="n">
        <f aca="false">E45-Q!L29</f>
        <v>0</v>
      </c>
    </row>
    <row r="47" customFormat="false" ht="17.15" hidden="false" customHeight="false" outlineLevel="0" collapsed="false">
      <c r="A47" s="4" t="s">
        <v>777</v>
      </c>
      <c r="B47" s="0" t="s">
        <v>74</v>
      </c>
      <c r="E47" s="25" t="n">
        <f aca="false">-(ot_legal_q2+ot_legal_q3)*ot_legal_at-ot_sev_q2*(1-tax)+ot_tax_q1</f>
        <v>-4.37587612740142</v>
      </c>
      <c r="F47" s="28" t="n">
        <v>0</v>
      </c>
      <c r="G47" s="25" t="n">
        <f aca="false">E47+F47</f>
        <v>-4.37587612740142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</row>
    <row r="48" customFormat="false" ht="15" hidden="false" customHeight="false" outlineLevel="0" collapsed="false">
      <c r="A48" s="4" t="s">
        <v>778</v>
      </c>
      <c r="B48" s="0" t="s">
        <v>74</v>
      </c>
      <c r="E48" s="28" t="n">
        <v>0</v>
      </c>
      <c r="F48" s="25" t="n">
        <f aca="false">pref_2H</f>
        <v>0</v>
      </c>
      <c r="G48" s="25" t="n">
        <f aca="false">E48+F48</f>
        <v>0</v>
      </c>
      <c r="H48" s="25" t="n">
        <f aca="false">pref_27</f>
        <v>0.8125</v>
      </c>
      <c r="I48" s="25" t="n">
        <f aca="false">pref_28</f>
        <v>0.8125</v>
      </c>
      <c r="J48" s="25" t="n">
        <f aca="false">pref_29</f>
        <v>0.609</v>
      </c>
      <c r="K48" s="28" t="n">
        <v>0</v>
      </c>
      <c r="L48" s="28" t="n">
        <v>0</v>
      </c>
      <c r="M48" s="28" t="n">
        <v>0</v>
      </c>
    </row>
    <row r="49" customFormat="false" ht="15" hidden="false" customHeight="false" outlineLevel="0" collapsed="false">
      <c r="A49" s="4" t="s">
        <v>779</v>
      </c>
      <c r="B49" s="0" t="s">
        <v>74</v>
      </c>
      <c r="E49" s="25" t="n">
        <f aca="false">E45-E48</f>
        <v>52.481</v>
      </c>
      <c r="F49" s="25" t="n">
        <f aca="false">F45-F48</f>
        <v>21.7019357723541</v>
      </c>
      <c r="G49" s="25" t="n">
        <f aca="false">G45-G48</f>
        <v>74.1829357723541</v>
      </c>
      <c r="H49" s="25" t="n">
        <f aca="false">H45-H48</f>
        <v>82.8927534754775</v>
      </c>
      <c r="I49" s="25" t="n">
        <f aca="false">I45-I48</f>
        <v>80.5580600293318</v>
      </c>
      <c r="J49" s="25" t="n">
        <f aca="false">J45-J48</f>
        <v>76.9603874132494</v>
      </c>
      <c r="K49" s="25" t="n">
        <f aca="false">K45-K48</f>
        <v>77.5063699601241</v>
      </c>
      <c r="L49" s="25" t="n">
        <f aca="false">L45-L48</f>
        <v>81.2089780090778</v>
      </c>
      <c r="M49" s="25" t="n">
        <f aca="false">M45-M48</f>
        <v>90.0121872950662</v>
      </c>
    </row>
    <row r="50" customFormat="false" ht="17.15" hidden="false" customHeight="false" outlineLevel="0" collapsed="false">
      <c r="A50" s="4" t="s">
        <v>780</v>
      </c>
      <c r="B50" s="4" t="s">
        <v>63</v>
      </c>
      <c r="E50" s="22" t="n">
        <f aca="false">sh_dil_q3+(sh_out-sh_basic_q3)</f>
        <v>2.577241</v>
      </c>
      <c r="F50" s="22" t="n">
        <f aca="false">E50*(1+dil*0.25)-CF!F34/CF!F41</f>
        <v>2.5862613435</v>
      </c>
      <c r="H50" s="22" t="n">
        <f aca="false">F50*(1+dil*1)-CF!H34/CF!H41+fwd_sh*fwd_on</f>
        <v>2.662469002309</v>
      </c>
      <c r="I50" s="22" t="n">
        <f aca="false">H50*(1+dil*1)-CF!I34/CF!I41</f>
        <v>2.69974356834133</v>
      </c>
      <c r="J50" s="22" t="n">
        <f aca="false">I50*(1+dil*1)-CF!J34/CF!J41+conv_sh</f>
        <v>2.7575399782981</v>
      </c>
      <c r="K50" s="22" t="n">
        <f aca="false">J50*(1+dil*1)-CF!K34/CF!K41</f>
        <v>2.79614553799428</v>
      </c>
      <c r="L50" s="22" t="n">
        <f aca="false">K50*(1+dil*1)-CF!L34/CF!L41</f>
        <v>2.8352915755262</v>
      </c>
      <c r="M50" s="22" t="n">
        <f aca="false">L50*(1+dil*1)-CF!M34/CF!M41</f>
        <v>2.87498565758356</v>
      </c>
      <c r="N50" s="7" t="s">
        <v>781</v>
      </c>
    </row>
    <row r="51" customFormat="false" ht="15" hidden="false" customHeight="false" outlineLevel="0" collapsed="false">
      <c r="A51" s="4" t="s">
        <v>782</v>
      </c>
      <c r="B51" s="4" t="s">
        <v>63</v>
      </c>
      <c r="C51" s="22" t="n">
        <f aca="false">Q!J31</f>
        <v>2.614</v>
      </c>
      <c r="D51" s="22" t="n">
        <f aca="false">Q!K31</f>
        <v>2.574</v>
      </c>
      <c r="E51" s="22" t="n">
        <f aca="false">Q!L31</f>
        <v>2.568</v>
      </c>
      <c r="F51" s="22" t="n">
        <f aca="false">E50*(1+dil*0.125)</f>
        <v>2.58175117175</v>
      </c>
      <c r="G51" s="22" t="n">
        <f aca="false">0.75*E51+0.25*F51</f>
        <v>2.5714377929375</v>
      </c>
      <c r="H51" s="22" t="n">
        <f aca="false">(F50+H50)/2</f>
        <v>2.6243651729045</v>
      </c>
      <c r="I51" s="22" t="n">
        <f aca="false">(H50+I50)/2</f>
        <v>2.68110628532516</v>
      </c>
      <c r="J51" s="22" t="n">
        <f aca="false">(I50+J50)/2</f>
        <v>2.72864177331972</v>
      </c>
      <c r="K51" s="22" t="n">
        <f aca="false">(J50+K50)/2</f>
        <v>2.77684275814619</v>
      </c>
      <c r="L51" s="22" t="n">
        <f aca="false">(K50+L50)/2</f>
        <v>2.81571855676024</v>
      </c>
      <c r="M51" s="22" t="n">
        <f aca="false">(L50+M50)/2</f>
        <v>2.85513861655488</v>
      </c>
    </row>
    <row r="52" customFormat="false" ht="17.15" hidden="false" customHeight="false" outlineLevel="0" collapsed="false">
      <c r="A52" s="5" t="s">
        <v>783</v>
      </c>
      <c r="B52" s="7" t="s">
        <v>54</v>
      </c>
      <c r="C52" s="24" t="n">
        <f aca="false">C45/C51</f>
        <v>23.8561591430757</v>
      </c>
      <c r="D52" s="24" t="n">
        <f aca="false">D45/D51</f>
        <v>23.4879564879565</v>
      </c>
      <c r="E52" s="24" t="n">
        <f aca="false">E49/E51</f>
        <v>20.4365264797508</v>
      </c>
      <c r="F52" s="24" t="n">
        <f aca="false">F49/F51</f>
        <v>8.40589752018733</v>
      </c>
      <c r="G52" s="24" t="n">
        <f aca="false">G49/G51</f>
        <v>28.8488160110654</v>
      </c>
      <c r="H52" s="24" t="n">
        <f aca="false">H49/H51</f>
        <v>31.5858304824768</v>
      </c>
      <c r="I52" s="24" t="n">
        <f aca="false">I49/I51</f>
        <v>30.0465746062588</v>
      </c>
      <c r="J52" s="24" t="n">
        <f aca="false">J49/J51</f>
        <v>28.2046504476174</v>
      </c>
      <c r="K52" s="24" t="n">
        <f aca="false">K49/K51</f>
        <v>27.9116884572416</v>
      </c>
      <c r="L52" s="24" t="n">
        <f aca="false">L49/L51</f>
        <v>28.8412980104506</v>
      </c>
      <c r="M52" s="24" t="n">
        <f aca="false">M49/M51</f>
        <v>31.5263808114782</v>
      </c>
    </row>
    <row r="53" customFormat="false" ht="17.15" hidden="false" customHeight="false" outlineLevel="0" collapsed="false">
      <c r="A53" s="0" t="s">
        <v>784</v>
      </c>
      <c r="B53" s="0" t="s">
        <v>54</v>
      </c>
      <c r="E53" s="24" t="n">
        <f aca="false">(E49-E47)/E51</f>
        <v>22.1405280869943</v>
      </c>
      <c r="F53" s="24" t="n">
        <f aca="false">(F49-F47)/F51</f>
        <v>8.40589752018733</v>
      </c>
      <c r="G53" s="24" t="n">
        <f aca="false">(G49-G47)/G51</f>
        <v>30.5505395135432</v>
      </c>
      <c r="H53" s="24" t="n">
        <f aca="false">(H49-H47)/H51</f>
        <v>31.5858304824768</v>
      </c>
      <c r="I53" s="24" t="n">
        <f aca="false">(I49-I47)/I51</f>
        <v>30.0465746062588</v>
      </c>
      <c r="J53" s="24" t="n">
        <f aca="false">(J49-J47)/J51</f>
        <v>28.2046504476174</v>
      </c>
      <c r="K53" s="24" t="n">
        <f aca="false">(K49-K47)/K51</f>
        <v>27.9116884572416</v>
      </c>
      <c r="L53" s="24" t="n">
        <f aca="false">(L49-L47)/L51</f>
        <v>28.8412980104506</v>
      </c>
      <c r="M53" s="24" t="n">
        <f aca="false">(M49-M47)/M51</f>
        <v>31.5263808114782</v>
      </c>
      <c r="N53" s="7" t="s">
        <v>785</v>
      </c>
    </row>
    <row r="54" customFormat="false" ht="17.15" hidden="false" customHeight="false" outlineLevel="0" collapsed="false">
      <c r="A54" s="0" t="s">
        <v>786</v>
      </c>
      <c r="B54" s="0" t="s">
        <v>54</v>
      </c>
      <c r="F54" s="24" t="n">
        <f aca="false">(F49-F47+(internal_ai_reading=2)*F35*(1-tax))/F51</f>
        <v>9.75756690472676</v>
      </c>
      <c r="G54" s="24" t="n">
        <f aca="false">(G49-G47+(internal_ai_reading=2)*G35*(1-tax))/G51</f>
        <v>31.9076300980161</v>
      </c>
      <c r="H54" s="24" t="n">
        <f aca="false">(H49-H47+(internal_ai_reading=2)*H35*(1-tax))/H51</f>
        <v>51.2752038936697</v>
      </c>
      <c r="I54" s="24" t="n">
        <f aca="false">(I49-I47+(internal_ai_reading=2)*I35*(1-tax))/I51</f>
        <v>67.5526736124973</v>
      </c>
      <c r="J54" s="24" t="n">
        <f aca="false">(J49-J47+(internal_ai_reading=2)*J35*(1-tax))/J51</f>
        <v>81.4010377377864</v>
      </c>
      <c r="K54" s="24" t="n">
        <f aca="false">(K49-K47+(internal_ai_reading=2)*K35*(1-tax))/K51</f>
        <v>92.2689254361709</v>
      </c>
      <c r="L54" s="24" t="n">
        <f aca="false">(L49-L47+(internal_ai_reading=2)*L35*(1-tax))/L51</f>
        <v>100.470971901277</v>
      </c>
      <c r="M54" s="24" t="n">
        <f aca="false">(M49-M47+(internal_ai_reading=2)*M35*(1-tax))/M51</f>
        <v>106.590142569436</v>
      </c>
    </row>
    <row r="55" customFormat="false" ht="15" hidden="false" customHeight="false" outlineLevel="0" collapsed="false">
      <c r="A55" s="4" t="s">
        <v>787</v>
      </c>
      <c r="B55" s="0" t="s">
        <v>74</v>
      </c>
      <c r="C55" s="25" t="n">
        <f aca="false">Q!J36</f>
        <v>16.69</v>
      </c>
      <c r="D55" s="25" t="n">
        <f aca="false">Q!K36</f>
        <v>20.427</v>
      </c>
      <c r="E55" s="25" t="n">
        <f aca="false">Q!L36</f>
        <v>21.053</v>
      </c>
      <c r="F55" s="25" t="n">
        <f aca="false">F16*sbc_r</f>
        <v>8.51156108610724</v>
      </c>
      <c r="G55" s="25" t="n">
        <f aca="false">E55+F55</f>
        <v>29.5645610861072</v>
      </c>
      <c r="H55" s="25" t="n">
        <f aca="false">H16*sbc_r</f>
        <v>36.1858192082385</v>
      </c>
      <c r="I55" s="25" t="n">
        <f aca="false">I16*sbc_r</f>
        <v>43.6906857193018</v>
      </c>
      <c r="J55" s="25" t="n">
        <f aca="false">J16*sbc_r</f>
        <v>50.5620628305735</v>
      </c>
      <c r="K55" s="25" t="n">
        <f aca="false">K16*sbc_r</f>
        <v>55.9971005464145</v>
      </c>
      <c r="L55" s="25" t="n">
        <f aca="false">L16*sbc_r</f>
        <v>60.6553407326685</v>
      </c>
      <c r="M55" s="25" t="n">
        <f aca="false">M16*sbc_r</f>
        <v>65.7082122199487</v>
      </c>
    </row>
    <row r="57" customFormat="false" ht="17.15" hidden="false" customHeight="false" outlineLevel="0" collapsed="false">
      <c r="A57" s="26" t="s">
        <v>718</v>
      </c>
    </row>
    <row r="58" customFormat="false" ht="15" hidden="false" customHeight="false" outlineLevel="0" collapsed="false">
      <c r="A58" s="3" t="s">
        <v>43</v>
      </c>
      <c r="B58" s="3" t="s">
        <v>44</v>
      </c>
      <c r="C58" s="21" t="s">
        <v>660</v>
      </c>
      <c r="D58" s="21" t="s">
        <v>661</v>
      </c>
      <c r="E58" s="21" t="s">
        <v>662</v>
      </c>
      <c r="F58" s="21" t="s">
        <v>663</v>
      </c>
      <c r="G58" s="21" t="s">
        <v>664</v>
      </c>
      <c r="H58" s="21" t="s">
        <v>665</v>
      </c>
      <c r="I58" s="21" t="s">
        <v>666</v>
      </c>
      <c r="J58" s="21" t="s">
        <v>667</v>
      </c>
      <c r="K58" s="21" t="s">
        <v>668</v>
      </c>
      <c r="L58" s="21" t="s">
        <v>669</v>
      </c>
      <c r="M58" s="21" t="s">
        <v>670</v>
      </c>
      <c r="N58" s="3" t="s">
        <v>50</v>
      </c>
    </row>
    <row r="59" customFormat="false" ht="15" hidden="false" customHeight="false" outlineLevel="0" collapsed="false">
      <c r="A59" s="0" t="s">
        <v>560</v>
      </c>
      <c r="B59" s="0" t="s">
        <v>74</v>
      </c>
      <c r="C59" s="25" t="n">
        <f aca="false">Seg!C32</f>
        <v>160.633</v>
      </c>
      <c r="D59" s="25" t="n">
        <f aca="false">Seg!D32</f>
        <v>196.175</v>
      </c>
      <c r="E59" s="25" t="n">
        <f aca="false">Seg!E32</f>
        <v>177.448</v>
      </c>
      <c r="F59" s="25" t="n">
        <f aca="false">Seg!F32</f>
        <v>74.1056441131912</v>
      </c>
      <c r="G59" s="25" t="n">
        <f aca="false">Seg!G32</f>
        <v>251.553644113191</v>
      </c>
      <c r="H59" s="25" t="n">
        <f aca="false">Seg!H32</f>
        <v>308.132772339813</v>
      </c>
      <c r="I59" s="25" t="n">
        <f aca="false">Seg!I32</f>
        <v>362.406865051495</v>
      </c>
      <c r="J59" s="25" t="n">
        <f aca="false">Seg!J32</f>
        <v>408.915411797407</v>
      </c>
      <c r="K59" s="25" t="n">
        <f aca="false">Seg!K32</f>
        <v>442.242017858895</v>
      </c>
      <c r="L59" s="25" t="n">
        <f aca="false">Seg!L32</f>
        <v>478.284742314395</v>
      </c>
      <c r="M59" s="25" t="n">
        <f aca="false">Seg!M32</f>
        <v>517.264948813018</v>
      </c>
    </row>
    <row r="60" customFormat="false" ht="15" hidden="false" customHeight="false" outlineLevel="0" collapsed="false">
      <c r="A60" s="0" t="s">
        <v>562</v>
      </c>
      <c r="B60" s="0" t="s">
        <v>74</v>
      </c>
      <c r="C60" s="25" t="n">
        <f aca="false">Seg!C35</f>
        <v>1.722</v>
      </c>
      <c r="D60" s="25" t="n">
        <f aca="false">Seg!D35</f>
        <v>2.584</v>
      </c>
      <c r="E60" s="25" t="n">
        <f aca="false">Seg!E35</f>
        <v>2.989</v>
      </c>
      <c r="F60" s="25" t="n">
        <f aca="false">Seg!F35</f>
        <v>1.3187619461338</v>
      </c>
      <c r="G60" s="25" t="n">
        <f aca="false">Seg!G35</f>
        <v>4.3077619461338</v>
      </c>
      <c r="H60" s="25" t="n">
        <f aca="false">Seg!H35</f>
        <v>6.5576880459971</v>
      </c>
      <c r="I60" s="25" t="n">
        <f aca="false">Seg!I35</f>
        <v>9.16894119428695</v>
      </c>
      <c r="J60" s="25" t="n">
        <f aca="false">Seg!J35</f>
        <v>11.6821352299365</v>
      </c>
      <c r="K60" s="25" t="n">
        <f aca="false">Seg!K35</f>
        <v>13.4344555144269</v>
      </c>
      <c r="L60" s="25" t="n">
        <f aca="false">Seg!L35</f>
        <v>15.449623841591</v>
      </c>
      <c r="M60" s="25" t="n">
        <f aca="false">Seg!M35</f>
        <v>17.7670674178296</v>
      </c>
    </row>
    <row r="61" customFormat="false" ht="15" hidden="false" customHeight="false" outlineLevel="0" collapsed="false">
      <c r="A61" s="29" t="s">
        <v>734</v>
      </c>
      <c r="B61" s="30" t="s">
        <v>74</v>
      </c>
      <c r="C61" s="31" t="n">
        <f aca="false">Seg!C36</f>
        <v>162.355</v>
      </c>
      <c r="D61" s="31" t="n">
        <f aca="false">Seg!D36</f>
        <v>198.759</v>
      </c>
      <c r="E61" s="31" t="n">
        <f aca="false">Seg!E36</f>
        <v>180.437</v>
      </c>
      <c r="F61" s="31" t="n">
        <f aca="false">Seg!F36</f>
        <v>75.424406059325</v>
      </c>
      <c r="G61" s="31" t="n">
        <f aca="false">Seg!G36</f>
        <v>255.861406059325</v>
      </c>
      <c r="H61" s="31" t="n">
        <f aca="false">Seg!H36</f>
        <v>314.69046038581</v>
      </c>
      <c r="I61" s="31" t="n">
        <f aca="false">Seg!I36</f>
        <v>371.575806245782</v>
      </c>
      <c r="J61" s="31" t="n">
        <f aca="false">Seg!J36</f>
        <v>420.597547027343</v>
      </c>
      <c r="K61" s="31" t="n">
        <f aca="false">Seg!K36</f>
        <v>455.676473373322</v>
      </c>
      <c r="L61" s="31" t="n">
        <f aca="false">Seg!L36</f>
        <v>493.734366155986</v>
      </c>
      <c r="M61" s="31" t="n">
        <f aca="false">Seg!M36</f>
        <v>535.032016230848</v>
      </c>
      <c r="N61" s="30"/>
    </row>
    <row r="62" customFormat="false" ht="15" hidden="false" customHeight="false" outlineLevel="0" collapsed="false">
      <c r="A62" s="29" t="s">
        <v>736</v>
      </c>
      <c r="B62" s="30" t="s">
        <v>74</v>
      </c>
      <c r="C62" s="31" t="n">
        <f aca="false">Seg!C38</f>
        <v>2.146</v>
      </c>
      <c r="D62" s="31" t="n">
        <f aca="false">Seg!D38</f>
        <v>2.207</v>
      </c>
      <c r="E62" s="31" t="n">
        <f aca="false">Seg!E38</f>
        <v>1.276</v>
      </c>
      <c r="F62" s="31" t="n">
        <f aca="false">Seg!F38</f>
        <v>0.912464668094218</v>
      </c>
      <c r="G62" s="31" t="n">
        <f aca="false">Seg!G38</f>
        <v>2.18846466809422</v>
      </c>
      <c r="H62" s="31" t="n">
        <f aca="false">Seg!H38</f>
        <v>2.14271544684739</v>
      </c>
      <c r="I62" s="31" t="n">
        <f aca="false">Seg!I38</f>
        <v>2.1485654729603</v>
      </c>
      <c r="J62" s="31" t="n">
        <f aca="false">Seg!J38</f>
        <v>2.20521260869012</v>
      </c>
      <c r="K62" s="31" t="n">
        <f aca="false">Seg!K38</f>
        <v>2.31547323912462</v>
      </c>
      <c r="L62" s="31" t="n">
        <f aca="false">Seg!L38</f>
        <v>2.43124690108085</v>
      </c>
      <c r="M62" s="31" t="n">
        <f aca="false">Seg!M38</f>
        <v>2.5528092461349</v>
      </c>
      <c r="N62" s="30"/>
    </row>
    <row r="63" customFormat="false" ht="15" hidden="false" customHeight="false" outlineLevel="0" collapsed="false">
      <c r="A63" s="2" t="s">
        <v>567</v>
      </c>
      <c r="B63" s="7" t="s">
        <v>74</v>
      </c>
      <c r="C63" s="25" t="n">
        <f aca="false">Seg!C39</f>
        <v>164.501</v>
      </c>
      <c r="D63" s="25" t="n">
        <f aca="false">Seg!D39</f>
        <v>200.966</v>
      </c>
      <c r="E63" s="25" t="n">
        <f aca="false">Seg!E39</f>
        <v>181.713</v>
      </c>
      <c r="F63" s="25" t="n">
        <f aca="false">Seg!F39</f>
        <v>76.3368707274192</v>
      </c>
      <c r="G63" s="25" t="n">
        <f aca="false">Seg!G39</f>
        <v>258.049870727419</v>
      </c>
      <c r="H63" s="25" t="n">
        <f aca="false">Seg!H39</f>
        <v>316.833175832657</v>
      </c>
      <c r="I63" s="25" t="n">
        <f aca="false">Seg!I39</f>
        <v>373.724371718742</v>
      </c>
      <c r="J63" s="25" t="n">
        <f aca="false">Seg!J39</f>
        <v>422.802759636033</v>
      </c>
      <c r="K63" s="25" t="n">
        <f aca="false">Seg!K39</f>
        <v>457.991946612447</v>
      </c>
      <c r="L63" s="25" t="n">
        <f aca="false">Seg!L39</f>
        <v>496.165613057067</v>
      </c>
      <c r="M63" s="25" t="n">
        <f aca="false">Seg!M39</f>
        <v>537.584825476983</v>
      </c>
    </row>
    <row r="64" customFormat="false" ht="15" hidden="false" customHeight="false" outlineLevel="0" collapsed="false">
      <c r="A64" s="4" t="s">
        <v>746</v>
      </c>
      <c r="B64" s="0" t="s">
        <v>128</v>
      </c>
      <c r="D64" s="15" t="n">
        <f aca="false">D63/C63-1</f>
        <v>0.221670384982462</v>
      </c>
      <c r="G64" s="15" t="n">
        <f aca="false">G63/D63-1</f>
        <v>0.284047404672528</v>
      </c>
      <c r="H64" s="15" t="n">
        <f aca="false">H63/G63-1</f>
        <v>0.227798235044774</v>
      </c>
      <c r="I64" s="15" t="n">
        <f aca="false">I63/H63-1</f>
        <v>0.179561991059083</v>
      </c>
      <c r="J64" s="15" t="n">
        <f aca="false">J63/I63-1</f>
        <v>0.131322417351541</v>
      </c>
      <c r="K64" s="15" t="n">
        <f aca="false">K63/J63-1</f>
        <v>0.0832283758192733</v>
      </c>
      <c r="L64" s="15" t="n">
        <f aca="false">L63/K63-1</f>
        <v>0.0833500823037896</v>
      </c>
      <c r="M64" s="15" t="n">
        <f aca="false">M63/L63-1</f>
        <v>0.0834786033734103</v>
      </c>
    </row>
    <row r="65" customFormat="false" ht="17.15" hidden="false" customHeight="false" outlineLevel="0" collapsed="false">
      <c r="A65" s="4" t="s">
        <v>564</v>
      </c>
      <c r="B65" s="0" t="s">
        <v>74</v>
      </c>
      <c r="C65" s="22" t="n">
        <f aca="false">C59+C60-C61</f>
        <v>0</v>
      </c>
      <c r="D65" s="22" t="n">
        <f aca="false">D59+D60-D61</f>
        <v>0</v>
      </c>
      <c r="E65" s="22" t="n">
        <f aca="false">E59+E60-E61</f>
        <v>0</v>
      </c>
      <c r="F65" s="22" t="n">
        <f aca="false">F59+F60-F61</f>
        <v>0</v>
      </c>
      <c r="G65" s="22" t="n">
        <f aca="false">G59+G60-G61</f>
        <v>0</v>
      </c>
      <c r="H65" s="22" t="n">
        <f aca="false">H59+H60-H61</f>
        <v>0</v>
      </c>
      <c r="I65" s="22" t="n">
        <f aca="false">I59+I60-I61</f>
        <v>0</v>
      </c>
      <c r="J65" s="22" t="n">
        <f aca="false">J59+J60-J61</f>
        <v>0</v>
      </c>
      <c r="K65" s="22" t="n">
        <f aca="false">K59+K60-K61</f>
        <v>0</v>
      </c>
      <c r="L65" s="22" t="n">
        <f aca="false">L59+L60-L61</f>
        <v>0</v>
      </c>
      <c r="M65" s="22" t="n">
        <f aca="false">M59+M60-M61</f>
        <v>0</v>
      </c>
    </row>
    <row r="66" customFormat="false" ht="15" hidden="false" customHeight="false" outlineLevel="0" collapsed="false">
      <c r="A66" s="4" t="s">
        <v>568</v>
      </c>
      <c r="B66" s="0" t="s">
        <v>74</v>
      </c>
      <c r="C66" s="22" t="n">
        <f aca="false">C61+C62-C63</f>
        <v>0</v>
      </c>
      <c r="D66" s="22" t="n">
        <f aca="false">D61+D62-D63</f>
        <v>0</v>
      </c>
      <c r="E66" s="22" t="n">
        <f aca="false">E61+E62-E63</f>
        <v>0</v>
      </c>
      <c r="F66" s="22" t="n">
        <f aca="false">F61+F62-F63</f>
        <v>0</v>
      </c>
      <c r="G66" s="22" t="n">
        <f aca="false">G61+G62-G63</f>
        <v>0</v>
      </c>
      <c r="H66" s="22" t="n">
        <f aca="false">H61+H62-H63</f>
        <v>0</v>
      </c>
      <c r="I66" s="22" t="n">
        <f aca="false">I61+I62-I63</f>
        <v>0</v>
      </c>
      <c r="J66" s="22" t="n">
        <f aca="false">J61+J62-J63</f>
        <v>0</v>
      </c>
      <c r="K66" s="22" t="n">
        <f aca="false">K61+K62-K63</f>
        <v>0</v>
      </c>
      <c r="L66" s="22" t="n">
        <f aca="false">L61+L62-L63</f>
        <v>0</v>
      </c>
      <c r="M66" s="22" t="n">
        <f aca="false">M61+M62-M63</f>
        <v>0</v>
      </c>
    </row>
    <row r="67" customFormat="false" ht="17.15" hidden="false" customHeight="false" outlineLevel="0" collapsed="false">
      <c r="A67" s="4" t="s">
        <v>747</v>
      </c>
      <c r="B67" s="0" t="s">
        <v>74</v>
      </c>
      <c r="F67" s="25" t="n">
        <f aca="false">Seg!F32-Seg!F29</f>
        <v>0</v>
      </c>
      <c r="G67" s="25" t="n">
        <f aca="false">F67</f>
        <v>0</v>
      </c>
      <c r="H67" s="25" t="n">
        <f aca="false">Seg!H32-Seg!H29</f>
        <v>0</v>
      </c>
      <c r="I67" s="25" t="n">
        <f aca="false">Seg!I32-Seg!I29</f>
        <v>0</v>
      </c>
      <c r="J67" s="25" t="n">
        <f aca="false">Seg!J32-Seg!J29</f>
        <v>0</v>
      </c>
      <c r="K67" s="25" t="n">
        <f aca="false">Seg!K32-Seg!K29</f>
        <v>0</v>
      </c>
      <c r="L67" s="25" t="n">
        <f aca="false">Seg!L32-Seg!L29</f>
        <v>0</v>
      </c>
      <c r="M67" s="25" t="n">
        <f aca="false">Seg!M32-Seg!M29</f>
        <v>0</v>
      </c>
    </row>
    <row r="68" customFormat="false" ht="17.15" hidden="false" customHeight="false" outlineLevel="0" collapsed="false">
      <c r="A68" s="0" t="s">
        <v>748</v>
      </c>
      <c r="B68" s="0" t="s">
        <v>74</v>
      </c>
      <c r="F68" s="25" t="n">
        <f aca="false">m_foa*(F61-F67)+inc_m*F67-Thesis!F106-Thesis!F107</f>
        <v>40.7984607622799</v>
      </c>
      <c r="H68" s="25" t="n">
        <f aca="false">m_foa*(H61-H67)+inc_m*H67-Thesis!H106-Thesis!H107</f>
        <v>163.015265202946</v>
      </c>
      <c r="I68" s="25" t="n">
        <f aca="false">m_foa*(I61-I67)+inc_m*I67-Thesis!I106-Thesis!I107</f>
        <v>185.627886052802</v>
      </c>
      <c r="J68" s="25" t="n">
        <f aca="false">m_foa*(J61-J67)+inc_m*J67-Thesis!J106-Thesis!J107</f>
        <v>204.781379447163</v>
      </c>
      <c r="K68" s="25" t="n">
        <f aca="false">m_foa*(K61-K67)+inc_m*K67-Thesis!K106-Thesis!K107</f>
        <v>218.182497694416</v>
      </c>
      <c r="L68" s="25" t="n">
        <f aca="false">m_foa*(L61-L67)+inc_m*L67-Thesis!L106-Thesis!L107</f>
        <v>235.072707812732</v>
      </c>
      <c r="M68" s="25" t="n">
        <f aca="false">m_foa*(M61-M67)+inc_m*M67-Thesis!M106-Thesis!M107</f>
        <v>255.555194672996</v>
      </c>
    </row>
    <row r="69" customFormat="false" ht="17.15" hidden="false" customHeight="false" outlineLevel="0" collapsed="false">
      <c r="A69" s="0" t="s">
        <v>749</v>
      </c>
      <c r="B69" s="0" t="s">
        <v>74</v>
      </c>
      <c r="F69" s="25" t="n">
        <f aca="false">Thesis!F111*(1-rl_da_sh)+Thesis!F104+Seg!F44</f>
        <v>9.05531293804891</v>
      </c>
      <c r="H69" s="25" t="n">
        <f aca="false">Thesis!H111*(1-rl_da_sh)+Thesis!H104+Seg!H44</f>
        <v>52.2898429781216</v>
      </c>
      <c r="I69" s="25" t="n">
        <f aca="false">Thesis!I111*(1-rl_da_sh)+Thesis!I104+Seg!I44</f>
        <v>80.9477977860147</v>
      </c>
      <c r="J69" s="25" t="n">
        <f aca="false">Thesis!J111*(1-rl_da_sh)+Thesis!J104+Seg!J44</f>
        <v>109.395214550621</v>
      </c>
      <c r="K69" s="25" t="n">
        <f aca="false">Thesis!K111*(1-rl_da_sh)+Thesis!K104+Seg!K44</f>
        <v>132.892824022101</v>
      </c>
      <c r="L69" s="25" t="n">
        <f aca="false">Thesis!L111*(1-rl_da_sh)+Thesis!L104+Seg!L44</f>
        <v>150.93700460999</v>
      </c>
      <c r="M69" s="25" t="n">
        <f aca="false">Thesis!M111*(1-rl_da_sh)+Thesis!M104+Seg!M44</f>
        <v>169.548297670757</v>
      </c>
    </row>
    <row r="70" customFormat="false" ht="17.15" hidden="false" customHeight="false" outlineLevel="0" collapsed="false">
      <c r="A70" s="5" t="s">
        <v>750</v>
      </c>
      <c r="B70" s="7" t="s">
        <v>74</v>
      </c>
      <c r="C70" s="25" t="n">
        <f aca="false">Q!J14</f>
        <v>87.109</v>
      </c>
      <c r="D70" s="25" t="n">
        <f aca="false">Q!K14</f>
        <v>102.469</v>
      </c>
      <c r="E70" s="25" t="n">
        <f aca="false">Q!L14</f>
        <v>67.411</v>
      </c>
      <c r="F70" s="25" t="n">
        <f aca="false">F68-F69</f>
        <v>31.743147824231</v>
      </c>
      <c r="G70" s="25" t="n">
        <f aca="false">E70+F70</f>
        <v>99.154147824231</v>
      </c>
      <c r="H70" s="25" t="n">
        <f aca="false">H68-H69</f>
        <v>110.725422224824</v>
      </c>
      <c r="I70" s="25" t="n">
        <f aca="false">I68-I69</f>
        <v>104.680088266787</v>
      </c>
      <c r="J70" s="25" t="n">
        <f aca="false">J68-J69</f>
        <v>95.3861648965415</v>
      </c>
      <c r="K70" s="25" t="n">
        <f aca="false">K68-K69</f>
        <v>85.289673672315</v>
      </c>
      <c r="L70" s="25" t="n">
        <f aca="false">L68-L69</f>
        <v>84.135703202742</v>
      </c>
      <c r="M70" s="25" t="n">
        <f aca="false">M68-M69</f>
        <v>86.006897002239</v>
      </c>
      <c r="N70" s="7" t="s">
        <v>751</v>
      </c>
    </row>
    <row r="71" customFormat="false" ht="17.15" hidden="false" customHeight="false" outlineLevel="0" collapsed="false">
      <c r="A71" s="5" t="s">
        <v>752</v>
      </c>
      <c r="B71" s="7" t="s">
        <v>74</v>
      </c>
      <c r="C71" s="25" t="n">
        <f aca="false">Q!J15</f>
        <v>-17.729</v>
      </c>
      <c r="D71" s="25" t="n">
        <f aca="false">Q!K15</f>
        <v>-19.193</v>
      </c>
      <c r="E71" s="25" t="n">
        <f aca="false">Q!L15</f>
        <v>-12.776</v>
      </c>
      <c r="F71" s="25" t="n">
        <f aca="false">-(rl_loss26+Q!L15)</f>
        <v>-5.724</v>
      </c>
      <c r="G71" s="25" t="n">
        <f aca="false">E71+F71</f>
        <v>-18.5</v>
      </c>
      <c r="H71" s="25" t="n">
        <f aca="false">-rl_loss27</f>
        <v>-15</v>
      </c>
      <c r="I71" s="25" t="n">
        <f aca="false">-(rl_loss27+(rl_loss32-rl_loss27)*(2028-2027)/5)</f>
        <v>-13</v>
      </c>
      <c r="J71" s="25" t="n">
        <f aca="false">-(rl_loss27+(rl_loss32-rl_loss27)*(2029-2027)/5)</f>
        <v>-11</v>
      </c>
      <c r="K71" s="25" t="n">
        <f aca="false">-(rl_loss27+(rl_loss32-rl_loss27)*(2030-2027)/5)</f>
        <v>-9</v>
      </c>
      <c r="L71" s="25" t="n">
        <f aca="false">-(rl_loss27+(rl_loss32-rl_loss27)*(2031-2027)/5)</f>
        <v>-7</v>
      </c>
      <c r="M71" s="25" t="n">
        <f aca="false">-(rl_loss27+(rl_loss32-rl_loss27)*(2032-2027)/5)</f>
        <v>-5</v>
      </c>
      <c r="N71" s="7" t="s">
        <v>753</v>
      </c>
    </row>
    <row r="72" customFormat="false" ht="17.15" hidden="false" customHeight="false" outlineLevel="0" collapsed="false">
      <c r="A72" s="0" t="s">
        <v>754</v>
      </c>
      <c r="B72" s="0" t="s">
        <v>74</v>
      </c>
      <c r="F72" s="25" t="n">
        <f aca="false">Thesis!F111*rl_da_sh</f>
        <v>0.3577</v>
      </c>
      <c r="H72" s="25" t="n">
        <f aca="false">Thesis!H111*rl_da_sh</f>
        <v>1.4308</v>
      </c>
      <c r="I72" s="25" t="n">
        <f aca="false">Thesis!I111*rl_da_sh</f>
        <v>1.4308</v>
      </c>
      <c r="J72" s="25" t="n">
        <f aca="false">Thesis!J111*rl_da_sh</f>
        <v>1.37615168072424</v>
      </c>
      <c r="K72" s="25" t="n">
        <f aca="false">Thesis!K111*rl_da_sh</f>
        <v>1.23080726603289</v>
      </c>
      <c r="L72" s="25" t="n">
        <f aca="false">Thesis!L111*rl_da_sh</f>
        <v>0.943897944979439</v>
      </c>
      <c r="M72" s="25" t="n">
        <f aca="false">Thesis!M111*rl_da_sh</f>
        <v>0.747684719341578</v>
      </c>
    </row>
    <row r="73" customFormat="false" ht="15" hidden="false" customHeight="false" outlineLevel="0" collapsed="false">
      <c r="A73" s="0" t="s">
        <v>755</v>
      </c>
      <c r="B73" s="0" t="s">
        <v>74</v>
      </c>
      <c r="F73" s="25" t="n">
        <f aca="false">F71+F72</f>
        <v>-5.3663</v>
      </c>
      <c r="H73" s="25" t="n">
        <f aca="false">H71+H72</f>
        <v>-13.5692</v>
      </c>
      <c r="I73" s="25" t="n">
        <f aca="false">I71+I72</f>
        <v>-11.5692</v>
      </c>
      <c r="J73" s="25" t="n">
        <f aca="false">J71+J72</f>
        <v>-9.62384831927576</v>
      </c>
      <c r="K73" s="25" t="n">
        <f aca="false">K71+K72</f>
        <v>-7.76919273396711</v>
      </c>
      <c r="L73" s="25" t="n">
        <f aca="false">L71+L72</f>
        <v>-6.05610205502056</v>
      </c>
      <c r="M73" s="25" t="n">
        <f aca="false">M71+M72</f>
        <v>-4.25231528065842</v>
      </c>
    </row>
    <row r="74" customFormat="false" ht="15" hidden="false" customHeight="false" outlineLevel="0" collapsed="false">
      <c r="A74" s="4" t="s">
        <v>756</v>
      </c>
      <c r="B74" s="0" t="s">
        <v>74</v>
      </c>
      <c r="C74" s="25" t="n">
        <f aca="false">C70+C71</f>
        <v>69.38</v>
      </c>
      <c r="D74" s="25" t="n">
        <f aca="false">D70+D71</f>
        <v>83.276</v>
      </c>
      <c r="E74" s="25" t="n">
        <f aca="false">E70+E71</f>
        <v>54.635</v>
      </c>
      <c r="F74" s="25" t="n">
        <f aca="false">F70+F71</f>
        <v>26.019147824231</v>
      </c>
      <c r="G74" s="25" t="n">
        <f aca="false">G70+G71</f>
        <v>80.654147824231</v>
      </c>
      <c r="H74" s="25" t="n">
        <f aca="false">H70+H71</f>
        <v>95.7254222248241</v>
      </c>
      <c r="I74" s="25" t="n">
        <f aca="false">I70+I71</f>
        <v>91.680088266787</v>
      </c>
      <c r="J74" s="25" t="n">
        <f aca="false">J70+J71</f>
        <v>84.3861648965415</v>
      </c>
      <c r="K74" s="25" t="n">
        <f aca="false">K70+K71</f>
        <v>76.289673672315</v>
      </c>
      <c r="L74" s="25" t="n">
        <f aca="false">L70+L71</f>
        <v>77.135703202742</v>
      </c>
      <c r="M74" s="25" t="n">
        <f aca="false">M70+M71</f>
        <v>81.006897002239</v>
      </c>
    </row>
    <row r="75" customFormat="false" ht="17.15" hidden="false" customHeight="false" outlineLevel="0" collapsed="false">
      <c r="A75" s="4" t="s">
        <v>757</v>
      </c>
      <c r="B75" s="0" t="s">
        <v>74</v>
      </c>
      <c r="F75" s="25" t="n">
        <f aca="false">F68+F73</f>
        <v>35.4321607622799</v>
      </c>
      <c r="H75" s="25" t="n">
        <f aca="false">H68+H73</f>
        <v>149.446065202946</v>
      </c>
      <c r="I75" s="25" t="n">
        <f aca="false">I68+I73</f>
        <v>174.058686052802</v>
      </c>
      <c r="J75" s="25" t="n">
        <f aca="false">J68+J73</f>
        <v>195.157531127887</v>
      </c>
      <c r="K75" s="25" t="n">
        <f aca="false">K68+K73</f>
        <v>210.413304960449</v>
      </c>
      <c r="L75" s="25" t="n">
        <f aca="false">L68+L73</f>
        <v>229.016605757712</v>
      </c>
      <c r="M75" s="25" t="n">
        <f aca="false">M68+M73</f>
        <v>251.302879392337</v>
      </c>
    </row>
    <row r="76" customFormat="false" ht="17.15" hidden="false" customHeight="false" outlineLevel="0" collapsed="false">
      <c r="A76" s="4" t="s">
        <v>758</v>
      </c>
      <c r="B76" s="0" t="s">
        <v>74</v>
      </c>
      <c r="C76" s="25" t="n">
        <f aca="false">Q!J35</f>
        <v>15.498</v>
      </c>
      <c r="D76" s="25" t="n">
        <f aca="false">Q!K35</f>
        <v>18.616</v>
      </c>
      <c r="E76" s="25" t="n">
        <f aca="false">Q!L35</f>
        <v>19.509</v>
      </c>
      <c r="F76" s="25" t="n">
        <f aca="false">Thesis!F111+Thesis!F104+Seg!F44</f>
        <v>9.41301293804891</v>
      </c>
      <c r="G76" s="25" t="n">
        <f aca="false">E76+F76</f>
        <v>28.9220129380489</v>
      </c>
      <c r="H76" s="25" t="n">
        <f aca="false">Thesis!H111+Thesis!H104+Seg!H44</f>
        <v>53.7206429781216</v>
      </c>
      <c r="I76" s="25" t="n">
        <f aca="false">Thesis!I111+Thesis!I104+Seg!I44</f>
        <v>82.3785977860147</v>
      </c>
      <c r="J76" s="25" t="n">
        <f aca="false">Thesis!J111+Thesis!J104+Seg!J44</f>
        <v>110.771366231345</v>
      </c>
      <c r="K76" s="25" t="n">
        <f aca="false">Thesis!K111+Thesis!K104+Seg!K44</f>
        <v>134.123631288134</v>
      </c>
      <c r="L76" s="25" t="n">
        <f aca="false">Thesis!L111+Thesis!L104+Seg!L44</f>
        <v>151.88090255497</v>
      </c>
      <c r="M76" s="25" t="n">
        <f aca="false">Thesis!M111+Thesis!M104+Seg!M44</f>
        <v>170.295982390098</v>
      </c>
    </row>
    <row r="77" customFormat="false" ht="17.15" hidden="false" customHeight="false" outlineLevel="0" collapsed="false">
      <c r="A77" s="4" t="s">
        <v>759</v>
      </c>
      <c r="B77" s="0" t="s">
        <v>74</v>
      </c>
      <c r="F77" s="25" t="n">
        <f aca="false">Thesis!F104</f>
        <v>2.2208445026852</v>
      </c>
      <c r="G77" s="25" t="n">
        <f aca="false">F77</f>
        <v>2.2208445026852</v>
      </c>
      <c r="H77" s="25" t="n">
        <f aca="false">Thesis!H104</f>
        <v>24.4824623193793</v>
      </c>
      <c r="I77" s="25" t="n">
        <f aca="false">Thesis!I104</f>
        <v>51.8161932280557</v>
      </c>
      <c r="J77" s="25" t="n">
        <f aca="false">Thesis!J104</f>
        <v>79.7579521841094</v>
      </c>
      <c r="K77" s="25" t="n">
        <f aca="false">Thesis!K104</f>
        <v>104.290705309204</v>
      </c>
      <c r="L77" s="25" t="n">
        <f aca="false">Thesis!L104</f>
        <v>125.916021544214</v>
      </c>
      <c r="M77" s="25" t="n">
        <f aca="false">Thesis!M104</f>
        <v>146.229284227452</v>
      </c>
    </row>
    <row r="78" customFormat="false" ht="17.15" hidden="false" customHeight="false" outlineLevel="0" collapsed="false">
      <c r="A78" s="26" t="s">
        <v>760</v>
      </c>
      <c r="B78" s="30" t="s">
        <v>74</v>
      </c>
      <c r="C78" s="31" t="n">
        <f aca="false">Q!J16</f>
        <v>69.38</v>
      </c>
      <c r="D78" s="31" t="n">
        <f aca="false">Q!K16</f>
        <v>83.276</v>
      </c>
      <c r="E78" s="31" t="n">
        <f aca="false">Q!L16</f>
        <v>54.635</v>
      </c>
      <c r="F78" s="31" t="n">
        <f aca="false">F75-F76</f>
        <v>26.019147824231</v>
      </c>
      <c r="G78" s="31" t="n">
        <f aca="false">E78+F78</f>
        <v>80.654147824231</v>
      </c>
      <c r="H78" s="31" t="n">
        <f aca="false">H75-H76</f>
        <v>95.7254222248241</v>
      </c>
      <c r="I78" s="31" t="n">
        <f aca="false">I75-I76</f>
        <v>91.680088266787</v>
      </c>
      <c r="J78" s="31" t="n">
        <f aca="false">J75-J76</f>
        <v>84.3861648965415</v>
      </c>
      <c r="K78" s="31" t="n">
        <f aca="false">K75-K76</f>
        <v>76.289673672315</v>
      </c>
      <c r="L78" s="31" t="n">
        <f aca="false">L75-L76</f>
        <v>77.135703202742</v>
      </c>
      <c r="M78" s="31" t="n">
        <f aca="false">M75-M76</f>
        <v>81.006897002239</v>
      </c>
      <c r="N78" s="32" t="s">
        <v>761</v>
      </c>
    </row>
    <row r="79" customFormat="false" ht="15" hidden="false" customHeight="false" outlineLevel="0" collapsed="false">
      <c r="A79" s="4" t="s">
        <v>573</v>
      </c>
      <c r="B79" s="0" t="s">
        <v>74</v>
      </c>
      <c r="C79" s="22" t="n">
        <f aca="false">C74-C78</f>
        <v>0</v>
      </c>
      <c r="D79" s="22" t="n">
        <f aca="false">D74-D78</f>
        <v>0</v>
      </c>
      <c r="E79" s="22" t="n">
        <f aca="false">E74-E78</f>
        <v>0</v>
      </c>
      <c r="F79" s="22" t="n">
        <f aca="false">F74-F78</f>
        <v>0</v>
      </c>
      <c r="G79" s="22" t="n">
        <f aca="false">G74-G78</f>
        <v>0</v>
      </c>
      <c r="H79" s="22" t="n">
        <f aca="false">H74-H78</f>
        <v>0</v>
      </c>
      <c r="I79" s="22" t="n">
        <f aca="false">I74-I78</f>
        <v>0</v>
      </c>
      <c r="J79" s="22" t="n">
        <f aca="false">J74-J78</f>
        <v>0</v>
      </c>
      <c r="K79" s="22" t="n">
        <f aca="false">K74-K78</f>
        <v>0</v>
      </c>
      <c r="L79" s="22" t="n">
        <f aca="false">L74-L78</f>
        <v>0</v>
      </c>
      <c r="M79" s="22" t="n">
        <f aca="false">M74-M78</f>
        <v>0</v>
      </c>
    </row>
    <row r="80" customFormat="false" ht="17.15" hidden="false" customHeight="false" outlineLevel="0" collapsed="false">
      <c r="A80" s="4" t="s">
        <v>762</v>
      </c>
      <c r="B80" s="0" t="s">
        <v>74</v>
      </c>
      <c r="E80" s="25" t="n">
        <f aca="false">-ot_oi_9m</f>
        <v>-13.47</v>
      </c>
      <c r="F80" s="28" t="n">
        <v>0</v>
      </c>
      <c r="G80" s="25" t="n">
        <f aca="false">E80+F80</f>
        <v>-13.47</v>
      </c>
      <c r="H80" s="28" t="n">
        <v>0</v>
      </c>
      <c r="I80" s="28" t="n">
        <v>0</v>
      </c>
      <c r="J80" s="28" t="n">
        <v>0</v>
      </c>
      <c r="K80" s="28" t="n">
        <v>0</v>
      </c>
      <c r="L80" s="28" t="n">
        <v>0</v>
      </c>
      <c r="M80" s="28" t="n">
        <v>0</v>
      </c>
      <c r="N80" s="7" t="s">
        <v>763</v>
      </c>
    </row>
    <row r="81" customFormat="false" ht="15" hidden="false" customHeight="false" outlineLevel="0" collapsed="false">
      <c r="A81" s="4" t="s">
        <v>764</v>
      </c>
      <c r="B81" s="0" t="s">
        <v>74</v>
      </c>
      <c r="E81" s="25" t="n">
        <f aca="false">E78-E80</f>
        <v>68.105</v>
      </c>
      <c r="F81" s="25" t="n">
        <f aca="false">F78-F80</f>
        <v>26.019147824231</v>
      </c>
      <c r="G81" s="25" t="n">
        <f aca="false">G78-G80</f>
        <v>94.124147824231</v>
      </c>
      <c r="H81" s="25" t="n">
        <f aca="false">H78-H80</f>
        <v>95.7254222248241</v>
      </c>
      <c r="I81" s="25" t="n">
        <f aca="false">I78-I80</f>
        <v>91.680088266787</v>
      </c>
      <c r="J81" s="25" t="n">
        <f aca="false">J78-J80</f>
        <v>84.3861648965415</v>
      </c>
      <c r="K81" s="25" t="n">
        <f aca="false">K78-K80</f>
        <v>76.289673672315</v>
      </c>
      <c r="L81" s="25" t="n">
        <f aca="false">L78-L80</f>
        <v>77.135703202742</v>
      </c>
      <c r="M81" s="25" t="n">
        <f aca="false">M78-M80</f>
        <v>81.006897002239</v>
      </c>
    </row>
    <row r="82" customFormat="false" ht="17.15" hidden="false" customHeight="false" outlineLevel="0" collapsed="false">
      <c r="A82" s="4" t="s">
        <v>765</v>
      </c>
      <c r="B82" s="0" t="s">
        <v>74</v>
      </c>
      <c r="F82" s="25" t="n">
        <f aca="false">Thesis!F113</f>
        <v>4.15437383018245</v>
      </c>
      <c r="G82" s="25" t="n">
        <f aca="false">F82</f>
        <v>4.15437383018245</v>
      </c>
      <c r="H82" s="25" t="n">
        <f aca="false">Thesis!H113</f>
        <v>57.6505979020729</v>
      </c>
      <c r="I82" s="25" t="n">
        <f aca="false">Thesis!I113</f>
        <v>107.896407872919</v>
      </c>
      <c r="J82" s="25" t="n">
        <f aca="false">Thesis!J113</f>
        <v>153.772191402645</v>
      </c>
      <c r="K82" s="25" t="n">
        <f aca="false">Thesis!K113</f>
        <v>188.379414863188</v>
      </c>
      <c r="L82" s="25" t="n">
        <f aca="false">Thesis!L113</f>
        <v>212.196057070117</v>
      </c>
      <c r="M82" s="25" t="n">
        <f aca="false">Thesis!M113</f>
        <v>225.458638474069</v>
      </c>
    </row>
    <row r="83" customFormat="false" ht="17.15" hidden="false" customHeight="false" outlineLevel="0" collapsed="false">
      <c r="A83" s="2" t="s">
        <v>766</v>
      </c>
      <c r="B83" s="7" t="s">
        <v>74</v>
      </c>
      <c r="E83" s="25" t="n">
        <f aca="false">E81</f>
        <v>68.105</v>
      </c>
      <c r="F83" s="25" t="n">
        <f aca="false">F81+(internal_ai_reading=2)*F82</f>
        <v>30.1735216544135</v>
      </c>
      <c r="G83" s="25" t="n">
        <f aca="false">G81+(internal_ai_reading=2)*G82</f>
        <v>98.2785216544135</v>
      </c>
      <c r="H83" s="25" t="n">
        <f aca="false">H81+(internal_ai_reading=2)*H82</f>
        <v>153.376020126897</v>
      </c>
      <c r="I83" s="25" t="n">
        <f aca="false">I81+(internal_ai_reading=2)*I82</f>
        <v>199.576496139706</v>
      </c>
      <c r="J83" s="25" t="n">
        <f aca="false">J81+(internal_ai_reading=2)*J82</f>
        <v>238.158356299187</v>
      </c>
      <c r="K83" s="25" t="n">
        <f aca="false">K81+(internal_ai_reading=2)*K82</f>
        <v>264.669088535503</v>
      </c>
      <c r="L83" s="25" t="n">
        <f aca="false">L81+(internal_ai_reading=2)*L82</f>
        <v>289.331760272859</v>
      </c>
      <c r="M83" s="25" t="n">
        <f aca="false">M81+(internal_ai_reading=2)*M82</f>
        <v>306.465535476308</v>
      </c>
    </row>
    <row r="84" customFormat="false" ht="15" hidden="false" customHeight="false" outlineLevel="0" collapsed="false">
      <c r="A84" s="4" t="s">
        <v>767</v>
      </c>
      <c r="B84" s="0" t="s">
        <v>128</v>
      </c>
      <c r="C84" s="15" t="n">
        <f aca="false">C78/C63</f>
        <v>0.421760354040401</v>
      </c>
      <c r="D84" s="15" t="n">
        <f aca="false">D78/D63</f>
        <v>0.414378551595792</v>
      </c>
      <c r="E84" s="15" t="n">
        <f aca="false">E78/E63</f>
        <v>0.300666435532956</v>
      </c>
      <c r="F84" s="15" t="n">
        <f aca="false">F78/F63</f>
        <v>0.340846403268732</v>
      </c>
      <c r="G84" s="15" t="n">
        <f aca="false">G78/G63</f>
        <v>0.312552560467766</v>
      </c>
      <c r="H84" s="15" t="n">
        <f aca="false">H78/H63</f>
        <v>0.302131940486509</v>
      </c>
      <c r="I84" s="15" t="n">
        <f aca="false">I78/I63</f>
        <v>0.245314716418291</v>
      </c>
      <c r="J84" s="15" t="n">
        <f aca="false">J78/J63</f>
        <v>0.199587545192904</v>
      </c>
      <c r="K84" s="15" t="n">
        <f aca="false">K78/K63</f>
        <v>0.166574268907116</v>
      </c>
      <c r="L84" s="15" t="n">
        <f aca="false">L78/L63</f>
        <v>0.155463621768303</v>
      </c>
      <c r="M84" s="15" t="n">
        <f aca="false">M78/M63</f>
        <v>0.150686725449075</v>
      </c>
    </row>
    <row r="85" customFormat="false" ht="15" hidden="false" customHeight="false" outlineLevel="0" collapsed="false">
      <c r="A85" s="4" t="s">
        <v>768</v>
      </c>
      <c r="B85" s="0" t="s">
        <v>128</v>
      </c>
      <c r="E85" s="15" t="n">
        <f aca="false">E81/E63</f>
        <v>0.37479431851326</v>
      </c>
      <c r="F85" s="15" t="n">
        <f aca="false">F81/F63</f>
        <v>0.340846403268732</v>
      </c>
      <c r="G85" s="15" t="n">
        <f aca="false">G81/G63</f>
        <v>0.364751772821678</v>
      </c>
      <c r="H85" s="15" t="n">
        <f aca="false">H81/H63</f>
        <v>0.302131940486509</v>
      </c>
      <c r="I85" s="15" t="n">
        <f aca="false">I81/I63</f>
        <v>0.245314716418291</v>
      </c>
      <c r="J85" s="15" t="n">
        <f aca="false">J81/J63</f>
        <v>0.199587545192904</v>
      </c>
      <c r="K85" s="15" t="n">
        <f aca="false">K81/K63</f>
        <v>0.166574268907116</v>
      </c>
      <c r="L85" s="15" t="n">
        <f aca="false">L81/L63</f>
        <v>0.155463621768303</v>
      </c>
      <c r="M85" s="15" t="n">
        <f aca="false">M81/M63</f>
        <v>0.150686725449075</v>
      </c>
    </row>
    <row r="86" customFormat="false" ht="17.15" hidden="false" customHeight="false" outlineLevel="0" collapsed="false">
      <c r="A86" s="0" t="s">
        <v>769</v>
      </c>
      <c r="B86" s="0" t="s">
        <v>128</v>
      </c>
      <c r="C86" s="15" t="n">
        <f aca="false">C70/C61</f>
        <v>0.536534138154045</v>
      </c>
      <c r="D86" s="15" t="n">
        <f aca="false">D70/D61</f>
        <v>0.51554395021106</v>
      </c>
      <c r="E86" s="15" t="n">
        <f aca="false">E70/E61</f>
        <v>0.373598541319131</v>
      </c>
      <c r="F86" s="15" t="n">
        <f aca="false">F70/F61</f>
        <v>0.420860428112135</v>
      </c>
      <c r="G86" s="15" t="n">
        <f aca="false">G70/G61</f>
        <v>0.387530692304727</v>
      </c>
      <c r="H86" s="15" t="n">
        <f aca="false">H70/H61</f>
        <v>0.351855032685373</v>
      </c>
      <c r="I86" s="15" t="n">
        <f aca="false">I70/I61</f>
        <v>0.281719332925421</v>
      </c>
      <c r="J86" s="15" t="n">
        <f aca="false">J70/J61</f>
        <v>0.226787259152371</v>
      </c>
      <c r="K86" s="15" t="n">
        <f aca="false">K70/K61</f>
        <v>0.187171554065377</v>
      </c>
      <c r="L86" s="15" t="n">
        <f aca="false">L70/L61</f>
        <v>0.170406819881282</v>
      </c>
      <c r="M86" s="15" t="n">
        <f aca="false">M70/M61</f>
        <v>0.160750935258293</v>
      </c>
    </row>
    <row r="87" customFormat="false" ht="17.15" hidden="false" customHeight="false" outlineLevel="0" collapsed="false">
      <c r="A87" s="4" t="s">
        <v>770</v>
      </c>
      <c r="B87" s="0" t="s">
        <v>74</v>
      </c>
      <c r="F87" s="25" t="n">
        <f aca="false">r_cash*CF!F63*0.25</f>
        <v>0.82449</v>
      </c>
      <c r="G87" s="25" t="n">
        <f aca="false">F87</f>
        <v>0.82449</v>
      </c>
      <c r="H87" s="25" t="n">
        <f aca="false">r_cash*CF!H63*1</f>
        <v>3.15978565884841</v>
      </c>
      <c r="I87" s="25" t="n">
        <f aca="false">r_cash*CF!I63*1</f>
        <v>2.25229746255882</v>
      </c>
      <c r="J87" s="25" t="n">
        <f aca="false">r_cash*CF!J63*1</f>
        <v>1.6</v>
      </c>
      <c r="K87" s="25" t="n">
        <f aca="false">r_cash*CF!K63*1</f>
        <v>2.52203631775125</v>
      </c>
      <c r="L87" s="25" t="n">
        <f aca="false">r_cash*CF!L63*1</f>
        <v>5.46844235089003</v>
      </c>
      <c r="M87" s="25" t="n">
        <f aca="false">r_cash*CF!M63*1</f>
        <v>9.53073467394464</v>
      </c>
    </row>
    <row r="88" customFormat="false" ht="17.15" hidden="false" customHeight="false" outlineLevel="0" collapsed="false">
      <c r="A88" s="4" t="s">
        <v>771</v>
      </c>
      <c r="B88" s="0" t="s">
        <v>74</v>
      </c>
      <c r="F88" s="25" t="n">
        <f aca="false">r_debt*CF!F70*0.25</f>
        <v>1.008</v>
      </c>
      <c r="G88" s="25" t="n">
        <f aca="false">F88</f>
        <v>1.008</v>
      </c>
      <c r="H88" s="25" t="n">
        <f aca="false">r_debt*CF!H70*1</f>
        <v>4.032</v>
      </c>
      <c r="I88" s="25" t="n">
        <f aca="false">r_debt*CF!I70*1</f>
        <v>3.900144</v>
      </c>
      <c r="J88" s="25" t="n">
        <f aca="false">r_debt*CF!J70*1</f>
        <v>4.4590614809687</v>
      </c>
      <c r="K88" s="25" t="n">
        <f aca="false">r_debt*CF!K70*1</f>
        <v>4.4590614809687</v>
      </c>
      <c r="L88" s="25" t="n">
        <f aca="false">r_debt*CF!L70*1</f>
        <v>4.4590614809687</v>
      </c>
      <c r="M88" s="25" t="n">
        <f aca="false">r_debt*CF!M70*1</f>
        <v>4.4590614809687</v>
      </c>
    </row>
    <row r="89" customFormat="false" ht="15" hidden="false" customHeight="false" outlineLevel="0" collapsed="false">
      <c r="A89" s="4" t="s">
        <v>772</v>
      </c>
      <c r="B89" s="0" t="s">
        <v>74</v>
      </c>
      <c r="C89" s="25" t="n">
        <f aca="false">Q!J25</f>
        <v>1.283</v>
      </c>
      <c r="D89" s="25" t="n">
        <f aca="false">Q!K25</f>
        <v>2.656</v>
      </c>
      <c r="E89" s="25" t="n">
        <f aca="false">Q!L25</f>
        <v>-1.126</v>
      </c>
      <c r="F89" s="25" t="n">
        <f aca="false">F87-F88</f>
        <v>-0.18351</v>
      </c>
      <c r="G89" s="25" t="n">
        <f aca="false">E89+F89</f>
        <v>-1.30951</v>
      </c>
      <c r="H89" s="25" t="n">
        <f aca="false">H87-H88</f>
        <v>-0.872214341151592</v>
      </c>
      <c r="I89" s="25" t="n">
        <f aca="false">I87-I88</f>
        <v>-1.64784653744118</v>
      </c>
      <c r="J89" s="25" t="n">
        <f aca="false">J87-J88</f>
        <v>-2.8590614809687</v>
      </c>
      <c r="K89" s="25" t="n">
        <f aca="false">K87-K88</f>
        <v>-1.93702516321746</v>
      </c>
      <c r="L89" s="25" t="n">
        <f aca="false">L87-L88</f>
        <v>1.00938086992133</v>
      </c>
      <c r="M89" s="25" t="n">
        <f aca="false">M87-M88</f>
        <v>5.07167319297593</v>
      </c>
    </row>
    <row r="90" customFormat="false" ht="15" hidden="false" customHeight="false" outlineLevel="0" collapsed="false">
      <c r="A90" s="4" t="s">
        <v>581</v>
      </c>
      <c r="B90" s="0" t="s">
        <v>74</v>
      </c>
      <c r="C90" s="25" t="n">
        <f aca="false">C78+C89</f>
        <v>70.663</v>
      </c>
      <c r="D90" s="25" t="n">
        <f aca="false">D78+D89</f>
        <v>85.932</v>
      </c>
      <c r="E90" s="25" t="n">
        <f aca="false">E78+E89</f>
        <v>53.509</v>
      </c>
      <c r="F90" s="25" t="n">
        <f aca="false">F78+F89</f>
        <v>25.835637824231</v>
      </c>
      <c r="G90" s="25" t="n">
        <f aca="false">G78+G89</f>
        <v>79.344637824231</v>
      </c>
      <c r="H90" s="25" t="n">
        <f aca="false">H78+H89</f>
        <v>94.8532078836726</v>
      </c>
      <c r="I90" s="25" t="n">
        <f aca="false">I78+I89</f>
        <v>90.0322417293458</v>
      </c>
      <c r="J90" s="25" t="n">
        <f aca="false">J78+J89</f>
        <v>81.5271034155728</v>
      </c>
      <c r="K90" s="25" t="n">
        <f aca="false">K78+K89</f>
        <v>74.3526485090975</v>
      </c>
      <c r="L90" s="25" t="n">
        <f aca="false">L78+L89</f>
        <v>78.1450840726634</v>
      </c>
      <c r="M90" s="25" t="n">
        <f aca="false">M78+M89</f>
        <v>86.078570195215</v>
      </c>
    </row>
    <row r="91" customFormat="false" ht="17.15" hidden="false" customHeight="false" outlineLevel="0" collapsed="false">
      <c r="A91" s="4" t="s">
        <v>773</v>
      </c>
      <c r="B91" s="0" t="s">
        <v>74</v>
      </c>
      <c r="C91" s="25" t="n">
        <f aca="false">Q!J28</f>
        <v>8.303</v>
      </c>
      <c r="D91" s="25" t="n">
        <f aca="false">Q!K28</f>
        <v>25.474</v>
      </c>
      <c r="E91" s="25" t="n">
        <f aca="false">Q!L28</f>
        <v>1.028</v>
      </c>
      <c r="F91" s="25" t="n">
        <f aca="false">F90*tax</f>
        <v>4.13370205187696</v>
      </c>
      <c r="G91" s="25" t="n">
        <f aca="false">E91+F91</f>
        <v>5.16170205187696</v>
      </c>
      <c r="H91" s="25" t="n">
        <f aca="false">H90*tax</f>
        <v>15.1765132613876</v>
      </c>
      <c r="I91" s="25" t="n">
        <f aca="false">I90*tax</f>
        <v>14.4051586766953</v>
      </c>
      <c r="J91" s="25" t="n">
        <f aca="false">J90*tax</f>
        <v>13.0443365464916</v>
      </c>
      <c r="K91" s="25" t="n">
        <f aca="false">K90*tax</f>
        <v>11.8964237614556</v>
      </c>
      <c r="L91" s="25" t="n">
        <f aca="false">L90*tax</f>
        <v>12.5032134516261</v>
      </c>
      <c r="M91" s="25" t="n">
        <f aca="false">M90*tax</f>
        <v>13.7725712312344</v>
      </c>
      <c r="N91" s="7" t="s">
        <v>774</v>
      </c>
    </row>
    <row r="92" customFormat="false" ht="15" hidden="false" customHeight="false" outlineLevel="0" collapsed="false">
      <c r="A92" s="2" t="s">
        <v>775</v>
      </c>
      <c r="B92" s="7" t="s">
        <v>74</v>
      </c>
      <c r="C92" s="25" t="n">
        <f aca="false">C90-C91</f>
        <v>62.36</v>
      </c>
      <c r="D92" s="25" t="n">
        <f aca="false">D90-D91</f>
        <v>60.458</v>
      </c>
      <c r="E92" s="25" t="n">
        <f aca="false">E90-E91</f>
        <v>52.481</v>
      </c>
      <c r="F92" s="25" t="n">
        <f aca="false">F90-F91</f>
        <v>21.7019357723541</v>
      </c>
      <c r="G92" s="25" t="n">
        <f aca="false">G90-G91</f>
        <v>74.1829357723541</v>
      </c>
      <c r="H92" s="25" t="n">
        <f aca="false">H90-H91</f>
        <v>79.6766946222849</v>
      </c>
      <c r="I92" s="25" t="n">
        <f aca="false">I90-I91</f>
        <v>75.6270830526505</v>
      </c>
      <c r="J92" s="25" t="n">
        <f aca="false">J90-J91</f>
        <v>68.4827668690811</v>
      </c>
      <c r="K92" s="25" t="n">
        <f aca="false">K90-K91</f>
        <v>62.4562247476419</v>
      </c>
      <c r="L92" s="25" t="n">
        <f aca="false">L90-L91</f>
        <v>65.6418706210372</v>
      </c>
      <c r="M92" s="25" t="n">
        <f aca="false">M90-M91</f>
        <v>72.3059989639806</v>
      </c>
    </row>
    <row r="93" customFormat="false" ht="17.15" hidden="false" customHeight="false" outlineLevel="0" collapsed="false">
      <c r="A93" s="4" t="s">
        <v>776</v>
      </c>
      <c r="B93" s="0" t="s">
        <v>74</v>
      </c>
      <c r="C93" s="22" t="n">
        <f aca="false">C92-Q!J29</f>
        <v>0</v>
      </c>
      <c r="D93" s="22" t="n">
        <f aca="false">D92-Q!K29</f>
        <v>0</v>
      </c>
      <c r="E93" s="22" t="n">
        <f aca="false">E92-Q!L29</f>
        <v>0</v>
      </c>
    </row>
    <row r="94" customFormat="false" ht="17.15" hidden="false" customHeight="false" outlineLevel="0" collapsed="false">
      <c r="A94" s="4" t="s">
        <v>777</v>
      </c>
      <c r="B94" s="0" t="s">
        <v>74</v>
      </c>
      <c r="E94" s="25" t="n">
        <f aca="false">-(ot_legal_q2+ot_legal_q3)*ot_legal_at-ot_sev_q2*(1-tax)+ot_tax_q1</f>
        <v>-4.37587612740142</v>
      </c>
      <c r="F94" s="28" t="n">
        <v>0</v>
      </c>
      <c r="G94" s="25" t="n">
        <f aca="false">E94+F94</f>
        <v>-4.37587612740142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</row>
    <row r="95" customFormat="false" ht="15" hidden="false" customHeight="false" outlineLevel="0" collapsed="false">
      <c r="A95" s="4" t="s">
        <v>778</v>
      </c>
      <c r="B95" s="0" t="s">
        <v>74</v>
      </c>
      <c r="E95" s="28" t="n">
        <v>0</v>
      </c>
      <c r="F95" s="25" t="n">
        <f aca="false">pref_2H</f>
        <v>0</v>
      </c>
      <c r="G95" s="25" t="n">
        <f aca="false">E95+F95</f>
        <v>0</v>
      </c>
      <c r="H95" s="25" t="n">
        <f aca="false">pref_27</f>
        <v>0.8125</v>
      </c>
      <c r="I95" s="25" t="n">
        <f aca="false">pref_28</f>
        <v>0.8125</v>
      </c>
      <c r="J95" s="25" t="n">
        <f aca="false">pref_29</f>
        <v>0.609</v>
      </c>
      <c r="K95" s="28" t="n">
        <v>0</v>
      </c>
      <c r="L95" s="28" t="n">
        <v>0</v>
      </c>
      <c r="M95" s="28" t="n">
        <v>0</v>
      </c>
    </row>
    <row r="96" customFormat="false" ht="15" hidden="false" customHeight="false" outlineLevel="0" collapsed="false">
      <c r="A96" s="4" t="s">
        <v>779</v>
      </c>
      <c r="B96" s="0" t="s">
        <v>74</v>
      </c>
      <c r="E96" s="25" t="n">
        <f aca="false">E92-E95</f>
        <v>52.481</v>
      </c>
      <c r="F96" s="25" t="n">
        <f aca="false">F92-F95</f>
        <v>21.7019357723541</v>
      </c>
      <c r="G96" s="25" t="n">
        <f aca="false">G92-G95</f>
        <v>74.1829357723541</v>
      </c>
      <c r="H96" s="25" t="n">
        <f aca="false">H92-H95</f>
        <v>78.8641946222849</v>
      </c>
      <c r="I96" s="25" t="n">
        <f aca="false">I92-I95</f>
        <v>74.8145830526505</v>
      </c>
      <c r="J96" s="25" t="n">
        <f aca="false">J92-J95</f>
        <v>67.8737668690811</v>
      </c>
      <c r="K96" s="25" t="n">
        <f aca="false">K92-K95</f>
        <v>62.4562247476419</v>
      </c>
      <c r="L96" s="25" t="n">
        <f aca="false">L92-L95</f>
        <v>65.6418706210372</v>
      </c>
      <c r="M96" s="25" t="n">
        <f aca="false">M92-M95</f>
        <v>72.3059989639806</v>
      </c>
    </row>
    <row r="97" customFormat="false" ht="17.15" hidden="false" customHeight="false" outlineLevel="0" collapsed="false">
      <c r="A97" s="4" t="s">
        <v>780</v>
      </c>
      <c r="B97" s="4" t="s">
        <v>63</v>
      </c>
      <c r="E97" s="22" t="n">
        <f aca="false">sh_dil_q3+(sh_out-sh_basic_q3)</f>
        <v>2.577241</v>
      </c>
      <c r="F97" s="22" t="n">
        <f aca="false">E97*(1+dil*0.25)-CF!F66/CF!F73</f>
        <v>2.5862613435</v>
      </c>
      <c r="H97" s="22" t="n">
        <f aca="false">F97*(1+dil*1)-CF!H66/CF!H73+fwd_sh*fwd_on</f>
        <v>2.662469002309</v>
      </c>
      <c r="I97" s="22" t="n">
        <f aca="false">H97*(1+dil*1)-CF!I66/CF!I73</f>
        <v>2.69974356834133</v>
      </c>
      <c r="J97" s="22" t="n">
        <f aca="false">I97*(1+dil*1)-CF!J66/CF!J73+conv_sh</f>
        <v>2.7575399782981</v>
      </c>
      <c r="K97" s="22" t="n">
        <f aca="false">J97*(1+dil*1)-CF!K66/CF!K73</f>
        <v>2.79614553799428</v>
      </c>
      <c r="L97" s="22" t="n">
        <f aca="false">K97*(1+dil*1)-CF!L66/CF!L73</f>
        <v>2.8352915755262</v>
      </c>
      <c r="M97" s="22" t="n">
        <f aca="false">L97*(1+dil*1)-CF!M66/CF!M73</f>
        <v>2.87498565758356</v>
      </c>
      <c r="N97" s="7" t="s">
        <v>781</v>
      </c>
    </row>
    <row r="98" customFormat="false" ht="15" hidden="false" customHeight="false" outlineLevel="0" collapsed="false">
      <c r="A98" s="4" t="s">
        <v>782</v>
      </c>
      <c r="B98" s="4" t="s">
        <v>63</v>
      </c>
      <c r="C98" s="22" t="n">
        <f aca="false">Q!J31</f>
        <v>2.614</v>
      </c>
      <c r="D98" s="22" t="n">
        <f aca="false">Q!K31</f>
        <v>2.574</v>
      </c>
      <c r="E98" s="22" t="n">
        <f aca="false">Q!L31</f>
        <v>2.568</v>
      </c>
      <c r="F98" s="22" t="n">
        <f aca="false">E97*(1+dil*0.125)</f>
        <v>2.58175117175</v>
      </c>
      <c r="G98" s="22" t="n">
        <f aca="false">0.75*E98+0.25*F98</f>
        <v>2.5714377929375</v>
      </c>
      <c r="H98" s="22" t="n">
        <f aca="false">(F97+H97)/2</f>
        <v>2.6243651729045</v>
      </c>
      <c r="I98" s="22" t="n">
        <f aca="false">(H97+I97)/2</f>
        <v>2.68110628532516</v>
      </c>
      <c r="J98" s="22" t="n">
        <f aca="false">(I97+J97)/2</f>
        <v>2.72864177331972</v>
      </c>
      <c r="K98" s="22" t="n">
        <f aca="false">(J97+K97)/2</f>
        <v>2.77684275814619</v>
      </c>
      <c r="L98" s="22" t="n">
        <f aca="false">(K97+L97)/2</f>
        <v>2.81571855676024</v>
      </c>
      <c r="M98" s="22" t="n">
        <f aca="false">(L97+M97)/2</f>
        <v>2.85513861655488</v>
      </c>
    </row>
    <row r="99" customFormat="false" ht="17.15" hidden="false" customHeight="false" outlineLevel="0" collapsed="false">
      <c r="A99" s="5" t="s">
        <v>783</v>
      </c>
      <c r="B99" s="7" t="s">
        <v>54</v>
      </c>
      <c r="C99" s="24" t="n">
        <f aca="false">C92/C98</f>
        <v>23.8561591430757</v>
      </c>
      <c r="D99" s="24" t="n">
        <f aca="false">D92/D98</f>
        <v>23.4879564879565</v>
      </c>
      <c r="E99" s="24" t="n">
        <f aca="false">E96/E98</f>
        <v>20.4365264797508</v>
      </c>
      <c r="F99" s="24" t="n">
        <f aca="false">F96/F98</f>
        <v>8.40589752018733</v>
      </c>
      <c r="G99" s="24" t="n">
        <f aca="false">G96/G98</f>
        <v>28.8488160110654</v>
      </c>
      <c r="H99" s="24" t="n">
        <f aca="false">H96/H98</f>
        <v>30.050770158256</v>
      </c>
      <c r="I99" s="24" t="n">
        <f aca="false">I96/I98</f>
        <v>27.9043704690644</v>
      </c>
      <c r="J99" s="24" t="n">
        <f aca="false">J96/J98</f>
        <v>24.8745612314308</v>
      </c>
      <c r="K99" s="24" t="n">
        <f aca="false">K96/K98</f>
        <v>22.491811811965</v>
      </c>
      <c r="L99" s="24" t="n">
        <f aca="false">L96/L98</f>
        <v>23.3126533415203</v>
      </c>
      <c r="M99" s="24" t="n">
        <f aca="false">M96/M98</f>
        <v>25.3248646299449</v>
      </c>
    </row>
    <row r="100" customFormat="false" ht="17.15" hidden="false" customHeight="false" outlineLevel="0" collapsed="false">
      <c r="A100" s="0" t="s">
        <v>784</v>
      </c>
      <c r="B100" s="0" t="s">
        <v>54</v>
      </c>
      <c r="E100" s="24" t="n">
        <f aca="false">(E96-E94)/E98</f>
        <v>22.1405280869943</v>
      </c>
      <c r="F100" s="24" t="n">
        <f aca="false">(F96-F94)/F98</f>
        <v>8.40589752018733</v>
      </c>
      <c r="G100" s="24" t="n">
        <f aca="false">(G96-G94)/G98</f>
        <v>30.5505395135432</v>
      </c>
      <c r="H100" s="24" t="n">
        <f aca="false">(H96-H94)/H98</f>
        <v>30.050770158256</v>
      </c>
      <c r="I100" s="24" t="n">
        <f aca="false">(I96-I94)/I98</f>
        <v>27.9043704690644</v>
      </c>
      <c r="J100" s="24" t="n">
        <f aca="false">(J96-J94)/J98</f>
        <v>24.8745612314308</v>
      </c>
      <c r="K100" s="24" t="n">
        <f aca="false">(K96-K94)/K98</f>
        <v>22.491811811965</v>
      </c>
      <c r="L100" s="24" t="n">
        <f aca="false">(L96-L94)/L98</f>
        <v>23.3126533415203</v>
      </c>
      <c r="M100" s="24" t="n">
        <f aca="false">(M96-M94)/M98</f>
        <v>25.3248646299449</v>
      </c>
      <c r="N100" s="7" t="s">
        <v>785</v>
      </c>
    </row>
    <row r="101" customFormat="false" ht="17.15" hidden="false" customHeight="false" outlineLevel="0" collapsed="false">
      <c r="A101" s="0" t="s">
        <v>786</v>
      </c>
      <c r="B101" s="0" t="s">
        <v>54</v>
      </c>
      <c r="F101" s="24" t="n">
        <f aca="false">(F96-F94+(internal_ai_reading=2)*F82*(1-tax))/F98</f>
        <v>9.75756690472676</v>
      </c>
      <c r="G101" s="24" t="n">
        <f aca="false">(G96-G94+(internal_ai_reading=2)*G82*(1-tax))/G98</f>
        <v>31.9076300980161</v>
      </c>
      <c r="H101" s="24" t="n">
        <f aca="false">(H96-H94+(internal_ai_reading=2)*H82*(1-tax))/H98</f>
        <v>48.5034240563206</v>
      </c>
      <c r="I101" s="24" t="n">
        <f aca="false">(I96-I94+(internal_ai_reading=2)*I82*(1-tax))/I98</f>
        <v>61.7086933746219</v>
      </c>
      <c r="J101" s="24" t="n">
        <f aca="false">(J96-J94+(internal_ai_reading=2)*J82*(1-tax))/J98</f>
        <v>72.2126332499769</v>
      </c>
      <c r="K101" s="24" t="n">
        <f aca="false">(K96-K94+(internal_ai_reading=2)*K82*(1-tax))/K98</f>
        <v>79.4769284595916</v>
      </c>
      <c r="L101" s="24" t="n">
        <f aca="false">(L96-L94+(internal_ai_reading=2)*L82*(1-tax))/L98</f>
        <v>86.6160994586585</v>
      </c>
      <c r="M101" s="24" t="n">
        <f aca="false">(M96-M94+(internal_ai_reading=2)*M82*(1-tax))/M98</f>
        <v>91.6562347498089</v>
      </c>
    </row>
    <row r="102" customFormat="false" ht="15" hidden="false" customHeight="false" outlineLevel="0" collapsed="false">
      <c r="A102" s="4" t="s">
        <v>787</v>
      </c>
      <c r="B102" s="0" t="s">
        <v>74</v>
      </c>
      <c r="C102" s="25" t="n">
        <f aca="false">Q!J36</f>
        <v>16.69</v>
      </c>
      <c r="D102" s="25" t="n">
        <f aca="false">Q!K36</f>
        <v>20.427</v>
      </c>
      <c r="E102" s="25" t="n">
        <f aca="false">Q!L36</f>
        <v>21.053</v>
      </c>
      <c r="F102" s="25" t="n">
        <f aca="false">F63*sbc_r</f>
        <v>8.51156108610724</v>
      </c>
      <c r="G102" s="25" t="n">
        <f aca="false">E102+F102</f>
        <v>29.5645610861072</v>
      </c>
      <c r="H102" s="25" t="n">
        <f aca="false">H63*sbc_r</f>
        <v>35.3268991053413</v>
      </c>
      <c r="I102" s="25" t="n">
        <f aca="false">I63*sbc_r</f>
        <v>41.6702674466397</v>
      </c>
      <c r="J102" s="25" t="n">
        <f aca="false">J63*sbc_r</f>
        <v>47.1425076994177</v>
      </c>
      <c r="K102" s="25" t="n">
        <f aca="false">K63*sbc_r</f>
        <v>51.0661020472878</v>
      </c>
      <c r="L102" s="25" t="n">
        <f aca="false">L63*sbc_r</f>
        <v>55.322465855863</v>
      </c>
      <c r="M102" s="25" t="n">
        <f aca="false">M63*sbc_r</f>
        <v>59.9407080406836</v>
      </c>
    </row>
    <row r="104" customFormat="false" ht="17.15" hidden="false" customHeight="false" outlineLevel="0" collapsed="false">
      <c r="A104" s="26" t="s">
        <v>719</v>
      </c>
    </row>
    <row r="105" customFormat="false" ht="15" hidden="false" customHeight="false" outlineLevel="0" collapsed="false">
      <c r="A105" s="3" t="s">
        <v>43</v>
      </c>
      <c r="B105" s="3" t="s">
        <v>44</v>
      </c>
      <c r="C105" s="21" t="s">
        <v>660</v>
      </c>
      <c r="D105" s="21" t="s">
        <v>661</v>
      </c>
      <c r="E105" s="21" t="s">
        <v>662</v>
      </c>
      <c r="F105" s="21" t="s">
        <v>663</v>
      </c>
      <c r="G105" s="21" t="s">
        <v>664</v>
      </c>
      <c r="H105" s="21" t="s">
        <v>665</v>
      </c>
      <c r="I105" s="21" t="s">
        <v>666</v>
      </c>
      <c r="J105" s="21" t="s">
        <v>667</v>
      </c>
      <c r="K105" s="21" t="s">
        <v>668</v>
      </c>
      <c r="L105" s="21" t="s">
        <v>669</v>
      </c>
      <c r="M105" s="21" t="s">
        <v>670</v>
      </c>
      <c r="N105" s="3" t="s">
        <v>50</v>
      </c>
    </row>
    <row r="106" customFormat="false" ht="15" hidden="false" customHeight="false" outlineLevel="0" collapsed="false">
      <c r="A106" s="0" t="s">
        <v>560</v>
      </c>
      <c r="B106" s="0" t="s">
        <v>74</v>
      </c>
      <c r="C106" s="25" t="n">
        <f aca="false">Seg!C53</f>
        <v>160.633</v>
      </c>
      <c r="D106" s="25" t="n">
        <f aca="false">Seg!D53</f>
        <v>196.175</v>
      </c>
      <c r="E106" s="25" t="n">
        <f aca="false">Seg!E53</f>
        <v>177.448</v>
      </c>
      <c r="F106" s="25" t="n">
        <f aca="false">Seg!F53</f>
        <v>74.1056441131912</v>
      </c>
      <c r="G106" s="25" t="n">
        <f aca="false">Seg!G53</f>
        <v>251.553644113191</v>
      </c>
      <c r="H106" s="25" t="n">
        <f aca="false">Seg!H53</f>
        <v>300.429453031317</v>
      </c>
      <c r="I106" s="25" t="n">
        <f aca="false">Seg!I53</f>
        <v>344.28652179892</v>
      </c>
      <c r="J106" s="25" t="n">
        <f aca="false">Seg!J53</f>
        <v>378.246755912601</v>
      </c>
      <c r="K106" s="25" t="n">
        <f aca="false">Seg!K53</f>
        <v>398.017816073006</v>
      </c>
      <c r="L106" s="25" t="n">
        <f aca="false">Seg!L53</f>
        <v>430.456268082956</v>
      </c>
      <c r="M106" s="25" t="n">
        <f aca="false">Seg!M53</f>
        <v>465.538453931717</v>
      </c>
    </row>
    <row r="107" customFormat="false" ht="15" hidden="false" customHeight="false" outlineLevel="0" collapsed="false">
      <c r="A107" s="0" t="s">
        <v>562</v>
      </c>
      <c r="B107" s="0" t="s">
        <v>74</v>
      </c>
      <c r="C107" s="25" t="n">
        <f aca="false">Seg!C56</f>
        <v>1.722</v>
      </c>
      <c r="D107" s="25" t="n">
        <f aca="false">Seg!D56</f>
        <v>2.584</v>
      </c>
      <c r="E107" s="25" t="n">
        <f aca="false">Seg!E56</f>
        <v>2.989</v>
      </c>
      <c r="F107" s="25" t="n">
        <f aca="false">Seg!F56</f>
        <v>1.3187619461338</v>
      </c>
      <c r="G107" s="25" t="n">
        <f aca="false">Seg!G56</f>
        <v>4.3077619461338</v>
      </c>
      <c r="H107" s="25" t="n">
        <f aca="false">Seg!H56</f>
        <v>6.5576880459971</v>
      </c>
      <c r="I107" s="25" t="n">
        <f aca="false">Seg!I56</f>
        <v>9.16894119428695</v>
      </c>
      <c r="J107" s="25" t="n">
        <f aca="false">Seg!J56</f>
        <v>11.6821352299365</v>
      </c>
      <c r="K107" s="25" t="n">
        <f aca="false">Seg!K56</f>
        <v>13.4344555144269</v>
      </c>
      <c r="L107" s="25" t="n">
        <f aca="false">Seg!L56</f>
        <v>15.449623841591</v>
      </c>
      <c r="M107" s="25" t="n">
        <f aca="false">Seg!M56</f>
        <v>17.7670674178296</v>
      </c>
    </row>
    <row r="108" customFormat="false" ht="15" hidden="false" customHeight="false" outlineLevel="0" collapsed="false">
      <c r="A108" s="29" t="s">
        <v>734</v>
      </c>
      <c r="B108" s="30" t="s">
        <v>74</v>
      </c>
      <c r="C108" s="31" t="n">
        <f aca="false">Seg!C57</f>
        <v>162.355</v>
      </c>
      <c r="D108" s="31" t="n">
        <f aca="false">Seg!D57</f>
        <v>198.759</v>
      </c>
      <c r="E108" s="31" t="n">
        <f aca="false">Seg!E57</f>
        <v>180.437</v>
      </c>
      <c r="F108" s="31" t="n">
        <f aca="false">Seg!F57</f>
        <v>75.424406059325</v>
      </c>
      <c r="G108" s="31" t="n">
        <f aca="false">Seg!G57</f>
        <v>255.861406059325</v>
      </c>
      <c r="H108" s="31" t="n">
        <f aca="false">Seg!H57</f>
        <v>306.987141077315</v>
      </c>
      <c r="I108" s="31" t="n">
        <f aca="false">Seg!I57</f>
        <v>353.455462993207</v>
      </c>
      <c r="J108" s="31" t="n">
        <f aca="false">Seg!J57</f>
        <v>389.928891142538</v>
      </c>
      <c r="K108" s="31" t="n">
        <f aca="false">Seg!K57</f>
        <v>411.452271587433</v>
      </c>
      <c r="L108" s="31" t="n">
        <f aca="false">Seg!L57</f>
        <v>445.905891924547</v>
      </c>
      <c r="M108" s="31" t="n">
        <f aca="false">Seg!M57</f>
        <v>483.305521349546</v>
      </c>
      <c r="N108" s="30"/>
    </row>
    <row r="109" customFormat="false" ht="15" hidden="false" customHeight="false" outlineLevel="0" collapsed="false">
      <c r="A109" s="29" t="s">
        <v>736</v>
      </c>
      <c r="B109" s="30" t="s">
        <v>74</v>
      </c>
      <c r="C109" s="31" t="n">
        <f aca="false">Seg!C59</f>
        <v>2.146</v>
      </c>
      <c r="D109" s="31" t="n">
        <f aca="false">Seg!D59</f>
        <v>2.207</v>
      </c>
      <c r="E109" s="31" t="n">
        <f aca="false">Seg!E59</f>
        <v>1.276</v>
      </c>
      <c r="F109" s="31" t="n">
        <f aca="false">Seg!F59</f>
        <v>0.912464668094218</v>
      </c>
      <c r="G109" s="31" t="n">
        <f aca="false">Seg!G59</f>
        <v>2.18846466809422</v>
      </c>
      <c r="H109" s="31" t="n">
        <f aca="false">Seg!H59</f>
        <v>2.14271544684739</v>
      </c>
      <c r="I109" s="31" t="n">
        <f aca="false">Seg!I59</f>
        <v>2.1485654729603</v>
      </c>
      <c r="J109" s="31" t="n">
        <f aca="false">Seg!J59</f>
        <v>2.20521260869012</v>
      </c>
      <c r="K109" s="31" t="n">
        <f aca="false">Seg!K59</f>
        <v>2.31547323912462</v>
      </c>
      <c r="L109" s="31" t="n">
        <f aca="false">Seg!L59</f>
        <v>2.43124690108085</v>
      </c>
      <c r="M109" s="31" t="n">
        <f aca="false">Seg!M59</f>
        <v>2.5528092461349</v>
      </c>
      <c r="N109" s="30"/>
    </row>
    <row r="110" customFormat="false" ht="15" hidden="false" customHeight="false" outlineLevel="0" collapsed="false">
      <c r="A110" s="2" t="s">
        <v>567</v>
      </c>
      <c r="B110" s="7" t="s">
        <v>74</v>
      </c>
      <c r="C110" s="25" t="n">
        <f aca="false">Seg!C60</f>
        <v>164.501</v>
      </c>
      <c r="D110" s="25" t="n">
        <f aca="false">Seg!D60</f>
        <v>200.966</v>
      </c>
      <c r="E110" s="25" t="n">
        <f aca="false">Seg!E60</f>
        <v>181.713</v>
      </c>
      <c r="F110" s="25" t="n">
        <f aca="false">Seg!F60</f>
        <v>76.3368707274192</v>
      </c>
      <c r="G110" s="25" t="n">
        <f aca="false">Seg!G60</f>
        <v>258.049870727419</v>
      </c>
      <c r="H110" s="25" t="n">
        <f aca="false">Seg!H60</f>
        <v>309.129856524162</v>
      </c>
      <c r="I110" s="25" t="n">
        <f aca="false">Seg!I60</f>
        <v>355.604028466167</v>
      </c>
      <c r="J110" s="25" t="n">
        <f aca="false">Seg!J60</f>
        <v>392.134103751228</v>
      </c>
      <c r="K110" s="25" t="n">
        <f aca="false">Seg!K60</f>
        <v>413.767744826557</v>
      </c>
      <c r="L110" s="25" t="n">
        <f aca="false">Seg!L60</f>
        <v>448.337138825627</v>
      </c>
      <c r="M110" s="25" t="n">
        <f aca="false">Seg!M60</f>
        <v>485.858330595681</v>
      </c>
    </row>
    <row r="111" customFormat="false" ht="15" hidden="false" customHeight="false" outlineLevel="0" collapsed="false">
      <c r="A111" s="4" t="s">
        <v>746</v>
      </c>
      <c r="B111" s="0" t="s">
        <v>128</v>
      </c>
      <c r="D111" s="15" t="n">
        <f aca="false">D110/C110-1</f>
        <v>0.221670384982462</v>
      </c>
      <c r="G111" s="15" t="n">
        <f aca="false">G110/D110-1</f>
        <v>0.284047404672528</v>
      </c>
      <c r="H111" s="15" t="n">
        <f aca="false">H110/G110-1</f>
        <v>0.197946178592351</v>
      </c>
      <c r="I111" s="15" t="n">
        <f aca="false">I110/H110-1</f>
        <v>0.150338671471459</v>
      </c>
      <c r="J111" s="15" t="n">
        <f aca="false">J110/I110-1</f>
        <v>0.102726831983952</v>
      </c>
      <c r="K111" s="15" t="n">
        <f aca="false">K110/J110-1</f>
        <v>0.0551689864981857</v>
      </c>
      <c r="L111" s="15" t="n">
        <f aca="false">L110/K110-1</f>
        <v>0.0835478222536681</v>
      </c>
      <c r="M111" s="15" t="n">
        <f aca="false">M110/L110-1</f>
        <v>0.083689680199897</v>
      </c>
    </row>
    <row r="112" customFormat="false" ht="17.15" hidden="false" customHeight="false" outlineLevel="0" collapsed="false">
      <c r="A112" s="4" t="s">
        <v>564</v>
      </c>
      <c r="B112" s="0" t="s">
        <v>74</v>
      </c>
      <c r="C112" s="22" t="n">
        <f aca="false">C106+C107-C108</f>
        <v>0</v>
      </c>
      <c r="D112" s="22" t="n">
        <f aca="false">D106+D107-D108</f>
        <v>0</v>
      </c>
      <c r="E112" s="22" t="n">
        <f aca="false">E106+E107-E108</f>
        <v>0</v>
      </c>
      <c r="F112" s="22" t="n">
        <f aca="false">F106+F107-F108</f>
        <v>0</v>
      </c>
      <c r="G112" s="22" t="n">
        <f aca="false">G106+G107-G108</f>
        <v>0</v>
      </c>
      <c r="H112" s="22" t="n">
        <f aca="false">H106+H107-H108</f>
        <v>0</v>
      </c>
      <c r="I112" s="22" t="n">
        <f aca="false">I106+I107-I108</f>
        <v>0</v>
      </c>
      <c r="J112" s="22" t="n">
        <f aca="false">J106+J107-J108</f>
        <v>0</v>
      </c>
      <c r="K112" s="22" t="n">
        <f aca="false">K106+K107-K108</f>
        <v>0</v>
      </c>
      <c r="L112" s="22" t="n">
        <f aca="false">L106+L107-L108</f>
        <v>0</v>
      </c>
      <c r="M112" s="22" t="n">
        <f aca="false">M106+M107-M108</f>
        <v>0</v>
      </c>
    </row>
    <row r="113" customFormat="false" ht="15" hidden="false" customHeight="false" outlineLevel="0" collapsed="false">
      <c r="A113" s="4" t="s">
        <v>568</v>
      </c>
      <c r="B113" s="0" t="s">
        <v>74</v>
      </c>
      <c r="C113" s="22" t="n">
        <f aca="false">C108+C109-C110</f>
        <v>0</v>
      </c>
      <c r="D113" s="22" t="n">
        <f aca="false">D108+D109-D110</f>
        <v>0</v>
      </c>
      <c r="E113" s="22" t="n">
        <f aca="false">E108+E109-E110</f>
        <v>0</v>
      </c>
      <c r="F113" s="22" t="n">
        <f aca="false">F108+F109-F110</f>
        <v>0</v>
      </c>
      <c r="G113" s="22" t="n">
        <f aca="false">G108+G109-G110</f>
        <v>0</v>
      </c>
      <c r="H113" s="22" t="n">
        <f aca="false">H108+H109-H110</f>
        <v>0</v>
      </c>
      <c r="I113" s="22" t="n">
        <f aca="false">I108+I109-I110</f>
        <v>0</v>
      </c>
      <c r="J113" s="22" t="n">
        <f aca="false">J108+J109-J110</f>
        <v>0</v>
      </c>
      <c r="K113" s="22" t="n">
        <f aca="false">K108+K109-K110</f>
        <v>0</v>
      </c>
      <c r="L113" s="22" t="n">
        <f aca="false">L108+L109-L110</f>
        <v>0</v>
      </c>
      <c r="M113" s="22" t="n">
        <f aca="false">M108+M109-M110</f>
        <v>0</v>
      </c>
    </row>
    <row r="114" customFormat="false" ht="17.15" hidden="false" customHeight="false" outlineLevel="0" collapsed="false">
      <c r="A114" s="4" t="s">
        <v>747</v>
      </c>
      <c r="B114" s="0" t="s">
        <v>74</v>
      </c>
      <c r="F114" s="25" t="n">
        <f aca="false">Seg!F53-Seg!F50</f>
        <v>0</v>
      </c>
      <c r="G114" s="25" t="n">
        <f aca="false">F114</f>
        <v>0</v>
      </c>
      <c r="H114" s="25" t="n">
        <f aca="false">Seg!H53-Seg!H50</f>
        <v>-7.70331930849534</v>
      </c>
      <c r="I114" s="25" t="n">
        <f aca="false">Seg!I53-Seg!I50</f>
        <v>-18.1203432525747</v>
      </c>
      <c r="J114" s="25" t="n">
        <f aca="false">Seg!J53-Seg!J50</f>
        <v>-30.6686558848054</v>
      </c>
      <c r="K114" s="25" t="n">
        <f aca="false">Seg!K53-Seg!K50</f>
        <v>-44.2242017858895</v>
      </c>
      <c r="L114" s="25" t="n">
        <f aca="false">Seg!L53-Seg!L50</f>
        <v>-47.8284742314395</v>
      </c>
      <c r="M114" s="25" t="n">
        <f aca="false">Seg!M53-Seg!M50</f>
        <v>-51.7264948813018</v>
      </c>
    </row>
    <row r="115" customFormat="false" ht="17.15" hidden="false" customHeight="false" outlineLevel="0" collapsed="false">
      <c r="A115" s="0" t="s">
        <v>748</v>
      </c>
      <c r="B115" s="0" t="s">
        <v>74</v>
      </c>
      <c r="F115" s="25" t="n">
        <f aca="false">m_foa*(F108-F114)+inc_m*F114-Thesis!F149-Thesis!F150</f>
        <v>40.7984607622799</v>
      </c>
      <c r="H115" s="25" t="n">
        <f aca="false">m_foa*(H108-H114)+inc_m*H114-Thesis!H149-Thesis!H150</f>
        <v>157.148885867454</v>
      </c>
      <c r="I115" s="25" t="n">
        <f aca="false">m_foa*(I108-I114)+inc_m*I114-Thesis!I149-Thesis!I150</f>
        <v>172.288454069218</v>
      </c>
      <c r="J115" s="25" t="n">
        <f aca="false">m_foa*(J108-J114)+inc_m*J114-Thesis!J149-Thesis!J150</f>
        <v>182.01133870898</v>
      </c>
      <c r="K115" s="25" t="n">
        <f aca="false">m_foa*(K108-K114)+inc_m*K114-Thesis!K149-Thesis!K150</f>
        <v>184.804743598442</v>
      </c>
      <c r="L115" s="25" t="n">
        <f aca="false">m_foa*(L108-L114)+inc_m*L114-Thesis!L149-Thesis!L150</f>
        <v>199.237410515985</v>
      </c>
      <c r="M115" s="25" t="n">
        <f aca="false">m_foa*(M108-M114)+inc_m*M114-Thesis!M149-Thesis!M150</f>
        <v>216.709894528481</v>
      </c>
    </row>
    <row r="116" customFormat="false" ht="17.15" hidden="false" customHeight="false" outlineLevel="0" collapsed="false">
      <c r="A116" s="0" t="s">
        <v>749</v>
      </c>
      <c r="B116" s="0" t="s">
        <v>74</v>
      </c>
      <c r="F116" s="25" t="n">
        <f aca="false">Thesis!F154*(1-rl_da_sh)+Thesis!F147+Seg!F65</f>
        <v>9.05531293804891</v>
      </c>
      <c r="H116" s="25" t="n">
        <f aca="false">Thesis!H154*(1-rl_da_sh)+Thesis!H147+Seg!H65</f>
        <v>51.2193670392876</v>
      </c>
      <c r="I116" s="25" t="n">
        <f aca="false">Thesis!I154*(1-rl_da_sh)+Thesis!I147+Seg!I65</f>
        <v>75.5104793898676</v>
      </c>
      <c r="J116" s="25" t="n">
        <f aca="false">Thesis!J154*(1-rl_da_sh)+Thesis!J147+Seg!J65</f>
        <v>99.5909534385236</v>
      </c>
      <c r="K116" s="25" t="n">
        <f aca="false">Thesis!K154*(1-rl_da_sh)+Thesis!K147+Seg!K65</f>
        <v>119.726425897895</v>
      </c>
      <c r="L116" s="25" t="n">
        <f aca="false">Thesis!L154*(1-rl_da_sh)+Thesis!L147+Seg!L65</f>
        <v>135.373722751338</v>
      </c>
      <c r="M116" s="25" t="n">
        <f aca="false">Thesis!M154*(1-rl_da_sh)+Thesis!M147+Seg!M65</f>
        <v>152.559122742048</v>
      </c>
    </row>
    <row r="117" customFormat="false" ht="17.15" hidden="false" customHeight="false" outlineLevel="0" collapsed="false">
      <c r="A117" s="5" t="s">
        <v>750</v>
      </c>
      <c r="B117" s="7" t="s">
        <v>74</v>
      </c>
      <c r="C117" s="25" t="n">
        <f aca="false">Q!J14</f>
        <v>87.109</v>
      </c>
      <c r="D117" s="25" t="n">
        <f aca="false">Q!K14</f>
        <v>102.469</v>
      </c>
      <c r="E117" s="25" t="n">
        <f aca="false">Q!L14</f>
        <v>67.411</v>
      </c>
      <c r="F117" s="25" t="n">
        <f aca="false">F115-F116</f>
        <v>31.743147824231</v>
      </c>
      <c r="G117" s="25" t="n">
        <f aca="false">E117+F117</f>
        <v>99.154147824231</v>
      </c>
      <c r="H117" s="25" t="n">
        <f aca="false">H115-H116</f>
        <v>105.929518828166</v>
      </c>
      <c r="I117" s="25" t="n">
        <f aca="false">I115-I116</f>
        <v>96.7779746793508</v>
      </c>
      <c r="J117" s="25" t="n">
        <f aca="false">J115-J116</f>
        <v>82.4203852704566</v>
      </c>
      <c r="K117" s="25" t="n">
        <f aca="false">K115-K116</f>
        <v>65.0783177005465</v>
      </c>
      <c r="L117" s="25" t="n">
        <f aca="false">L115-L116</f>
        <v>63.863687764647</v>
      </c>
      <c r="M117" s="25" t="n">
        <f aca="false">M115-M116</f>
        <v>64.150771786433</v>
      </c>
      <c r="N117" s="7" t="s">
        <v>751</v>
      </c>
    </row>
    <row r="118" customFormat="false" ht="17.15" hidden="false" customHeight="false" outlineLevel="0" collapsed="false">
      <c r="A118" s="5" t="s">
        <v>752</v>
      </c>
      <c r="B118" s="7" t="s">
        <v>74</v>
      </c>
      <c r="C118" s="25" t="n">
        <f aca="false">Q!J15</f>
        <v>-17.729</v>
      </c>
      <c r="D118" s="25" t="n">
        <f aca="false">Q!K15</f>
        <v>-19.193</v>
      </c>
      <c r="E118" s="25" t="n">
        <f aca="false">Q!L15</f>
        <v>-12.776</v>
      </c>
      <c r="F118" s="25" t="n">
        <f aca="false">-(rl_loss26+Q!L15)</f>
        <v>-5.724</v>
      </c>
      <c r="G118" s="25" t="n">
        <f aca="false">E118+F118</f>
        <v>-18.5</v>
      </c>
      <c r="H118" s="25" t="n">
        <f aca="false">-rl_loss27</f>
        <v>-15</v>
      </c>
      <c r="I118" s="25" t="n">
        <f aca="false">-(rl_loss27+(rl_loss32-rl_loss27)*(2028-2027)/5)</f>
        <v>-13</v>
      </c>
      <c r="J118" s="25" t="n">
        <f aca="false">-(rl_loss27+(rl_loss32-rl_loss27)*(2029-2027)/5)</f>
        <v>-11</v>
      </c>
      <c r="K118" s="25" t="n">
        <f aca="false">-(rl_loss27+(rl_loss32-rl_loss27)*(2030-2027)/5)</f>
        <v>-9</v>
      </c>
      <c r="L118" s="25" t="n">
        <f aca="false">-(rl_loss27+(rl_loss32-rl_loss27)*(2031-2027)/5)</f>
        <v>-7</v>
      </c>
      <c r="M118" s="25" t="n">
        <f aca="false">-(rl_loss27+(rl_loss32-rl_loss27)*(2032-2027)/5)</f>
        <v>-5</v>
      </c>
      <c r="N118" s="7" t="s">
        <v>753</v>
      </c>
    </row>
    <row r="119" customFormat="false" ht="17.15" hidden="false" customHeight="false" outlineLevel="0" collapsed="false">
      <c r="A119" s="0" t="s">
        <v>754</v>
      </c>
      <c r="B119" s="0" t="s">
        <v>74</v>
      </c>
      <c r="F119" s="25" t="n">
        <f aca="false">Thesis!F154*rl_da_sh</f>
        <v>0.3577</v>
      </c>
      <c r="H119" s="25" t="n">
        <f aca="false">Thesis!H154*rl_da_sh</f>
        <v>1.4308</v>
      </c>
      <c r="I119" s="25" t="n">
        <f aca="false">Thesis!I154*rl_da_sh</f>
        <v>1.4308</v>
      </c>
      <c r="J119" s="25" t="n">
        <f aca="false">Thesis!J154*rl_da_sh</f>
        <v>1.37615168072424</v>
      </c>
      <c r="K119" s="25" t="n">
        <f aca="false">Thesis!K154*rl_da_sh</f>
        <v>1.23080726603289</v>
      </c>
      <c r="L119" s="25" t="n">
        <f aca="false">Thesis!L154*rl_da_sh</f>
        <v>0.943897944979439</v>
      </c>
      <c r="M119" s="25" t="n">
        <f aca="false">Thesis!M154*rl_da_sh</f>
        <v>0.747684719341578</v>
      </c>
    </row>
    <row r="120" customFormat="false" ht="15" hidden="false" customHeight="false" outlineLevel="0" collapsed="false">
      <c r="A120" s="0" t="s">
        <v>755</v>
      </c>
      <c r="B120" s="0" t="s">
        <v>74</v>
      </c>
      <c r="F120" s="25" t="n">
        <f aca="false">F118+F119</f>
        <v>-5.3663</v>
      </c>
      <c r="H120" s="25" t="n">
        <f aca="false">H118+H119</f>
        <v>-13.5692</v>
      </c>
      <c r="I120" s="25" t="n">
        <f aca="false">I118+I119</f>
        <v>-11.5692</v>
      </c>
      <c r="J120" s="25" t="n">
        <f aca="false">J118+J119</f>
        <v>-9.62384831927576</v>
      </c>
      <c r="K120" s="25" t="n">
        <f aca="false">K118+K119</f>
        <v>-7.76919273396711</v>
      </c>
      <c r="L120" s="25" t="n">
        <f aca="false">L118+L119</f>
        <v>-6.05610205502056</v>
      </c>
      <c r="M120" s="25" t="n">
        <f aca="false">M118+M119</f>
        <v>-4.25231528065842</v>
      </c>
    </row>
    <row r="121" customFormat="false" ht="15" hidden="false" customHeight="false" outlineLevel="0" collapsed="false">
      <c r="A121" s="4" t="s">
        <v>756</v>
      </c>
      <c r="B121" s="0" t="s">
        <v>74</v>
      </c>
      <c r="C121" s="25" t="n">
        <f aca="false">C117+C118</f>
        <v>69.38</v>
      </c>
      <c r="D121" s="25" t="n">
        <f aca="false">D117+D118</f>
        <v>83.276</v>
      </c>
      <c r="E121" s="25" t="n">
        <f aca="false">E117+E118</f>
        <v>54.635</v>
      </c>
      <c r="F121" s="25" t="n">
        <f aca="false">F117+F118</f>
        <v>26.019147824231</v>
      </c>
      <c r="G121" s="25" t="n">
        <f aca="false">G117+G118</f>
        <v>80.654147824231</v>
      </c>
      <c r="H121" s="25" t="n">
        <f aca="false">H117+H118</f>
        <v>90.9295188281662</v>
      </c>
      <c r="I121" s="25" t="n">
        <f aca="false">I117+I118</f>
        <v>83.7779746793508</v>
      </c>
      <c r="J121" s="25" t="n">
        <f aca="false">J117+J118</f>
        <v>71.4203852704566</v>
      </c>
      <c r="K121" s="25" t="n">
        <f aca="false">K117+K118</f>
        <v>56.0783177005465</v>
      </c>
      <c r="L121" s="25" t="n">
        <f aca="false">L117+L118</f>
        <v>56.863687764647</v>
      </c>
      <c r="M121" s="25" t="n">
        <f aca="false">M117+M118</f>
        <v>59.150771786433</v>
      </c>
    </row>
    <row r="122" customFormat="false" ht="17.15" hidden="false" customHeight="false" outlineLevel="0" collapsed="false">
      <c r="A122" s="4" t="s">
        <v>757</v>
      </c>
      <c r="B122" s="0" t="s">
        <v>74</v>
      </c>
      <c r="F122" s="25" t="n">
        <f aca="false">F115+F120</f>
        <v>35.4321607622799</v>
      </c>
      <c r="H122" s="25" t="n">
        <f aca="false">H115+H120</f>
        <v>143.579685867454</v>
      </c>
      <c r="I122" s="25" t="n">
        <f aca="false">I115+I120</f>
        <v>160.719254069218</v>
      </c>
      <c r="J122" s="25" t="n">
        <f aca="false">J115+J120</f>
        <v>172.387490389704</v>
      </c>
      <c r="K122" s="25" t="n">
        <f aca="false">K115+K120</f>
        <v>177.035550864475</v>
      </c>
      <c r="L122" s="25" t="n">
        <f aca="false">L115+L120</f>
        <v>193.181308460964</v>
      </c>
      <c r="M122" s="25" t="n">
        <f aca="false">M115+M120</f>
        <v>212.457579247822</v>
      </c>
    </row>
    <row r="123" customFormat="false" ht="17.15" hidden="false" customHeight="false" outlineLevel="0" collapsed="false">
      <c r="A123" s="4" t="s">
        <v>758</v>
      </c>
      <c r="B123" s="0" t="s">
        <v>74</v>
      </c>
      <c r="C123" s="25" t="n">
        <f aca="false">Q!J35</f>
        <v>15.498</v>
      </c>
      <c r="D123" s="25" t="n">
        <f aca="false">Q!K35</f>
        <v>18.616</v>
      </c>
      <c r="E123" s="25" t="n">
        <f aca="false">Q!L35</f>
        <v>19.509</v>
      </c>
      <c r="F123" s="25" t="n">
        <f aca="false">Thesis!F154+Thesis!F147+Seg!F65</f>
        <v>9.41301293804891</v>
      </c>
      <c r="G123" s="25" t="n">
        <f aca="false">E123+F123</f>
        <v>28.9220129380489</v>
      </c>
      <c r="H123" s="25" t="n">
        <f aca="false">Thesis!H154+Thesis!H147+Seg!H65</f>
        <v>52.6501670392876</v>
      </c>
      <c r="I123" s="25" t="n">
        <f aca="false">Thesis!I154+Thesis!I147+Seg!I65</f>
        <v>76.9412793898676</v>
      </c>
      <c r="J123" s="25" t="n">
        <f aca="false">Thesis!J154+Thesis!J147+Seg!J65</f>
        <v>100.967105119248</v>
      </c>
      <c r="K123" s="25" t="n">
        <f aca="false">Thesis!K154+Thesis!K147+Seg!K65</f>
        <v>120.957233163928</v>
      </c>
      <c r="L123" s="25" t="n">
        <f aca="false">Thesis!L154+Thesis!L147+Seg!L65</f>
        <v>136.317620696317</v>
      </c>
      <c r="M123" s="25" t="n">
        <f aca="false">Thesis!M154+Thesis!M147+Seg!M65</f>
        <v>153.306807461389</v>
      </c>
    </row>
    <row r="124" customFormat="false" ht="17.15" hidden="false" customHeight="false" outlineLevel="0" collapsed="false">
      <c r="A124" s="4" t="s">
        <v>759</v>
      </c>
      <c r="B124" s="0" t="s">
        <v>74</v>
      </c>
      <c r="F124" s="25" t="n">
        <f aca="false">Thesis!F147</f>
        <v>2.2208445026852</v>
      </c>
      <c r="G124" s="25" t="n">
        <f aca="false">F124</f>
        <v>2.2208445026852</v>
      </c>
      <c r="H124" s="25" t="n">
        <f aca="false">Thesis!H147</f>
        <v>23.4196896998538</v>
      </c>
      <c r="I124" s="25" t="n">
        <f aca="false">Thesis!I147</f>
        <v>46.4278084523951</v>
      </c>
      <c r="J124" s="25" t="n">
        <f aca="false">Thesis!J147</f>
        <v>70.0876543781409</v>
      </c>
      <c r="K124" s="25" t="n">
        <f aca="false">Thesis!K147</f>
        <v>91.3945006605681</v>
      </c>
      <c r="L124" s="25" t="n">
        <f aca="false">Thesis!L147</f>
        <v>110.80343424072</v>
      </c>
      <c r="M124" s="25" t="n">
        <f aca="false">Thesis!M147</f>
        <v>129.886015771477</v>
      </c>
    </row>
    <row r="125" customFormat="false" ht="17.15" hidden="false" customHeight="false" outlineLevel="0" collapsed="false">
      <c r="A125" s="26" t="s">
        <v>760</v>
      </c>
      <c r="B125" s="30" t="s">
        <v>74</v>
      </c>
      <c r="C125" s="31" t="n">
        <f aca="false">Q!J16</f>
        <v>69.38</v>
      </c>
      <c r="D125" s="31" t="n">
        <f aca="false">Q!K16</f>
        <v>83.276</v>
      </c>
      <c r="E125" s="31" t="n">
        <f aca="false">Q!L16</f>
        <v>54.635</v>
      </c>
      <c r="F125" s="31" t="n">
        <f aca="false">F122-F123</f>
        <v>26.019147824231</v>
      </c>
      <c r="G125" s="31" t="n">
        <f aca="false">E125+F125</f>
        <v>80.654147824231</v>
      </c>
      <c r="H125" s="31" t="n">
        <f aca="false">H122-H123</f>
        <v>90.9295188281663</v>
      </c>
      <c r="I125" s="31" t="n">
        <f aca="false">I122-I123</f>
        <v>83.7779746793508</v>
      </c>
      <c r="J125" s="31" t="n">
        <f aca="false">J122-J123</f>
        <v>71.4203852704566</v>
      </c>
      <c r="K125" s="31" t="n">
        <f aca="false">K122-K123</f>
        <v>56.0783177005465</v>
      </c>
      <c r="L125" s="31" t="n">
        <f aca="false">L122-L123</f>
        <v>56.863687764647</v>
      </c>
      <c r="M125" s="31" t="n">
        <f aca="false">M122-M123</f>
        <v>59.150771786433</v>
      </c>
      <c r="N125" s="32" t="s">
        <v>761</v>
      </c>
    </row>
    <row r="126" customFormat="false" ht="15" hidden="false" customHeight="false" outlineLevel="0" collapsed="false">
      <c r="A126" s="4" t="s">
        <v>573</v>
      </c>
      <c r="B126" s="0" t="s">
        <v>74</v>
      </c>
      <c r="C126" s="22" t="n">
        <f aca="false">C121-C125</f>
        <v>0</v>
      </c>
      <c r="D126" s="22" t="n">
        <f aca="false">D121-D125</f>
        <v>0</v>
      </c>
      <c r="E126" s="22" t="n">
        <f aca="false">E121-E125</f>
        <v>0</v>
      </c>
      <c r="F126" s="22" t="n">
        <f aca="false">F121-F125</f>
        <v>0</v>
      </c>
      <c r="G126" s="22" t="n">
        <f aca="false">G121-G125</f>
        <v>0</v>
      </c>
      <c r="H126" s="22" t="n">
        <f aca="false">H121-H125</f>
        <v>0</v>
      </c>
      <c r="I126" s="22" t="n">
        <f aca="false">I121-I125</f>
        <v>0</v>
      </c>
      <c r="J126" s="22" t="n">
        <f aca="false">J121-J125</f>
        <v>0</v>
      </c>
      <c r="K126" s="22" t="n">
        <f aca="false">K121-K125</f>
        <v>0</v>
      </c>
      <c r="L126" s="22" t="n">
        <f aca="false">L121-L125</f>
        <v>0</v>
      </c>
      <c r="M126" s="22" t="n">
        <f aca="false">M121-M125</f>
        <v>0</v>
      </c>
    </row>
    <row r="127" customFormat="false" ht="17.15" hidden="false" customHeight="false" outlineLevel="0" collapsed="false">
      <c r="A127" s="4" t="s">
        <v>762</v>
      </c>
      <c r="B127" s="0" t="s">
        <v>74</v>
      </c>
      <c r="E127" s="25" t="n">
        <f aca="false">-ot_oi_9m</f>
        <v>-13.47</v>
      </c>
      <c r="F127" s="28" t="n">
        <v>0</v>
      </c>
      <c r="G127" s="25" t="n">
        <f aca="false">E127+F127</f>
        <v>-13.47</v>
      </c>
      <c r="H127" s="28" t="n">
        <v>0</v>
      </c>
      <c r="I127" s="28" t="n">
        <v>0</v>
      </c>
      <c r="J127" s="28" t="n">
        <v>0</v>
      </c>
      <c r="K127" s="28" t="n">
        <v>0</v>
      </c>
      <c r="L127" s="28" t="n">
        <v>0</v>
      </c>
      <c r="M127" s="28" t="n">
        <v>0</v>
      </c>
      <c r="N127" s="7" t="s">
        <v>763</v>
      </c>
    </row>
    <row r="128" customFormat="false" ht="15" hidden="false" customHeight="false" outlineLevel="0" collapsed="false">
      <c r="A128" s="4" t="s">
        <v>764</v>
      </c>
      <c r="B128" s="0" t="s">
        <v>74</v>
      </c>
      <c r="E128" s="25" t="n">
        <f aca="false">E125-E127</f>
        <v>68.105</v>
      </c>
      <c r="F128" s="25" t="n">
        <f aca="false">F125-F127</f>
        <v>26.019147824231</v>
      </c>
      <c r="G128" s="25" t="n">
        <f aca="false">G125-G127</f>
        <v>94.124147824231</v>
      </c>
      <c r="H128" s="25" t="n">
        <f aca="false">H125-H127</f>
        <v>90.9295188281663</v>
      </c>
      <c r="I128" s="25" t="n">
        <f aca="false">I125-I127</f>
        <v>83.7779746793508</v>
      </c>
      <c r="J128" s="25" t="n">
        <f aca="false">J125-J127</f>
        <v>71.4203852704566</v>
      </c>
      <c r="K128" s="25" t="n">
        <f aca="false">K125-K127</f>
        <v>56.0783177005465</v>
      </c>
      <c r="L128" s="25" t="n">
        <f aca="false">L125-L127</f>
        <v>56.863687764647</v>
      </c>
      <c r="M128" s="25" t="n">
        <f aca="false">M125-M127</f>
        <v>59.150771786433</v>
      </c>
    </row>
    <row r="129" customFormat="false" ht="17.15" hidden="false" customHeight="false" outlineLevel="0" collapsed="false">
      <c r="A129" s="4" t="s">
        <v>765</v>
      </c>
      <c r="B129" s="0" t="s">
        <v>74</v>
      </c>
      <c r="F129" s="25" t="n">
        <f aca="false">Thesis!F156</f>
        <v>4.15437383018245</v>
      </c>
      <c r="G129" s="25" t="n">
        <f aca="false">F129</f>
        <v>4.15437383018245</v>
      </c>
      <c r="H129" s="25" t="n">
        <f aca="false">Thesis!H156</f>
        <v>53.786784070043</v>
      </c>
      <c r="I129" s="25" t="n">
        <f aca="false">Thesis!I156</f>
        <v>96.0811040986301</v>
      </c>
      <c r="J129" s="25" t="n">
        <f aca="false">Thesis!J156</f>
        <v>134.742139293803</v>
      </c>
      <c r="K129" s="25" t="n">
        <f aca="false">Thesis!K156</f>
        <v>164.008916108235</v>
      </c>
      <c r="L129" s="25" t="n">
        <f aca="false">Thesis!L156</f>
        <v>184.286159391323</v>
      </c>
      <c r="M129" s="25" t="n">
        <f aca="false">Thesis!M156</f>
        <v>195.777461592162</v>
      </c>
    </row>
    <row r="130" customFormat="false" ht="17.15" hidden="false" customHeight="false" outlineLevel="0" collapsed="false">
      <c r="A130" s="2" t="s">
        <v>766</v>
      </c>
      <c r="B130" s="7" t="s">
        <v>74</v>
      </c>
      <c r="E130" s="25" t="n">
        <f aca="false">E128</f>
        <v>68.105</v>
      </c>
      <c r="F130" s="25" t="n">
        <f aca="false">F128+(internal_ai_reading=2)*F129</f>
        <v>30.1735216544135</v>
      </c>
      <c r="G130" s="25" t="n">
        <f aca="false">G128+(internal_ai_reading=2)*G129</f>
        <v>98.2785216544135</v>
      </c>
      <c r="H130" s="25" t="n">
        <f aca="false">H128+(internal_ai_reading=2)*H129</f>
        <v>144.716302898209</v>
      </c>
      <c r="I130" s="25" t="n">
        <f aca="false">I128+(internal_ai_reading=2)*I129</f>
        <v>179.859078777981</v>
      </c>
      <c r="J130" s="25" t="n">
        <f aca="false">J128+(internal_ai_reading=2)*J129</f>
        <v>206.16252456426</v>
      </c>
      <c r="K130" s="25" t="n">
        <f aca="false">K128+(internal_ai_reading=2)*K129</f>
        <v>220.087233808782</v>
      </c>
      <c r="L130" s="25" t="n">
        <f aca="false">L128+(internal_ai_reading=2)*L129</f>
        <v>241.14984715597</v>
      </c>
      <c r="M130" s="25" t="n">
        <f aca="false">M128+(internal_ai_reading=2)*M129</f>
        <v>254.928233378595</v>
      </c>
    </row>
    <row r="131" customFormat="false" ht="15" hidden="false" customHeight="false" outlineLevel="0" collapsed="false">
      <c r="A131" s="4" t="s">
        <v>767</v>
      </c>
      <c r="B131" s="0" t="s">
        <v>128</v>
      </c>
      <c r="C131" s="15" t="n">
        <f aca="false">C125/C110</f>
        <v>0.421760354040401</v>
      </c>
      <c r="D131" s="15" t="n">
        <f aca="false">D125/D110</f>
        <v>0.414378551595792</v>
      </c>
      <c r="E131" s="15" t="n">
        <f aca="false">E125/E110</f>
        <v>0.300666435532956</v>
      </c>
      <c r="F131" s="15" t="n">
        <f aca="false">F125/F110</f>
        <v>0.340846403268732</v>
      </c>
      <c r="G131" s="15" t="n">
        <f aca="false">G125/G110</f>
        <v>0.312552560467766</v>
      </c>
      <c r="H131" s="15" t="n">
        <f aca="false">H125/H110</f>
        <v>0.294146673021404</v>
      </c>
      <c r="I131" s="15" t="n">
        <f aca="false">I125/I110</f>
        <v>0.235593435318244</v>
      </c>
      <c r="J131" s="15" t="n">
        <f aca="false">J125/J110</f>
        <v>0.182132552581466</v>
      </c>
      <c r="K131" s="15" t="n">
        <f aca="false">K125/K110</f>
        <v>0.135530906895735</v>
      </c>
      <c r="L131" s="15" t="n">
        <f aca="false">L125/L110</f>
        <v>0.126832427743094</v>
      </c>
      <c r="M131" s="15" t="n">
        <f aca="false">M125/M110</f>
        <v>0.121744895706351</v>
      </c>
    </row>
    <row r="132" customFormat="false" ht="15" hidden="false" customHeight="false" outlineLevel="0" collapsed="false">
      <c r="A132" s="4" t="s">
        <v>768</v>
      </c>
      <c r="B132" s="0" t="s">
        <v>128</v>
      </c>
      <c r="E132" s="15" t="n">
        <f aca="false">E128/E110</f>
        <v>0.37479431851326</v>
      </c>
      <c r="F132" s="15" t="n">
        <f aca="false">F128/F110</f>
        <v>0.340846403268732</v>
      </c>
      <c r="G132" s="15" t="n">
        <f aca="false">G128/G110</f>
        <v>0.364751772821678</v>
      </c>
      <c r="H132" s="15" t="n">
        <f aca="false">H128/H110</f>
        <v>0.294146673021404</v>
      </c>
      <c r="I132" s="15" t="n">
        <f aca="false">I128/I110</f>
        <v>0.235593435318244</v>
      </c>
      <c r="J132" s="15" t="n">
        <f aca="false">J128/J110</f>
        <v>0.182132552581466</v>
      </c>
      <c r="K132" s="15" t="n">
        <f aca="false">K128/K110</f>
        <v>0.135530906895735</v>
      </c>
      <c r="L132" s="15" t="n">
        <f aca="false">L128/L110</f>
        <v>0.126832427743094</v>
      </c>
      <c r="M132" s="15" t="n">
        <f aca="false">M128/M110</f>
        <v>0.121744895706351</v>
      </c>
    </row>
    <row r="133" customFormat="false" ht="17.15" hidden="false" customHeight="false" outlineLevel="0" collapsed="false">
      <c r="A133" s="0" t="s">
        <v>769</v>
      </c>
      <c r="B133" s="0" t="s">
        <v>128</v>
      </c>
      <c r="C133" s="15" t="n">
        <f aca="false">C117/C108</f>
        <v>0.536534138154045</v>
      </c>
      <c r="D133" s="15" t="n">
        <f aca="false">D117/D108</f>
        <v>0.51554395021106</v>
      </c>
      <c r="E133" s="15" t="n">
        <f aca="false">E117/E108</f>
        <v>0.373598541319131</v>
      </c>
      <c r="F133" s="15" t="n">
        <f aca="false">F117/F108</f>
        <v>0.420860428112135</v>
      </c>
      <c r="G133" s="15" t="n">
        <f aca="false">G117/G108</f>
        <v>0.387530692304727</v>
      </c>
      <c r="H133" s="15" t="n">
        <f aca="false">H117/H108</f>
        <v>0.345061745767025</v>
      </c>
      <c r="I133" s="15" t="n">
        <f aca="false">I117/I108</f>
        <v>0.273805287545409</v>
      </c>
      <c r="J133" s="15" t="n">
        <f aca="false">J117/J108</f>
        <v>0.21137286090537</v>
      </c>
      <c r="K133" s="15" t="n">
        <f aca="false">K117/K108</f>
        <v>0.158167355473495</v>
      </c>
      <c r="L133" s="15" t="n">
        <f aca="false">L117/L108</f>
        <v>0.143222345614248</v>
      </c>
      <c r="M133" s="15" t="n">
        <f aca="false">M117/M108</f>
        <v>0.132733372478972</v>
      </c>
    </row>
    <row r="134" customFormat="false" ht="17.15" hidden="false" customHeight="false" outlineLevel="0" collapsed="false">
      <c r="A134" s="4" t="s">
        <v>770</v>
      </c>
      <c r="B134" s="0" t="s">
        <v>74</v>
      </c>
      <c r="F134" s="25" t="n">
        <f aca="false">r_cash*CF!F95*0.25</f>
        <v>0.82449</v>
      </c>
      <c r="G134" s="25" t="n">
        <f aca="false">F134</f>
        <v>0.82449</v>
      </c>
      <c r="H134" s="25" t="n">
        <f aca="false">r_cash*CF!H95*1</f>
        <v>3.15978565884841</v>
      </c>
      <c r="I134" s="25" t="n">
        <f aca="false">r_cash*CF!I95*1</f>
        <v>3.24821453644268</v>
      </c>
      <c r="J134" s="25" t="n">
        <f aca="false">r_cash*CF!J95*1</f>
        <v>2.92223815570532</v>
      </c>
      <c r="K134" s="25" t="n">
        <f aca="false">r_cash*CF!K95*1</f>
        <v>3.98143814591763</v>
      </c>
      <c r="L134" s="25" t="n">
        <f aca="false">r_cash*CF!L95*1</f>
        <v>6.36379226063883</v>
      </c>
      <c r="M134" s="25" t="n">
        <f aca="false">r_cash*CF!M95*1</f>
        <v>9.45407739033744</v>
      </c>
    </row>
    <row r="135" customFormat="false" ht="17.15" hidden="false" customHeight="false" outlineLevel="0" collapsed="false">
      <c r="A135" s="4" t="s">
        <v>771</v>
      </c>
      <c r="B135" s="0" t="s">
        <v>74</v>
      </c>
      <c r="F135" s="25" t="n">
        <f aca="false">r_debt*CF!F102*0.25</f>
        <v>1.008</v>
      </c>
      <c r="G135" s="25" t="n">
        <f aca="false">F135</f>
        <v>1.008</v>
      </c>
      <c r="H135" s="25" t="n">
        <f aca="false">r_debt*CF!H102*1</f>
        <v>4.032</v>
      </c>
      <c r="I135" s="25" t="n">
        <f aca="false">r_debt*CF!I102*1</f>
        <v>3.900144</v>
      </c>
      <c r="J135" s="25" t="n">
        <f aca="false">r_debt*CF!J102*1</f>
        <v>3.900144</v>
      </c>
      <c r="K135" s="25" t="n">
        <f aca="false">r_debt*CF!K102*1</f>
        <v>3.900144</v>
      </c>
      <c r="L135" s="25" t="n">
        <f aca="false">r_debt*CF!L102*1</f>
        <v>3.900144</v>
      </c>
      <c r="M135" s="25" t="n">
        <f aca="false">r_debt*CF!M102*1</f>
        <v>3.900144</v>
      </c>
    </row>
    <row r="136" customFormat="false" ht="15" hidden="false" customHeight="false" outlineLevel="0" collapsed="false">
      <c r="A136" s="4" t="s">
        <v>772</v>
      </c>
      <c r="B136" s="0" t="s">
        <v>74</v>
      </c>
      <c r="C136" s="25" t="n">
        <f aca="false">Q!J25</f>
        <v>1.283</v>
      </c>
      <c r="D136" s="25" t="n">
        <f aca="false">Q!K25</f>
        <v>2.656</v>
      </c>
      <c r="E136" s="25" t="n">
        <f aca="false">Q!L25</f>
        <v>-1.126</v>
      </c>
      <c r="F136" s="25" t="n">
        <f aca="false">F134-F135</f>
        <v>-0.18351</v>
      </c>
      <c r="G136" s="25" t="n">
        <f aca="false">E136+F136</f>
        <v>-1.30951</v>
      </c>
      <c r="H136" s="25" t="n">
        <f aca="false">H134-H135</f>
        <v>-0.872214341151592</v>
      </c>
      <c r="I136" s="25" t="n">
        <f aca="false">I134-I135</f>
        <v>-0.651929463557324</v>
      </c>
      <c r="J136" s="25" t="n">
        <f aca="false">J134-J135</f>
        <v>-0.977905844294683</v>
      </c>
      <c r="K136" s="25" t="n">
        <f aca="false">K134-K135</f>
        <v>0.0812941459176311</v>
      </c>
      <c r="L136" s="25" t="n">
        <f aca="false">L134-L135</f>
        <v>2.46364826063883</v>
      </c>
      <c r="M136" s="25" t="n">
        <f aca="false">M134-M135</f>
        <v>5.55393339033744</v>
      </c>
    </row>
    <row r="137" customFormat="false" ht="15" hidden="false" customHeight="false" outlineLevel="0" collapsed="false">
      <c r="A137" s="4" t="s">
        <v>581</v>
      </c>
      <c r="B137" s="0" t="s">
        <v>74</v>
      </c>
      <c r="C137" s="25" t="n">
        <f aca="false">C125+C136</f>
        <v>70.663</v>
      </c>
      <c r="D137" s="25" t="n">
        <f aca="false">D125+D136</f>
        <v>85.932</v>
      </c>
      <c r="E137" s="25" t="n">
        <f aca="false">E125+E136</f>
        <v>53.509</v>
      </c>
      <c r="F137" s="25" t="n">
        <f aca="false">F125+F136</f>
        <v>25.835637824231</v>
      </c>
      <c r="G137" s="25" t="n">
        <f aca="false">G125+G136</f>
        <v>79.344637824231</v>
      </c>
      <c r="H137" s="25" t="n">
        <f aca="false">H125+H136</f>
        <v>90.0573044870147</v>
      </c>
      <c r="I137" s="25" t="n">
        <f aca="false">I125+I136</f>
        <v>83.1260452157935</v>
      </c>
      <c r="J137" s="25" t="n">
        <f aca="false">J125+J136</f>
        <v>70.4424794261619</v>
      </c>
      <c r="K137" s="25" t="n">
        <f aca="false">K125+K136</f>
        <v>56.1596118464641</v>
      </c>
      <c r="L137" s="25" t="n">
        <f aca="false">L125+L136</f>
        <v>59.3273360252858</v>
      </c>
      <c r="M137" s="25" t="n">
        <f aca="false">M125+M136</f>
        <v>64.7047051767704</v>
      </c>
    </row>
    <row r="138" customFormat="false" ht="17.15" hidden="false" customHeight="false" outlineLevel="0" collapsed="false">
      <c r="A138" s="4" t="s">
        <v>773</v>
      </c>
      <c r="B138" s="0" t="s">
        <v>74</v>
      </c>
      <c r="C138" s="25" t="n">
        <f aca="false">Q!J28</f>
        <v>8.303</v>
      </c>
      <c r="D138" s="25" t="n">
        <f aca="false">Q!K28</f>
        <v>25.474</v>
      </c>
      <c r="E138" s="25" t="n">
        <f aca="false">Q!L28</f>
        <v>1.028</v>
      </c>
      <c r="F138" s="25" t="n">
        <f aca="false">F137*tax</f>
        <v>4.13370205187696</v>
      </c>
      <c r="G138" s="25" t="n">
        <f aca="false">E138+F138</f>
        <v>5.16170205187696</v>
      </c>
      <c r="H138" s="25" t="n">
        <f aca="false">H137*tax</f>
        <v>14.4091687179223</v>
      </c>
      <c r="I138" s="25" t="n">
        <f aca="false">I137*tax</f>
        <v>13.300167234527</v>
      </c>
      <c r="J138" s="25" t="n">
        <f aca="false">J137*tax</f>
        <v>11.2707967081859</v>
      </c>
      <c r="K138" s="25" t="n">
        <f aca="false">K137*tax</f>
        <v>8.98553789543426</v>
      </c>
      <c r="L138" s="25" t="n">
        <f aca="false">L137*tax</f>
        <v>9.49237376404573</v>
      </c>
      <c r="M138" s="25" t="n">
        <f aca="false">M137*tax</f>
        <v>10.3527528282833</v>
      </c>
      <c r="N138" s="7" t="s">
        <v>774</v>
      </c>
    </row>
    <row r="139" customFormat="false" ht="15" hidden="false" customHeight="false" outlineLevel="0" collapsed="false">
      <c r="A139" s="2" t="s">
        <v>775</v>
      </c>
      <c r="B139" s="7" t="s">
        <v>74</v>
      </c>
      <c r="C139" s="25" t="n">
        <f aca="false">C137-C138</f>
        <v>62.36</v>
      </c>
      <c r="D139" s="25" t="n">
        <f aca="false">D137-D138</f>
        <v>60.458</v>
      </c>
      <c r="E139" s="25" t="n">
        <f aca="false">E137-E138</f>
        <v>52.481</v>
      </c>
      <c r="F139" s="25" t="n">
        <f aca="false">F137-F138</f>
        <v>21.7019357723541</v>
      </c>
      <c r="G139" s="25" t="n">
        <f aca="false">G137-G138</f>
        <v>74.1829357723541</v>
      </c>
      <c r="H139" s="25" t="n">
        <f aca="false">H137-H138</f>
        <v>75.6481357690923</v>
      </c>
      <c r="I139" s="25" t="n">
        <f aca="false">I137-I138</f>
        <v>69.8258779812665</v>
      </c>
      <c r="J139" s="25" t="n">
        <f aca="false">J137-J138</f>
        <v>59.171682717976</v>
      </c>
      <c r="K139" s="25" t="n">
        <f aca="false">K137-K138</f>
        <v>47.1740739510298</v>
      </c>
      <c r="L139" s="25" t="n">
        <f aca="false">L137-L138</f>
        <v>49.8349622612401</v>
      </c>
      <c r="M139" s="25" t="n">
        <f aca="false">M137-M138</f>
        <v>54.3519523484872</v>
      </c>
    </row>
    <row r="140" customFormat="false" ht="17.15" hidden="false" customHeight="false" outlineLevel="0" collapsed="false">
      <c r="A140" s="4" t="s">
        <v>776</v>
      </c>
      <c r="B140" s="0" t="s">
        <v>74</v>
      </c>
      <c r="C140" s="22" t="n">
        <f aca="false">C139-Q!J29</f>
        <v>0</v>
      </c>
      <c r="D140" s="22" t="n">
        <f aca="false">D139-Q!K29</f>
        <v>0</v>
      </c>
      <c r="E140" s="22" t="n">
        <f aca="false">E139-Q!L29</f>
        <v>0</v>
      </c>
    </row>
    <row r="141" customFormat="false" ht="17.15" hidden="false" customHeight="false" outlineLevel="0" collapsed="false">
      <c r="A141" s="4" t="s">
        <v>777</v>
      </c>
      <c r="B141" s="0" t="s">
        <v>74</v>
      </c>
      <c r="E141" s="25" t="n">
        <f aca="false">-(ot_legal_q2+ot_legal_q3)*ot_legal_at-ot_sev_q2*(1-tax)+ot_tax_q1</f>
        <v>-4.37587612740142</v>
      </c>
      <c r="F141" s="28" t="n">
        <v>0</v>
      </c>
      <c r="G141" s="25" t="n">
        <f aca="false">E141+F141</f>
        <v>-4.37587612740142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</row>
    <row r="142" customFormat="false" ht="15" hidden="false" customHeight="false" outlineLevel="0" collapsed="false">
      <c r="A142" s="4" t="s">
        <v>778</v>
      </c>
      <c r="B142" s="0" t="s">
        <v>74</v>
      </c>
      <c r="E142" s="28" t="n">
        <v>0</v>
      </c>
      <c r="F142" s="25" t="n">
        <f aca="false">pref_2H</f>
        <v>0</v>
      </c>
      <c r="G142" s="25" t="n">
        <f aca="false">E142+F142</f>
        <v>0</v>
      </c>
      <c r="H142" s="25" t="n">
        <f aca="false">pref_27</f>
        <v>0.8125</v>
      </c>
      <c r="I142" s="25" t="n">
        <f aca="false">pref_28</f>
        <v>0.8125</v>
      </c>
      <c r="J142" s="25" t="n">
        <f aca="false">pref_29</f>
        <v>0.609</v>
      </c>
      <c r="K142" s="28" t="n">
        <v>0</v>
      </c>
      <c r="L142" s="28" t="n">
        <v>0</v>
      </c>
      <c r="M142" s="28" t="n">
        <v>0</v>
      </c>
    </row>
    <row r="143" customFormat="false" ht="15" hidden="false" customHeight="false" outlineLevel="0" collapsed="false">
      <c r="A143" s="4" t="s">
        <v>779</v>
      </c>
      <c r="B143" s="0" t="s">
        <v>74</v>
      </c>
      <c r="E143" s="25" t="n">
        <f aca="false">E139-E142</f>
        <v>52.481</v>
      </c>
      <c r="F143" s="25" t="n">
        <f aca="false">F139-F142</f>
        <v>21.7019357723541</v>
      </c>
      <c r="G143" s="25" t="n">
        <f aca="false">G139-G142</f>
        <v>74.1829357723541</v>
      </c>
      <c r="H143" s="25" t="n">
        <f aca="false">H139-H142</f>
        <v>74.8356357690923</v>
      </c>
      <c r="I143" s="25" t="n">
        <f aca="false">I139-I142</f>
        <v>69.0133779812665</v>
      </c>
      <c r="J143" s="25" t="n">
        <f aca="false">J139-J142</f>
        <v>58.562682717976</v>
      </c>
      <c r="K143" s="25" t="n">
        <f aca="false">K139-K142</f>
        <v>47.1740739510298</v>
      </c>
      <c r="L143" s="25" t="n">
        <f aca="false">L139-L142</f>
        <v>49.8349622612401</v>
      </c>
      <c r="M143" s="25" t="n">
        <f aca="false">M139-M142</f>
        <v>54.3519523484872</v>
      </c>
    </row>
    <row r="144" customFormat="false" ht="17.15" hidden="false" customHeight="false" outlineLevel="0" collapsed="false">
      <c r="A144" s="4" t="s">
        <v>780</v>
      </c>
      <c r="B144" s="4" t="s">
        <v>63</v>
      </c>
      <c r="E144" s="22" t="n">
        <f aca="false">sh_dil_q3+(sh_out-sh_basic_q3)</f>
        <v>2.577241</v>
      </c>
      <c r="F144" s="22" t="n">
        <f aca="false">E144*(1+dil*0.25)-CF!F98/CF!F105</f>
        <v>2.5862613435</v>
      </c>
      <c r="H144" s="22" t="n">
        <f aca="false">F144*(1+dil*1)-CF!H98/CF!H105+fwd_sh*fwd_on</f>
        <v>2.662469002309</v>
      </c>
      <c r="I144" s="22" t="n">
        <f aca="false">H144*(1+dil*1)-CF!I98/CF!I105</f>
        <v>2.69974356834133</v>
      </c>
      <c r="J144" s="22" t="n">
        <f aca="false">I144*(1+dil*1)-CF!J98/CF!J105+conv_sh</f>
        <v>2.7575399782981</v>
      </c>
      <c r="K144" s="22" t="n">
        <f aca="false">J144*(1+dil*1)-CF!K98/CF!K105</f>
        <v>2.79614553799428</v>
      </c>
      <c r="L144" s="22" t="n">
        <f aca="false">K144*(1+dil*1)-CF!L98/CF!L105</f>
        <v>2.8352915755262</v>
      </c>
      <c r="M144" s="22" t="n">
        <f aca="false">L144*(1+dil*1)-CF!M98/CF!M105</f>
        <v>2.87498565758356</v>
      </c>
      <c r="N144" s="7" t="s">
        <v>781</v>
      </c>
    </row>
    <row r="145" customFormat="false" ht="15" hidden="false" customHeight="false" outlineLevel="0" collapsed="false">
      <c r="A145" s="4" t="s">
        <v>782</v>
      </c>
      <c r="B145" s="4" t="s">
        <v>63</v>
      </c>
      <c r="C145" s="22" t="n">
        <f aca="false">Q!J31</f>
        <v>2.614</v>
      </c>
      <c r="D145" s="22" t="n">
        <f aca="false">Q!K31</f>
        <v>2.574</v>
      </c>
      <c r="E145" s="22" t="n">
        <f aca="false">Q!L31</f>
        <v>2.568</v>
      </c>
      <c r="F145" s="22" t="n">
        <f aca="false">E144*(1+dil*0.125)</f>
        <v>2.58175117175</v>
      </c>
      <c r="G145" s="22" t="n">
        <f aca="false">0.75*E145+0.25*F145</f>
        <v>2.5714377929375</v>
      </c>
      <c r="H145" s="22" t="n">
        <f aca="false">(F144+H144)/2</f>
        <v>2.6243651729045</v>
      </c>
      <c r="I145" s="22" t="n">
        <f aca="false">(H144+I144)/2</f>
        <v>2.68110628532516</v>
      </c>
      <c r="J145" s="22" t="n">
        <f aca="false">(I144+J144)/2</f>
        <v>2.72864177331972</v>
      </c>
      <c r="K145" s="22" t="n">
        <f aca="false">(J144+K144)/2</f>
        <v>2.77684275814619</v>
      </c>
      <c r="L145" s="22" t="n">
        <f aca="false">(K144+L144)/2</f>
        <v>2.81571855676024</v>
      </c>
      <c r="M145" s="22" t="n">
        <f aca="false">(L144+M144)/2</f>
        <v>2.85513861655488</v>
      </c>
    </row>
    <row r="146" customFormat="false" ht="17.15" hidden="false" customHeight="false" outlineLevel="0" collapsed="false">
      <c r="A146" s="5" t="s">
        <v>783</v>
      </c>
      <c r="B146" s="7" t="s">
        <v>54</v>
      </c>
      <c r="C146" s="24" t="n">
        <f aca="false">C139/C145</f>
        <v>23.8561591430757</v>
      </c>
      <c r="D146" s="24" t="n">
        <f aca="false">D139/D145</f>
        <v>23.4879564879565</v>
      </c>
      <c r="E146" s="24" t="n">
        <f aca="false">E143/E145</f>
        <v>20.4365264797508</v>
      </c>
      <c r="F146" s="24" t="n">
        <f aca="false">F143/F145</f>
        <v>8.40589752018733</v>
      </c>
      <c r="G146" s="24" t="n">
        <f aca="false">G143/G145</f>
        <v>28.8488160110654</v>
      </c>
      <c r="H146" s="24" t="n">
        <f aca="false">H143/H145</f>
        <v>28.5157098340352</v>
      </c>
      <c r="I146" s="24" t="n">
        <f aca="false">I143/I145</f>
        <v>25.7406348860566</v>
      </c>
      <c r="J146" s="24" t="n">
        <f aca="false">J143/J145</f>
        <v>21.4622099868857</v>
      </c>
      <c r="K146" s="24" t="n">
        <f aca="false">K143/K145</f>
        <v>16.988385032836</v>
      </c>
      <c r="L146" s="24" t="n">
        <f aca="false">L143/L145</f>
        <v>17.6988435657362</v>
      </c>
      <c r="M146" s="24" t="n">
        <f aca="false">M143/M145</f>
        <v>19.0365371521157</v>
      </c>
    </row>
    <row r="147" customFormat="false" ht="17.15" hidden="false" customHeight="false" outlineLevel="0" collapsed="false">
      <c r="A147" s="0" t="s">
        <v>784</v>
      </c>
      <c r="B147" s="0" t="s">
        <v>54</v>
      </c>
      <c r="E147" s="24" t="n">
        <f aca="false">(E143-E141)/E145</f>
        <v>22.1405280869943</v>
      </c>
      <c r="F147" s="24" t="n">
        <f aca="false">(F143-F141)/F145</f>
        <v>8.40589752018733</v>
      </c>
      <c r="G147" s="24" t="n">
        <f aca="false">(G143-G141)/G145</f>
        <v>30.5505395135432</v>
      </c>
      <c r="H147" s="24" t="n">
        <f aca="false">(H143-H141)/H145</f>
        <v>28.5157098340352</v>
      </c>
      <c r="I147" s="24" t="n">
        <f aca="false">(I143-I141)/I145</f>
        <v>25.7406348860566</v>
      </c>
      <c r="J147" s="24" t="n">
        <f aca="false">(J143-J141)/J145</f>
        <v>21.4622099868857</v>
      </c>
      <c r="K147" s="24" t="n">
        <f aca="false">(K143-K141)/K145</f>
        <v>16.988385032836</v>
      </c>
      <c r="L147" s="24" t="n">
        <f aca="false">(L143-L141)/L145</f>
        <v>17.6988435657362</v>
      </c>
      <c r="M147" s="24" t="n">
        <f aca="false">(M143-M141)/M145</f>
        <v>19.0365371521157</v>
      </c>
      <c r="N147" s="7" t="s">
        <v>785</v>
      </c>
    </row>
    <row r="148" customFormat="false" ht="17.15" hidden="false" customHeight="false" outlineLevel="0" collapsed="false">
      <c r="A148" s="0" t="s">
        <v>786</v>
      </c>
      <c r="B148" s="0" t="s">
        <v>54</v>
      </c>
      <c r="F148" s="24" t="n">
        <f aca="false">(F143-F141+(internal_ai_reading=2)*F129*(1-tax))/F145</f>
        <v>9.75756690472676</v>
      </c>
      <c r="G148" s="24" t="n">
        <f aca="false">(G143-G141+(internal_ai_reading=2)*G129*(1-tax))/G145</f>
        <v>31.9076300980161</v>
      </c>
      <c r="H148" s="24" t="n">
        <f aca="false">(H143-H141+(internal_ai_reading=2)*H129*(1-tax))/H145</f>
        <v>45.7316442189716</v>
      </c>
      <c r="I148" s="24" t="n">
        <f aca="false">(I143-I141+(internal_ai_reading=2)*I129*(1-tax))/I145</f>
        <v>55.8431816909331</v>
      </c>
      <c r="J148" s="24" t="n">
        <f aca="false">(J143-J141+(internal_ai_reading=2)*J129*(1-tax))/J145</f>
        <v>62.9419667338089</v>
      </c>
      <c r="K148" s="24" t="n">
        <f aca="false">(K143-K141+(internal_ai_reading=2)*K129*(1-tax))/K145</f>
        <v>66.6013813491598</v>
      </c>
      <c r="L148" s="24" t="n">
        <f aca="false">(L143-L141+(internal_ai_reading=2)*L129*(1-tax))/L145</f>
        <v>72.6760619091861</v>
      </c>
      <c r="M148" s="24" t="n">
        <f aca="false">(M143-M141+(internal_ai_reading=2)*M129*(1-tax))/M145</f>
        <v>76.6355156338859</v>
      </c>
    </row>
    <row r="149" customFormat="false" ht="15" hidden="false" customHeight="false" outlineLevel="0" collapsed="false">
      <c r="A149" s="4" t="s">
        <v>787</v>
      </c>
      <c r="B149" s="0" t="s">
        <v>74</v>
      </c>
      <c r="C149" s="25" t="n">
        <f aca="false">Q!J36</f>
        <v>16.69</v>
      </c>
      <c r="D149" s="25" t="n">
        <f aca="false">Q!K36</f>
        <v>20.427</v>
      </c>
      <c r="E149" s="25" t="n">
        <f aca="false">Q!L36</f>
        <v>21.053</v>
      </c>
      <c r="F149" s="25" t="n">
        <f aca="false">F110*sbc_r</f>
        <v>8.51156108610724</v>
      </c>
      <c r="G149" s="25" t="n">
        <f aca="false">E149+F149</f>
        <v>29.5645610861072</v>
      </c>
      <c r="H149" s="25" t="n">
        <f aca="false">H110*sbc_r</f>
        <v>34.4679790024441</v>
      </c>
      <c r="I149" s="25" t="n">
        <f aca="false">I110*sbc_r</f>
        <v>39.6498491739776</v>
      </c>
      <c r="J149" s="25" t="n">
        <f aca="false">J110*sbc_r</f>
        <v>43.7229525682619</v>
      </c>
      <c r="K149" s="25" t="n">
        <f aca="false">K110*sbc_r</f>
        <v>46.1351035481611</v>
      </c>
      <c r="L149" s="25" t="n">
        <f aca="false">L110*sbc_r</f>
        <v>49.9895909790575</v>
      </c>
      <c r="M149" s="25" t="n">
        <f aca="false">M110*sbc_r</f>
        <v>54.1732038614184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788</v>
      </c>
    </row>
    <row r="2" customFormat="false" ht="17.15" hidden="false" customHeight="false" outlineLevel="0" collapsed="false">
      <c r="A2" s="0" t="s">
        <v>789</v>
      </c>
    </row>
    <row r="4" customFormat="false" ht="17.15" hidden="false" customHeight="false" outlineLevel="0" collapsed="false">
      <c r="A4" s="2" t="s">
        <v>790</v>
      </c>
    </row>
    <row r="5" customFormat="false" ht="17.15" hidden="false" customHeight="false" outlineLevel="0" collapsed="false">
      <c r="A5" s="3" t="s">
        <v>43</v>
      </c>
      <c r="B5" s="3" t="s">
        <v>791</v>
      </c>
      <c r="C5" s="3" t="s">
        <v>792</v>
      </c>
      <c r="D5" s="3" t="s">
        <v>793</v>
      </c>
      <c r="E5" s="3" t="s">
        <v>50</v>
      </c>
    </row>
    <row r="6" customFormat="false" ht="17.15" hidden="false" customHeight="false" outlineLevel="0" collapsed="false">
      <c r="A6" s="4" t="s">
        <v>794</v>
      </c>
      <c r="B6" s="19" t="n">
        <f aca="false">SUM(G27:K27)</f>
        <v>-19.5622896309348</v>
      </c>
      <c r="C6" s="19" t="n">
        <f aca="false">SUM(G59:K59)</f>
        <v>14.9797695854028</v>
      </c>
      <c r="D6" s="19" t="n">
        <f aca="false">SUM(G91:K91)</f>
        <v>49.0076315159707</v>
      </c>
      <c r="E6" s="7" t="s">
        <v>795</v>
      </c>
    </row>
    <row r="7" customFormat="false" ht="15" hidden="false" customHeight="false" outlineLevel="0" collapsed="false">
      <c r="A7" s="4" t="s">
        <v>796</v>
      </c>
      <c r="B7" s="19" t="n">
        <f aca="false">SUM(G35:K35)</f>
        <v>56.4019103610317</v>
      </c>
      <c r="C7" s="19" t="n">
        <f aca="false">SUM(G67:K67)</f>
        <v>11.644114186848</v>
      </c>
      <c r="D7" s="19" t="n">
        <f aca="false">SUM(G99:K99)</f>
        <v>0</v>
      </c>
    </row>
    <row r="8" customFormat="false" ht="15" hidden="false" customHeight="false" outlineLevel="0" collapsed="false">
      <c r="A8" s="4" t="s">
        <v>797</v>
      </c>
      <c r="B8" s="19" t="n">
        <f aca="false">SUM(G34:K34)</f>
        <v>0</v>
      </c>
      <c r="C8" s="19" t="n">
        <f aca="false">SUM(G66:K66)</f>
        <v>0</v>
      </c>
      <c r="D8" s="19" t="n">
        <f aca="false">SUM(G98:K98)</f>
        <v>0</v>
      </c>
    </row>
    <row r="9" customFormat="false" ht="17.15" hidden="false" customHeight="false" outlineLevel="0" collapsed="false">
      <c r="A9" s="4" t="s">
        <v>798</v>
      </c>
      <c r="B9" s="0" t="str">
        <f aca="false">IF(B7&gt;0.001,"需要舉債"&amp;IF(B8&lt;4*bb_t-0.001,"且減少回購",""),IF(B8&lt;4*bb_t-0.001,"不需舉債，但須減少回購","不需舉債，回購照目標"))</f>
        <v>需要舉債</v>
      </c>
      <c r="C9" s="0" t="str">
        <f aca="false">IF(C7&gt;0.001,"需要舉債"&amp;IF(C8&lt;4*bb_t-0.001,"且減少回購",""),IF(C8&lt;4*bb_t-0.001,"不需舉債，但須減少回購","不需舉債，回購照目標"))</f>
        <v>需要舉債</v>
      </c>
      <c r="D9" s="0" t="str">
        <f aca="false">IF(D7&gt;0.001,"需要舉債"&amp;IF(D8&lt;4*bb_t-0.001,"且減少回購",""),IF(D8&lt;4*bb_t-0.001,"不需舉債，但須減少回購","不需舉債，回購照目標"))</f>
        <v>不需舉債，回購照目標</v>
      </c>
      <c r="E9" s="4" t="s">
        <v>799</v>
      </c>
    </row>
    <row r="10" customFormat="false" ht="17.15" hidden="false" customHeight="false" outlineLevel="0" collapsed="false">
      <c r="A10" s="4" t="s">
        <v>800</v>
      </c>
      <c r="B10" s="22" t="n">
        <f aca="false">B6-(G27+H27+I27+J27+K27)</f>
        <v>0</v>
      </c>
      <c r="C10" s="22" t="n">
        <f aca="false">C6-(G59+H59+I59+J59+K59)</f>
        <v>0</v>
      </c>
      <c r="D10" s="22" t="n">
        <f aca="false">D6-(G91+H91+I91+J91+K91)</f>
        <v>0</v>
      </c>
    </row>
    <row r="11" customFormat="false" ht="17.15" hidden="false" customHeight="false" outlineLevel="0" collapsed="false">
      <c r="A11" s="26" t="s">
        <v>659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1" t="s">
        <v>660</v>
      </c>
      <c r="D12" s="21" t="s">
        <v>661</v>
      </c>
      <c r="E12" s="21" t="s">
        <v>662</v>
      </c>
      <c r="F12" s="21" t="s">
        <v>663</v>
      </c>
      <c r="G12" s="21" t="s">
        <v>664</v>
      </c>
      <c r="H12" s="21" t="s">
        <v>665</v>
      </c>
      <c r="I12" s="21" t="s">
        <v>666</v>
      </c>
      <c r="J12" s="21" t="s">
        <v>667</v>
      </c>
      <c r="K12" s="21" t="s">
        <v>668</v>
      </c>
      <c r="L12" s="21" t="s">
        <v>669</v>
      </c>
      <c r="M12" s="21" t="s">
        <v>670</v>
      </c>
      <c r="N12" s="3" t="s">
        <v>50</v>
      </c>
    </row>
    <row r="13" customFormat="false" ht="15" hidden="false" customHeight="false" outlineLevel="0" collapsed="false">
      <c r="A13" s="4" t="s">
        <v>584</v>
      </c>
      <c r="B13" s="0" t="s">
        <v>74</v>
      </c>
      <c r="C13" s="25" t="n">
        <f aca="false">PL!C45</f>
        <v>62.36</v>
      </c>
      <c r="D13" s="25" t="n">
        <f aca="false">PL!D45</f>
        <v>60.458</v>
      </c>
      <c r="E13" s="25" t="n">
        <f aca="false">PL!E45</f>
        <v>52.481</v>
      </c>
      <c r="F13" s="25" t="n">
        <f aca="false">PL!F45</f>
        <v>21.7019357723541</v>
      </c>
      <c r="G13" s="25" t="n">
        <f aca="false">PL!G45</f>
        <v>74.1829357723541</v>
      </c>
      <c r="H13" s="25" t="n">
        <f aca="false">PL!H45</f>
        <v>83.7052534754775</v>
      </c>
      <c r="I13" s="25" t="n">
        <f aca="false">PL!I45</f>
        <v>81.3705600293318</v>
      </c>
      <c r="J13" s="25" t="n">
        <f aca="false">PL!J45</f>
        <v>77.5693874132493</v>
      </c>
      <c r="K13" s="25" t="n">
        <f aca="false">PL!K45</f>
        <v>77.5063699601241</v>
      </c>
      <c r="L13" s="25" t="n">
        <f aca="false">PL!L45</f>
        <v>81.2089780090778</v>
      </c>
      <c r="M13" s="25" t="n">
        <f aca="false">PL!M45</f>
        <v>90.0121872950662</v>
      </c>
    </row>
    <row r="14" customFormat="false" ht="15" hidden="false" customHeight="false" outlineLevel="0" collapsed="false">
      <c r="A14" s="4" t="s">
        <v>589</v>
      </c>
      <c r="B14" s="0" t="s">
        <v>74</v>
      </c>
      <c r="C14" s="25" t="n">
        <f aca="false">PL!C29</f>
        <v>15.498</v>
      </c>
      <c r="D14" s="25" t="n">
        <f aca="false">PL!D29</f>
        <v>18.616</v>
      </c>
      <c r="E14" s="25" t="n">
        <f aca="false">PL!E29</f>
        <v>19.509</v>
      </c>
      <c r="F14" s="25" t="n">
        <f aca="false">PL!F29</f>
        <v>9.41301293804891</v>
      </c>
      <c r="G14" s="25" t="n">
        <f aca="false">PL!G29</f>
        <v>28.9220129380489</v>
      </c>
      <c r="H14" s="25" t="n">
        <f aca="false">PL!H29</f>
        <v>54.7911189169556</v>
      </c>
      <c r="I14" s="25" t="n">
        <f aca="false">PL!I29</f>
        <v>87.8159161821618</v>
      </c>
      <c r="J14" s="25" t="n">
        <f aca="false">PL!J29</f>
        <v>120.575627343443</v>
      </c>
      <c r="K14" s="25" t="n">
        <f aca="false">PL!K29</f>
        <v>147.290029412339</v>
      </c>
      <c r="L14" s="25" t="n">
        <f aca="false">PL!L29</f>
        <v>167.444184413622</v>
      </c>
      <c r="M14" s="25" t="n">
        <f aca="false">PL!M29</f>
        <v>187.285157318807</v>
      </c>
    </row>
    <row r="15" customFormat="false" ht="15" hidden="false" customHeight="false" outlineLevel="0" collapsed="false">
      <c r="A15" s="4" t="s">
        <v>801</v>
      </c>
      <c r="B15" s="0" t="s">
        <v>74</v>
      </c>
      <c r="C15" s="25" t="n">
        <f aca="false">PL!C55</f>
        <v>16.69</v>
      </c>
      <c r="D15" s="25" t="n">
        <f aca="false">PL!D55</f>
        <v>20.427</v>
      </c>
      <c r="E15" s="25" t="n">
        <f aca="false">PL!E55</f>
        <v>21.053</v>
      </c>
      <c r="F15" s="25" t="n">
        <f aca="false">PL!F55</f>
        <v>8.51156108610724</v>
      </c>
      <c r="G15" s="25" t="n">
        <f aca="false">PL!G55</f>
        <v>29.5645610861072</v>
      </c>
      <c r="H15" s="25" t="n">
        <f aca="false">PL!H55</f>
        <v>36.1858192082385</v>
      </c>
      <c r="I15" s="25" t="n">
        <f aca="false">PL!I55</f>
        <v>43.6906857193018</v>
      </c>
      <c r="J15" s="25" t="n">
        <f aca="false">PL!J55</f>
        <v>50.5620628305735</v>
      </c>
      <c r="K15" s="25" t="n">
        <f aca="false">PL!K55</f>
        <v>55.9971005464145</v>
      </c>
      <c r="L15" s="25" t="n">
        <f aca="false">PL!L55</f>
        <v>60.6553407326685</v>
      </c>
      <c r="M15" s="25" t="n">
        <f aca="false">PL!M55</f>
        <v>65.7082122199487</v>
      </c>
    </row>
    <row r="16" customFormat="false" ht="15" hidden="false" customHeight="false" outlineLevel="0" collapsed="false">
      <c r="A16" s="4" t="s">
        <v>802</v>
      </c>
      <c r="B16" s="0" t="s">
        <v>74</v>
      </c>
      <c r="F16" s="28" t="n">
        <v>0</v>
      </c>
      <c r="G16" s="25" t="n">
        <f aca="false">F16</f>
        <v>0</v>
      </c>
      <c r="H16" s="25" t="n">
        <f aca="false">wc_k*(PL!H16-PL!G16)</f>
        <v>0</v>
      </c>
      <c r="I16" s="25" t="n">
        <f aca="false">wc_k*(PL!I16-PL!H16)</f>
        <v>0</v>
      </c>
      <c r="J16" s="25" t="n">
        <f aca="false">wc_k*(PL!J16-PL!I16)</f>
        <v>0</v>
      </c>
      <c r="K16" s="25" t="n">
        <f aca="false">wc_k*(PL!K16-PL!J16)</f>
        <v>0</v>
      </c>
      <c r="L16" s="25" t="n">
        <f aca="false">wc_k*(PL!L16-PL!K16)</f>
        <v>0</v>
      </c>
      <c r="M16" s="25" t="n">
        <f aca="false">wc_k*(PL!M16-PL!L16)</f>
        <v>0</v>
      </c>
    </row>
    <row r="17" customFormat="false" ht="17.15" hidden="false" customHeight="false" outlineLevel="0" collapsed="false">
      <c r="A17" s="4" t="s">
        <v>803</v>
      </c>
      <c r="B17" s="0" t="s">
        <v>74</v>
      </c>
      <c r="F17" s="28" t="n">
        <v>0</v>
      </c>
      <c r="G17" s="25" t="n">
        <f aca="false">F17</f>
        <v>0</v>
      </c>
      <c r="H17" s="25" t="n">
        <f aca="false">-ag_y1</f>
        <v>-1.27</v>
      </c>
      <c r="I17" s="25" t="n">
        <f aca="false">-ag_rest</f>
        <v>-1.27</v>
      </c>
      <c r="J17" s="25" t="n">
        <f aca="false">-ag_rest</f>
        <v>-1.27</v>
      </c>
      <c r="K17" s="25" t="n">
        <f aca="false">-ag_rest</f>
        <v>-1.27</v>
      </c>
      <c r="L17" s="25" t="n">
        <f aca="false">-ag_rest</f>
        <v>-1.27</v>
      </c>
      <c r="M17" s="25" t="n">
        <f aca="false">-ag_rest</f>
        <v>-1.27</v>
      </c>
      <c r="N17" s="7" t="s">
        <v>804</v>
      </c>
    </row>
    <row r="18" customFormat="false" ht="15" hidden="false" customHeight="false" outlineLevel="0" collapsed="false">
      <c r="A18" s="4" t="s">
        <v>805</v>
      </c>
      <c r="B18" s="0" t="s">
        <v>74</v>
      </c>
      <c r="C18" s="25" t="n">
        <f aca="false">Q!J37-C13-C14-C15</f>
        <v>-3.22</v>
      </c>
      <c r="D18" s="25" t="n">
        <f aca="false">Q!K37-D13-D14-D15</f>
        <v>16.299</v>
      </c>
      <c r="E18" s="25" t="n">
        <f aca="false">Q!L37-E13-E14-E15</f>
        <v>3.83099999999999</v>
      </c>
      <c r="F18" s="28" t="n">
        <v>0</v>
      </c>
      <c r="G18" s="25" t="n">
        <f aca="false">E18+F18</f>
        <v>3.83099999999999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</row>
    <row r="19" customFormat="false" ht="15" hidden="false" customHeight="false" outlineLevel="0" collapsed="false">
      <c r="A19" s="2" t="s">
        <v>591</v>
      </c>
      <c r="B19" s="7" t="s">
        <v>74</v>
      </c>
      <c r="C19" s="25" t="n">
        <f aca="false">N(C13)+N(C14)+N(C15)+N(C16)+N(C17)+N(C18)</f>
        <v>91.328</v>
      </c>
      <c r="D19" s="25" t="n">
        <f aca="false">N(D13)+N(D14)+N(D15)+N(D16)+N(D17)+N(D18)</f>
        <v>115.8</v>
      </c>
      <c r="E19" s="25" t="n">
        <f aca="false">N(E13)+N(E14)+N(E15)+N(E16)+N(E17)+N(E18)</f>
        <v>96.874</v>
      </c>
      <c r="F19" s="25" t="n">
        <f aca="false">N(F13)+N(F14)+N(F15)+N(F16)+N(F17)+N(F18)</f>
        <v>39.6265097965102</v>
      </c>
      <c r="G19" s="25" t="n">
        <f aca="false">N(G13)+N(G14)+N(G15)+N(G16)+N(G17)+N(G18)</f>
        <v>136.50050979651</v>
      </c>
      <c r="H19" s="25" t="n">
        <f aca="false">N(H13)+N(H14)+N(H15)+N(H16)+N(H17)+N(H18)</f>
        <v>173.412191600672</v>
      </c>
      <c r="I19" s="25" t="n">
        <f aca="false">N(I13)+N(I14)+N(I15)+N(I16)+N(I17)+N(I18)</f>
        <v>211.607161930795</v>
      </c>
      <c r="J19" s="25" t="n">
        <f aca="false">N(J13)+N(J14)+N(J15)+N(J16)+N(J17)+N(J18)</f>
        <v>247.437077587266</v>
      </c>
      <c r="K19" s="25" t="n">
        <f aca="false">N(K13)+N(K14)+N(K15)+N(K16)+N(K17)+N(K18)</f>
        <v>279.523499918878</v>
      </c>
      <c r="L19" s="25" t="n">
        <f aca="false">N(L13)+N(L14)+N(L15)+N(L16)+N(L17)+N(L18)</f>
        <v>308.038503155368</v>
      </c>
      <c r="M19" s="25" t="n">
        <f aca="false">N(M13)+N(M14)+N(M15)+N(M16)+N(M17)+N(M18)</f>
        <v>341.735556833822</v>
      </c>
    </row>
    <row r="20" customFormat="false" ht="17.15" hidden="false" customHeight="false" outlineLevel="0" collapsed="false">
      <c r="A20" s="4" t="s">
        <v>806</v>
      </c>
      <c r="B20" s="0" t="s">
        <v>74</v>
      </c>
      <c r="F20" s="25" t="n">
        <f aca="false">Thesis!F50</f>
        <v>51.1225251709032</v>
      </c>
      <c r="G20" s="25" t="n">
        <f aca="false">F20</f>
        <v>51.1225251709032</v>
      </c>
      <c r="H20" s="25" t="n">
        <f aca="false">Thesis!H50</f>
        <v>223.58030021651</v>
      </c>
      <c r="I20" s="25" t="n">
        <f aca="false">Thesis!I50</f>
        <v>236.670557699361</v>
      </c>
      <c r="J20" s="25" t="n">
        <f aca="false">Thesis!J50</f>
        <v>202.624998430159</v>
      </c>
      <c r="K20" s="25" t="n">
        <f aca="false">Thesis!K50</f>
        <v>164.75533591885</v>
      </c>
      <c r="L20" s="25" t="n">
        <f aca="false">Thesis!L50</f>
        <v>153.048368022607</v>
      </c>
      <c r="M20" s="25" t="n">
        <f aca="false">Thesis!M50</f>
        <v>148.558912874649</v>
      </c>
    </row>
    <row r="21" customFormat="false" ht="17.15" hidden="false" customHeight="false" outlineLevel="0" collapsed="false">
      <c r="A21" s="4" t="s">
        <v>807</v>
      </c>
      <c r="B21" s="0" t="s">
        <v>74</v>
      </c>
      <c r="F21" s="25" t="n">
        <f aca="false">Seg!F22</f>
        <v>3.05347482909677</v>
      </c>
      <c r="G21" s="25" t="n">
        <f aca="false">F21</f>
        <v>3.05347482909677</v>
      </c>
      <c r="H21" s="25" t="n">
        <f aca="false">Seg!H22</f>
        <v>12.9814598056461</v>
      </c>
      <c r="I21" s="25" t="n">
        <f aca="false">Seg!I22</f>
        <v>15.6737885988527</v>
      </c>
      <c r="J21" s="25" t="n">
        <f aca="false">Seg!J22</f>
        <v>18.1388566208335</v>
      </c>
      <c r="K21" s="25" t="n">
        <f aca="false">Seg!K22</f>
        <v>20.0886459359335</v>
      </c>
      <c r="L21" s="25" t="n">
        <f aca="false">Seg!L22</f>
        <v>21.7597634915403</v>
      </c>
      <c r="M21" s="25" t="n">
        <f aca="false">Seg!M22</f>
        <v>23.5724528143314</v>
      </c>
    </row>
    <row r="22" customFormat="false" ht="15" hidden="false" customHeight="false" outlineLevel="0" collapsed="false">
      <c r="A22" s="2" t="s">
        <v>808</v>
      </c>
      <c r="B22" s="7" t="s">
        <v>74</v>
      </c>
      <c r="C22" s="25" t="n">
        <f aca="false">Q!J40</f>
        <v>39.225</v>
      </c>
      <c r="D22" s="25" t="n">
        <f aca="false">Q!K40</f>
        <v>72.215</v>
      </c>
      <c r="E22" s="25" t="n">
        <f aca="false">Q!L40</f>
        <v>85.824</v>
      </c>
      <c r="F22" s="25" t="n">
        <f aca="false">F20+F21</f>
        <v>54.176</v>
      </c>
      <c r="G22" s="25" t="n">
        <f aca="false">E22+F22</f>
        <v>140</v>
      </c>
      <c r="H22" s="25" t="n">
        <f aca="false">H20+H21</f>
        <v>236.561760022156</v>
      </c>
      <c r="I22" s="25" t="n">
        <f aca="false">I20+I21</f>
        <v>252.344346298214</v>
      </c>
      <c r="J22" s="25" t="n">
        <f aca="false">J20+J21</f>
        <v>220.763855050992</v>
      </c>
      <c r="K22" s="25" t="n">
        <f aca="false">K20+K21</f>
        <v>184.843981854783</v>
      </c>
      <c r="L22" s="25" t="n">
        <f aca="false">L20+L21</f>
        <v>174.808131514147</v>
      </c>
      <c r="M22" s="25" t="n">
        <f aca="false">M20+M21</f>
        <v>172.13136568898</v>
      </c>
    </row>
    <row r="23" customFormat="false" ht="15" hidden="false" customHeight="false" outlineLevel="0" collapsed="false">
      <c r="A23" s="26" t="s">
        <v>809</v>
      </c>
      <c r="B23" s="30" t="s">
        <v>74</v>
      </c>
      <c r="C23" s="31" t="n">
        <f aca="false">C19-C22</f>
        <v>52.103</v>
      </c>
      <c r="D23" s="31" t="n">
        <f aca="false">D19-D22</f>
        <v>43.585</v>
      </c>
      <c r="E23" s="31" t="n">
        <f aca="false">E19-E22</f>
        <v>11.05</v>
      </c>
      <c r="F23" s="31" t="n">
        <f aca="false">F19-F22</f>
        <v>-14.5494902034898</v>
      </c>
      <c r="G23" s="31" t="n">
        <f aca="false">G19-G22</f>
        <v>-3.49949020348981</v>
      </c>
      <c r="H23" s="31" t="n">
        <f aca="false">H19-H22</f>
        <v>-63.1495684214844</v>
      </c>
      <c r="I23" s="31" t="n">
        <f aca="false">I19-I22</f>
        <v>-40.7371843674181</v>
      </c>
      <c r="J23" s="31" t="n">
        <f aca="false">J19-J22</f>
        <v>26.6732225362735</v>
      </c>
      <c r="K23" s="31" t="n">
        <f aca="false">K19-K22</f>
        <v>94.6795180640942</v>
      </c>
      <c r="L23" s="31" t="n">
        <f aca="false">L19-L22</f>
        <v>133.230371641221</v>
      </c>
      <c r="M23" s="31" t="n">
        <f aca="false">M19-M22</f>
        <v>169.604191144842</v>
      </c>
      <c r="N23" s="30"/>
    </row>
    <row r="24" customFormat="false" ht="17.15" hidden="false" customHeight="false" outlineLevel="0" collapsed="false">
      <c r="A24" s="4" t="s">
        <v>810</v>
      </c>
      <c r="B24" s="0" t="s">
        <v>74</v>
      </c>
      <c r="C24" s="22" t="n">
        <f aca="false">C23-Q!J41</f>
        <v>0</v>
      </c>
      <c r="D24" s="22" t="n">
        <f aca="false">D23-Q!K41</f>
        <v>0</v>
      </c>
      <c r="E24" s="22" t="n">
        <f aca="false">E23-Q!L41</f>
        <v>0</v>
      </c>
    </row>
    <row r="25" customFormat="false" ht="17.15" hidden="false" customHeight="false" outlineLevel="0" collapsed="false">
      <c r="A25" s="4" t="s">
        <v>811</v>
      </c>
      <c r="B25" s="0" t="s">
        <v>74</v>
      </c>
      <c r="C25" s="25" t="n">
        <f aca="false">Q!J44</f>
        <v>5.072</v>
      </c>
      <c r="D25" s="25" t="n">
        <f aca="false">Q!K44</f>
        <v>5.324</v>
      </c>
      <c r="E25" s="25" t="n">
        <f aca="false">Q!L44</f>
        <v>4.06</v>
      </c>
      <c r="F25" s="25" t="n">
        <f aca="false">dps/4*sh_out</f>
        <v>1.3632433253</v>
      </c>
      <c r="G25" s="25" t="n">
        <f aca="false">E25+F25</f>
        <v>5.4232433253</v>
      </c>
      <c r="H25" s="25" t="n">
        <f aca="false">dps*(1+dps_g)^(2027-2026)*PL!F50</f>
        <v>5.79286333285191</v>
      </c>
      <c r="I25" s="25" t="n">
        <f aca="false">dps*(1+dps_g)^(2028-2026)*PL!H50</f>
        <v>6.26173571048743</v>
      </c>
      <c r="J25" s="25" t="n">
        <f aca="false">dps*(1+dps_g)^(2029-2026)*PL!I50</f>
        <v>6.66687001095597</v>
      </c>
      <c r="K25" s="25" t="n">
        <f aca="false">dps*(1+dps_g)^(2030-2026)*PL!J50</f>
        <v>7.15007485931482</v>
      </c>
      <c r="L25" s="25" t="n">
        <f aca="false">dps*(1+dps_g)^(2031-2026)*PL!K50</f>
        <v>7.61268470271249</v>
      </c>
      <c r="M25" s="25" t="n">
        <f aca="false">dps*(1+dps_g)^(2032-2026)*PL!L50</f>
        <v>8.10522540297798</v>
      </c>
      <c r="N25" s="7" t="s">
        <v>812</v>
      </c>
    </row>
    <row r="26" customFormat="false" ht="15" hidden="false" customHeight="false" outlineLevel="0" collapsed="false">
      <c r="A26" s="4" t="s">
        <v>778</v>
      </c>
      <c r="B26" s="0" t="s">
        <v>74</v>
      </c>
      <c r="E26" s="25" t="n">
        <f aca="false">PL!E48</f>
        <v>0</v>
      </c>
      <c r="F26" s="25" t="n">
        <f aca="false">PL!F48</f>
        <v>0</v>
      </c>
      <c r="G26" s="25" t="n">
        <f aca="false">PL!G48</f>
        <v>0</v>
      </c>
      <c r="H26" s="25" t="n">
        <f aca="false">PL!H48</f>
        <v>0.8125</v>
      </c>
      <c r="I26" s="25" t="n">
        <f aca="false">PL!I48</f>
        <v>0.8125</v>
      </c>
      <c r="J26" s="25" t="n">
        <f aca="false">PL!J48</f>
        <v>0.609</v>
      </c>
      <c r="K26" s="25" t="n">
        <f aca="false">PL!K48</f>
        <v>0</v>
      </c>
      <c r="L26" s="25" t="n">
        <f aca="false">PL!L48</f>
        <v>0</v>
      </c>
      <c r="M26" s="25" t="n">
        <f aca="false">PL!M48</f>
        <v>0</v>
      </c>
    </row>
    <row r="27" customFormat="false" ht="15" hidden="false" customHeight="false" outlineLevel="0" collapsed="false">
      <c r="A27" s="2" t="s">
        <v>813</v>
      </c>
      <c r="B27" s="7" t="s">
        <v>74</v>
      </c>
      <c r="C27" s="25" t="n">
        <f aca="false">C23-C25-N(C26)</f>
        <v>47.031</v>
      </c>
      <c r="D27" s="25" t="n">
        <f aca="false">D23-D25-N(D26)</f>
        <v>38.261</v>
      </c>
      <c r="E27" s="25" t="n">
        <f aca="false">E23-E25-N(E26)</f>
        <v>6.99</v>
      </c>
      <c r="F27" s="25" t="n">
        <f aca="false">F23-F25-N(F26)</f>
        <v>-15.9127335287898</v>
      </c>
      <c r="G27" s="25" t="n">
        <f aca="false">G23-G25-N(G26)</f>
        <v>-8.92273352878981</v>
      </c>
      <c r="H27" s="25" t="n">
        <f aca="false">H23-H25-N(H26)</f>
        <v>-69.7549317543364</v>
      </c>
      <c r="I27" s="25" t="n">
        <f aca="false">I23-I25-N(I26)</f>
        <v>-47.8114200779056</v>
      </c>
      <c r="J27" s="25" t="n">
        <f aca="false">J23-J25-N(J26)</f>
        <v>19.3973525253175</v>
      </c>
      <c r="K27" s="25" t="n">
        <f aca="false">K23-K25-N(K26)</f>
        <v>87.5294432047794</v>
      </c>
      <c r="L27" s="25" t="n">
        <f aca="false">L23-L25-N(L26)</f>
        <v>125.617686938508</v>
      </c>
      <c r="M27" s="25" t="n">
        <f aca="false">M23-M25-N(M26)</f>
        <v>161.498965741864</v>
      </c>
    </row>
    <row r="28" customFormat="false" ht="17.15" hidden="false" customHeight="false" outlineLevel="0" collapsed="false">
      <c r="A28" s="4" t="s">
        <v>814</v>
      </c>
      <c r="B28" s="0" t="s">
        <v>74</v>
      </c>
      <c r="E28" s="28" t="n">
        <v>0</v>
      </c>
      <c r="F28" s="28" t="n">
        <v>0</v>
      </c>
      <c r="G28" s="25" t="n">
        <f aca="false">E28+F28</f>
        <v>0</v>
      </c>
      <c r="H28" s="25" t="n">
        <f aca="false">mat_27</f>
        <v>2.747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7" t="s">
        <v>815</v>
      </c>
    </row>
    <row r="29" customFormat="false" ht="17.15" hidden="false" customHeight="false" outlineLevel="0" collapsed="false">
      <c r="A29" s="4" t="s">
        <v>816</v>
      </c>
      <c r="B29" s="0" t="s">
        <v>74</v>
      </c>
      <c r="E29" s="28" t="n">
        <v>24.91</v>
      </c>
      <c r="F29" s="28" t="n">
        <v>0</v>
      </c>
      <c r="G29" s="25" t="n">
        <f aca="false">E29+F29</f>
        <v>24.91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  <c r="N29" s="7" t="s">
        <v>817</v>
      </c>
    </row>
    <row r="30" customFormat="false" ht="17.15" hidden="false" customHeight="false" outlineLevel="0" collapsed="false">
      <c r="A30" s="4" t="s">
        <v>818</v>
      </c>
      <c r="B30" s="0" t="s">
        <v>74</v>
      </c>
      <c r="E30" s="28" t="n">
        <v>0</v>
      </c>
      <c r="F30" s="25" t="n">
        <f aca="false">mcps</f>
        <v>12.458375</v>
      </c>
      <c r="G30" s="25" t="n">
        <f aca="false">E30+F30</f>
        <v>12.458375</v>
      </c>
      <c r="H30" s="25" t="n">
        <f aca="false">fwd_cash*fwd_on</f>
        <v>24.9168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</row>
    <row r="31" customFormat="false" ht="15" hidden="false" customHeight="false" outlineLevel="0" collapsed="false">
      <c r="A31" s="4" t="s">
        <v>819</v>
      </c>
      <c r="B31" s="0" t="s">
        <v>74</v>
      </c>
      <c r="E31" s="25" t="n">
        <f aca="false">cash_ye25</f>
        <v>81.592</v>
      </c>
      <c r="F31" s="25" t="n">
        <f aca="false">E36</f>
        <v>82.449</v>
      </c>
      <c r="H31" s="25" t="n">
        <f aca="false">F36</f>
        <v>78.9946414712102</v>
      </c>
      <c r="I31" s="25" t="n">
        <f aca="false">H36</f>
        <v>40</v>
      </c>
      <c r="J31" s="25" t="n">
        <f aca="false">I36</f>
        <v>40</v>
      </c>
      <c r="K31" s="25" t="n">
        <f aca="false">J36</f>
        <v>59.3973525253175</v>
      </c>
      <c r="L31" s="25" t="n">
        <f aca="false">K36</f>
        <v>146.926795730097</v>
      </c>
      <c r="M31" s="25" t="n">
        <f aca="false">L36</f>
        <v>272.544482668605</v>
      </c>
    </row>
    <row r="32" customFormat="false" ht="17.15" hidden="false" customHeight="false" outlineLevel="0" collapsed="false">
      <c r="A32" s="4" t="s">
        <v>820</v>
      </c>
      <c r="B32" s="0" t="s">
        <v>74</v>
      </c>
      <c r="E32" s="25" t="n">
        <f aca="false">cash_0-(E31+E23-E25-E26-E28+E29+E30)</f>
        <v>-31.043</v>
      </c>
      <c r="F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</row>
    <row r="33" customFormat="false" ht="15" hidden="false" customHeight="false" outlineLevel="0" collapsed="false">
      <c r="A33" s="4" t="s">
        <v>821</v>
      </c>
      <c r="B33" s="0" t="s">
        <v>74</v>
      </c>
      <c r="E33" s="25" t="n">
        <f aca="false">E31+E23-E25-E26-E28+E29+E30+E32</f>
        <v>82.449</v>
      </c>
      <c r="F33" s="25" t="n">
        <f aca="false">F31+F23-F25-F26-F28+F29+F30+F32</f>
        <v>78.9946414712102</v>
      </c>
      <c r="H33" s="25" t="n">
        <f aca="false">H31+H23-H25-H26-H28+H29+H30+H32</f>
        <v>31.4095097168738</v>
      </c>
      <c r="I33" s="25" t="n">
        <f aca="false">I31+I23-I25-I26-I28+I29+I30+I32</f>
        <v>-7.81142007790557</v>
      </c>
      <c r="J33" s="25" t="n">
        <f aca="false">J31+J23-J25-J26-J28+J29+J30+J32</f>
        <v>59.3973525253175</v>
      </c>
      <c r="K33" s="25" t="n">
        <f aca="false">K31+K23-K25-K26-K28+K29+K30+K32</f>
        <v>146.926795730097</v>
      </c>
      <c r="L33" s="25" t="n">
        <f aca="false">L31+L23-L25-L26-L28+L29+L30+L32</f>
        <v>272.544482668605</v>
      </c>
      <c r="M33" s="25" t="n">
        <f aca="false">M31+M23-M25-M26-M28+M29+M30+M32</f>
        <v>434.043448410469</v>
      </c>
    </row>
    <row r="34" customFormat="false" ht="17.15" hidden="false" customHeight="false" outlineLevel="0" collapsed="false">
      <c r="A34" s="4" t="s">
        <v>822</v>
      </c>
      <c r="B34" s="0" t="s">
        <v>74</v>
      </c>
      <c r="E34" s="25" t="n">
        <f aca="false">Q!L43</f>
        <v>0</v>
      </c>
      <c r="F34" s="28" t="n">
        <v>0</v>
      </c>
      <c r="G34" s="25" t="n">
        <f aca="false">E34+F34</f>
        <v>0</v>
      </c>
      <c r="H34" s="25" t="n">
        <f aca="false">MAX(0,MIN(bb_t,H33-min_cash))</f>
        <v>0</v>
      </c>
      <c r="I34" s="25" t="n">
        <f aca="false">MAX(0,MIN(bb_t,I33-min_cash))</f>
        <v>0</v>
      </c>
      <c r="J34" s="25" t="n">
        <f aca="false">MAX(0,MIN(bb_t,J33-min_cash))</f>
        <v>0</v>
      </c>
      <c r="K34" s="25" t="n">
        <f aca="false">MAX(0,MIN(bb_t,K33-min_cash))</f>
        <v>0</v>
      </c>
      <c r="L34" s="25" t="n">
        <f aca="false">MAX(0,MIN(bb_t,L33-min_cash))</f>
        <v>0</v>
      </c>
      <c r="M34" s="25" t="n">
        <f aca="false">MAX(0,MIN(bb_t,M33-min_cash))</f>
        <v>0</v>
      </c>
      <c r="N34" s="7" t="s">
        <v>823</v>
      </c>
    </row>
    <row r="35" customFormat="false" ht="15" hidden="false" customHeight="false" outlineLevel="0" collapsed="false">
      <c r="A35" s="4" t="s">
        <v>824</v>
      </c>
      <c r="B35" s="0" t="s">
        <v>74</v>
      </c>
      <c r="E35" s="28" t="n">
        <v>0</v>
      </c>
      <c r="F35" s="25" t="n">
        <f aca="false">MAX(0,min_cash-(F33-F34))</f>
        <v>0</v>
      </c>
      <c r="G35" s="25" t="n">
        <f aca="false">E35+F35</f>
        <v>0</v>
      </c>
      <c r="H35" s="25" t="n">
        <f aca="false">MAX(0,min_cash-(H33-H34))</f>
        <v>8.59049028312617</v>
      </c>
      <c r="I35" s="25" t="n">
        <f aca="false">MAX(0,min_cash-(I33-I34))</f>
        <v>47.8114200779056</v>
      </c>
      <c r="J35" s="25" t="n">
        <f aca="false">MAX(0,min_cash-(J33-J34))</f>
        <v>0</v>
      </c>
      <c r="K35" s="25" t="n">
        <f aca="false">MAX(0,min_cash-(K33-K34))</f>
        <v>0</v>
      </c>
      <c r="L35" s="25" t="n">
        <f aca="false">MAX(0,min_cash-(L33-L34))</f>
        <v>0</v>
      </c>
      <c r="M35" s="25" t="n">
        <f aca="false">MAX(0,min_cash-(M33-M34))</f>
        <v>0</v>
      </c>
    </row>
    <row r="36" customFormat="false" ht="15" hidden="false" customHeight="false" outlineLevel="0" collapsed="false">
      <c r="A36" s="4" t="s">
        <v>825</v>
      </c>
      <c r="B36" s="0" t="s">
        <v>74</v>
      </c>
      <c r="E36" s="25" t="n">
        <f aca="false">E33-E34+E35</f>
        <v>82.449</v>
      </c>
      <c r="F36" s="25" t="n">
        <f aca="false">F33-F34+F35</f>
        <v>78.9946414712102</v>
      </c>
      <c r="H36" s="25" t="n">
        <f aca="false">H33-H34+H35</f>
        <v>40</v>
      </c>
      <c r="I36" s="25" t="n">
        <f aca="false">I33-I34+I35</f>
        <v>40</v>
      </c>
      <c r="J36" s="25" t="n">
        <f aca="false">J33-J34+J35</f>
        <v>59.3973525253175</v>
      </c>
      <c r="K36" s="25" t="n">
        <f aca="false">K33-K34+K35</f>
        <v>146.926795730097</v>
      </c>
      <c r="L36" s="25" t="n">
        <f aca="false">L33-L34+L35</f>
        <v>272.544482668605</v>
      </c>
      <c r="M36" s="25" t="n">
        <f aca="false">M33-M34+M35</f>
        <v>434.043448410469</v>
      </c>
    </row>
    <row r="37" customFormat="false" ht="17.15" hidden="false" customHeight="false" outlineLevel="0" collapsed="false">
      <c r="A37" s="4" t="s">
        <v>826</v>
      </c>
      <c r="B37" s="0" t="s">
        <v>74</v>
      </c>
      <c r="E37" s="22" t="n">
        <f aca="false">E36-cash_0</f>
        <v>0</v>
      </c>
    </row>
    <row r="38" customFormat="false" ht="15" hidden="false" customHeight="false" outlineLevel="0" collapsed="false">
      <c r="A38" s="4" t="s">
        <v>827</v>
      </c>
      <c r="B38" s="0" t="s">
        <v>74</v>
      </c>
      <c r="E38" s="25" t="n">
        <f aca="false">debt_ye25</f>
        <v>58.744</v>
      </c>
      <c r="F38" s="25" t="n">
        <f aca="false">E39</f>
        <v>84</v>
      </c>
      <c r="H38" s="25" t="n">
        <f aca="false">F39</f>
        <v>84</v>
      </c>
      <c r="I38" s="25" t="n">
        <f aca="false">H39</f>
        <v>89.8434902831262</v>
      </c>
      <c r="J38" s="25" t="n">
        <f aca="false">I39</f>
        <v>137.654910361032</v>
      </c>
      <c r="K38" s="25" t="n">
        <f aca="false">J39</f>
        <v>137.654910361032</v>
      </c>
      <c r="L38" s="25" t="n">
        <f aca="false">K39</f>
        <v>137.654910361032</v>
      </c>
      <c r="M38" s="25" t="n">
        <f aca="false">L39</f>
        <v>137.654910361032</v>
      </c>
    </row>
    <row r="39" customFormat="false" ht="17.15" hidden="false" customHeight="false" outlineLevel="0" collapsed="false">
      <c r="A39" s="4" t="s">
        <v>828</v>
      </c>
      <c r="B39" s="0" t="s">
        <v>74</v>
      </c>
      <c r="E39" s="25" t="n">
        <f aca="false">debt_0</f>
        <v>84</v>
      </c>
      <c r="F39" s="25" t="n">
        <f aca="false">F38-F28+F29+F35</f>
        <v>84</v>
      </c>
      <c r="H39" s="25" t="n">
        <f aca="false">H38-H28+H29+H35</f>
        <v>89.8434902831262</v>
      </c>
      <c r="I39" s="25" t="n">
        <f aca="false">I38-I28+I29+I35</f>
        <v>137.654910361032</v>
      </c>
      <c r="J39" s="25" t="n">
        <f aca="false">J38-J28+J29+J35</f>
        <v>137.654910361032</v>
      </c>
      <c r="K39" s="25" t="n">
        <f aca="false">K38-K28+K29+K35</f>
        <v>137.654910361032</v>
      </c>
      <c r="L39" s="25" t="n">
        <f aca="false">L38-L28+L29+L35</f>
        <v>137.654910361032</v>
      </c>
      <c r="M39" s="25" t="n">
        <f aca="false">M38-M28+M29+M35</f>
        <v>137.654910361032</v>
      </c>
      <c r="N39" s="7" t="s">
        <v>829</v>
      </c>
    </row>
    <row r="40" customFormat="false" ht="15" hidden="false" customHeight="false" outlineLevel="0" collapsed="false">
      <c r="A40" s="4" t="s">
        <v>830</v>
      </c>
      <c r="B40" s="0" t="s">
        <v>74</v>
      </c>
      <c r="E40" s="25" t="n">
        <f aca="false">E36-E39</f>
        <v>-1.551</v>
      </c>
      <c r="F40" s="25" t="n">
        <f aca="false">F36-F39</f>
        <v>-5.00535852878981</v>
      </c>
      <c r="H40" s="25" t="n">
        <f aca="false">H36-H39</f>
        <v>-49.8434902831262</v>
      </c>
      <c r="I40" s="25" t="n">
        <f aca="false">I36-I39</f>
        <v>-97.6549103610317</v>
      </c>
      <c r="J40" s="25" t="n">
        <f aca="false">J36-J39</f>
        <v>-78.2575578357142</v>
      </c>
      <c r="K40" s="25" t="n">
        <f aca="false">K36-K39</f>
        <v>9.27188536906513</v>
      </c>
      <c r="L40" s="25" t="n">
        <f aca="false">L36-L39</f>
        <v>134.889572307573</v>
      </c>
      <c r="M40" s="25" t="n">
        <f aca="false">M36-M39</f>
        <v>296.388538049437</v>
      </c>
    </row>
    <row r="41" customFormat="false" ht="17.15" hidden="false" customHeight="false" outlineLevel="0" collapsed="false">
      <c r="A41" s="4" t="s">
        <v>831</v>
      </c>
      <c r="B41" s="0" t="s">
        <v>54</v>
      </c>
      <c r="F41" s="24" t="n">
        <f aca="false">px_val</f>
        <v>725.18</v>
      </c>
      <c r="H41" s="24" t="n">
        <f aca="false">px_val*(1+ke)^(2027+mid-t_val)</f>
        <v>782.640018150632</v>
      </c>
      <c r="I41" s="24" t="n">
        <f aca="false">px_val*(1+ke)^(2028+mid-t_val)</f>
        <v>866.397174593089</v>
      </c>
      <c r="J41" s="24" t="n">
        <f aca="false">px_val*(1+ke)^(2029+mid-t_val)</f>
        <v>959.117917221574</v>
      </c>
      <c r="K41" s="24" t="n">
        <f aca="false">px_val*(1+ke)^(2030+mid-t_val)</f>
        <v>1061.76151782523</v>
      </c>
      <c r="L41" s="24" t="n">
        <f aca="false">px_val*(1+ke)^(2031+mid-t_val)</f>
        <v>1175.38990826099</v>
      </c>
      <c r="M41" s="24" t="n">
        <f aca="false">px_val*(1+ke)^(2032+mid-t_val)</f>
        <v>1301.17866700569</v>
      </c>
    </row>
    <row r="43" customFormat="false" ht="17.15" hidden="false" customHeight="false" outlineLevel="0" collapsed="false">
      <c r="A43" s="26" t="s">
        <v>718</v>
      </c>
    </row>
    <row r="44" customFormat="false" ht="15" hidden="false" customHeight="false" outlineLevel="0" collapsed="false">
      <c r="A44" s="3" t="s">
        <v>43</v>
      </c>
      <c r="B44" s="3" t="s">
        <v>44</v>
      </c>
      <c r="C44" s="21" t="s">
        <v>660</v>
      </c>
      <c r="D44" s="21" t="s">
        <v>661</v>
      </c>
      <c r="E44" s="21" t="s">
        <v>662</v>
      </c>
      <c r="F44" s="21" t="s">
        <v>663</v>
      </c>
      <c r="G44" s="21" t="s">
        <v>664</v>
      </c>
      <c r="H44" s="21" t="s">
        <v>665</v>
      </c>
      <c r="I44" s="21" t="s">
        <v>666</v>
      </c>
      <c r="J44" s="21" t="s">
        <v>667</v>
      </c>
      <c r="K44" s="21" t="s">
        <v>668</v>
      </c>
      <c r="L44" s="21" t="s">
        <v>669</v>
      </c>
      <c r="M44" s="21" t="s">
        <v>670</v>
      </c>
      <c r="N44" s="3" t="s">
        <v>50</v>
      </c>
    </row>
    <row r="45" customFormat="false" ht="15" hidden="false" customHeight="false" outlineLevel="0" collapsed="false">
      <c r="A45" s="4" t="s">
        <v>584</v>
      </c>
      <c r="B45" s="0" t="s">
        <v>74</v>
      </c>
      <c r="C45" s="25" t="n">
        <f aca="false">PL!C92</f>
        <v>62.36</v>
      </c>
      <c r="D45" s="25" t="n">
        <f aca="false">PL!D92</f>
        <v>60.458</v>
      </c>
      <c r="E45" s="25" t="n">
        <f aca="false">PL!E92</f>
        <v>52.481</v>
      </c>
      <c r="F45" s="25" t="n">
        <f aca="false">PL!F92</f>
        <v>21.7019357723541</v>
      </c>
      <c r="G45" s="25" t="n">
        <f aca="false">PL!G92</f>
        <v>74.1829357723541</v>
      </c>
      <c r="H45" s="25" t="n">
        <f aca="false">PL!H92</f>
        <v>79.6766946222849</v>
      </c>
      <c r="I45" s="25" t="n">
        <f aca="false">PL!I92</f>
        <v>75.6270830526505</v>
      </c>
      <c r="J45" s="25" t="n">
        <f aca="false">PL!J92</f>
        <v>68.4827668690811</v>
      </c>
      <c r="K45" s="25" t="n">
        <f aca="false">PL!K92</f>
        <v>62.4562247476419</v>
      </c>
      <c r="L45" s="25" t="n">
        <f aca="false">PL!L92</f>
        <v>65.6418706210372</v>
      </c>
      <c r="M45" s="25" t="n">
        <f aca="false">PL!M92</f>
        <v>72.3059989639806</v>
      </c>
    </row>
    <row r="46" customFormat="false" ht="15" hidden="false" customHeight="false" outlineLevel="0" collapsed="false">
      <c r="A46" s="4" t="s">
        <v>589</v>
      </c>
      <c r="B46" s="0" t="s">
        <v>74</v>
      </c>
      <c r="C46" s="25" t="n">
        <f aca="false">PL!C76</f>
        <v>15.498</v>
      </c>
      <c r="D46" s="25" t="n">
        <f aca="false">PL!D76</f>
        <v>18.616</v>
      </c>
      <c r="E46" s="25" t="n">
        <f aca="false">PL!E76</f>
        <v>19.509</v>
      </c>
      <c r="F46" s="25" t="n">
        <f aca="false">PL!F76</f>
        <v>9.41301293804891</v>
      </c>
      <c r="G46" s="25" t="n">
        <f aca="false">PL!G76</f>
        <v>28.9220129380489</v>
      </c>
      <c r="H46" s="25" t="n">
        <f aca="false">PL!H76</f>
        <v>53.7206429781216</v>
      </c>
      <c r="I46" s="25" t="n">
        <f aca="false">PL!I76</f>
        <v>82.3785977860147</v>
      </c>
      <c r="J46" s="25" t="n">
        <f aca="false">PL!J76</f>
        <v>110.771366231345</v>
      </c>
      <c r="K46" s="25" t="n">
        <f aca="false">PL!K76</f>
        <v>134.123631288134</v>
      </c>
      <c r="L46" s="25" t="n">
        <f aca="false">PL!L76</f>
        <v>151.88090255497</v>
      </c>
      <c r="M46" s="25" t="n">
        <f aca="false">PL!M76</f>
        <v>170.295982390098</v>
      </c>
    </row>
    <row r="47" customFormat="false" ht="15" hidden="false" customHeight="false" outlineLevel="0" collapsed="false">
      <c r="A47" s="4" t="s">
        <v>801</v>
      </c>
      <c r="B47" s="0" t="s">
        <v>74</v>
      </c>
      <c r="C47" s="25" t="n">
        <f aca="false">PL!C102</f>
        <v>16.69</v>
      </c>
      <c r="D47" s="25" t="n">
        <f aca="false">PL!D102</f>
        <v>20.427</v>
      </c>
      <c r="E47" s="25" t="n">
        <f aca="false">PL!E102</f>
        <v>21.053</v>
      </c>
      <c r="F47" s="25" t="n">
        <f aca="false">PL!F102</f>
        <v>8.51156108610724</v>
      </c>
      <c r="G47" s="25" t="n">
        <f aca="false">PL!G102</f>
        <v>29.5645610861072</v>
      </c>
      <c r="H47" s="25" t="n">
        <f aca="false">PL!H102</f>
        <v>35.3268991053413</v>
      </c>
      <c r="I47" s="25" t="n">
        <f aca="false">PL!I102</f>
        <v>41.6702674466397</v>
      </c>
      <c r="J47" s="25" t="n">
        <f aca="false">PL!J102</f>
        <v>47.1425076994177</v>
      </c>
      <c r="K47" s="25" t="n">
        <f aca="false">PL!K102</f>
        <v>51.0661020472878</v>
      </c>
      <c r="L47" s="25" t="n">
        <f aca="false">PL!L102</f>
        <v>55.322465855863</v>
      </c>
      <c r="M47" s="25" t="n">
        <f aca="false">PL!M102</f>
        <v>59.9407080406836</v>
      </c>
    </row>
    <row r="48" customFormat="false" ht="15" hidden="false" customHeight="false" outlineLevel="0" collapsed="false">
      <c r="A48" s="4" t="s">
        <v>802</v>
      </c>
      <c r="B48" s="0" t="s">
        <v>74</v>
      </c>
      <c r="F48" s="28" t="n">
        <v>0</v>
      </c>
      <c r="G48" s="25" t="n">
        <f aca="false">F48</f>
        <v>0</v>
      </c>
      <c r="H48" s="25" t="n">
        <f aca="false">wc_k*(PL!H63-PL!G63)</f>
        <v>0</v>
      </c>
      <c r="I48" s="25" t="n">
        <f aca="false">wc_k*(PL!I63-PL!H63)</f>
        <v>0</v>
      </c>
      <c r="J48" s="25" t="n">
        <f aca="false">wc_k*(PL!J63-PL!I63)</f>
        <v>0</v>
      </c>
      <c r="K48" s="25" t="n">
        <f aca="false">wc_k*(PL!K63-PL!J63)</f>
        <v>0</v>
      </c>
      <c r="L48" s="25" t="n">
        <f aca="false">wc_k*(PL!L63-PL!K63)</f>
        <v>0</v>
      </c>
      <c r="M48" s="25" t="n">
        <f aca="false">wc_k*(PL!M63-PL!L63)</f>
        <v>0</v>
      </c>
    </row>
    <row r="49" customFormat="false" ht="17.15" hidden="false" customHeight="false" outlineLevel="0" collapsed="false">
      <c r="A49" s="4" t="s">
        <v>803</v>
      </c>
      <c r="B49" s="0" t="s">
        <v>74</v>
      </c>
      <c r="F49" s="28" t="n">
        <v>0</v>
      </c>
      <c r="G49" s="25" t="n">
        <f aca="false">F49</f>
        <v>0</v>
      </c>
      <c r="H49" s="25" t="n">
        <f aca="false">-ag_y1</f>
        <v>-1.27</v>
      </c>
      <c r="I49" s="25" t="n">
        <f aca="false">-ag_rest</f>
        <v>-1.27</v>
      </c>
      <c r="J49" s="25" t="n">
        <f aca="false">-ag_rest</f>
        <v>-1.27</v>
      </c>
      <c r="K49" s="25" t="n">
        <f aca="false">-ag_rest</f>
        <v>-1.27</v>
      </c>
      <c r="L49" s="25" t="n">
        <f aca="false">-ag_rest</f>
        <v>-1.27</v>
      </c>
      <c r="M49" s="25" t="n">
        <f aca="false">-ag_rest</f>
        <v>-1.27</v>
      </c>
      <c r="N49" s="7" t="s">
        <v>804</v>
      </c>
    </row>
    <row r="50" customFormat="false" ht="15" hidden="false" customHeight="false" outlineLevel="0" collapsed="false">
      <c r="A50" s="4" t="s">
        <v>805</v>
      </c>
      <c r="B50" s="0" t="s">
        <v>74</v>
      </c>
      <c r="C50" s="25" t="n">
        <f aca="false">Q!J37-C45-C46-C47</f>
        <v>-3.22</v>
      </c>
      <c r="D50" s="25" t="n">
        <f aca="false">Q!K37-D45-D46-D47</f>
        <v>16.299</v>
      </c>
      <c r="E50" s="25" t="n">
        <f aca="false">Q!L37-E45-E46-E47</f>
        <v>3.83099999999999</v>
      </c>
      <c r="F50" s="28" t="n">
        <v>0</v>
      </c>
      <c r="G50" s="25" t="n">
        <f aca="false">E50+F50</f>
        <v>3.83099999999999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</row>
    <row r="51" customFormat="false" ht="15" hidden="false" customHeight="false" outlineLevel="0" collapsed="false">
      <c r="A51" s="2" t="s">
        <v>591</v>
      </c>
      <c r="B51" s="7" t="s">
        <v>74</v>
      </c>
      <c r="C51" s="25" t="n">
        <f aca="false">N(C45)+N(C46)+N(C47)+N(C48)+N(C49)+N(C50)</f>
        <v>91.328</v>
      </c>
      <c r="D51" s="25" t="n">
        <f aca="false">N(D45)+N(D46)+N(D47)+N(D48)+N(D49)+N(D50)</f>
        <v>115.8</v>
      </c>
      <c r="E51" s="25" t="n">
        <f aca="false">N(E45)+N(E46)+N(E47)+N(E48)+N(E49)+N(E50)</f>
        <v>96.874</v>
      </c>
      <c r="F51" s="25" t="n">
        <f aca="false">N(F45)+N(F46)+N(F47)+N(F48)+N(F49)+N(F50)</f>
        <v>39.6265097965102</v>
      </c>
      <c r="G51" s="25" t="n">
        <f aca="false">N(G45)+N(G46)+N(G47)+N(G48)+N(G49)+N(G50)</f>
        <v>136.50050979651</v>
      </c>
      <c r="H51" s="25" t="n">
        <f aca="false">N(H45)+N(H46)+N(H47)+N(H48)+N(H49)+N(H50)</f>
        <v>167.454236705748</v>
      </c>
      <c r="I51" s="25" t="n">
        <f aca="false">N(I45)+N(I46)+N(I47)+N(I48)+N(I49)+N(I50)</f>
        <v>198.405948285305</v>
      </c>
      <c r="J51" s="25" t="n">
        <f aca="false">N(J45)+N(J46)+N(J47)+N(J48)+N(J49)+N(J50)</f>
        <v>225.126640799844</v>
      </c>
      <c r="K51" s="25" t="n">
        <f aca="false">N(K45)+N(K46)+N(K47)+N(K48)+N(K49)+N(K50)</f>
        <v>246.375958083063</v>
      </c>
      <c r="L51" s="25" t="n">
        <f aca="false">N(L45)+N(L46)+N(L47)+N(L48)+N(L49)+N(L50)</f>
        <v>271.57523903187</v>
      </c>
      <c r="M51" s="25" t="n">
        <f aca="false">N(M45)+N(M46)+N(M47)+N(M48)+N(M49)+N(M50)</f>
        <v>301.272689394762</v>
      </c>
    </row>
    <row r="52" customFormat="false" ht="17.15" hidden="false" customHeight="false" outlineLevel="0" collapsed="false">
      <c r="A52" s="4" t="s">
        <v>806</v>
      </c>
      <c r="B52" s="0" t="s">
        <v>74</v>
      </c>
      <c r="F52" s="25" t="n">
        <f aca="false">Thesis!F93</f>
        <v>51.1225251709032</v>
      </c>
      <c r="G52" s="25" t="n">
        <f aca="false">F52</f>
        <v>51.1225251709032</v>
      </c>
      <c r="H52" s="25" t="n">
        <f aca="false">Thesis!H93</f>
        <v>193.032551246829</v>
      </c>
      <c r="I52" s="25" t="n">
        <f aca="false">Thesis!I93</f>
        <v>204.334288456886</v>
      </c>
      <c r="J52" s="25" t="n">
        <f aca="false">Thesis!J93</f>
        <v>177.887752459666</v>
      </c>
      <c r="K52" s="25" t="n">
        <f aca="false">Thesis!K93</f>
        <v>147.246054530781</v>
      </c>
      <c r="L52" s="25" t="n">
        <f aca="false">Thesis!L93</f>
        <v>142.558621730509</v>
      </c>
      <c r="M52" s="25" t="n">
        <f aca="false">Thesis!M93</f>
        <v>145.036648510581</v>
      </c>
    </row>
    <row r="53" customFormat="false" ht="17.15" hidden="false" customHeight="false" outlineLevel="0" collapsed="false">
      <c r="A53" s="4" t="s">
        <v>807</v>
      </c>
      <c r="B53" s="0" t="s">
        <v>74</v>
      </c>
      <c r="F53" s="25" t="n">
        <f aca="false">Seg!F43</f>
        <v>3.05347482909677</v>
      </c>
      <c r="G53" s="25" t="n">
        <f aca="false">F53</f>
        <v>3.05347482909677</v>
      </c>
      <c r="H53" s="25" t="n">
        <f aca="false">Seg!H43</f>
        <v>12.6733270333063</v>
      </c>
      <c r="I53" s="25" t="n">
        <f aca="false">Seg!I43</f>
        <v>14.9489748687497</v>
      </c>
      <c r="J53" s="25" t="n">
        <f aca="false">Seg!J43</f>
        <v>16.9121103854413</v>
      </c>
      <c r="K53" s="25" t="n">
        <f aca="false">Seg!K43</f>
        <v>18.3196778644979</v>
      </c>
      <c r="L53" s="25" t="n">
        <f aca="false">Seg!L43</f>
        <v>19.8466245222827</v>
      </c>
      <c r="M53" s="25" t="n">
        <f aca="false">Seg!M43</f>
        <v>21.5033930190793</v>
      </c>
    </row>
    <row r="54" customFormat="false" ht="15" hidden="false" customHeight="false" outlineLevel="0" collapsed="false">
      <c r="A54" s="2" t="s">
        <v>808</v>
      </c>
      <c r="B54" s="7" t="s">
        <v>74</v>
      </c>
      <c r="C54" s="25" t="n">
        <f aca="false">Q!J40</f>
        <v>39.225</v>
      </c>
      <c r="D54" s="25" t="n">
        <f aca="false">Q!K40</f>
        <v>72.215</v>
      </c>
      <c r="E54" s="25" t="n">
        <f aca="false">Q!L40</f>
        <v>85.824</v>
      </c>
      <c r="F54" s="25" t="n">
        <f aca="false">F52+F53</f>
        <v>54.176</v>
      </c>
      <c r="G54" s="25" t="n">
        <f aca="false">E54+F54</f>
        <v>140</v>
      </c>
      <c r="H54" s="25" t="n">
        <f aca="false">H52+H53</f>
        <v>205.705878280136</v>
      </c>
      <c r="I54" s="25" t="n">
        <f aca="false">I52+I53</f>
        <v>219.283263325636</v>
      </c>
      <c r="J54" s="25" t="n">
        <f aca="false">J52+J53</f>
        <v>194.799862845107</v>
      </c>
      <c r="K54" s="25" t="n">
        <f aca="false">K52+K53</f>
        <v>165.565732395279</v>
      </c>
      <c r="L54" s="25" t="n">
        <f aca="false">L52+L53</f>
        <v>162.405246252792</v>
      </c>
      <c r="M54" s="25" t="n">
        <f aca="false">M52+M53</f>
        <v>166.54004152966</v>
      </c>
    </row>
    <row r="55" customFormat="false" ht="15" hidden="false" customHeight="false" outlineLevel="0" collapsed="false">
      <c r="A55" s="26" t="s">
        <v>809</v>
      </c>
      <c r="B55" s="30" t="s">
        <v>74</v>
      </c>
      <c r="C55" s="31" t="n">
        <f aca="false">C51-C54</f>
        <v>52.103</v>
      </c>
      <c r="D55" s="31" t="n">
        <f aca="false">D51-D54</f>
        <v>43.585</v>
      </c>
      <c r="E55" s="31" t="n">
        <f aca="false">E51-E54</f>
        <v>11.05</v>
      </c>
      <c r="F55" s="31" t="n">
        <f aca="false">F51-F54</f>
        <v>-14.5494902034898</v>
      </c>
      <c r="G55" s="31" t="n">
        <f aca="false">G51-G54</f>
        <v>-3.49949020348981</v>
      </c>
      <c r="H55" s="31" t="n">
        <f aca="false">H51-H54</f>
        <v>-38.2516415743879</v>
      </c>
      <c r="I55" s="31" t="n">
        <f aca="false">I51-I54</f>
        <v>-20.877315040331</v>
      </c>
      <c r="J55" s="31" t="n">
        <f aca="false">J51-J54</f>
        <v>30.3267779547371</v>
      </c>
      <c r="K55" s="31" t="n">
        <f aca="false">K51-K54</f>
        <v>80.8102256877845</v>
      </c>
      <c r="L55" s="31" t="n">
        <f aca="false">L51-L54</f>
        <v>109.169992779078</v>
      </c>
      <c r="M55" s="31" t="n">
        <f aca="false">M51-M54</f>
        <v>134.732647865102</v>
      </c>
      <c r="N55" s="30"/>
    </row>
    <row r="56" customFormat="false" ht="17.15" hidden="false" customHeight="false" outlineLevel="0" collapsed="false">
      <c r="A56" s="4" t="s">
        <v>810</v>
      </c>
      <c r="B56" s="0" t="s">
        <v>74</v>
      </c>
      <c r="C56" s="22" t="n">
        <f aca="false">C55-Q!J41</f>
        <v>0</v>
      </c>
      <c r="D56" s="22" t="n">
        <f aca="false">D55-Q!K41</f>
        <v>0</v>
      </c>
      <c r="E56" s="22" t="n">
        <f aca="false">E55-Q!L41</f>
        <v>0</v>
      </c>
    </row>
    <row r="57" customFormat="false" ht="17.15" hidden="false" customHeight="false" outlineLevel="0" collapsed="false">
      <c r="A57" s="4" t="s">
        <v>811</v>
      </c>
      <c r="B57" s="0" t="s">
        <v>74</v>
      </c>
      <c r="C57" s="25" t="n">
        <f aca="false">Q!J44</f>
        <v>5.072</v>
      </c>
      <c r="D57" s="25" t="n">
        <f aca="false">Q!K44</f>
        <v>5.324</v>
      </c>
      <c r="E57" s="25" t="n">
        <f aca="false">Q!L44</f>
        <v>4.06</v>
      </c>
      <c r="F57" s="25" t="n">
        <f aca="false">dps/4*sh_out</f>
        <v>1.3632433253</v>
      </c>
      <c r="G57" s="25" t="n">
        <f aca="false">E57+F57</f>
        <v>5.4232433253</v>
      </c>
      <c r="H57" s="25" t="n">
        <f aca="false">dps*(1+dps_g)^(2027-2026)*PL!F97</f>
        <v>5.79286333285191</v>
      </c>
      <c r="I57" s="25" t="n">
        <f aca="false">dps*(1+dps_g)^(2028-2026)*PL!H97</f>
        <v>6.26173571048743</v>
      </c>
      <c r="J57" s="25" t="n">
        <f aca="false">dps*(1+dps_g)^(2029-2026)*PL!I97</f>
        <v>6.66687001095597</v>
      </c>
      <c r="K57" s="25" t="n">
        <f aca="false">dps*(1+dps_g)^(2030-2026)*PL!J97</f>
        <v>7.15007485931482</v>
      </c>
      <c r="L57" s="25" t="n">
        <f aca="false">dps*(1+dps_g)^(2031-2026)*PL!K97</f>
        <v>7.61268470271249</v>
      </c>
      <c r="M57" s="25" t="n">
        <f aca="false">dps*(1+dps_g)^(2032-2026)*PL!L97</f>
        <v>8.10522540297798</v>
      </c>
      <c r="N57" s="7" t="s">
        <v>812</v>
      </c>
    </row>
    <row r="58" customFormat="false" ht="15" hidden="false" customHeight="false" outlineLevel="0" collapsed="false">
      <c r="A58" s="4" t="s">
        <v>778</v>
      </c>
      <c r="B58" s="0" t="s">
        <v>74</v>
      </c>
      <c r="E58" s="25" t="n">
        <f aca="false">PL!E95</f>
        <v>0</v>
      </c>
      <c r="F58" s="25" t="n">
        <f aca="false">PL!F95</f>
        <v>0</v>
      </c>
      <c r="G58" s="25" t="n">
        <f aca="false">PL!G95</f>
        <v>0</v>
      </c>
      <c r="H58" s="25" t="n">
        <f aca="false">PL!H95</f>
        <v>0.8125</v>
      </c>
      <c r="I58" s="25" t="n">
        <f aca="false">PL!I95</f>
        <v>0.8125</v>
      </c>
      <c r="J58" s="25" t="n">
        <f aca="false">PL!J95</f>
        <v>0.609</v>
      </c>
      <c r="K58" s="25" t="n">
        <f aca="false">PL!K95</f>
        <v>0</v>
      </c>
      <c r="L58" s="25" t="n">
        <f aca="false">PL!L95</f>
        <v>0</v>
      </c>
      <c r="M58" s="25" t="n">
        <f aca="false">PL!M95</f>
        <v>0</v>
      </c>
    </row>
    <row r="59" customFormat="false" ht="15" hidden="false" customHeight="false" outlineLevel="0" collapsed="false">
      <c r="A59" s="2" t="s">
        <v>813</v>
      </c>
      <c r="B59" s="7" t="s">
        <v>74</v>
      </c>
      <c r="C59" s="25" t="n">
        <f aca="false">C55-C57-N(C58)</f>
        <v>47.031</v>
      </c>
      <c r="D59" s="25" t="n">
        <f aca="false">D55-D57-N(D58)</f>
        <v>38.261</v>
      </c>
      <c r="E59" s="25" t="n">
        <f aca="false">E55-E57-N(E58)</f>
        <v>6.99</v>
      </c>
      <c r="F59" s="25" t="n">
        <f aca="false">F55-F57-N(F58)</f>
        <v>-15.9127335287898</v>
      </c>
      <c r="G59" s="25" t="n">
        <f aca="false">G55-G57-N(G58)</f>
        <v>-8.92273352878981</v>
      </c>
      <c r="H59" s="25" t="n">
        <f aca="false">H55-H57-N(H58)</f>
        <v>-44.8570049072398</v>
      </c>
      <c r="I59" s="25" t="n">
        <f aca="false">I55-I57-N(I58)</f>
        <v>-27.9515507508184</v>
      </c>
      <c r="J59" s="25" t="n">
        <f aca="false">J55-J57-N(J58)</f>
        <v>23.0509079437811</v>
      </c>
      <c r="K59" s="25" t="n">
        <f aca="false">K55-K57-N(K58)</f>
        <v>73.6601508284696</v>
      </c>
      <c r="L59" s="25" t="n">
        <f aca="false">L55-L57-N(L58)</f>
        <v>101.557308076365</v>
      </c>
      <c r="M59" s="25" t="n">
        <f aca="false">M55-M57-N(M58)</f>
        <v>126.627422462124</v>
      </c>
    </row>
    <row r="60" customFormat="false" ht="17.15" hidden="false" customHeight="false" outlineLevel="0" collapsed="false">
      <c r="A60" s="4" t="s">
        <v>814</v>
      </c>
      <c r="B60" s="0" t="s">
        <v>74</v>
      </c>
      <c r="E60" s="28" t="n">
        <v>0</v>
      </c>
      <c r="F60" s="28" t="n">
        <v>0</v>
      </c>
      <c r="G60" s="25" t="n">
        <f aca="false">E60+F60</f>
        <v>0</v>
      </c>
      <c r="H60" s="25" t="n">
        <f aca="false">mat_27</f>
        <v>2.747</v>
      </c>
      <c r="I60" s="28" t="n">
        <v>0</v>
      </c>
      <c r="J60" s="28" t="n">
        <v>0</v>
      </c>
      <c r="K60" s="28" t="n">
        <v>0</v>
      </c>
      <c r="L60" s="28" t="n">
        <v>0</v>
      </c>
      <c r="M60" s="28" t="n">
        <v>0</v>
      </c>
      <c r="N60" s="7" t="s">
        <v>815</v>
      </c>
    </row>
    <row r="61" customFormat="false" ht="17.15" hidden="false" customHeight="false" outlineLevel="0" collapsed="false">
      <c r="A61" s="4" t="s">
        <v>816</v>
      </c>
      <c r="B61" s="0" t="s">
        <v>74</v>
      </c>
      <c r="E61" s="28" t="n">
        <v>24.91</v>
      </c>
      <c r="F61" s="28" t="n">
        <v>0</v>
      </c>
      <c r="G61" s="25" t="n">
        <f aca="false">E61+F61</f>
        <v>24.91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7" t="s">
        <v>817</v>
      </c>
    </row>
    <row r="62" customFormat="false" ht="17.15" hidden="false" customHeight="false" outlineLevel="0" collapsed="false">
      <c r="A62" s="4" t="s">
        <v>818</v>
      </c>
      <c r="B62" s="0" t="s">
        <v>74</v>
      </c>
      <c r="E62" s="28" t="n">
        <v>0</v>
      </c>
      <c r="F62" s="25" t="n">
        <f aca="false">mcps</f>
        <v>12.458375</v>
      </c>
      <c r="G62" s="25" t="n">
        <f aca="false">E62+F62</f>
        <v>12.458375</v>
      </c>
      <c r="H62" s="25" t="n">
        <f aca="false">fwd_cash*fwd_on</f>
        <v>24.9168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</row>
    <row r="63" customFormat="false" ht="15" hidden="false" customHeight="false" outlineLevel="0" collapsed="false">
      <c r="A63" s="4" t="s">
        <v>819</v>
      </c>
      <c r="B63" s="0" t="s">
        <v>74</v>
      </c>
      <c r="E63" s="25" t="n">
        <f aca="false">cash_ye25</f>
        <v>81.592</v>
      </c>
      <c r="F63" s="25" t="n">
        <f aca="false">E68</f>
        <v>82.449</v>
      </c>
      <c r="H63" s="25" t="n">
        <f aca="false">F68</f>
        <v>78.9946414712102</v>
      </c>
      <c r="I63" s="25" t="n">
        <f aca="false">H68</f>
        <v>56.3074365639704</v>
      </c>
      <c r="J63" s="25" t="n">
        <f aca="false">I68</f>
        <v>40</v>
      </c>
      <c r="K63" s="25" t="n">
        <f aca="false">J68</f>
        <v>63.0509079437811</v>
      </c>
      <c r="L63" s="25" t="n">
        <f aca="false">K68</f>
        <v>136.711058772251</v>
      </c>
      <c r="M63" s="25" t="n">
        <f aca="false">L68</f>
        <v>238.268366848616</v>
      </c>
    </row>
    <row r="64" customFormat="false" ht="17.15" hidden="false" customHeight="false" outlineLevel="0" collapsed="false">
      <c r="A64" s="4" t="s">
        <v>820</v>
      </c>
      <c r="B64" s="0" t="s">
        <v>74</v>
      </c>
      <c r="E64" s="25" t="n">
        <f aca="false">cash_0-(E63+E55-E57-E58-E60+E61+E62)</f>
        <v>-31.043</v>
      </c>
      <c r="F64" s="28" t="n">
        <v>0</v>
      </c>
      <c r="H64" s="28" t="n">
        <v>0</v>
      </c>
      <c r="I64" s="28" t="n">
        <v>0</v>
      </c>
      <c r="J64" s="28" t="n">
        <v>0</v>
      </c>
      <c r="K64" s="28" t="n">
        <v>0</v>
      </c>
      <c r="L64" s="28" t="n">
        <v>0</v>
      </c>
      <c r="M64" s="28" t="n">
        <v>0</v>
      </c>
    </row>
    <row r="65" customFormat="false" ht="15" hidden="false" customHeight="false" outlineLevel="0" collapsed="false">
      <c r="A65" s="4" t="s">
        <v>821</v>
      </c>
      <c r="B65" s="0" t="s">
        <v>74</v>
      </c>
      <c r="E65" s="25" t="n">
        <f aca="false">E63+E55-E57-E58-E60+E61+E62+E64</f>
        <v>82.449</v>
      </c>
      <c r="F65" s="25" t="n">
        <f aca="false">F63+F55-F57-F58-F60+F61+F62+F64</f>
        <v>78.9946414712102</v>
      </c>
      <c r="H65" s="25" t="n">
        <f aca="false">H63+H55-H57-H58-H60+H61+H62+H64</f>
        <v>56.3074365639704</v>
      </c>
      <c r="I65" s="25" t="n">
        <f aca="false">I63+I55-I57-I58-I60+I61+I62+I64</f>
        <v>28.355885813152</v>
      </c>
      <c r="J65" s="25" t="n">
        <f aca="false">J63+J55-J57-J58-J60+J61+J62+J64</f>
        <v>63.0509079437811</v>
      </c>
      <c r="K65" s="25" t="n">
        <f aca="false">K63+K55-K57-K58-K60+K61+K62+K64</f>
        <v>136.711058772251</v>
      </c>
      <c r="L65" s="25" t="n">
        <f aca="false">L63+L55-L57-L58-L60+L61+L62+L64</f>
        <v>238.268366848616</v>
      </c>
      <c r="M65" s="25" t="n">
        <f aca="false">M63+M55-M57-M58-M60+M61+M62+M64</f>
        <v>364.89578931074</v>
      </c>
    </row>
    <row r="66" customFormat="false" ht="17.15" hidden="false" customHeight="false" outlineLevel="0" collapsed="false">
      <c r="A66" s="4" t="s">
        <v>822</v>
      </c>
      <c r="B66" s="0" t="s">
        <v>74</v>
      </c>
      <c r="E66" s="25" t="n">
        <f aca="false">Q!L43</f>
        <v>0</v>
      </c>
      <c r="F66" s="28" t="n">
        <v>0</v>
      </c>
      <c r="G66" s="25" t="n">
        <f aca="false">E66+F66</f>
        <v>0</v>
      </c>
      <c r="H66" s="25" t="n">
        <f aca="false">MAX(0,MIN(bb_t,H65-min_cash))</f>
        <v>0</v>
      </c>
      <c r="I66" s="25" t="n">
        <f aca="false">MAX(0,MIN(bb_t,I65-min_cash))</f>
        <v>0</v>
      </c>
      <c r="J66" s="25" t="n">
        <f aca="false">MAX(0,MIN(bb_t,J65-min_cash))</f>
        <v>0</v>
      </c>
      <c r="K66" s="25" t="n">
        <f aca="false">MAX(0,MIN(bb_t,K65-min_cash))</f>
        <v>0</v>
      </c>
      <c r="L66" s="25" t="n">
        <f aca="false">MAX(0,MIN(bb_t,L65-min_cash))</f>
        <v>0</v>
      </c>
      <c r="M66" s="25" t="n">
        <f aca="false">MAX(0,MIN(bb_t,M65-min_cash))</f>
        <v>0</v>
      </c>
      <c r="N66" s="7" t="s">
        <v>823</v>
      </c>
    </row>
    <row r="67" customFormat="false" ht="15" hidden="false" customHeight="false" outlineLevel="0" collapsed="false">
      <c r="A67" s="4" t="s">
        <v>824</v>
      </c>
      <c r="B67" s="0" t="s">
        <v>74</v>
      </c>
      <c r="E67" s="28" t="n">
        <v>0</v>
      </c>
      <c r="F67" s="25" t="n">
        <f aca="false">MAX(0,min_cash-(F65-F66))</f>
        <v>0</v>
      </c>
      <c r="G67" s="25" t="n">
        <f aca="false">E67+F67</f>
        <v>0</v>
      </c>
      <c r="H67" s="25" t="n">
        <f aca="false">MAX(0,min_cash-(H65-H66))</f>
        <v>0</v>
      </c>
      <c r="I67" s="25" t="n">
        <f aca="false">MAX(0,min_cash-(I65-I66))</f>
        <v>11.644114186848</v>
      </c>
      <c r="J67" s="25" t="n">
        <f aca="false">MAX(0,min_cash-(J65-J66))</f>
        <v>0</v>
      </c>
      <c r="K67" s="25" t="n">
        <f aca="false">MAX(0,min_cash-(K65-K66))</f>
        <v>0</v>
      </c>
      <c r="L67" s="25" t="n">
        <f aca="false">MAX(0,min_cash-(L65-L66))</f>
        <v>0</v>
      </c>
      <c r="M67" s="25" t="n">
        <f aca="false">MAX(0,min_cash-(M65-M66))</f>
        <v>0</v>
      </c>
    </row>
    <row r="68" customFormat="false" ht="15" hidden="false" customHeight="false" outlineLevel="0" collapsed="false">
      <c r="A68" s="4" t="s">
        <v>825</v>
      </c>
      <c r="B68" s="0" t="s">
        <v>74</v>
      </c>
      <c r="E68" s="25" t="n">
        <f aca="false">E65-E66+E67</f>
        <v>82.449</v>
      </c>
      <c r="F68" s="25" t="n">
        <f aca="false">F65-F66+F67</f>
        <v>78.9946414712102</v>
      </c>
      <c r="H68" s="25" t="n">
        <f aca="false">H65-H66+H67</f>
        <v>56.3074365639704</v>
      </c>
      <c r="I68" s="25" t="n">
        <f aca="false">I65-I66+I67</f>
        <v>40</v>
      </c>
      <c r="J68" s="25" t="n">
        <f aca="false">J65-J66+J67</f>
        <v>63.0509079437811</v>
      </c>
      <c r="K68" s="25" t="n">
        <f aca="false">K65-K66+K67</f>
        <v>136.711058772251</v>
      </c>
      <c r="L68" s="25" t="n">
        <f aca="false">L65-L66+L67</f>
        <v>238.268366848616</v>
      </c>
      <c r="M68" s="25" t="n">
        <f aca="false">M65-M66+M67</f>
        <v>364.89578931074</v>
      </c>
    </row>
    <row r="69" customFormat="false" ht="17.15" hidden="false" customHeight="false" outlineLevel="0" collapsed="false">
      <c r="A69" s="4" t="s">
        <v>826</v>
      </c>
      <c r="B69" s="0" t="s">
        <v>74</v>
      </c>
      <c r="E69" s="22" t="n">
        <f aca="false">E68-cash_0</f>
        <v>0</v>
      </c>
    </row>
    <row r="70" customFormat="false" ht="15" hidden="false" customHeight="false" outlineLevel="0" collapsed="false">
      <c r="A70" s="4" t="s">
        <v>827</v>
      </c>
      <c r="B70" s="0" t="s">
        <v>74</v>
      </c>
      <c r="E70" s="25" t="n">
        <f aca="false">debt_ye25</f>
        <v>58.744</v>
      </c>
      <c r="F70" s="25" t="n">
        <f aca="false">E71</f>
        <v>84</v>
      </c>
      <c r="H70" s="25" t="n">
        <f aca="false">F71</f>
        <v>84</v>
      </c>
      <c r="I70" s="25" t="n">
        <f aca="false">H71</f>
        <v>81.253</v>
      </c>
      <c r="J70" s="25" t="n">
        <f aca="false">I71</f>
        <v>92.897114186848</v>
      </c>
      <c r="K70" s="25" t="n">
        <f aca="false">J71</f>
        <v>92.897114186848</v>
      </c>
      <c r="L70" s="25" t="n">
        <f aca="false">K71</f>
        <v>92.897114186848</v>
      </c>
      <c r="M70" s="25" t="n">
        <f aca="false">L71</f>
        <v>92.897114186848</v>
      </c>
    </row>
    <row r="71" customFormat="false" ht="17.15" hidden="false" customHeight="false" outlineLevel="0" collapsed="false">
      <c r="A71" s="4" t="s">
        <v>828</v>
      </c>
      <c r="B71" s="0" t="s">
        <v>74</v>
      </c>
      <c r="E71" s="25" t="n">
        <f aca="false">debt_0</f>
        <v>84</v>
      </c>
      <c r="F71" s="25" t="n">
        <f aca="false">F70-F60+F61+F67</f>
        <v>84</v>
      </c>
      <c r="H71" s="25" t="n">
        <f aca="false">H70-H60+H61+H67</f>
        <v>81.253</v>
      </c>
      <c r="I71" s="25" t="n">
        <f aca="false">I70-I60+I61+I67</f>
        <v>92.897114186848</v>
      </c>
      <c r="J71" s="25" t="n">
        <f aca="false">J70-J60+J61+J67</f>
        <v>92.897114186848</v>
      </c>
      <c r="K71" s="25" t="n">
        <f aca="false">K70-K60+K61+K67</f>
        <v>92.897114186848</v>
      </c>
      <c r="L71" s="25" t="n">
        <f aca="false">L70-L60+L61+L67</f>
        <v>92.897114186848</v>
      </c>
      <c r="M71" s="25" t="n">
        <f aca="false">M70-M60+M61+M67</f>
        <v>92.897114186848</v>
      </c>
      <c r="N71" s="7" t="s">
        <v>829</v>
      </c>
    </row>
    <row r="72" customFormat="false" ht="15" hidden="false" customHeight="false" outlineLevel="0" collapsed="false">
      <c r="A72" s="4" t="s">
        <v>830</v>
      </c>
      <c r="B72" s="0" t="s">
        <v>74</v>
      </c>
      <c r="E72" s="25" t="n">
        <f aca="false">E68-E71</f>
        <v>-1.551</v>
      </c>
      <c r="F72" s="25" t="n">
        <f aca="false">F68-F71</f>
        <v>-5.00535852878981</v>
      </c>
      <c r="H72" s="25" t="n">
        <f aca="false">H68-H71</f>
        <v>-24.9455634360296</v>
      </c>
      <c r="I72" s="25" t="n">
        <f aca="false">I68-I71</f>
        <v>-52.897114186848</v>
      </c>
      <c r="J72" s="25" t="n">
        <f aca="false">J68-J71</f>
        <v>-29.8462062430669</v>
      </c>
      <c r="K72" s="25" t="n">
        <f aca="false">K68-K71</f>
        <v>43.8139445854028</v>
      </c>
      <c r="L72" s="25" t="n">
        <f aca="false">L68-L71</f>
        <v>145.371252661768</v>
      </c>
      <c r="M72" s="25" t="n">
        <f aca="false">M68-M71</f>
        <v>271.998675123892</v>
      </c>
    </row>
    <row r="73" customFormat="false" ht="17.15" hidden="false" customHeight="false" outlineLevel="0" collapsed="false">
      <c r="A73" s="4" t="s">
        <v>831</v>
      </c>
      <c r="B73" s="0" t="s">
        <v>54</v>
      </c>
      <c r="F73" s="24" t="n">
        <f aca="false">px_val</f>
        <v>725.18</v>
      </c>
      <c r="H73" s="24" t="n">
        <f aca="false">px_val*(1+ke)^(2027+mid-t_val)</f>
        <v>782.640018150632</v>
      </c>
      <c r="I73" s="24" t="n">
        <f aca="false">px_val*(1+ke)^(2028+mid-t_val)</f>
        <v>866.397174593089</v>
      </c>
      <c r="J73" s="24" t="n">
        <f aca="false">px_val*(1+ke)^(2029+mid-t_val)</f>
        <v>959.117917221574</v>
      </c>
      <c r="K73" s="24" t="n">
        <f aca="false">px_val*(1+ke)^(2030+mid-t_val)</f>
        <v>1061.76151782523</v>
      </c>
      <c r="L73" s="24" t="n">
        <f aca="false">px_val*(1+ke)^(2031+mid-t_val)</f>
        <v>1175.38990826099</v>
      </c>
      <c r="M73" s="24" t="n">
        <f aca="false">px_val*(1+ke)^(2032+mid-t_val)</f>
        <v>1301.17866700569</v>
      </c>
    </row>
    <row r="75" customFormat="false" ht="17.15" hidden="false" customHeight="false" outlineLevel="0" collapsed="false">
      <c r="A75" s="26" t="s">
        <v>719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1" t="s">
        <v>660</v>
      </c>
      <c r="D76" s="21" t="s">
        <v>661</v>
      </c>
      <c r="E76" s="21" t="s">
        <v>662</v>
      </c>
      <c r="F76" s="21" t="s">
        <v>663</v>
      </c>
      <c r="G76" s="21" t="s">
        <v>664</v>
      </c>
      <c r="H76" s="21" t="s">
        <v>665</v>
      </c>
      <c r="I76" s="21" t="s">
        <v>666</v>
      </c>
      <c r="J76" s="21" t="s">
        <v>667</v>
      </c>
      <c r="K76" s="21" t="s">
        <v>668</v>
      </c>
      <c r="L76" s="21" t="s">
        <v>669</v>
      </c>
      <c r="M76" s="21" t="s">
        <v>670</v>
      </c>
      <c r="N76" s="3" t="s">
        <v>50</v>
      </c>
    </row>
    <row r="77" customFormat="false" ht="15" hidden="false" customHeight="false" outlineLevel="0" collapsed="false">
      <c r="A77" s="4" t="s">
        <v>584</v>
      </c>
      <c r="B77" s="0" t="s">
        <v>74</v>
      </c>
      <c r="C77" s="25" t="n">
        <f aca="false">PL!C139</f>
        <v>62.36</v>
      </c>
      <c r="D77" s="25" t="n">
        <f aca="false">PL!D139</f>
        <v>60.458</v>
      </c>
      <c r="E77" s="25" t="n">
        <f aca="false">PL!E139</f>
        <v>52.481</v>
      </c>
      <c r="F77" s="25" t="n">
        <f aca="false">PL!F139</f>
        <v>21.7019357723541</v>
      </c>
      <c r="G77" s="25" t="n">
        <f aca="false">PL!G139</f>
        <v>74.1829357723541</v>
      </c>
      <c r="H77" s="25" t="n">
        <f aca="false">PL!H139</f>
        <v>75.6481357690923</v>
      </c>
      <c r="I77" s="25" t="n">
        <f aca="false">PL!I139</f>
        <v>69.8258779812665</v>
      </c>
      <c r="J77" s="25" t="n">
        <f aca="false">PL!J139</f>
        <v>59.171682717976</v>
      </c>
      <c r="K77" s="25" t="n">
        <f aca="false">PL!K139</f>
        <v>47.1740739510298</v>
      </c>
      <c r="L77" s="25" t="n">
        <f aca="false">PL!L139</f>
        <v>49.8349622612401</v>
      </c>
      <c r="M77" s="25" t="n">
        <f aca="false">PL!M139</f>
        <v>54.3519523484872</v>
      </c>
    </row>
    <row r="78" customFormat="false" ht="15" hidden="false" customHeight="false" outlineLevel="0" collapsed="false">
      <c r="A78" s="4" t="s">
        <v>589</v>
      </c>
      <c r="B78" s="0" t="s">
        <v>74</v>
      </c>
      <c r="C78" s="25" t="n">
        <f aca="false">PL!C123</f>
        <v>15.498</v>
      </c>
      <c r="D78" s="25" t="n">
        <f aca="false">PL!D123</f>
        <v>18.616</v>
      </c>
      <c r="E78" s="25" t="n">
        <f aca="false">PL!E123</f>
        <v>19.509</v>
      </c>
      <c r="F78" s="25" t="n">
        <f aca="false">PL!F123</f>
        <v>9.41301293804891</v>
      </c>
      <c r="G78" s="25" t="n">
        <f aca="false">PL!G123</f>
        <v>28.9220129380489</v>
      </c>
      <c r="H78" s="25" t="n">
        <f aca="false">PL!H123</f>
        <v>52.6501670392876</v>
      </c>
      <c r="I78" s="25" t="n">
        <f aca="false">PL!I123</f>
        <v>76.9412793898676</v>
      </c>
      <c r="J78" s="25" t="n">
        <f aca="false">PL!J123</f>
        <v>100.967105119248</v>
      </c>
      <c r="K78" s="25" t="n">
        <f aca="false">PL!K123</f>
        <v>120.957233163928</v>
      </c>
      <c r="L78" s="25" t="n">
        <f aca="false">PL!L123</f>
        <v>136.317620696317</v>
      </c>
      <c r="M78" s="25" t="n">
        <f aca="false">PL!M123</f>
        <v>153.306807461389</v>
      </c>
    </row>
    <row r="79" customFormat="false" ht="15" hidden="false" customHeight="false" outlineLevel="0" collapsed="false">
      <c r="A79" s="4" t="s">
        <v>801</v>
      </c>
      <c r="B79" s="0" t="s">
        <v>74</v>
      </c>
      <c r="C79" s="25" t="n">
        <f aca="false">PL!C149</f>
        <v>16.69</v>
      </c>
      <c r="D79" s="25" t="n">
        <f aca="false">PL!D149</f>
        <v>20.427</v>
      </c>
      <c r="E79" s="25" t="n">
        <f aca="false">PL!E149</f>
        <v>21.053</v>
      </c>
      <c r="F79" s="25" t="n">
        <f aca="false">PL!F149</f>
        <v>8.51156108610724</v>
      </c>
      <c r="G79" s="25" t="n">
        <f aca="false">PL!G149</f>
        <v>29.5645610861072</v>
      </c>
      <c r="H79" s="25" t="n">
        <f aca="false">PL!H149</f>
        <v>34.4679790024441</v>
      </c>
      <c r="I79" s="25" t="n">
        <f aca="false">PL!I149</f>
        <v>39.6498491739776</v>
      </c>
      <c r="J79" s="25" t="n">
        <f aca="false">PL!J149</f>
        <v>43.7229525682619</v>
      </c>
      <c r="K79" s="25" t="n">
        <f aca="false">PL!K149</f>
        <v>46.1351035481611</v>
      </c>
      <c r="L79" s="25" t="n">
        <f aca="false">PL!L149</f>
        <v>49.9895909790575</v>
      </c>
      <c r="M79" s="25" t="n">
        <f aca="false">PL!M149</f>
        <v>54.1732038614184</v>
      </c>
    </row>
    <row r="80" customFormat="false" ht="15" hidden="false" customHeight="false" outlineLevel="0" collapsed="false">
      <c r="A80" s="4" t="s">
        <v>802</v>
      </c>
      <c r="B80" s="0" t="s">
        <v>74</v>
      </c>
      <c r="F80" s="28" t="n">
        <v>0</v>
      </c>
      <c r="G80" s="25" t="n">
        <f aca="false">F80</f>
        <v>0</v>
      </c>
      <c r="H80" s="25" t="n">
        <f aca="false">wc_k*(PL!H110-PL!G110)</f>
        <v>0</v>
      </c>
      <c r="I80" s="25" t="n">
        <f aca="false">wc_k*(PL!I110-PL!H110)</f>
        <v>0</v>
      </c>
      <c r="J80" s="25" t="n">
        <f aca="false">wc_k*(PL!J110-PL!I110)</f>
        <v>0</v>
      </c>
      <c r="K80" s="25" t="n">
        <f aca="false">wc_k*(PL!K110-PL!J110)</f>
        <v>0</v>
      </c>
      <c r="L80" s="25" t="n">
        <f aca="false">wc_k*(PL!L110-PL!K110)</f>
        <v>0</v>
      </c>
      <c r="M80" s="25" t="n">
        <f aca="false">wc_k*(PL!M110-PL!L110)</f>
        <v>0</v>
      </c>
    </row>
    <row r="81" customFormat="false" ht="17.15" hidden="false" customHeight="false" outlineLevel="0" collapsed="false">
      <c r="A81" s="4" t="s">
        <v>803</v>
      </c>
      <c r="B81" s="0" t="s">
        <v>74</v>
      </c>
      <c r="F81" s="28" t="n">
        <v>0</v>
      </c>
      <c r="G81" s="25" t="n">
        <f aca="false">F81</f>
        <v>0</v>
      </c>
      <c r="H81" s="25" t="n">
        <f aca="false">-ag_y1</f>
        <v>-1.27</v>
      </c>
      <c r="I81" s="25" t="n">
        <f aca="false">-ag_rest</f>
        <v>-1.27</v>
      </c>
      <c r="J81" s="25" t="n">
        <f aca="false">-ag_rest</f>
        <v>-1.27</v>
      </c>
      <c r="K81" s="25" t="n">
        <f aca="false">-ag_rest</f>
        <v>-1.27</v>
      </c>
      <c r="L81" s="25" t="n">
        <f aca="false">-ag_rest</f>
        <v>-1.27</v>
      </c>
      <c r="M81" s="25" t="n">
        <f aca="false">-ag_rest</f>
        <v>-1.27</v>
      </c>
      <c r="N81" s="7" t="s">
        <v>804</v>
      </c>
    </row>
    <row r="82" customFormat="false" ht="15" hidden="false" customHeight="false" outlineLevel="0" collapsed="false">
      <c r="A82" s="4" t="s">
        <v>805</v>
      </c>
      <c r="B82" s="0" t="s">
        <v>74</v>
      </c>
      <c r="C82" s="25" t="n">
        <f aca="false">Q!J37-C77-C78-C79</f>
        <v>-3.22</v>
      </c>
      <c r="D82" s="25" t="n">
        <f aca="false">Q!K37-D77-D78-D79</f>
        <v>16.299</v>
      </c>
      <c r="E82" s="25" t="n">
        <f aca="false">Q!L37-E77-E78-E79</f>
        <v>3.83099999999999</v>
      </c>
      <c r="F82" s="28" t="n">
        <v>0</v>
      </c>
      <c r="G82" s="25" t="n">
        <f aca="false">E82+F82</f>
        <v>3.83099999999999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</row>
    <row r="83" customFormat="false" ht="15" hidden="false" customHeight="false" outlineLevel="0" collapsed="false">
      <c r="A83" s="2" t="s">
        <v>591</v>
      </c>
      <c r="B83" s="7" t="s">
        <v>74</v>
      </c>
      <c r="C83" s="25" t="n">
        <f aca="false">N(C77)+N(C78)+N(C79)+N(C80)+N(C81)+N(C82)</f>
        <v>91.328</v>
      </c>
      <c r="D83" s="25" t="n">
        <f aca="false">N(D77)+N(D78)+N(D79)+N(D80)+N(D81)+N(D82)</f>
        <v>115.8</v>
      </c>
      <c r="E83" s="25" t="n">
        <f aca="false">N(E77)+N(E78)+N(E79)+N(E80)+N(E81)+N(E82)</f>
        <v>96.874</v>
      </c>
      <c r="F83" s="25" t="n">
        <f aca="false">N(F77)+N(F78)+N(F79)+N(F80)+N(F81)+N(F82)</f>
        <v>39.6265097965102</v>
      </c>
      <c r="G83" s="25" t="n">
        <f aca="false">N(G77)+N(G78)+N(G79)+N(G80)+N(G81)+N(G82)</f>
        <v>136.50050979651</v>
      </c>
      <c r="H83" s="25" t="n">
        <f aca="false">N(H77)+N(H78)+N(H79)+N(H80)+N(H81)+N(H82)</f>
        <v>161.496281810824</v>
      </c>
      <c r="I83" s="25" t="n">
        <f aca="false">N(I77)+N(I78)+N(I79)+N(I80)+N(I81)+N(I82)</f>
        <v>185.147006545112</v>
      </c>
      <c r="J83" s="25" t="n">
        <f aca="false">N(J77)+N(J78)+N(J79)+N(J80)+N(J81)+N(J82)</f>
        <v>202.591740405486</v>
      </c>
      <c r="K83" s="25" t="n">
        <f aca="false">N(K77)+N(K78)+N(K79)+N(K80)+N(K81)+N(K82)</f>
        <v>212.996410663119</v>
      </c>
      <c r="L83" s="25" t="n">
        <f aca="false">N(L77)+N(L78)+N(L79)+N(L80)+N(L81)+N(L82)</f>
        <v>234.872173936615</v>
      </c>
      <c r="M83" s="25" t="n">
        <f aca="false">N(M77)+N(M78)+N(M79)+N(M80)+N(M81)+N(M82)</f>
        <v>260.561963671295</v>
      </c>
    </row>
    <row r="84" customFormat="false" ht="17.15" hidden="false" customHeight="false" outlineLevel="0" collapsed="false">
      <c r="A84" s="4" t="s">
        <v>806</v>
      </c>
      <c r="B84" s="0" t="s">
        <v>74</v>
      </c>
      <c r="F84" s="25" t="n">
        <f aca="false">Thesis!F136</f>
        <v>51.1225251709032</v>
      </c>
      <c r="G84" s="25" t="n">
        <f aca="false">F84</f>
        <v>51.1225251709032</v>
      </c>
      <c r="H84" s="25" t="n">
        <f aca="false">Thesis!H136</f>
        <v>162.484802277149</v>
      </c>
      <c r="I84" s="25" t="n">
        <f aca="false">Thesis!I136</f>
        <v>171.998019214412</v>
      </c>
      <c r="J84" s="25" t="n">
        <f aca="false">Thesis!J136</f>
        <v>153.150506489173</v>
      </c>
      <c r="K84" s="25" t="n">
        <f aca="false">Thesis!K136</f>
        <v>129.736773142712</v>
      </c>
      <c r="L84" s="25" t="n">
        <f aca="false">Thesis!L136</f>
        <v>132.068875438412</v>
      </c>
      <c r="M84" s="25" t="n">
        <f aca="false">Thesis!M136</f>
        <v>141.514384146512</v>
      </c>
    </row>
    <row r="85" customFormat="false" ht="17.15" hidden="false" customHeight="false" outlineLevel="0" collapsed="false">
      <c r="A85" s="4" t="s">
        <v>807</v>
      </c>
      <c r="B85" s="0" t="s">
        <v>74</v>
      </c>
      <c r="F85" s="25" t="n">
        <f aca="false">Seg!F64</f>
        <v>3.05347482909677</v>
      </c>
      <c r="G85" s="25" t="n">
        <f aca="false">F85</f>
        <v>3.05347482909677</v>
      </c>
      <c r="H85" s="25" t="n">
        <f aca="false">Seg!H64</f>
        <v>12.3651942609665</v>
      </c>
      <c r="I85" s="25" t="n">
        <f aca="false">Seg!I64</f>
        <v>14.2241611386467</v>
      </c>
      <c r="J85" s="25" t="n">
        <f aca="false">Seg!J64</f>
        <v>15.6853641500491</v>
      </c>
      <c r="K85" s="25" t="n">
        <f aca="false">Seg!K64</f>
        <v>16.5507097930623</v>
      </c>
      <c r="L85" s="25" t="n">
        <f aca="false">Seg!L64</f>
        <v>17.9334855530251</v>
      </c>
      <c r="M85" s="25" t="n">
        <f aca="false">Seg!M64</f>
        <v>19.4343332238272</v>
      </c>
    </row>
    <row r="86" customFormat="false" ht="15" hidden="false" customHeight="false" outlineLevel="0" collapsed="false">
      <c r="A86" s="2" t="s">
        <v>808</v>
      </c>
      <c r="B86" s="7" t="s">
        <v>74</v>
      </c>
      <c r="C86" s="25" t="n">
        <f aca="false">Q!J40</f>
        <v>39.225</v>
      </c>
      <c r="D86" s="25" t="n">
        <f aca="false">Q!K40</f>
        <v>72.215</v>
      </c>
      <c r="E86" s="25" t="n">
        <f aca="false">Q!L40</f>
        <v>85.824</v>
      </c>
      <c r="F86" s="25" t="n">
        <f aca="false">F84+F85</f>
        <v>54.176</v>
      </c>
      <c r="G86" s="25" t="n">
        <f aca="false">E86+F86</f>
        <v>140</v>
      </c>
      <c r="H86" s="25" t="n">
        <f aca="false">H84+H85</f>
        <v>174.849996538115</v>
      </c>
      <c r="I86" s="25" t="n">
        <f aca="false">I84+I85</f>
        <v>186.222180353058</v>
      </c>
      <c r="J86" s="25" t="n">
        <f aca="false">J84+J85</f>
        <v>168.835870639222</v>
      </c>
      <c r="K86" s="25" t="n">
        <f aca="false">K84+K85</f>
        <v>146.287482935774</v>
      </c>
      <c r="L86" s="25" t="n">
        <f aca="false">L84+L85</f>
        <v>150.002360991437</v>
      </c>
      <c r="M86" s="25" t="n">
        <f aca="false">M84+M85</f>
        <v>160.94871737034</v>
      </c>
    </row>
    <row r="87" customFormat="false" ht="15" hidden="false" customHeight="false" outlineLevel="0" collapsed="false">
      <c r="A87" s="26" t="s">
        <v>809</v>
      </c>
      <c r="B87" s="30" t="s">
        <v>74</v>
      </c>
      <c r="C87" s="31" t="n">
        <f aca="false">C83-C86</f>
        <v>52.103</v>
      </c>
      <c r="D87" s="31" t="n">
        <f aca="false">D83-D86</f>
        <v>43.585</v>
      </c>
      <c r="E87" s="31" t="n">
        <f aca="false">E83-E86</f>
        <v>11.05</v>
      </c>
      <c r="F87" s="31" t="n">
        <f aca="false">F83-F86</f>
        <v>-14.5494902034898</v>
      </c>
      <c r="G87" s="31" t="n">
        <f aca="false">G83-G86</f>
        <v>-3.49949020348981</v>
      </c>
      <c r="H87" s="31" t="n">
        <f aca="false">H83-H86</f>
        <v>-13.3537147272914</v>
      </c>
      <c r="I87" s="31" t="n">
        <f aca="false">I83-I86</f>
        <v>-1.07517380794656</v>
      </c>
      <c r="J87" s="31" t="n">
        <f aca="false">J83-J86</f>
        <v>33.7558697662638</v>
      </c>
      <c r="K87" s="31" t="n">
        <f aca="false">K83-K86</f>
        <v>66.7089277273448</v>
      </c>
      <c r="L87" s="31" t="n">
        <f aca="false">L83-L86</f>
        <v>84.8698129451777</v>
      </c>
      <c r="M87" s="31" t="n">
        <f aca="false">M83-M86</f>
        <v>99.613246300955</v>
      </c>
      <c r="N87" s="30"/>
    </row>
    <row r="88" customFormat="false" ht="17.15" hidden="false" customHeight="false" outlineLevel="0" collapsed="false">
      <c r="A88" s="4" t="s">
        <v>810</v>
      </c>
      <c r="B88" s="0" t="s">
        <v>74</v>
      </c>
      <c r="C88" s="22" t="n">
        <f aca="false">C87-Q!J41</f>
        <v>0</v>
      </c>
      <c r="D88" s="22" t="n">
        <f aca="false">D87-Q!K41</f>
        <v>0</v>
      </c>
      <c r="E88" s="22" t="n">
        <f aca="false">E87-Q!L41</f>
        <v>0</v>
      </c>
    </row>
    <row r="89" customFormat="false" ht="17.15" hidden="false" customHeight="false" outlineLevel="0" collapsed="false">
      <c r="A89" s="4" t="s">
        <v>811</v>
      </c>
      <c r="B89" s="0" t="s">
        <v>74</v>
      </c>
      <c r="C89" s="25" t="n">
        <f aca="false">Q!J44</f>
        <v>5.072</v>
      </c>
      <c r="D89" s="25" t="n">
        <f aca="false">Q!K44</f>
        <v>5.324</v>
      </c>
      <c r="E89" s="25" t="n">
        <f aca="false">Q!L44</f>
        <v>4.06</v>
      </c>
      <c r="F89" s="25" t="n">
        <f aca="false">dps/4*sh_out</f>
        <v>1.3632433253</v>
      </c>
      <c r="G89" s="25" t="n">
        <f aca="false">E89+F89</f>
        <v>5.4232433253</v>
      </c>
      <c r="H89" s="25" t="n">
        <f aca="false">dps*(1+dps_g)^(2027-2026)*PL!F144</f>
        <v>5.79286333285191</v>
      </c>
      <c r="I89" s="25" t="n">
        <f aca="false">dps*(1+dps_g)^(2028-2026)*PL!H144</f>
        <v>6.26173571048743</v>
      </c>
      <c r="J89" s="25" t="n">
        <f aca="false">dps*(1+dps_g)^(2029-2026)*PL!I144</f>
        <v>6.66687001095597</v>
      </c>
      <c r="K89" s="25" t="n">
        <f aca="false">dps*(1+dps_g)^(2030-2026)*PL!J144</f>
        <v>7.15007485931482</v>
      </c>
      <c r="L89" s="25" t="n">
        <f aca="false">dps*(1+dps_g)^(2031-2026)*PL!K144</f>
        <v>7.61268470271249</v>
      </c>
      <c r="M89" s="25" t="n">
        <f aca="false">dps*(1+dps_g)^(2032-2026)*PL!L144</f>
        <v>8.10522540297798</v>
      </c>
      <c r="N89" s="7" t="s">
        <v>812</v>
      </c>
    </row>
    <row r="90" customFormat="false" ht="15" hidden="false" customHeight="false" outlineLevel="0" collapsed="false">
      <c r="A90" s="4" t="s">
        <v>778</v>
      </c>
      <c r="B90" s="0" t="s">
        <v>74</v>
      </c>
      <c r="E90" s="25" t="n">
        <f aca="false">PL!E142</f>
        <v>0</v>
      </c>
      <c r="F90" s="25" t="n">
        <f aca="false">PL!F142</f>
        <v>0</v>
      </c>
      <c r="G90" s="25" t="n">
        <f aca="false">PL!G142</f>
        <v>0</v>
      </c>
      <c r="H90" s="25" t="n">
        <f aca="false">PL!H142</f>
        <v>0.8125</v>
      </c>
      <c r="I90" s="25" t="n">
        <f aca="false">PL!I142</f>
        <v>0.8125</v>
      </c>
      <c r="J90" s="25" t="n">
        <f aca="false">PL!J142</f>
        <v>0.609</v>
      </c>
      <c r="K90" s="25" t="n">
        <f aca="false">PL!K142</f>
        <v>0</v>
      </c>
      <c r="L90" s="25" t="n">
        <f aca="false">PL!L142</f>
        <v>0</v>
      </c>
      <c r="M90" s="25" t="n">
        <f aca="false">PL!M142</f>
        <v>0</v>
      </c>
    </row>
    <row r="91" customFormat="false" ht="15" hidden="false" customHeight="false" outlineLevel="0" collapsed="false">
      <c r="A91" s="2" t="s">
        <v>813</v>
      </c>
      <c r="B91" s="7" t="s">
        <v>74</v>
      </c>
      <c r="C91" s="25" t="n">
        <f aca="false">C87-C89-N(C90)</f>
        <v>47.031</v>
      </c>
      <c r="D91" s="25" t="n">
        <f aca="false">D87-D89-N(D90)</f>
        <v>38.261</v>
      </c>
      <c r="E91" s="25" t="n">
        <f aca="false">E87-E89-N(E90)</f>
        <v>6.99</v>
      </c>
      <c r="F91" s="25" t="n">
        <f aca="false">F87-F89-N(F90)</f>
        <v>-15.9127335287898</v>
      </c>
      <c r="G91" s="25" t="n">
        <f aca="false">G87-G89-N(G90)</f>
        <v>-8.92273352878981</v>
      </c>
      <c r="H91" s="25" t="n">
        <f aca="false">H87-H89-N(H90)</f>
        <v>-19.9590780601433</v>
      </c>
      <c r="I91" s="25" t="n">
        <f aca="false">I87-I89-N(I90)</f>
        <v>-8.14940951843398</v>
      </c>
      <c r="J91" s="25" t="n">
        <f aca="false">J87-J89-N(J90)</f>
        <v>26.4799997553078</v>
      </c>
      <c r="K91" s="25" t="n">
        <f aca="false">K87-K89-N(K90)</f>
        <v>59.55885286803</v>
      </c>
      <c r="L91" s="25" t="n">
        <f aca="false">L87-L89-N(L90)</f>
        <v>77.2571282424652</v>
      </c>
      <c r="M91" s="25" t="n">
        <f aca="false">M87-M89-N(M90)</f>
        <v>91.508020897977</v>
      </c>
    </row>
    <row r="92" customFormat="false" ht="17.15" hidden="false" customHeight="false" outlineLevel="0" collapsed="false">
      <c r="A92" s="4" t="s">
        <v>814</v>
      </c>
      <c r="B92" s="0" t="s">
        <v>74</v>
      </c>
      <c r="E92" s="28" t="n">
        <v>0</v>
      </c>
      <c r="F92" s="28" t="n">
        <v>0</v>
      </c>
      <c r="G92" s="25" t="n">
        <f aca="false">E92+F92</f>
        <v>0</v>
      </c>
      <c r="H92" s="25" t="n">
        <f aca="false">mat_27</f>
        <v>2.747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7" t="s">
        <v>815</v>
      </c>
    </row>
    <row r="93" customFormat="false" ht="17.15" hidden="false" customHeight="false" outlineLevel="0" collapsed="false">
      <c r="A93" s="4" t="s">
        <v>816</v>
      </c>
      <c r="B93" s="0" t="s">
        <v>74</v>
      </c>
      <c r="E93" s="28" t="n">
        <v>24.91</v>
      </c>
      <c r="F93" s="28" t="n">
        <v>0</v>
      </c>
      <c r="G93" s="25" t="n">
        <f aca="false">E93+F93</f>
        <v>24.91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7" t="s">
        <v>817</v>
      </c>
    </row>
    <row r="94" customFormat="false" ht="17.15" hidden="false" customHeight="false" outlineLevel="0" collapsed="false">
      <c r="A94" s="4" t="s">
        <v>818</v>
      </c>
      <c r="B94" s="0" t="s">
        <v>74</v>
      </c>
      <c r="E94" s="28" t="n">
        <v>0</v>
      </c>
      <c r="F94" s="25" t="n">
        <f aca="false">mcps</f>
        <v>12.458375</v>
      </c>
      <c r="G94" s="25" t="n">
        <f aca="false">E94+F94</f>
        <v>12.458375</v>
      </c>
      <c r="H94" s="25" t="n">
        <f aca="false">fwd_cash*fwd_on</f>
        <v>24.9168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</row>
    <row r="95" customFormat="false" ht="15" hidden="false" customHeight="false" outlineLevel="0" collapsed="false">
      <c r="A95" s="4" t="s">
        <v>819</v>
      </c>
      <c r="B95" s="0" t="s">
        <v>74</v>
      </c>
      <c r="E95" s="25" t="n">
        <f aca="false">cash_ye25</f>
        <v>81.592</v>
      </c>
      <c r="F95" s="25" t="n">
        <f aca="false">E100</f>
        <v>82.449</v>
      </c>
      <c r="H95" s="25" t="n">
        <f aca="false">F100</f>
        <v>78.9946414712102</v>
      </c>
      <c r="I95" s="25" t="n">
        <f aca="false">H100</f>
        <v>81.2053634110669</v>
      </c>
      <c r="J95" s="25" t="n">
        <f aca="false">I100</f>
        <v>73.0559538926329</v>
      </c>
      <c r="K95" s="25" t="n">
        <f aca="false">J100</f>
        <v>99.5359536479408</v>
      </c>
      <c r="L95" s="25" t="n">
        <f aca="false">K100</f>
        <v>159.094806515971</v>
      </c>
      <c r="M95" s="25" t="n">
        <f aca="false">L100</f>
        <v>236.351934758436</v>
      </c>
    </row>
    <row r="96" customFormat="false" ht="17.15" hidden="false" customHeight="false" outlineLevel="0" collapsed="false">
      <c r="A96" s="4" t="s">
        <v>820</v>
      </c>
      <c r="B96" s="0" t="s">
        <v>74</v>
      </c>
      <c r="E96" s="25" t="n">
        <f aca="false">cash_0-(E95+E87-E89-E90-E92+E93+E94)</f>
        <v>-31.043</v>
      </c>
      <c r="F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</row>
    <row r="97" customFormat="false" ht="15" hidden="false" customHeight="false" outlineLevel="0" collapsed="false">
      <c r="A97" s="4" t="s">
        <v>821</v>
      </c>
      <c r="B97" s="0" t="s">
        <v>74</v>
      </c>
      <c r="E97" s="25" t="n">
        <f aca="false">E95+E87-E89-E90-E92+E93+E94+E96</f>
        <v>82.449</v>
      </c>
      <c r="F97" s="25" t="n">
        <f aca="false">F95+F87-F89-F90-F92+F93+F94+F96</f>
        <v>78.9946414712102</v>
      </c>
      <c r="H97" s="25" t="n">
        <f aca="false">H95+H87-H89-H90-H92+H93+H94+H96</f>
        <v>81.2053634110669</v>
      </c>
      <c r="I97" s="25" t="n">
        <f aca="false">I95+I87-I89-I90-I92+I93+I94+I96</f>
        <v>73.0559538926329</v>
      </c>
      <c r="J97" s="25" t="n">
        <f aca="false">J95+J87-J89-J90-J92+J93+J94+J96</f>
        <v>99.5359536479408</v>
      </c>
      <c r="K97" s="25" t="n">
        <f aca="false">K95+K87-K89-K90-K92+K93+K94+K96</f>
        <v>159.094806515971</v>
      </c>
      <c r="L97" s="25" t="n">
        <f aca="false">L95+L87-L89-L90-L92+L93+L94+L96</f>
        <v>236.351934758436</v>
      </c>
      <c r="M97" s="25" t="n">
        <f aca="false">M95+M87-M89-M90-M92+M93+M94+M96</f>
        <v>327.859955656413</v>
      </c>
    </row>
    <row r="98" customFormat="false" ht="17.15" hidden="false" customHeight="false" outlineLevel="0" collapsed="false">
      <c r="A98" s="4" t="s">
        <v>822</v>
      </c>
      <c r="B98" s="0" t="s">
        <v>74</v>
      </c>
      <c r="E98" s="25" t="n">
        <f aca="false">Q!L43</f>
        <v>0</v>
      </c>
      <c r="F98" s="28" t="n">
        <v>0</v>
      </c>
      <c r="G98" s="25" t="n">
        <f aca="false">E98+F98</f>
        <v>0</v>
      </c>
      <c r="H98" s="25" t="n">
        <f aca="false">MAX(0,MIN(bb_t,H97-min_cash))</f>
        <v>0</v>
      </c>
      <c r="I98" s="25" t="n">
        <f aca="false">MAX(0,MIN(bb_t,I97-min_cash))</f>
        <v>0</v>
      </c>
      <c r="J98" s="25" t="n">
        <f aca="false">MAX(0,MIN(bb_t,J97-min_cash))</f>
        <v>0</v>
      </c>
      <c r="K98" s="25" t="n">
        <f aca="false">MAX(0,MIN(bb_t,K97-min_cash))</f>
        <v>0</v>
      </c>
      <c r="L98" s="25" t="n">
        <f aca="false">MAX(0,MIN(bb_t,L97-min_cash))</f>
        <v>0</v>
      </c>
      <c r="M98" s="25" t="n">
        <f aca="false">MAX(0,MIN(bb_t,M97-min_cash))</f>
        <v>0</v>
      </c>
      <c r="N98" s="7" t="s">
        <v>823</v>
      </c>
    </row>
    <row r="99" customFormat="false" ht="15" hidden="false" customHeight="false" outlineLevel="0" collapsed="false">
      <c r="A99" s="4" t="s">
        <v>824</v>
      </c>
      <c r="B99" s="0" t="s">
        <v>74</v>
      </c>
      <c r="E99" s="28" t="n">
        <v>0</v>
      </c>
      <c r="F99" s="25" t="n">
        <f aca="false">MAX(0,min_cash-(F97-F98))</f>
        <v>0</v>
      </c>
      <c r="G99" s="25" t="n">
        <f aca="false">E99+F99</f>
        <v>0</v>
      </c>
      <c r="H99" s="25" t="n">
        <f aca="false">MAX(0,min_cash-(H97-H98))</f>
        <v>0</v>
      </c>
      <c r="I99" s="25" t="n">
        <f aca="false">MAX(0,min_cash-(I97-I98))</f>
        <v>0</v>
      </c>
      <c r="J99" s="25" t="n">
        <f aca="false">MAX(0,min_cash-(J97-J98))</f>
        <v>0</v>
      </c>
      <c r="K99" s="25" t="n">
        <f aca="false">MAX(0,min_cash-(K97-K98))</f>
        <v>0</v>
      </c>
      <c r="L99" s="25" t="n">
        <f aca="false">MAX(0,min_cash-(L97-L98))</f>
        <v>0</v>
      </c>
      <c r="M99" s="25" t="n">
        <f aca="false">MAX(0,min_cash-(M97-M98))</f>
        <v>0</v>
      </c>
    </row>
    <row r="100" customFormat="false" ht="15" hidden="false" customHeight="false" outlineLevel="0" collapsed="false">
      <c r="A100" s="4" t="s">
        <v>825</v>
      </c>
      <c r="B100" s="0" t="s">
        <v>74</v>
      </c>
      <c r="E100" s="25" t="n">
        <f aca="false">E97-E98+E99</f>
        <v>82.449</v>
      </c>
      <c r="F100" s="25" t="n">
        <f aca="false">F97-F98+F99</f>
        <v>78.9946414712102</v>
      </c>
      <c r="H100" s="25" t="n">
        <f aca="false">H97-H98+H99</f>
        <v>81.2053634110669</v>
      </c>
      <c r="I100" s="25" t="n">
        <f aca="false">I97-I98+I99</f>
        <v>73.0559538926329</v>
      </c>
      <c r="J100" s="25" t="n">
        <f aca="false">J97-J98+J99</f>
        <v>99.5359536479408</v>
      </c>
      <c r="K100" s="25" t="n">
        <f aca="false">K97-K98+K99</f>
        <v>159.094806515971</v>
      </c>
      <c r="L100" s="25" t="n">
        <f aca="false">L97-L98+L99</f>
        <v>236.351934758436</v>
      </c>
      <c r="M100" s="25" t="n">
        <f aca="false">M97-M98+M99</f>
        <v>327.859955656413</v>
      </c>
    </row>
    <row r="101" customFormat="false" ht="17.15" hidden="false" customHeight="false" outlineLevel="0" collapsed="false">
      <c r="A101" s="4" t="s">
        <v>826</v>
      </c>
      <c r="B101" s="0" t="s">
        <v>74</v>
      </c>
      <c r="E101" s="22" t="n">
        <f aca="false">E100-cash_0</f>
        <v>0</v>
      </c>
    </row>
    <row r="102" customFormat="false" ht="15" hidden="false" customHeight="false" outlineLevel="0" collapsed="false">
      <c r="A102" s="4" t="s">
        <v>827</v>
      </c>
      <c r="B102" s="0" t="s">
        <v>74</v>
      </c>
      <c r="E102" s="25" t="n">
        <f aca="false">debt_ye25</f>
        <v>58.744</v>
      </c>
      <c r="F102" s="25" t="n">
        <f aca="false">E103</f>
        <v>84</v>
      </c>
      <c r="H102" s="25" t="n">
        <f aca="false">F103</f>
        <v>84</v>
      </c>
      <c r="I102" s="25" t="n">
        <f aca="false">H103</f>
        <v>81.253</v>
      </c>
      <c r="J102" s="25" t="n">
        <f aca="false">I103</f>
        <v>81.253</v>
      </c>
      <c r="K102" s="25" t="n">
        <f aca="false">J103</f>
        <v>81.253</v>
      </c>
      <c r="L102" s="25" t="n">
        <f aca="false">K103</f>
        <v>81.253</v>
      </c>
      <c r="M102" s="25" t="n">
        <f aca="false">L103</f>
        <v>81.253</v>
      </c>
    </row>
    <row r="103" customFormat="false" ht="17.15" hidden="false" customHeight="false" outlineLevel="0" collapsed="false">
      <c r="A103" s="4" t="s">
        <v>828</v>
      </c>
      <c r="B103" s="0" t="s">
        <v>74</v>
      </c>
      <c r="E103" s="25" t="n">
        <f aca="false">debt_0</f>
        <v>84</v>
      </c>
      <c r="F103" s="25" t="n">
        <f aca="false">F102-F92+F93+F99</f>
        <v>84</v>
      </c>
      <c r="H103" s="25" t="n">
        <f aca="false">H102-H92+H93+H99</f>
        <v>81.253</v>
      </c>
      <c r="I103" s="25" t="n">
        <f aca="false">I102-I92+I93+I99</f>
        <v>81.253</v>
      </c>
      <c r="J103" s="25" t="n">
        <f aca="false">J102-J92+J93+J99</f>
        <v>81.253</v>
      </c>
      <c r="K103" s="25" t="n">
        <f aca="false">K102-K92+K93+K99</f>
        <v>81.253</v>
      </c>
      <c r="L103" s="25" t="n">
        <f aca="false">L102-L92+L93+L99</f>
        <v>81.253</v>
      </c>
      <c r="M103" s="25" t="n">
        <f aca="false">M102-M92+M93+M99</f>
        <v>81.253</v>
      </c>
      <c r="N103" s="7" t="s">
        <v>829</v>
      </c>
    </row>
    <row r="104" customFormat="false" ht="15" hidden="false" customHeight="false" outlineLevel="0" collapsed="false">
      <c r="A104" s="4" t="s">
        <v>830</v>
      </c>
      <c r="B104" s="0" t="s">
        <v>74</v>
      </c>
      <c r="E104" s="25" t="n">
        <f aca="false">E100-E103</f>
        <v>-1.551</v>
      </c>
      <c r="F104" s="25" t="n">
        <f aca="false">F100-F103</f>
        <v>-5.00535852878981</v>
      </c>
      <c r="H104" s="25" t="n">
        <f aca="false">H100-H103</f>
        <v>-0.0476365889330879</v>
      </c>
      <c r="I104" s="25" t="n">
        <f aca="false">I100-I103</f>
        <v>-8.19704610736707</v>
      </c>
      <c r="J104" s="25" t="n">
        <f aca="false">J100-J103</f>
        <v>18.2829536479408</v>
      </c>
      <c r="K104" s="25" t="n">
        <f aca="false">K100-K103</f>
        <v>77.8418065159707</v>
      </c>
      <c r="L104" s="25" t="n">
        <f aca="false">L100-L103</f>
        <v>155.098934758436</v>
      </c>
      <c r="M104" s="25" t="n">
        <f aca="false">M100-M103</f>
        <v>246.606955656413</v>
      </c>
    </row>
    <row r="105" customFormat="false" ht="17.15" hidden="false" customHeight="false" outlineLevel="0" collapsed="false">
      <c r="A105" s="4" t="s">
        <v>831</v>
      </c>
      <c r="B105" s="0" t="s">
        <v>54</v>
      </c>
      <c r="F105" s="24" t="n">
        <f aca="false">px_val</f>
        <v>725.18</v>
      </c>
      <c r="H105" s="24" t="n">
        <f aca="false">px_val*(1+ke)^(2027+mid-t_val)</f>
        <v>782.640018150632</v>
      </c>
      <c r="I105" s="24" t="n">
        <f aca="false">px_val*(1+ke)^(2028+mid-t_val)</f>
        <v>866.397174593089</v>
      </c>
      <c r="J105" s="24" t="n">
        <f aca="false">px_val*(1+ke)^(2029+mid-t_val)</f>
        <v>959.117917221574</v>
      </c>
      <c r="K105" s="24" t="n">
        <f aca="false">px_val*(1+ke)^(2030+mid-t_val)</f>
        <v>1061.76151782523</v>
      </c>
      <c r="L105" s="24" t="n">
        <f aca="false">px_val*(1+ke)^(2031+mid-t_val)</f>
        <v>1175.38990826099</v>
      </c>
      <c r="M105" s="24" t="n">
        <f aca="false">px_val*(1+ke)^(2032+mid-t_val)</f>
        <v>1301.17866700569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832</v>
      </c>
    </row>
    <row r="2" customFormat="false" ht="17.15" hidden="false" customHeight="false" outlineLevel="0" collapsed="false">
      <c r="A2" s="0" t="s">
        <v>833</v>
      </c>
    </row>
    <row r="4" customFormat="false" ht="17.15" hidden="false" customHeight="false" outlineLevel="0" collapsed="false">
      <c r="A4" s="5" t="s">
        <v>834</v>
      </c>
    </row>
    <row r="5" customFormat="false" ht="15" hidden="false" customHeight="false" outlineLevel="0" collapsed="false">
      <c r="A5" s="3" t="s">
        <v>43</v>
      </c>
      <c r="B5" s="3" t="s">
        <v>611</v>
      </c>
      <c r="C5" s="3" t="s">
        <v>835</v>
      </c>
      <c r="D5" s="3" t="s">
        <v>835</v>
      </c>
      <c r="E5" s="3" t="s">
        <v>50</v>
      </c>
    </row>
    <row r="6" customFormat="false" ht="17.15" hidden="false" customHeight="false" outlineLevel="0" collapsed="false">
      <c r="A6" s="8" t="s">
        <v>836</v>
      </c>
      <c r="B6" s="33" t="n">
        <f aca="false">tp_wA*B106+tp_wB*C106+tp_wC*D106</f>
        <v>792.590083247469</v>
      </c>
      <c r="C6" s="8"/>
      <c r="D6" s="8"/>
      <c r="E6" s="8"/>
    </row>
    <row r="7" customFormat="false" ht="17.15" hidden="false" customHeight="false" outlineLevel="0" collapsed="false">
      <c r="A7" s="0" t="s">
        <v>837</v>
      </c>
      <c r="B7" s="25" t="n">
        <f aca="false">tp_wA*B129+tp_wB*C129+tp_wC*D129</f>
        <v>895.604258008327</v>
      </c>
      <c r="E7" s="4" t="s">
        <v>838</v>
      </c>
    </row>
    <row r="8" customFormat="false" ht="17.15" hidden="false" customHeight="false" outlineLevel="0" collapsed="false">
      <c r="A8" s="34" t="s">
        <v>839</v>
      </c>
      <c r="B8" s="33" t="n">
        <f aca="false">w_dcf*B6+(1-w_dcf)*B7</f>
        <v>844.097170627898</v>
      </c>
      <c r="C8" s="8"/>
      <c r="D8" s="8"/>
      <c r="E8" s="8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840</v>
      </c>
      <c r="B9" s="25" t="n">
        <f aca="false">px</f>
        <v>612.49</v>
      </c>
      <c r="E9" s="7" t="s">
        <v>841</v>
      </c>
    </row>
    <row r="10" customFormat="false" ht="17.15" hidden="false" customHeight="false" outlineLevel="0" collapsed="false">
      <c r="A10" s="4" t="s">
        <v>842</v>
      </c>
      <c r="B10" s="25" t="n">
        <f aca="false">cons_tp</f>
        <v>833.12</v>
      </c>
      <c r="E10" s="7" t="s">
        <v>843</v>
      </c>
    </row>
    <row r="11" customFormat="false" ht="15" hidden="false" customHeight="false" outlineLevel="0" collapsed="false">
      <c r="A11" s="34" t="s">
        <v>844</v>
      </c>
      <c r="B11" s="35" t="n">
        <f aca="false">B8/px-1</f>
        <v>0.378140329846851</v>
      </c>
      <c r="C11" s="8"/>
      <c r="D11" s="8"/>
      <c r="E11" s="8"/>
    </row>
    <row r="12" customFormat="false" ht="17.15" hidden="false" customHeight="false" outlineLevel="0" collapsed="false">
      <c r="A12" s="4" t="s">
        <v>845</v>
      </c>
      <c r="B12" s="15" t="n">
        <f aca="false">B7/px-1</f>
        <v>0.462234906705949</v>
      </c>
    </row>
    <row r="13" customFormat="false" ht="17.15" hidden="false" customHeight="false" outlineLevel="0" collapsed="false">
      <c r="A13" s="4" t="s">
        <v>846</v>
      </c>
      <c r="B13" s="36" t="str">
        <f aca="false">IF(B11&gt;=0.5,"大於 50%",IF(B11&gt;=0.25,"25%–50%",IF(B11&gt;=0,"0%–25%",IF(B11&gt;-0.25,"0%～−25%",IF(B11&gt;-0.5,"−25%～−50%","小於 −50%")))))</f>
        <v>25%–50%</v>
      </c>
      <c r="E13" s="4" t="s">
        <v>847</v>
      </c>
    </row>
    <row r="14" customFormat="false" ht="17.15" hidden="false" customHeight="false" outlineLevel="0" collapsed="false">
      <c r="A14" s="34" t="s">
        <v>848</v>
      </c>
      <c r="B14" s="37" t="str">
        <f aca="false">IF(B11&gt;=0.5,"強力買進",IF(B11&gt;=0.25,"買進",IF(B11&gt;-0.25,"中立",IF(B11&gt;-0.5,"放空","強力放空"))))</f>
        <v>買進</v>
      </c>
      <c r="C14" s="8"/>
      <c r="D14" s="8"/>
      <c r="E14" s="9" t="s">
        <v>849</v>
      </c>
    </row>
    <row r="15" customFormat="false" ht="17.15" hidden="false" customHeight="false" outlineLevel="0" collapsed="false">
      <c r="A15" s="4" t="s">
        <v>850</v>
      </c>
      <c r="B15" s="25" t="n">
        <f aca="false">D106</f>
        <v>671.066135194957</v>
      </c>
      <c r="C15" s="25" t="n">
        <f aca="false">B106</f>
        <v>914.114031299981</v>
      </c>
      <c r="E15" s="7" t="s">
        <v>851</v>
      </c>
    </row>
    <row r="16" customFormat="false" ht="17.15" hidden="false" customHeight="false" outlineLevel="0" collapsed="false">
      <c r="A16" s="4" t="s">
        <v>852</v>
      </c>
      <c r="B16" s="25" t="n">
        <f aca="false">D106</f>
        <v>671.066135194957</v>
      </c>
      <c r="E16" s="4" t="s">
        <v>853</v>
      </c>
    </row>
    <row r="17" customFormat="false" ht="17.15" hidden="false" customHeight="false" outlineLevel="0" collapsed="false">
      <c r="A17" s="4" t="s">
        <v>854</v>
      </c>
      <c r="B17" s="25" t="n">
        <f aca="false">w_dcf*B106+(1-w_dcf)*B129</f>
        <v>933.267180688981</v>
      </c>
      <c r="C17" s="25" t="n">
        <f aca="false">w_dcf*C106+(1-w_dcf)*C129</f>
        <v>844.096851628285</v>
      </c>
      <c r="D17" s="25" t="n">
        <f aca="false">w_dcf*D106+(1-w_dcf)*D129</f>
        <v>754.927798566041</v>
      </c>
    </row>
    <row r="18" customFormat="false" ht="17.15" hidden="false" customHeight="false" outlineLevel="0" collapsed="false">
      <c r="A18" s="4" t="s">
        <v>855</v>
      </c>
      <c r="B18" s="15" t="n">
        <f aca="false">B17/px-1</f>
        <v>0.523726396657873</v>
      </c>
      <c r="C18" s="15" t="n">
        <f aca="false">C17/px-1</f>
        <v>0.378139809022653</v>
      </c>
      <c r="D18" s="15" t="n">
        <f aca="false">D17/px-1</f>
        <v>0.232555304684225</v>
      </c>
    </row>
    <row r="19" customFormat="false" ht="17.15" hidden="false" customHeight="false" outlineLevel="0" collapsed="false">
      <c r="A19" s="0" t="s">
        <v>856</v>
      </c>
      <c r="B19" s="15" t="n">
        <f aca="false">B97</f>
        <v>0.7435798725847</v>
      </c>
      <c r="C19" s="15" t="n">
        <f aca="false">C97</f>
        <v>0.734984712848077</v>
      </c>
      <c r="D19" s="15" t="n">
        <f aca="false">D97</f>
        <v>0.723244392846681</v>
      </c>
    </row>
    <row r="20" customFormat="false" ht="17.15" hidden="false" customHeight="false" outlineLevel="0" collapsed="false">
      <c r="A20" s="4" t="s">
        <v>857</v>
      </c>
      <c r="B20" s="25" t="n">
        <f aca="false">w_dcf*(tp_wA*B105+tp_wB*C105+tp_wC*D105)+(1-w_dcf)*(tp_wA*B128+tp_wB*C128+tp_wC*D128)</f>
        <v>844.097170627898</v>
      </c>
      <c r="C20" s="15" t="n">
        <f aca="false">B20/px-1</f>
        <v>0.378140329846851</v>
      </c>
      <c r="D20" s="36" t="str">
        <f aca="false">IF(C20&gt;=0.5,"強力買進",IF(C20&gt;=0.25,"買進",IF(C20&gt;-0.25,"中立",IF(C20&gt;-0.5,"放空","強力放空"))))</f>
        <v>買進</v>
      </c>
      <c r="E20" s="4" t="s">
        <v>858</v>
      </c>
    </row>
    <row r="21" customFormat="false" ht="17.15" hidden="false" customHeight="false" outlineLevel="0" collapsed="false">
      <c r="A21" s="4" t="s">
        <v>859</v>
      </c>
      <c r="B21" s="25" t="n">
        <f aca="false">w_dcf*(tp_wA*B104+tp_wB*C104+tp_wC*D104)+(1-w_dcf)*(tp_wA*B127+tp_wB*C127+tp_wC*D127)</f>
        <v>428.701487951025</v>
      </c>
      <c r="C21" s="15" t="n">
        <f aca="false">B21/px-1</f>
        <v>-0.300067775880382</v>
      </c>
      <c r="D21" s="36" t="str">
        <f aca="false">IF(C21&gt;=0.5,"強力買進",IF(C21&gt;=0.25,"買進",IF(C21&gt;-0.25,"中立",IF(C21&gt;-0.5,"放空","強力放空"))))</f>
        <v>放空</v>
      </c>
      <c r="E21" s="4" t="s">
        <v>860</v>
      </c>
    </row>
    <row r="22" customFormat="false" ht="17.15" hidden="false" customHeight="false" outlineLevel="0" collapsed="false">
      <c r="A22" s="4" t="s">
        <v>861</v>
      </c>
      <c r="B22" s="25" t="n">
        <f aca="false">tp_wA*B104+tp_wB*C104+tp_wC*D104</f>
        <v>134.916353545273</v>
      </c>
      <c r="C22" s="25" t="n">
        <f aca="false">tp_wA*B105+tp_wB*C105+tp_wC*D105</f>
        <v>792.590083247469</v>
      </c>
    </row>
    <row r="23" customFormat="false" ht="17.15" hidden="false" customHeight="false" outlineLevel="0" collapsed="false">
      <c r="A23" s="4" t="s">
        <v>862</v>
      </c>
      <c r="B23" s="25" t="n">
        <f aca="false">tp_wA*B127+tp_wB*C127+tp_wC*D127</f>
        <v>722.486622356777</v>
      </c>
      <c r="C23" s="25" t="n">
        <f aca="false">tp_wA*B128+tp_wB*C128+tp_wC*D128</f>
        <v>895.604258008327</v>
      </c>
    </row>
    <row r="24" customFormat="false" ht="17.15" hidden="false" customHeight="false" outlineLevel="0" collapsed="false">
      <c r="A24" s="4" t="s">
        <v>863</v>
      </c>
      <c r="B24" s="36" t="s">
        <v>864</v>
      </c>
    </row>
    <row r="25" customFormat="false" ht="17.15" hidden="false" customHeight="false" outlineLevel="0" collapsed="false">
      <c r="A25" s="4" t="s">
        <v>865</v>
      </c>
      <c r="B25" s="22" t="n">
        <f aca="false">ROUND(tp_wA+tp_wB+tp_wC,6)</f>
        <v>1</v>
      </c>
    </row>
    <row r="26" customFormat="false" ht="17.15" hidden="false" customHeight="false" outlineLevel="0" collapsed="false">
      <c r="A26" s="4" t="s">
        <v>866</v>
      </c>
      <c r="B26" s="22" t="n">
        <f aca="false">B8-IF(internal_ai_reading=2,B20,B21)</f>
        <v>0</v>
      </c>
    </row>
    <row r="32" customFormat="false" ht="17.15" hidden="false" customHeight="false" outlineLevel="0" collapsed="false">
      <c r="A32" s="5" t="s">
        <v>867</v>
      </c>
    </row>
    <row r="33" customFormat="false" ht="15" hidden="false" customHeight="false" outlineLevel="0" collapsed="false">
      <c r="A33" s="3" t="s">
        <v>43</v>
      </c>
      <c r="B33" s="3" t="s">
        <v>611</v>
      </c>
      <c r="C33" s="3"/>
      <c r="D33" s="3"/>
      <c r="E33" s="3" t="s">
        <v>50</v>
      </c>
    </row>
    <row r="34" customFormat="false" ht="17.15" hidden="false" customHeight="false" outlineLevel="0" collapsed="false">
      <c r="A34" s="4" t="s">
        <v>868</v>
      </c>
      <c r="B34" s="19" t="n">
        <f aca="false">px_val*sh_out</f>
        <v>1853.73484838</v>
      </c>
      <c r="E34" s="4" t="s">
        <v>869</v>
      </c>
    </row>
    <row r="35" customFormat="false" ht="17.15" hidden="false" customHeight="false" outlineLevel="0" collapsed="false">
      <c r="A35" s="4" t="s">
        <v>870</v>
      </c>
      <c r="B35" s="19" t="n">
        <f aca="false">debt_0+fin_lease</f>
        <v>84</v>
      </c>
    </row>
    <row r="36" customFormat="false" ht="17.15" hidden="false" customHeight="false" outlineLevel="0" collapsed="false">
      <c r="A36" s="4" t="s">
        <v>871</v>
      </c>
      <c r="B36" s="38" t="n">
        <f aca="false">rf+beta*erp</f>
        <v>0.10701875</v>
      </c>
      <c r="E36" s="0" t="str">
        <f aca="false">"β（Blume 調整、兩來源中位數）"&amp;TEXT(beta,"0.000")</f>
        <v>β（Blume 調整、兩來源中位數）1.142</v>
      </c>
    </row>
    <row r="37" customFormat="false" ht="15" hidden="false" customHeight="false" outlineLevel="0" collapsed="false">
      <c r="A37" s="4" t="s">
        <v>872</v>
      </c>
      <c r="B37" s="38" t="n">
        <f aca="false">kd*(1-tax)</f>
        <v>0.047796</v>
      </c>
    </row>
    <row r="38" customFormat="false" ht="17.15" hidden="false" customHeight="false" outlineLevel="0" collapsed="false">
      <c r="A38" s="5" t="s">
        <v>873</v>
      </c>
      <c r="B38" s="38" t="n">
        <f aca="false">(B34*ke+B35*B37)/(B34+B35)+wacc_adj</f>
        <v>0.104451468411315</v>
      </c>
    </row>
    <row r="39" customFormat="false" ht="17.15" hidden="false" customHeight="false" outlineLevel="0" collapsed="false">
      <c r="A39" s="4" t="s">
        <v>874</v>
      </c>
      <c r="B39" s="38" t="n">
        <f aca="false">wacc+ronic_sp</f>
        <v>0.104451468411315</v>
      </c>
    </row>
    <row r="41" customFormat="false" ht="17.15" hidden="false" customHeight="false" outlineLevel="0" collapsed="false">
      <c r="A41" s="5" t="s">
        <v>875</v>
      </c>
    </row>
    <row r="42" customFormat="false" ht="17.15" hidden="false" customHeight="false" outlineLevel="0" collapsed="false">
      <c r="A42" s="26" t="s">
        <v>659</v>
      </c>
    </row>
    <row r="43" customFormat="false" ht="15" hidden="false" customHeight="false" outlineLevel="0" collapsed="false">
      <c r="A43" s="3" t="s">
        <v>43</v>
      </c>
      <c r="B43" s="3"/>
      <c r="C43" s="3"/>
      <c r="D43" s="3"/>
      <c r="E43" s="3" t="s">
        <v>50</v>
      </c>
      <c r="F43" s="21" t="s">
        <v>663</v>
      </c>
      <c r="G43" s="3"/>
      <c r="H43" s="21" t="s">
        <v>665</v>
      </c>
      <c r="I43" s="21" t="s">
        <v>666</v>
      </c>
      <c r="J43" s="21" t="s">
        <v>667</v>
      </c>
      <c r="K43" s="21" t="s">
        <v>668</v>
      </c>
      <c r="L43" s="21" t="s">
        <v>669</v>
      </c>
      <c r="M43" s="21" t="s">
        <v>670</v>
      </c>
    </row>
    <row r="44" customFormat="false" ht="17.15" hidden="false" customHeight="false" outlineLevel="0" collapsed="false">
      <c r="A44" s="4" t="s">
        <v>876</v>
      </c>
      <c r="F44" s="25" t="n">
        <f aca="false">PL!F31</f>
        <v>26.019147824231</v>
      </c>
      <c r="H44" s="25" t="n">
        <f aca="false">PL!H31</f>
        <v>100.521325621482</v>
      </c>
      <c r="I44" s="25" t="n">
        <f aca="false">PL!I31</f>
        <v>99.5822018542232</v>
      </c>
      <c r="J44" s="25" t="n">
        <f aca="false">PL!J31</f>
        <v>97.3519445226264</v>
      </c>
      <c r="K44" s="25" t="n">
        <f aca="false">PL!K31</f>
        <v>96.5010296440836</v>
      </c>
      <c r="L44" s="25" t="n">
        <f aca="false">PL!L31</f>
        <v>97.4077186408373</v>
      </c>
      <c r="M44" s="25" t="n">
        <f aca="false">PL!M31</f>
        <v>102.863022218045</v>
      </c>
    </row>
    <row r="45" customFormat="false" ht="17.15" hidden="false" customHeight="false" outlineLevel="0" collapsed="false">
      <c r="A45" s="0" t="s">
        <v>877</v>
      </c>
      <c r="F45" s="25" t="n">
        <f aca="false">(F44+sbc_add*PL!F55)*(1-tax)</f>
        <v>21.8560841723541</v>
      </c>
      <c r="H45" s="25" t="n">
        <f aca="false">(H44+sbc_add*PL!H55)*(1-tax)</f>
        <v>84.4379135220449</v>
      </c>
      <c r="I45" s="25" t="n">
        <f aca="false">(I44+sbc_add*PL!I55)*(1-tax)</f>
        <v>83.6490495575475</v>
      </c>
      <c r="J45" s="25" t="n">
        <f aca="false">(J44+sbc_add*PL!J55)*(1-tax)</f>
        <v>81.7756333990062</v>
      </c>
      <c r="K45" s="25" t="n">
        <f aca="false">(K44+sbc_add*PL!K55)*(1-tax)</f>
        <v>81.0608649010302</v>
      </c>
      <c r="L45" s="25" t="n">
        <f aca="false">(L44+sbc_add*PL!L55)*(1-tax)</f>
        <v>81.8224836583033</v>
      </c>
      <c r="M45" s="25" t="n">
        <f aca="false">(M44+sbc_add*PL!M55)*(1-tax)</f>
        <v>86.4049386631578</v>
      </c>
    </row>
    <row r="46" customFormat="false" ht="15" hidden="false" customHeight="false" outlineLevel="0" collapsed="false">
      <c r="A46" s="4" t="s">
        <v>878</v>
      </c>
      <c r="F46" s="25" t="n">
        <f aca="false">PL!F29</f>
        <v>9.41301293804891</v>
      </c>
      <c r="H46" s="25" t="n">
        <f aca="false">PL!H29</f>
        <v>54.7911189169556</v>
      </c>
      <c r="I46" s="25" t="n">
        <f aca="false">PL!I29</f>
        <v>87.8159161821618</v>
      </c>
      <c r="J46" s="25" t="n">
        <f aca="false">PL!J29</f>
        <v>120.575627343443</v>
      </c>
      <c r="K46" s="25" t="n">
        <f aca="false">PL!K29</f>
        <v>147.290029412339</v>
      </c>
      <c r="L46" s="25" t="n">
        <f aca="false">PL!L29</f>
        <v>167.444184413622</v>
      </c>
      <c r="M46" s="25" t="n">
        <f aca="false">PL!M29</f>
        <v>187.285157318807</v>
      </c>
    </row>
    <row r="47" customFormat="false" ht="15" hidden="false" customHeight="false" outlineLevel="0" collapsed="false">
      <c r="A47" s="4" t="s">
        <v>879</v>
      </c>
      <c r="F47" s="25" t="n">
        <f aca="false">CF!F22</f>
        <v>54.176</v>
      </c>
      <c r="H47" s="25" t="n">
        <f aca="false">CF!H22</f>
        <v>236.561760022156</v>
      </c>
      <c r="I47" s="25" t="n">
        <f aca="false">CF!I22</f>
        <v>252.344346298214</v>
      </c>
      <c r="J47" s="25" t="n">
        <f aca="false">CF!J22</f>
        <v>220.763855050992</v>
      </c>
      <c r="K47" s="25" t="n">
        <f aca="false">CF!K22</f>
        <v>184.843981854783</v>
      </c>
      <c r="L47" s="25" t="n">
        <f aca="false">CF!L22</f>
        <v>174.808131514147</v>
      </c>
      <c r="M47" s="25" t="n">
        <f aca="false">CF!M22</f>
        <v>172.13136568898</v>
      </c>
    </row>
    <row r="48" customFormat="false" ht="15" hidden="false" customHeight="false" outlineLevel="0" collapsed="false">
      <c r="A48" s="4" t="s">
        <v>880</v>
      </c>
      <c r="F48" s="25" t="n">
        <f aca="false">CF!F16</f>
        <v>0</v>
      </c>
      <c r="H48" s="25" t="n">
        <f aca="false">CF!H16</f>
        <v>0</v>
      </c>
      <c r="I48" s="25" t="n">
        <f aca="false">CF!I16</f>
        <v>0</v>
      </c>
      <c r="J48" s="25" t="n">
        <f aca="false">CF!J16</f>
        <v>0</v>
      </c>
      <c r="K48" s="25" t="n">
        <f aca="false">CF!K16</f>
        <v>0</v>
      </c>
      <c r="L48" s="25" t="n">
        <f aca="false">CF!L16</f>
        <v>0</v>
      </c>
      <c r="M48" s="25" t="n">
        <f aca="false">CF!M16</f>
        <v>0</v>
      </c>
    </row>
    <row r="49" customFormat="false" ht="15" hidden="false" customHeight="false" outlineLevel="0" collapsed="false">
      <c r="A49" s="4" t="s">
        <v>881</v>
      </c>
      <c r="F49" s="25" t="n">
        <f aca="false">CF!F17</f>
        <v>0</v>
      </c>
      <c r="H49" s="25" t="n">
        <f aca="false">CF!H17</f>
        <v>-1.27</v>
      </c>
      <c r="I49" s="25" t="n">
        <f aca="false">CF!I17</f>
        <v>-1.27</v>
      </c>
      <c r="J49" s="25" t="n">
        <f aca="false">CF!J17</f>
        <v>-1.27</v>
      </c>
      <c r="K49" s="25" t="n">
        <f aca="false">CF!K17</f>
        <v>-1.27</v>
      </c>
      <c r="L49" s="25" t="n">
        <f aca="false">CF!L17</f>
        <v>-1.27</v>
      </c>
      <c r="M49" s="25" t="n">
        <f aca="false">CF!M17</f>
        <v>-1.27</v>
      </c>
    </row>
    <row r="50" customFormat="false" ht="15" hidden="false" customHeight="false" outlineLevel="0" collapsed="false">
      <c r="A50" s="4" t="s">
        <v>882</v>
      </c>
      <c r="F50" s="25" t="n">
        <f aca="false">F45+F46-F47+F48+F49</f>
        <v>-22.906902889597</v>
      </c>
      <c r="H50" s="25" t="n">
        <f aca="false">H45+H46-H47+H48+H49</f>
        <v>-98.6027275831556</v>
      </c>
      <c r="I50" s="25" t="n">
        <f aca="false">I45+I46-I47+I48+I49</f>
        <v>-82.1493805585043</v>
      </c>
      <c r="J50" s="25" t="n">
        <f aca="false">J45+J46-J47+J48+J49</f>
        <v>-19.6825943085432</v>
      </c>
      <c r="K50" s="25" t="n">
        <f aca="false">K45+K46-K47+K48+K49</f>
        <v>42.2369124585858</v>
      </c>
      <c r="L50" s="25" t="n">
        <f aca="false">L45+L46-L47+L48+L49</f>
        <v>73.1885365577779</v>
      </c>
      <c r="M50" s="25" t="n">
        <f aca="false">M45+M46-M47+M48+M49</f>
        <v>100.288730292985</v>
      </c>
    </row>
    <row r="51" customFormat="false" ht="17.15" hidden="false" customHeight="false" outlineLevel="0" collapsed="false">
      <c r="A51" s="4" t="s">
        <v>883</v>
      </c>
      <c r="F51" s="25" t="n">
        <f aca="false">(PL!F35+Thesis!F64)*(1-tax)</f>
        <v>3.48967401735326</v>
      </c>
      <c r="H51" s="25" t="n">
        <f aca="false">(PL!H35+Thesis!H64)*(1-tax)</f>
        <v>51.6721058566464</v>
      </c>
      <c r="I51" s="25" t="n">
        <f aca="false">(PL!I35+Thesis!I64)*(1-tax)</f>
        <v>100.557837783654</v>
      </c>
      <c r="J51" s="25" t="n">
        <f aca="false">(PL!J35+Thesis!J64)*(1-tax)</f>
        <v>145.153884549649</v>
      </c>
      <c r="K51" s="25" t="n">
        <f aca="false">(PL!K35+Thesis!K64)*(1-tax)</f>
        <v>178.709927439238</v>
      </c>
      <c r="L51" s="25" t="n">
        <f aca="false">(PL!L35+Thesis!L64)*(1-tax)</f>
        <v>201.689001989085</v>
      </c>
      <c r="M51" s="25" t="n">
        <f aca="false">(PL!M35+Thesis!M64)*(1-tax)</f>
        <v>214.31744489902</v>
      </c>
    </row>
    <row r="52" customFormat="false" ht="17.15" hidden="false" customHeight="false" outlineLevel="0" collapsed="false">
      <c r="A52" s="4" t="s">
        <v>884</v>
      </c>
      <c r="F52" s="24" t="n">
        <f aca="false">t_q4</f>
        <v>0.125</v>
      </c>
      <c r="H52" s="24" t="n">
        <f aca="false">2027+mid-t_val</f>
        <v>0.75</v>
      </c>
      <c r="I52" s="24" t="n">
        <f aca="false">2028+mid-t_val</f>
        <v>1.75</v>
      </c>
      <c r="J52" s="24" t="n">
        <f aca="false">2029+mid-t_val</f>
        <v>2.75</v>
      </c>
      <c r="K52" s="24" t="n">
        <f aca="false">2030+mid-t_val</f>
        <v>3.75</v>
      </c>
      <c r="L52" s="24" t="n">
        <f aca="false">2031+mid-t_val</f>
        <v>4.75</v>
      </c>
      <c r="M52" s="24" t="n">
        <f aca="false">2032+mid-t_val</f>
        <v>5.75</v>
      </c>
    </row>
    <row r="53" customFormat="false" ht="17.15" hidden="false" customHeight="false" outlineLevel="0" collapsed="false">
      <c r="A53" s="4" t="s">
        <v>885</v>
      </c>
      <c r="F53" s="14" t="n">
        <f aca="false">1/(1+wacc)^F52</f>
        <v>0.987658192223372</v>
      </c>
      <c r="H53" s="14" t="n">
        <f aca="false">1/(1+wacc)^H52</f>
        <v>0.928196704798031</v>
      </c>
      <c r="I53" s="14" t="n">
        <f aca="false">1/(1+wacc)^I52</f>
        <v>0.840414206821767</v>
      </c>
      <c r="J53" s="14" t="n">
        <f aca="false">1/(1+wacc)^J52</f>
        <v>0.760933577308428</v>
      </c>
      <c r="K53" s="14" t="n">
        <f aca="false">1/(1+wacc)^K52</f>
        <v>0.688969682301191</v>
      </c>
      <c r="L53" s="14" t="n">
        <f aca="false">1/(1+wacc)^L52</f>
        <v>0.623811640444674</v>
      </c>
      <c r="M53" s="14" t="n">
        <f aca="false">1/(1+wacc)^M52</f>
        <v>0.564815800681571</v>
      </c>
    </row>
    <row r="54" customFormat="false" ht="15" hidden="false" customHeight="false" outlineLevel="0" collapsed="false">
      <c r="A54" s="4" t="s">
        <v>886</v>
      </c>
      <c r="F54" s="25" t="n">
        <f aca="false">F50*F53</f>
        <v>-22.6241902973758</v>
      </c>
      <c r="H54" s="25" t="n">
        <f aca="false">H50*H53</f>
        <v>-91.522726826783</v>
      </c>
      <c r="I54" s="25" t="n">
        <f aca="false">I50*I53</f>
        <v>-69.0395065029749</v>
      </c>
      <c r="J54" s="25" t="n">
        <f aca="false">J50*J53</f>
        <v>-14.9771468979103</v>
      </c>
      <c r="K54" s="25" t="n">
        <f aca="false">K50*K53</f>
        <v>29.0999521579751</v>
      </c>
      <c r="L54" s="25" t="n">
        <f aca="false">L50*L53</f>
        <v>45.6558610518524</v>
      </c>
      <c r="M54" s="25" t="n">
        <f aca="false">M50*M53</f>
        <v>56.6446594997704</v>
      </c>
    </row>
    <row r="55" customFormat="false" ht="15" hidden="false" customHeight="false" outlineLevel="0" collapsed="false">
      <c r="A55" s="4" t="s">
        <v>887</v>
      </c>
      <c r="F55" s="25" t="n">
        <f aca="false">F51*F53</f>
        <v>3.44660513142799</v>
      </c>
      <c r="H55" s="25" t="n">
        <f aca="false">H51*H53</f>
        <v>47.9618783861142</v>
      </c>
      <c r="I55" s="25" t="n">
        <f aca="false">I51*I53</f>
        <v>84.5102354806614</v>
      </c>
      <c r="J55" s="25" t="n">
        <f aca="false">J51*J53</f>
        <v>110.452464630579</v>
      </c>
      <c r="K55" s="25" t="n">
        <f aca="false">K51*K53</f>
        <v>123.125721931881</v>
      </c>
      <c r="L55" s="25" t="n">
        <f aca="false">L51*L53</f>
        <v>125.81594719046</v>
      </c>
      <c r="M55" s="25" t="n">
        <f aca="false">M51*M53</f>
        <v>121.049879240669</v>
      </c>
    </row>
    <row r="57" customFormat="false" ht="17.15" hidden="false" customHeight="false" outlineLevel="0" collapsed="false">
      <c r="A57" s="26" t="s">
        <v>718</v>
      </c>
    </row>
    <row r="58" customFormat="false" ht="15" hidden="false" customHeight="false" outlineLevel="0" collapsed="false">
      <c r="A58" s="3" t="s">
        <v>43</v>
      </c>
      <c r="B58" s="3"/>
      <c r="C58" s="3"/>
      <c r="D58" s="3"/>
      <c r="E58" s="3" t="s">
        <v>50</v>
      </c>
      <c r="F58" s="21" t="s">
        <v>663</v>
      </c>
      <c r="G58" s="3"/>
      <c r="H58" s="21" t="s">
        <v>665</v>
      </c>
      <c r="I58" s="21" t="s">
        <v>666</v>
      </c>
      <c r="J58" s="21" t="s">
        <v>667</v>
      </c>
      <c r="K58" s="21" t="s">
        <v>668</v>
      </c>
      <c r="L58" s="21" t="s">
        <v>669</v>
      </c>
      <c r="M58" s="21" t="s">
        <v>670</v>
      </c>
    </row>
    <row r="59" customFormat="false" ht="17.15" hidden="false" customHeight="false" outlineLevel="0" collapsed="false">
      <c r="A59" s="4" t="s">
        <v>876</v>
      </c>
      <c r="F59" s="25" t="n">
        <f aca="false">PL!F78</f>
        <v>26.019147824231</v>
      </c>
      <c r="H59" s="25" t="n">
        <f aca="false">PL!H78</f>
        <v>95.7254222248241</v>
      </c>
      <c r="I59" s="25" t="n">
        <f aca="false">PL!I78</f>
        <v>91.680088266787</v>
      </c>
      <c r="J59" s="25" t="n">
        <f aca="false">PL!J78</f>
        <v>84.3861648965415</v>
      </c>
      <c r="K59" s="25" t="n">
        <f aca="false">PL!K78</f>
        <v>76.289673672315</v>
      </c>
      <c r="L59" s="25" t="n">
        <f aca="false">PL!L78</f>
        <v>77.135703202742</v>
      </c>
      <c r="M59" s="25" t="n">
        <f aca="false">PL!M78</f>
        <v>81.006897002239</v>
      </c>
    </row>
    <row r="60" customFormat="false" ht="17.15" hidden="false" customHeight="false" outlineLevel="0" collapsed="false">
      <c r="A60" s="0" t="s">
        <v>877</v>
      </c>
      <c r="F60" s="25" t="n">
        <f aca="false">(F59+sbc_add*PL!F102)*(1-tax)</f>
        <v>21.8560841723541</v>
      </c>
      <c r="H60" s="25" t="n">
        <f aca="false">(H59+sbc_add*PL!H102)*(1-tax)</f>
        <v>80.4093546688523</v>
      </c>
      <c r="I60" s="25" t="n">
        <f aca="false">(I59+sbc_add*PL!I102)*(1-tax)</f>
        <v>77.0112741441011</v>
      </c>
      <c r="J60" s="25" t="n">
        <f aca="false">(J59+sbc_add*PL!J102)*(1-tax)</f>
        <v>70.8843785130948</v>
      </c>
      <c r="K60" s="25" t="n">
        <f aca="false">(K59+sbc_add*PL!K102)*(1-tax)</f>
        <v>64.0833258847446</v>
      </c>
      <c r="L60" s="25" t="n">
        <f aca="false">(L59+sbc_add*PL!L102)*(1-tax)</f>
        <v>64.7939906903033</v>
      </c>
      <c r="M60" s="25" t="n">
        <f aca="false">(M59+sbc_add*PL!M102)*(1-tax)</f>
        <v>68.0457934818808</v>
      </c>
    </row>
    <row r="61" customFormat="false" ht="15" hidden="false" customHeight="false" outlineLevel="0" collapsed="false">
      <c r="A61" s="4" t="s">
        <v>878</v>
      </c>
      <c r="F61" s="25" t="n">
        <f aca="false">PL!F76</f>
        <v>9.41301293804891</v>
      </c>
      <c r="H61" s="25" t="n">
        <f aca="false">PL!H76</f>
        <v>53.7206429781216</v>
      </c>
      <c r="I61" s="25" t="n">
        <f aca="false">PL!I76</f>
        <v>82.3785977860147</v>
      </c>
      <c r="J61" s="25" t="n">
        <f aca="false">PL!J76</f>
        <v>110.771366231345</v>
      </c>
      <c r="K61" s="25" t="n">
        <f aca="false">PL!K76</f>
        <v>134.123631288134</v>
      </c>
      <c r="L61" s="25" t="n">
        <f aca="false">PL!L76</f>
        <v>151.88090255497</v>
      </c>
      <c r="M61" s="25" t="n">
        <f aca="false">PL!M76</f>
        <v>170.295982390098</v>
      </c>
    </row>
    <row r="62" customFormat="false" ht="15" hidden="false" customHeight="false" outlineLevel="0" collapsed="false">
      <c r="A62" s="4" t="s">
        <v>879</v>
      </c>
      <c r="F62" s="25" t="n">
        <f aca="false">CF!F54</f>
        <v>54.176</v>
      </c>
      <c r="H62" s="25" t="n">
        <f aca="false">CF!H54</f>
        <v>205.705878280136</v>
      </c>
      <c r="I62" s="25" t="n">
        <f aca="false">CF!I54</f>
        <v>219.283263325636</v>
      </c>
      <c r="J62" s="25" t="n">
        <f aca="false">CF!J54</f>
        <v>194.799862845107</v>
      </c>
      <c r="K62" s="25" t="n">
        <f aca="false">CF!K54</f>
        <v>165.565732395279</v>
      </c>
      <c r="L62" s="25" t="n">
        <f aca="false">CF!L54</f>
        <v>162.405246252792</v>
      </c>
      <c r="M62" s="25" t="n">
        <f aca="false">CF!M54</f>
        <v>166.54004152966</v>
      </c>
    </row>
    <row r="63" customFormat="false" ht="15" hidden="false" customHeight="false" outlineLevel="0" collapsed="false">
      <c r="A63" s="4" t="s">
        <v>880</v>
      </c>
      <c r="F63" s="25" t="n">
        <f aca="false">CF!F48</f>
        <v>0</v>
      </c>
      <c r="H63" s="25" t="n">
        <f aca="false">CF!H48</f>
        <v>0</v>
      </c>
      <c r="I63" s="25" t="n">
        <f aca="false">CF!I48</f>
        <v>0</v>
      </c>
      <c r="J63" s="25" t="n">
        <f aca="false">CF!J48</f>
        <v>0</v>
      </c>
      <c r="K63" s="25" t="n">
        <f aca="false">CF!K48</f>
        <v>0</v>
      </c>
      <c r="L63" s="25" t="n">
        <f aca="false">CF!L48</f>
        <v>0</v>
      </c>
      <c r="M63" s="25" t="n">
        <f aca="false">CF!M48</f>
        <v>0</v>
      </c>
    </row>
    <row r="64" customFormat="false" ht="15" hidden="false" customHeight="false" outlineLevel="0" collapsed="false">
      <c r="A64" s="4" t="s">
        <v>881</v>
      </c>
      <c r="F64" s="25" t="n">
        <f aca="false">CF!F49</f>
        <v>0</v>
      </c>
      <c r="H64" s="25" t="n">
        <f aca="false">CF!H49</f>
        <v>-1.27</v>
      </c>
      <c r="I64" s="25" t="n">
        <f aca="false">CF!I49</f>
        <v>-1.27</v>
      </c>
      <c r="J64" s="25" t="n">
        <f aca="false">CF!J49</f>
        <v>-1.27</v>
      </c>
      <c r="K64" s="25" t="n">
        <f aca="false">CF!K49</f>
        <v>-1.27</v>
      </c>
      <c r="L64" s="25" t="n">
        <f aca="false">CF!L49</f>
        <v>-1.27</v>
      </c>
      <c r="M64" s="25" t="n">
        <f aca="false">CF!M49</f>
        <v>-1.27</v>
      </c>
    </row>
    <row r="65" customFormat="false" ht="15" hidden="false" customHeight="false" outlineLevel="0" collapsed="false">
      <c r="A65" s="4" t="s">
        <v>882</v>
      </c>
      <c r="F65" s="25" t="n">
        <f aca="false">F60+F61-F62+F63+F64</f>
        <v>-22.906902889597</v>
      </c>
      <c r="H65" s="25" t="n">
        <f aca="false">H60+H61-H62+H63+H64</f>
        <v>-72.8458806331618</v>
      </c>
      <c r="I65" s="25" t="n">
        <f aca="false">I60+I61-I62+I63+I64</f>
        <v>-61.1633913955201</v>
      </c>
      <c r="J65" s="25" t="n">
        <f aca="false">J60+J61-J62+J63+J64</f>
        <v>-14.4141181006669</v>
      </c>
      <c r="K65" s="25" t="n">
        <f aca="false">K60+K61-K62+K63+K64</f>
        <v>31.3712247775993</v>
      </c>
      <c r="L65" s="25" t="n">
        <f aca="false">L60+L61-L62+L63+L64</f>
        <v>52.9996469924807</v>
      </c>
      <c r="M65" s="25" t="n">
        <f aca="false">M60+M61-M62+M63+M64</f>
        <v>70.531734342319</v>
      </c>
    </row>
    <row r="66" customFormat="false" ht="17.15" hidden="false" customHeight="false" outlineLevel="0" collapsed="false">
      <c r="A66" s="4" t="s">
        <v>883</v>
      </c>
      <c r="F66" s="25" t="n">
        <f aca="false">(PL!F82+Thesis!F107)*(1-tax)</f>
        <v>3.48967401735326</v>
      </c>
      <c r="H66" s="25" t="n">
        <f aca="false">(PL!H82+Thesis!H107)*(1-tax)</f>
        <v>48.4265022377412</v>
      </c>
      <c r="I66" s="25" t="n">
        <f aca="false">(PL!I82+Thesis!I107)*(1-tax)</f>
        <v>90.6329826132516</v>
      </c>
      <c r="J66" s="25" t="n">
        <f aca="false">(PL!J82+Thesis!J107)*(1-tax)</f>
        <v>129.168640778222</v>
      </c>
      <c r="K66" s="25" t="n">
        <f aca="false">(PL!K82+Thesis!K107)*(1-tax)</f>
        <v>158.238708485078</v>
      </c>
      <c r="L66" s="25" t="n">
        <f aca="false">(PL!L82+Thesis!L107)*(1-tax)</f>
        <v>178.244687938898</v>
      </c>
      <c r="M66" s="25" t="n">
        <f aca="false">(PL!M82+Thesis!M107)*(1-tax)</f>
        <v>189.385256318218</v>
      </c>
    </row>
    <row r="67" customFormat="false" ht="17.15" hidden="false" customHeight="false" outlineLevel="0" collapsed="false">
      <c r="A67" s="4" t="s">
        <v>884</v>
      </c>
      <c r="F67" s="24" t="n">
        <f aca="false">t_q4</f>
        <v>0.125</v>
      </c>
      <c r="H67" s="24" t="n">
        <f aca="false">2027+mid-t_val</f>
        <v>0.75</v>
      </c>
      <c r="I67" s="24" t="n">
        <f aca="false">2028+mid-t_val</f>
        <v>1.75</v>
      </c>
      <c r="J67" s="24" t="n">
        <f aca="false">2029+mid-t_val</f>
        <v>2.75</v>
      </c>
      <c r="K67" s="24" t="n">
        <f aca="false">2030+mid-t_val</f>
        <v>3.75</v>
      </c>
      <c r="L67" s="24" t="n">
        <f aca="false">2031+mid-t_val</f>
        <v>4.75</v>
      </c>
      <c r="M67" s="24" t="n">
        <f aca="false">2032+mid-t_val</f>
        <v>5.75</v>
      </c>
    </row>
    <row r="68" customFormat="false" ht="17.15" hidden="false" customHeight="false" outlineLevel="0" collapsed="false">
      <c r="A68" s="4" t="s">
        <v>885</v>
      </c>
      <c r="F68" s="14" t="n">
        <f aca="false">1/(1+wacc)^F67</f>
        <v>0.987658192223372</v>
      </c>
      <c r="H68" s="14" t="n">
        <f aca="false">1/(1+wacc)^H67</f>
        <v>0.928196704798031</v>
      </c>
      <c r="I68" s="14" t="n">
        <f aca="false">1/(1+wacc)^I67</f>
        <v>0.840414206821767</v>
      </c>
      <c r="J68" s="14" t="n">
        <f aca="false">1/(1+wacc)^J67</f>
        <v>0.760933577308428</v>
      </c>
      <c r="K68" s="14" t="n">
        <f aca="false">1/(1+wacc)^K67</f>
        <v>0.688969682301191</v>
      </c>
      <c r="L68" s="14" t="n">
        <f aca="false">1/(1+wacc)^L67</f>
        <v>0.623811640444674</v>
      </c>
      <c r="M68" s="14" t="n">
        <f aca="false">1/(1+wacc)^M67</f>
        <v>0.564815800681571</v>
      </c>
    </row>
    <row r="69" customFormat="false" ht="15" hidden="false" customHeight="false" outlineLevel="0" collapsed="false">
      <c r="A69" s="4" t="s">
        <v>886</v>
      </c>
      <c r="F69" s="25" t="n">
        <f aca="false">F65*F68</f>
        <v>-22.6241902973758</v>
      </c>
      <c r="H69" s="25" t="n">
        <f aca="false">H65*H68</f>
        <v>-67.6153063618115</v>
      </c>
      <c r="I69" s="25" t="n">
        <f aca="false">I65*I68</f>
        <v>-51.4025830661953</v>
      </c>
      <c r="J69" s="25" t="n">
        <f aca="false">J65*J68</f>
        <v>-10.9681864500866</v>
      </c>
      <c r="K69" s="25" t="n">
        <f aca="false">K65*K68</f>
        <v>21.6138227684219</v>
      </c>
      <c r="L69" s="25" t="n">
        <f aca="false">L65*L68</f>
        <v>33.061796733368</v>
      </c>
      <c r="M69" s="25" t="n">
        <f aca="false">M65*M68</f>
        <v>39.8374380060168</v>
      </c>
    </row>
    <row r="70" customFormat="false" ht="15" hidden="false" customHeight="false" outlineLevel="0" collapsed="false">
      <c r="A70" s="4" t="s">
        <v>887</v>
      </c>
      <c r="F70" s="25" t="n">
        <f aca="false">F66*F68</f>
        <v>3.44660513142799</v>
      </c>
      <c r="H70" s="25" t="n">
        <f aca="false">H66*H68</f>
        <v>44.9493198019659</v>
      </c>
      <c r="I70" s="25" t="n">
        <f aca="false">I66*I68</f>
        <v>76.1692461948069</v>
      </c>
      <c r="J70" s="25" t="n">
        <f aca="false">J66*J68</f>
        <v>98.2887559034396</v>
      </c>
      <c r="K70" s="25" t="n">
        <f aca="false">K66*K68</f>
        <v>109.021672712715</v>
      </c>
      <c r="L70" s="25" t="n">
        <f aca="false">L66*L68</f>
        <v>111.191111183713</v>
      </c>
      <c r="M70" s="25" t="n">
        <f aca="false">M66*M68</f>
        <v>106.967785184659</v>
      </c>
    </row>
    <row r="72" customFormat="false" ht="17.15" hidden="false" customHeight="false" outlineLevel="0" collapsed="false">
      <c r="A72" s="26" t="s">
        <v>719</v>
      </c>
    </row>
    <row r="73" customFormat="false" ht="15" hidden="false" customHeight="false" outlineLevel="0" collapsed="false">
      <c r="A73" s="3" t="s">
        <v>43</v>
      </c>
      <c r="B73" s="3"/>
      <c r="C73" s="3"/>
      <c r="D73" s="3"/>
      <c r="E73" s="3" t="s">
        <v>50</v>
      </c>
      <c r="F73" s="21" t="s">
        <v>663</v>
      </c>
      <c r="G73" s="3"/>
      <c r="H73" s="21" t="s">
        <v>665</v>
      </c>
      <c r="I73" s="21" t="s">
        <v>666</v>
      </c>
      <c r="J73" s="21" t="s">
        <v>667</v>
      </c>
      <c r="K73" s="21" t="s">
        <v>668</v>
      </c>
      <c r="L73" s="21" t="s">
        <v>669</v>
      </c>
      <c r="M73" s="21" t="s">
        <v>670</v>
      </c>
    </row>
    <row r="74" customFormat="false" ht="17.15" hidden="false" customHeight="false" outlineLevel="0" collapsed="false">
      <c r="A74" s="4" t="s">
        <v>876</v>
      </c>
      <c r="F74" s="25" t="n">
        <f aca="false">PL!F125</f>
        <v>26.019147824231</v>
      </c>
      <c r="H74" s="25" t="n">
        <f aca="false">PL!H125</f>
        <v>90.9295188281663</v>
      </c>
      <c r="I74" s="25" t="n">
        <f aca="false">PL!I125</f>
        <v>83.7779746793508</v>
      </c>
      <c r="J74" s="25" t="n">
        <f aca="false">PL!J125</f>
        <v>71.4203852704566</v>
      </c>
      <c r="K74" s="25" t="n">
        <f aca="false">PL!K125</f>
        <v>56.0783177005465</v>
      </c>
      <c r="L74" s="25" t="n">
        <f aca="false">PL!L125</f>
        <v>56.863687764647</v>
      </c>
      <c r="M74" s="25" t="n">
        <f aca="false">PL!M125</f>
        <v>59.150771786433</v>
      </c>
    </row>
    <row r="75" customFormat="false" ht="17.15" hidden="false" customHeight="false" outlineLevel="0" collapsed="false">
      <c r="A75" s="0" t="s">
        <v>877</v>
      </c>
      <c r="F75" s="25" t="n">
        <f aca="false">(F74+sbc_add*PL!F149)*(1-tax)</f>
        <v>21.8560841723541</v>
      </c>
      <c r="H75" s="25" t="n">
        <f aca="false">(H74+sbc_add*PL!H149)*(1-tax)</f>
        <v>76.3807958156597</v>
      </c>
      <c r="I75" s="25" t="n">
        <f aca="false">(I74+sbc_add*PL!I149)*(1-tax)</f>
        <v>70.3734987306547</v>
      </c>
      <c r="J75" s="25" t="n">
        <f aca="false">(J74+sbc_add*PL!J149)*(1-tax)</f>
        <v>59.9931236271836</v>
      </c>
      <c r="K75" s="25" t="n">
        <f aca="false">(K74+sbc_add*PL!K149)*(1-tax)</f>
        <v>47.105786868459</v>
      </c>
      <c r="L75" s="25" t="n">
        <f aca="false">(L74+sbc_add*PL!L149)*(1-tax)</f>
        <v>47.7654977223035</v>
      </c>
      <c r="M75" s="25" t="n">
        <f aca="false">(M74+sbc_add*PL!M149)*(1-tax)</f>
        <v>49.6866483006037</v>
      </c>
    </row>
    <row r="76" customFormat="false" ht="15" hidden="false" customHeight="false" outlineLevel="0" collapsed="false">
      <c r="A76" s="4" t="s">
        <v>878</v>
      </c>
      <c r="F76" s="25" t="n">
        <f aca="false">PL!F123</f>
        <v>9.41301293804891</v>
      </c>
      <c r="H76" s="25" t="n">
        <f aca="false">PL!H123</f>
        <v>52.6501670392876</v>
      </c>
      <c r="I76" s="25" t="n">
        <f aca="false">PL!I123</f>
        <v>76.9412793898676</v>
      </c>
      <c r="J76" s="25" t="n">
        <f aca="false">PL!J123</f>
        <v>100.967105119248</v>
      </c>
      <c r="K76" s="25" t="n">
        <f aca="false">PL!K123</f>
        <v>120.957233163928</v>
      </c>
      <c r="L76" s="25" t="n">
        <f aca="false">PL!L123</f>
        <v>136.317620696317</v>
      </c>
      <c r="M76" s="25" t="n">
        <f aca="false">PL!M123</f>
        <v>153.306807461389</v>
      </c>
    </row>
    <row r="77" customFormat="false" ht="15" hidden="false" customHeight="false" outlineLevel="0" collapsed="false">
      <c r="A77" s="4" t="s">
        <v>879</v>
      </c>
      <c r="F77" s="25" t="n">
        <f aca="false">CF!F86</f>
        <v>54.176</v>
      </c>
      <c r="H77" s="25" t="n">
        <f aca="false">CF!H86</f>
        <v>174.849996538115</v>
      </c>
      <c r="I77" s="25" t="n">
        <f aca="false">CF!I86</f>
        <v>186.222180353058</v>
      </c>
      <c r="J77" s="25" t="n">
        <f aca="false">CF!J86</f>
        <v>168.835870639222</v>
      </c>
      <c r="K77" s="25" t="n">
        <f aca="false">CF!K86</f>
        <v>146.287482935774</v>
      </c>
      <c r="L77" s="25" t="n">
        <f aca="false">CF!L86</f>
        <v>150.002360991437</v>
      </c>
      <c r="M77" s="25" t="n">
        <f aca="false">CF!M86</f>
        <v>160.94871737034</v>
      </c>
    </row>
    <row r="78" customFormat="false" ht="15" hidden="false" customHeight="false" outlineLevel="0" collapsed="false">
      <c r="A78" s="4" t="s">
        <v>880</v>
      </c>
      <c r="F78" s="25" t="n">
        <f aca="false">CF!F80</f>
        <v>0</v>
      </c>
      <c r="H78" s="25" t="n">
        <f aca="false">CF!H80</f>
        <v>0</v>
      </c>
      <c r="I78" s="25" t="n">
        <f aca="false">CF!I80</f>
        <v>0</v>
      </c>
      <c r="J78" s="25" t="n">
        <f aca="false">CF!J80</f>
        <v>0</v>
      </c>
      <c r="K78" s="25" t="n">
        <f aca="false">CF!K80</f>
        <v>0</v>
      </c>
      <c r="L78" s="25" t="n">
        <f aca="false">CF!L80</f>
        <v>0</v>
      </c>
      <c r="M78" s="25" t="n">
        <f aca="false">CF!M80</f>
        <v>0</v>
      </c>
    </row>
    <row r="79" customFormat="false" ht="15" hidden="false" customHeight="false" outlineLevel="0" collapsed="false">
      <c r="A79" s="4" t="s">
        <v>881</v>
      </c>
      <c r="F79" s="25" t="n">
        <f aca="false">CF!F81</f>
        <v>0</v>
      </c>
      <c r="H79" s="25" t="n">
        <f aca="false">CF!H81</f>
        <v>-1.27</v>
      </c>
      <c r="I79" s="25" t="n">
        <f aca="false">CF!I81</f>
        <v>-1.27</v>
      </c>
      <c r="J79" s="25" t="n">
        <f aca="false">CF!J81</f>
        <v>-1.27</v>
      </c>
      <c r="K79" s="25" t="n">
        <f aca="false">CF!K81</f>
        <v>-1.27</v>
      </c>
      <c r="L79" s="25" t="n">
        <f aca="false">CF!L81</f>
        <v>-1.27</v>
      </c>
      <c r="M79" s="25" t="n">
        <f aca="false">CF!M81</f>
        <v>-1.27</v>
      </c>
    </row>
    <row r="80" customFormat="false" ht="15" hidden="false" customHeight="false" outlineLevel="0" collapsed="false">
      <c r="A80" s="4" t="s">
        <v>882</v>
      </c>
      <c r="F80" s="25" t="n">
        <f aca="false">F75+F76-F77+F78+F79</f>
        <v>-22.906902889597</v>
      </c>
      <c r="H80" s="25" t="n">
        <f aca="false">H75+H76-H77+H78+H79</f>
        <v>-47.0890336831681</v>
      </c>
      <c r="I80" s="25" t="n">
        <f aca="false">I75+I76-I77+I78+I79</f>
        <v>-40.177402232536</v>
      </c>
      <c r="J80" s="25" t="n">
        <f aca="false">J75+J76-J77+J78+J79</f>
        <v>-9.14564189279053</v>
      </c>
      <c r="K80" s="25" t="n">
        <f aca="false">K75+K76-K77+K78+K79</f>
        <v>20.5055370966129</v>
      </c>
      <c r="L80" s="25" t="n">
        <f aca="false">L75+L76-L77+L78+L79</f>
        <v>32.8107574271836</v>
      </c>
      <c r="M80" s="25" t="n">
        <f aca="false">M75+M76-M77+M78+M79</f>
        <v>40.7747383916531</v>
      </c>
    </row>
    <row r="81" customFormat="false" ht="17.15" hidden="false" customHeight="false" outlineLevel="0" collapsed="false">
      <c r="A81" s="4" t="s">
        <v>883</v>
      </c>
      <c r="F81" s="25" t="n">
        <f aca="false">(PL!F129+Thesis!F150)*(1-tax)</f>
        <v>3.48967401735326</v>
      </c>
      <c r="H81" s="25" t="n">
        <f aca="false">(PL!H129+Thesis!H150)*(1-tax)</f>
        <v>45.1808986188361</v>
      </c>
      <c r="I81" s="25" t="n">
        <f aca="false">(PL!I129+Thesis!I150)*(1-tax)</f>
        <v>80.7081274428493</v>
      </c>
      <c r="J81" s="25" t="n">
        <f aca="false">(PL!J129+Thesis!J150)*(1-tax)</f>
        <v>113.183397006795</v>
      </c>
      <c r="K81" s="25" t="n">
        <f aca="false">(PL!K129+Thesis!K150)*(1-tax)</f>
        <v>137.767489530917</v>
      </c>
      <c r="L81" s="25" t="n">
        <f aca="false">(PL!L129+Thesis!L150)*(1-tax)</f>
        <v>154.800373888711</v>
      </c>
      <c r="M81" s="25" t="n">
        <f aca="false">(PL!M129+Thesis!M150)*(1-tax)</f>
        <v>164.453067737416</v>
      </c>
    </row>
    <row r="82" customFormat="false" ht="17.15" hidden="false" customHeight="false" outlineLevel="0" collapsed="false">
      <c r="A82" s="4" t="s">
        <v>884</v>
      </c>
      <c r="F82" s="24" t="n">
        <f aca="false">t_q4</f>
        <v>0.125</v>
      </c>
      <c r="H82" s="24" t="n">
        <f aca="false">2027+mid-t_val</f>
        <v>0.75</v>
      </c>
      <c r="I82" s="24" t="n">
        <f aca="false">2028+mid-t_val</f>
        <v>1.75</v>
      </c>
      <c r="J82" s="24" t="n">
        <f aca="false">2029+mid-t_val</f>
        <v>2.75</v>
      </c>
      <c r="K82" s="24" t="n">
        <f aca="false">2030+mid-t_val</f>
        <v>3.75</v>
      </c>
      <c r="L82" s="24" t="n">
        <f aca="false">2031+mid-t_val</f>
        <v>4.75</v>
      </c>
      <c r="M82" s="24" t="n">
        <f aca="false">2032+mid-t_val</f>
        <v>5.75</v>
      </c>
    </row>
    <row r="83" customFormat="false" ht="17.15" hidden="false" customHeight="false" outlineLevel="0" collapsed="false">
      <c r="A83" s="4" t="s">
        <v>885</v>
      </c>
      <c r="F83" s="14" t="n">
        <f aca="false">1/(1+wacc)^F82</f>
        <v>0.987658192223372</v>
      </c>
      <c r="H83" s="14" t="n">
        <f aca="false">1/(1+wacc)^H82</f>
        <v>0.928196704798031</v>
      </c>
      <c r="I83" s="14" t="n">
        <f aca="false">1/(1+wacc)^I82</f>
        <v>0.840414206821767</v>
      </c>
      <c r="J83" s="14" t="n">
        <f aca="false">1/(1+wacc)^J82</f>
        <v>0.760933577308428</v>
      </c>
      <c r="K83" s="14" t="n">
        <f aca="false">1/(1+wacc)^K82</f>
        <v>0.688969682301191</v>
      </c>
      <c r="L83" s="14" t="n">
        <f aca="false">1/(1+wacc)^L82</f>
        <v>0.623811640444674</v>
      </c>
      <c r="M83" s="14" t="n">
        <f aca="false">1/(1+wacc)^M82</f>
        <v>0.564815800681571</v>
      </c>
    </row>
    <row r="84" customFormat="false" ht="15" hidden="false" customHeight="false" outlineLevel="0" collapsed="false">
      <c r="A84" s="4" t="s">
        <v>886</v>
      </c>
      <c r="F84" s="25" t="n">
        <f aca="false">F80*F83</f>
        <v>-22.6241902973758</v>
      </c>
      <c r="H84" s="25" t="n">
        <f aca="false">H80*H83</f>
        <v>-43.7078858968401</v>
      </c>
      <c r="I84" s="25" t="n">
        <f aca="false">I80*I83</f>
        <v>-33.7656596294159</v>
      </c>
      <c r="J84" s="25" t="n">
        <f aca="false">J80*J83</f>
        <v>-6.95922600226291</v>
      </c>
      <c r="K84" s="25" t="n">
        <f aca="false">K80*K83</f>
        <v>14.1276933788686</v>
      </c>
      <c r="L84" s="25" t="n">
        <f aca="false">L80*L83</f>
        <v>20.4677324148837</v>
      </c>
      <c r="M84" s="25" t="n">
        <f aca="false">M80*M83</f>
        <v>23.0302165122632</v>
      </c>
    </row>
    <row r="85" customFormat="false" ht="15" hidden="false" customHeight="false" outlineLevel="0" collapsed="false">
      <c r="A85" s="4" t="s">
        <v>887</v>
      </c>
      <c r="F85" s="25" t="n">
        <f aca="false">F81*F83</f>
        <v>3.44660513142799</v>
      </c>
      <c r="H85" s="25" t="n">
        <f aca="false">H81*H83</f>
        <v>41.9367612178176</v>
      </c>
      <c r="I85" s="25" t="n">
        <f aca="false">I81*I83</f>
        <v>67.8282569089523</v>
      </c>
      <c r="J85" s="25" t="n">
        <f aca="false">J81*J83</f>
        <v>86.1250471763002</v>
      </c>
      <c r="K85" s="25" t="n">
        <f aca="false">K81*K83</f>
        <v>94.9176234935488</v>
      </c>
      <c r="L85" s="25" t="n">
        <f aca="false">L81*L83</f>
        <v>96.5662751769657</v>
      </c>
      <c r="M85" s="25" t="n">
        <f aca="false">M81*M83</f>
        <v>92.8856911286493</v>
      </c>
    </row>
    <row r="87" customFormat="false" ht="17.15" hidden="false" customHeight="false" outlineLevel="0" collapsed="false">
      <c r="A87" s="5" t="s">
        <v>888</v>
      </c>
    </row>
    <row r="88" customFormat="false" ht="17.15" hidden="false" customHeight="false" outlineLevel="0" collapsed="false">
      <c r="A88" s="3" t="s">
        <v>43</v>
      </c>
      <c r="B88" s="3" t="s">
        <v>791</v>
      </c>
      <c r="C88" s="3" t="s">
        <v>792</v>
      </c>
      <c r="D88" s="3" t="s">
        <v>793</v>
      </c>
      <c r="E88" s="3" t="s">
        <v>50</v>
      </c>
    </row>
    <row r="89" customFormat="false" ht="15" hidden="false" customHeight="false" outlineLevel="0" collapsed="false">
      <c r="A89" s="4" t="s">
        <v>889</v>
      </c>
      <c r="B89" s="25" t="n">
        <f aca="false">SUM(F54:M54)</f>
        <v>-66.7630978154461</v>
      </c>
      <c r="C89" s="25" t="n">
        <f aca="false">SUM(F69:M69)</f>
        <v>-58.0972086676626</v>
      </c>
      <c r="D89" s="25" t="n">
        <f aca="false">SUM(F84:M84)</f>
        <v>-49.4313195198792</v>
      </c>
    </row>
    <row r="90" customFormat="false" ht="17.15" hidden="false" customHeight="false" outlineLevel="0" collapsed="false">
      <c r="A90" s="4" t="s">
        <v>890</v>
      </c>
      <c r="B90" s="25" t="n">
        <f aca="false">IF(tv_alt=1,(M50-M49)*(1+g_tv)/(wacc-g_tv),M45*(1+g_tv)*(1-g_tv/ronic)/(wacc-g_tv))</f>
        <v>852.042466962695</v>
      </c>
      <c r="C90" s="25" t="n">
        <f aca="false">IF(tv_alt=1,(M65-M64)*(1+g_tv)/(wacc-g_tv),M60*(1+g_tv)*(1-g_tv/ronic)/(wacc-g_tv))</f>
        <v>671.002220958198</v>
      </c>
      <c r="D90" s="25" t="n">
        <f aca="false">IF(tv_alt=1,(M80-M79)*(1+g_tv)/(wacc-g_tv),M75*(1+g_tv)*(1-g_tv/ronic)/(wacc-g_tv))</f>
        <v>489.961974953701</v>
      </c>
      <c r="E90" s="4" t="s">
        <v>891</v>
      </c>
    </row>
    <row r="91" customFormat="false" ht="15" hidden="false" customHeight="false" outlineLevel="0" collapsed="false">
      <c r="A91" s="4" t="s">
        <v>892</v>
      </c>
      <c r="B91" s="25" t="n">
        <f aca="false">B90/(1+wacc)^($M$52+mid)</f>
        <v>457.925428247119</v>
      </c>
      <c r="C91" s="25" t="n">
        <f aca="false">C90/(1+wacc)^($M$67+mid)</f>
        <v>360.626366995982</v>
      </c>
      <c r="D91" s="25" t="n">
        <f aca="false">D90/(1+wacc)^($M$82+mid)</f>
        <v>263.327305744845</v>
      </c>
    </row>
    <row r="92" customFormat="false" ht="17.15" hidden="false" customHeight="false" outlineLevel="0" collapsed="false">
      <c r="A92" s="4" t="s">
        <v>893</v>
      </c>
      <c r="B92" s="25" t="n">
        <f aca="false">B89+B91</f>
        <v>391.162330431673</v>
      </c>
      <c r="C92" s="25" t="n">
        <f aca="false">C89+C91</f>
        <v>302.529158328319</v>
      </c>
      <c r="D92" s="25" t="n">
        <f aca="false">D89+D91</f>
        <v>213.895986224966</v>
      </c>
    </row>
    <row r="93" customFormat="false" ht="17.15" hidden="false" customHeight="false" outlineLevel="0" collapsed="false">
      <c r="A93" s="4" t="s">
        <v>894</v>
      </c>
      <c r="B93" s="25" t="n">
        <f aca="false">SUM(F55:M55)</f>
        <v>616.362731991792</v>
      </c>
      <c r="C93" s="25" t="n">
        <f aca="false">SUM(F70:M70)</f>
        <v>550.034496112727</v>
      </c>
      <c r="D93" s="25" t="n">
        <f aca="false">SUM(F85:M85)</f>
        <v>483.706260233662</v>
      </c>
    </row>
    <row r="94" customFormat="false" ht="17.15" hidden="false" customHeight="false" outlineLevel="0" collapsed="false">
      <c r="A94" s="4" t="s">
        <v>895</v>
      </c>
      <c r="B94" s="25" t="n">
        <f aca="false">IF(tv_alt=1,M51*(1+g_tv)/(wacc-g_tv),M51*(1+g_tv)*(1-g_tv/ronic)/(wacc-g_tv))/(1+wacc)^($M$52+mid)</f>
        <v>1135.83099825819</v>
      </c>
      <c r="C94" s="25" t="n">
        <f aca="false">IF(tv_alt=1,M66*(1+g_tv)/(wacc-g_tv),M66*(1+g_tv)*(1-g_tv/ronic)/(wacc-g_tv))/(1+wacc)^($M$67+mid)</f>
        <v>1003.69638524133</v>
      </c>
      <c r="D94" s="25" t="n">
        <f aca="false">IF(tv_alt=1,M81*(1+g_tv)/(wacc-g_tv),M81*(1+g_tv)*(1-g_tv/ronic)/(wacc-g_tv))/(1+wacc)^($M$82+mid)</f>
        <v>871.561772224472</v>
      </c>
    </row>
    <row r="95" customFormat="false" ht="17.15" hidden="false" customHeight="false" outlineLevel="0" collapsed="false">
      <c r="A95" s="4" t="s">
        <v>896</v>
      </c>
      <c r="B95" s="25" t="n">
        <f aca="false">B92+B93+B94</f>
        <v>2143.35606068165</v>
      </c>
      <c r="C95" s="25" t="n">
        <f aca="false">C92+C93+C94</f>
        <v>1856.26003968238</v>
      </c>
      <c r="D95" s="25" t="n">
        <f aca="false">D92+D93+D94</f>
        <v>1569.1640186831</v>
      </c>
    </row>
    <row r="96" customFormat="false" ht="17.15" hidden="false" customHeight="false" outlineLevel="0" collapsed="false">
      <c r="A96" s="2" t="s">
        <v>897</v>
      </c>
      <c r="B96" s="25" t="n">
        <f aca="false">IF(internal_ai_reading=2,B95,B92)</f>
        <v>2143.35606068165</v>
      </c>
      <c r="C96" s="25" t="n">
        <f aca="false">IF(internal_ai_reading=2,C95,C92)</f>
        <v>1856.26003968238</v>
      </c>
      <c r="D96" s="25" t="n">
        <f aca="false">IF(internal_ai_reading=2,D95,D92)</f>
        <v>1569.1640186831</v>
      </c>
    </row>
    <row r="97" customFormat="false" ht="17.15" hidden="false" customHeight="false" outlineLevel="0" collapsed="false">
      <c r="A97" s="4" t="s">
        <v>898</v>
      </c>
      <c r="B97" s="15" t="n">
        <f aca="false">(B91+(internal_ai_reading=2)*B94)/B96</f>
        <v>0.7435798725847</v>
      </c>
      <c r="C97" s="15" t="n">
        <f aca="false">(C91+(internal_ai_reading=2)*C94)/C96</f>
        <v>0.734984712848077</v>
      </c>
      <c r="D97" s="15" t="n">
        <f aca="false">(D91+(internal_ai_reading=2)*D94)/D96</f>
        <v>0.723244392846681</v>
      </c>
    </row>
    <row r="98" customFormat="false" ht="15" hidden="false" customHeight="false" outlineLevel="0" collapsed="false">
      <c r="A98" s="4" t="s">
        <v>899</v>
      </c>
      <c r="B98" s="25" t="n">
        <f aca="false">cash_0-debt_0-fin_lease</f>
        <v>-1.551</v>
      </c>
      <c r="C98" s="25" t="n">
        <f aca="false">cash_0-debt_0-fin_lease</f>
        <v>-1.551</v>
      </c>
      <c r="D98" s="25" t="n">
        <f aca="false">cash_0-debt_0-fin_lease</f>
        <v>-1.551</v>
      </c>
    </row>
    <row r="99" customFormat="false" ht="17.15" hidden="false" customHeight="false" outlineLevel="0" collapsed="false">
      <c r="A99" s="4" t="s">
        <v>900</v>
      </c>
      <c r="B99" s="25" t="n">
        <f aca="false">mcps+fwd_cash*fwd_on/(1+ke)^$H$52</f>
        <v>35.5458284970716</v>
      </c>
      <c r="C99" s="25" t="n">
        <f aca="false">mcps+fwd_cash*fwd_on/(1+ke)^$H$52</f>
        <v>35.5458284970716</v>
      </c>
      <c r="D99" s="25" t="n">
        <f aca="false">mcps+fwd_cash*fwd_on/(1+ke)^$H$52</f>
        <v>35.5458284970716</v>
      </c>
      <c r="E99" s="7" t="s">
        <v>901</v>
      </c>
    </row>
    <row r="100" customFormat="false" ht="17.15" hidden="false" customHeight="false" outlineLevel="0" collapsed="false">
      <c r="A100" s="4" t="s">
        <v>902</v>
      </c>
      <c r="B100" s="25" t="n">
        <f aca="false">ag_rest*((1+wacc)^-6.75+(1+wacc)^-7.75+(1+wacc)^-8.75+(1+wacc)^-9.75)</f>
        <v>2.25205672297418</v>
      </c>
      <c r="C100" s="25" t="n">
        <f aca="false">ag_rest*((1+wacc)^-6.75+(1+wacc)^-7.75+(1+wacc)^-8.75+(1+wacc)^-9.75)</f>
        <v>2.25205672297418</v>
      </c>
      <c r="D100" s="25" t="n">
        <f aca="false">ag_rest*((1+wacc)^-6.75+(1+wacc)^-7.75+(1+wacc)^-8.75+(1+wacc)^-9.75)</f>
        <v>2.25205672297418</v>
      </c>
      <c r="E100" s="7" t="s">
        <v>903</v>
      </c>
    </row>
    <row r="101" customFormat="false" ht="17.15" hidden="false" customHeight="false" outlineLevel="0" collapsed="false">
      <c r="A101" s="4" t="s">
        <v>904</v>
      </c>
      <c r="B101" s="25" t="n">
        <f aca="false">legal_oth+contg</f>
        <v>7.991</v>
      </c>
      <c r="C101" s="25" t="n">
        <f aca="false">legal_oth+contg</f>
        <v>7.991</v>
      </c>
      <c r="D101" s="25" t="n">
        <f aca="false">legal_oth+contg</f>
        <v>7.991</v>
      </c>
    </row>
    <row r="102" customFormat="false" ht="17.15" hidden="false" customHeight="false" outlineLevel="0" collapsed="false">
      <c r="A102" s="4" t="s">
        <v>905</v>
      </c>
      <c r="B102" s="25" t="n">
        <f aca="false">pref_2H/(1+ke)^$F$52+pref_27/(1+ke)^$H$52+pref_28/(1+ke)^$I$52+pref_29/(1+ke)^$J$52</f>
        <v>1.89337458358488</v>
      </c>
      <c r="C102" s="25" t="n">
        <f aca="false">pref_2H/(1+ke)^$F$52+pref_27/(1+ke)^$H$52+pref_28/(1+ke)^$I$52+pref_29/(1+ke)^$J$52</f>
        <v>1.89337458358488</v>
      </c>
      <c r="D102" s="25" t="n">
        <f aca="false">pref_2H/(1+ke)^$F$52+pref_27/(1+ke)^$H$52+pref_28/(1+ke)^$I$52+pref_29/(1+ke)^$J$52</f>
        <v>1.89337458358488</v>
      </c>
    </row>
    <row r="103" customFormat="false" ht="17.15" hidden="false" customHeight="false" outlineLevel="0" collapsed="false">
      <c r="A103" s="4" t="s">
        <v>906</v>
      </c>
      <c r="B103" s="22" t="n">
        <f aca="false">PL!E50+fwd_sh*fwd_on+conv_sh</f>
        <v>2.637241</v>
      </c>
      <c r="C103" s="22" t="n">
        <f aca="false">PL!E97+fwd_sh*fwd_on+conv_sh</f>
        <v>2.637241</v>
      </c>
      <c r="D103" s="22" t="n">
        <f aca="false">PL!E144+fwd_sh*fwd_on+conv_sh</f>
        <v>2.637241</v>
      </c>
    </row>
    <row r="104" customFormat="false" ht="17.15" hidden="false" customHeight="false" outlineLevel="0" collapsed="false">
      <c r="A104" s="0" t="s">
        <v>907</v>
      </c>
      <c r="B104" s="25" t="n">
        <f aca="false">MAX(0,(B92+B98+B99-B100-B101-B102)/B103*(1+ke)^t_tgt-dps_tgt)</f>
        <v>172.433602878535</v>
      </c>
      <c r="C104" s="25" t="n">
        <f aca="false">MAX(0,(C92+C98+C99-C100-C101-C102)/C103*(1+ke)^t_tgt-dps_tgt)</f>
        <v>134.916353545273</v>
      </c>
      <c r="D104" s="25" t="n">
        <f aca="false">MAX(0,(D92+D98+D99-D100-D101-D102)/D103*(1+ke)^t_tgt-dps_tgt)</f>
        <v>97.3991042120105</v>
      </c>
      <c r="E104" s="7" t="s">
        <v>908</v>
      </c>
    </row>
    <row r="105" customFormat="false" ht="17.15" hidden="false" customHeight="false" outlineLevel="0" collapsed="false">
      <c r="A105" s="0" t="s">
        <v>909</v>
      </c>
      <c r="B105" s="25" t="n">
        <f aca="false">MAX(0,(B95+B98+B99-B100-B101-B102)/B103*(1+ke)^t_tgt-dps_tgt)</f>
        <v>914.114031299981</v>
      </c>
      <c r="C105" s="25" t="n">
        <f aca="false">MAX(0,(C95+C98+C99-C100-C101-C102)/C103*(1+ke)^t_tgt-dps_tgt)</f>
        <v>792.590083247469</v>
      </c>
      <c r="D105" s="25" t="n">
        <f aca="false">MAX(0,(D95+D98+D99-D100-D101-D102)/D103*(1+ke)^t_tgt-dps_tgt)</f>
        <v>671.066135194957</v>
      </c>
    </row>
    <row r="106" customFormat="false" ht="17.15" hidden="false" customHeight="false" outlineLevel="0" collapsed="false">
      <c r="A106" s="39" t="s">
        <v>910</v>
      </c>
      <c r="B106" s="33" t="n">
        <f aca="false">IF(internal_ai_reading=2,B105,B104)</f>
        <v>914.114031299981</v>
      </c>
      <c r="C106" s="33" t="n">
        <f aca="false">IF(internal_ai_reading=2,C105,C104)</f>
        <v>792.590083247469</v>
      </c>
      <c r="D106" s="33" t="n">
        <f aca="false">IF(internal_ai_reading=2,D105,D104)</f>
        <v>671.066135194957</v>
      </c>
      <c r="E106" s="8"/>
    </row>
    <row r="108" customFormat="false" ht="17.15" hidden="false" customHeight="false" outlineLevel="0" collapsed="false">
      <c r="A108" s="5" t="s">
        <v>911</v>
      </c>
    </row>
    <row r="109" customFormat="false" ht="15" hidden="false" customHeight="false" outlineLevel="0" collapsed="false">
      <c r="A109" s="3" t="s">
        <v>912</v>
      </c>
      <c r="B109" s="3" t="s">
        <v>913</v>
      </c>
      <c r="C109" s="3" t="s">
        <v>914</v>
      </c>
      <c r="D109" s="3"/>
      <c r="E109" s="3" t="s">
        <v>50</v>
      </c>
    </row>
    <row r="110" customFormat="false" ht="17.15" hidden="false" customHeight="false" outlineLevel="0" collapsed="false">
      <c r="A110" s="4" t="s">
        <v>915</v>
      </c>
      <c r="B110" s="24" t="n">
        <f aca="false">MEDIAN(pm_ads_googl,pm_ads_pins,pm_ads_ttd,pm_ads_app,pm_ads_rddt,pm_ads_snap)</f>
        <v>9.405</v>
      </c>
      <c r="C110" s="40" t="n">
        <v>6</v>
      </c>
      <c r="E110" s="7" t="s">
        <v>916</v>
      </c>
    </row>
    <row r="111" customFormat="false" ht="17.15" hidden="false" customHeight="false" outlineLevel="0" collapsed="false">
      <c r="A111" s="0" t="s">
        <v>917</v>
      </c>
      <c r="B111" s="24" t="n">
        <f aca="false">CHOOSE(ads_mode+1,mult_ads,pm_ads_googl,pm_meta_own)</f>
        <v>9.405</v>
      </c>
    </row>
    <row r="113" customFormat="false" ht="17.15" hidden="false" customHeight="false" outlineLevel="0" collapsed="false">
      <c r="A113" s="3" t="s">
        <v>918</v>
      </c>
      <c r="B113" s="3" t="s">
        <v>791</v>
      </c>
      <c r="C113" s="3" t="s">
        <v>792</v>
      </c>
      <c r="D113" s="3" t="s">
        <v>793</v>
      </c>
      <c r="E113" s="3" t="s">
        <v>919</v>
      </c>
      <c r="F113" s="21" t="s">
        <v>920</v>
      </c>
      <c r="G113" s="21" t="s">
        <v>921</v>
      </c>
      <c r="H113" s="21" t="s">
        <v>922</v>
      </c>
    </row>
    <row r="114" customFormat="false" ht="17.15" hidden="false" customHeight="false" outlineLevel="0" collapsed="false">
      <c r="A114" s="0" t="s">
        <v>923</v>
      </c>
      <c r="B114" s="25" t="n">
        <f aca="false">(w_ntm27*PL!H21+(1-w_ntm27)*PL!I21)+sbc_r*(w_ntm27*PL!H16+(1-w_ntm27)*PL!I16)</f>
        <v>236.271371008156</v>
      </c>
      <c r="C114" s="25" t="n">
        <f aca="false">(w_ntm27*PL!H68+(1-w_ntm27)*PL!I68)+sbc_r*(w_ntm27*PL!H63+(1-w_ntm27)*PL!I63)</f>
        <v>222.378530935864</v>
      </c>
      <c r="D114" s="25" t="n">
        <f aca="false">(w_ntm27*PL!H115+(1-w_ntm27)*PL!I115)+sbc_r*(w_ntm27*PL!H110+(1-w_ntm27)*PL!I110)</f>
        <v>208.485690863573</v>
      </c>
      <c r="E114" s="0" t="str">
        <f aca="false">"數位廣告 "&amp;TEXT(mult_x,"0.00")&amp;"×；股權報酬全數歸 FoA"</f>
        <v>數位廣告 9.41×；股權報酬全數歸 FoA</v>
      </c>
      <c r="F114" s="19" t="n">
        <f aca="false">B114*mult_x</f>
        <v>2222.13224433171</v>
      </c>
      <c r="G114" s="19" t="n">
        <f aca="false">C114*mult_x</f>
        <v>2091.4700834518</v>
      </c>
      <c r="H114" s="19" t="n">
        <f aca="false">D114*mult_x</f>
        <v>1960.8079225719</v>
      </c>
    </row>
    <row r="115" customFormat="false" ht="17.15" hidden="false" customHeight="false" outlineLevel="0" collapsed="false">
      <c r="A115" s="0" t="s">
        <v>924</v>
      </c>
      <c r="B115" s="25" t="n">
        <f aca="false">(w_ntm27*PL!H26+(1-w_ntm27)*PL!I26)</f>
        <v>-11.909</v>
      </c>
      <c r="C115" s="25" t="n">
        <f aca="false">(w_ntm27*PL!H73+(1-w_ntm27)*PL!I73)</f>
        <v>-11.909</v>
      </c>
      <c r="D115" s="25" t="n">
        <f aca="false">(w_ntm27*PL!H120+(1-w_ntm27)*PL!I120)</f>
        <v>-11.909</v>
      </c>
      <c r="E115" s="4" t="s">
        <v>925</v>
      </c>
      <c r="F115" s="19" t="n">
        <f aca="false">IF(rl_mode=1,0,B115*mult_x)</f>
        <v>-112.004145</v>
      </c>
      <c r="G115" s="19" t="n">
        <f aca="false">IF(rl_mode=1,0,C115*mult_x)</f>
        <v>-112.004145</v>
      </c>
      <c r="H115" s="19" t="n">
        <f aca="false">IF(rl_mode=1,0,D115*mult_x)</f>
        <v>-112.004145</v>
      </c>
    </row>
    <row r="116" customFormat="false" ht="17.15" hidden="false" customHeight="false" outlineLevel="0" collapsed="false">
      <c r="A116" s="4" t="s">
        <v>926</v>
      </c>
      <c r="B116" s="19" t="n">
        <f aca="false">SUM(F114:F115)</f>
        <v>2110.12809933171</v>
      </c>
      <c r="C116" s="19" t="n">
        <f aca="false">SUM(G114:G115)</f>
        <v>1979.4659384518</v>
      </c>
      <c r="D116" s="19" t="n">
        <f aca="false">SUM(H114:H115)</f>
        <v>1848.8037775719</v>
      </c>
    </row>
    <row r="117" customFormat="false" ht="17.15" hidden="false" customHeight="false" outlineLevel="0" collapsed="false">
      <c r="A117" s="4" t="s">
        <v>927</v>
      </c>
      <c r="B117" s="25" t="n">
        <f aca="false">(w_ntm27*Thesis!H63+(1-w_ntm27)*Thesis!I63)+(w_ntm27*Thesis!H64+(1-w_ntm27)*Thesis!I64)</f>
        <v>19.4425985754578</v>
      </c>
      <c r="C117" s="25" t="n">
        <f aca="false">(w_ntm27*Thesis!H106+(1-w_ntm27)*Thesis!I106)+(w_ntm27*Thesis!H107+(1-w_ntm27)*Thesis!I107)</f>
        <v>17.614441662326</v>
      </c>
      <c r="D117" s="25" t="n">
        <f aca="false">(w_ntm27*Thesis!H149+(1-w_ntm27)*Thesis!I149)+(w_ntm27*Thesis!H150+(1-w_ntm27)*Thesis!I150)</f>
        <v>15.7862847491943</v>
      </c>
      <c r="E117" s="4" t="s">
        <v>928</v>
      </c>
      <c r="F117" s="19" t="n">
        <f aca="false">B117*mult_x</f>
        <v>182.85763960218</v>
      </c>
      <c r="G117" s="19" t="n">
        <f aca="false">C117*mult_x</f>
        <v>165.663823834176</v>
      </c>
      <c r="H117" s="19" t="n">
        <f aca="false">D117*mult_x</f>
        <v>148.470008066172</v>
      </c>
    </row>
    <row r="118" customFormat="false" ht="17.15" hidden="false" customHeight="false" outlineLevel="0" collapsed="false">
      <c r="A118" s="4" t="s">
        <v>929</v>
      </c>
      <c r="E118" s="4" t="s">
        <v>930</v>
      </c>
      <c r="F118" s="19" t="n">
        <f aca="false">cip_0*cip_ai+Thesis!F50+Thesis!H50-(Thesis!F61+Thesis!H61)*(cip_0*cip_ai+Thesis!F50+Thesis!H50)/(cip_0+Thesis!F50+Thesis!H50)</f>
        <v>328.168169913118</v>
      </c>
      <c r="G118" s="19" t="n">
        <f aca="false">cip_0*cip_ai+Thesis!F93+Thesis!H93-(Thesis!F104+Thesis!H104)*(cip_0*cip_ai+Thesis!F93+Thesis!H93)/(cip_0+Thesis!F93+Thesis!H93)</f>
        <v>298.717156140981</v>
      </c>
      <c r="H118" s="19" t="n">
        <f aca="false">cip_0*cip_ai+Thesis!F136+Thesis!H136-(Thesis!F147+Thesis!H147)*(cip_0*cip_ai+Thesis!F136+Thesis!H136)/(cip_0+Thesis!F136+Thesis!H136)</f>
        <v>269.272988021433</v>
      </c>
    </row>
    <row r="119" customFormat="false" ht="17.15" hidden="false" customHeight="false" outlineLevel="0" collapsed="false">
      <c r="A119" s="4" t="s">
        <v>931</v>
      </c>
      <c r="B119" s="19" t="n">
        <f aca="false">B116+F117+F118</f>
        <v>2621.153908847</v>
      </c>
      <c r="C119" s="19" t="n">
        <f aca="false">C116+G117+G118</f>
        <v>2443.84691842696</v>
      </c>
      <c r="D119" s="19" t="n">
        <f aca="false">D116+H117+H118</f>
        <v>2266.54677365951</v>
      </c>
    </row>
    <row r="120" customFormat="false" ht="17.15" hidden="false" customHeight="false" outlineLevel="0" collapsed="false">
      <c r="A120" s="2" t="s">
        <v>932</v>
      </c>
      <c r="B120" s="19" t="n">
        <f aca="false">IF(internal_ai_reading=2,B119,B116)</f>
        <v>2621.153908847</v>
      </c>
      <c r="C120" s="19" t="n">
        <f aca="false">IF(internal_ai_reading=2,C119,C116)</f>
        <v>2443.84691842696</v>
      </c>
      <c r="D120" s="19" t="n">
        <f aca="false">IF(internal_ai_reading=2,D119,D116)</f>
        <v>2266.54677365951</v>
      </c>
    </row>
    <row r="121" customFormat="false" ht="17.15" hidden="false" customHeight="false" outlineLevel="0" collapsed="false">
      <c r="A121" s="4" t="s">
        <v>933</v>
      </c>
      <c r="B121" s="19" t="n">
        <f aca="false">SUM(B114:B115)+(internal_ai_reading=2)*B117</f>
        <v>243.804969583614</v>
      </c>
      <c r="C121" s="19" t="n">
        <f aca="false">SUM(C114:C115)+(internal_ai_reading=2)*C117</f>
        <v>228.08397259819</v>
      </c>
      <c r="D121" s="19" t="n">
        <f aca="false">SUM(D114:D115)+(internal_ai_reading=2)*D117</f>
        <v>212.362975612767</v>
      </c>
    </row>
    <row r="122" customFormat="false" ht="17.15" hidden="false" customHeight="false" outlineLevel="0" collapsed="false">
      <c r="A122" s="4" t="s">
        <v>934</v>
      </c>
      <c r="B122" s="25" t="n">
        <f aca="false">CF!H40-fin_lease</f>
        <v>-49.8434902831262</v>
      </c>
      <c r="C122" s="25" t="n">
        <f aca="false">CF!H72-fin_lease</f>
        <v>-24.9455634360296</v>
      </c>
      <c r="D122" s="25" t="n">
        <f aca="false">CF!H104-fin_lease</f>
        <v>-0.0476365889330879</v>
      </c>
      <c r="E122" s="4" t="s">
        <v>935</v>
      </c>
    </row>
    <row r="123" customFormat="false" ht="17.15" hidden="false" customHeight="false" outlineLevel="0" collapsed="false">
      <c r="A123" s="4" t="s">
        <v>936</v>
      </c>
      <c r="B123" s="25" t="n">
        <f aca="false">ag_rest*(1-(1+wacc)^-9)/wacc</f>
        <v>7.18631807362836</v>
      </c>
      <c r="C123" s="25" t="n">
        <f aca="false">ag_rest*(1-(1+wacc)^-9)/wacc</f>
        <v>7.18631807362836</v>
      </c>
      <c r="D123" s="25" t="n">
        <f aca="false">ag_rest*(1-(1+wacc)^-9)/wacc</f>
        <v>7.18631807362836</v>
      </c>
    </row>
    <row r="124" customFormat="false" ht="15" hidden="false" customHeight="false" outlineLevel="0" collapsed="false">
      <c r="A124" s="4" t="s">
        <v>937</v>
      </c>
      <c r="B124" s="25" t="n">
        <f aca="false">B101</f>
        <v>7.991</v>
      </c>
      <c r="C124" s="25" t="n">
        <f aca="false">B101</f>
        <v>7.991</v>
      </c>
      <c r="D124" s="25" t="n">
        <f aca="false">B101</f>
        <v>7.991</v>
      </c>
    </row>
    <row r="125" customFormat="false" ht="17.15" hidden="false" customHeight="false" outlineLevel="0" collapsed="false">
      <c r="A125" s="4" t="s">
        <v>938</v>
      </c>
      <c r="B125" s="25" t="n">
        <f aca="false">pref_28/(1+ke)^0.5+pref_29/(1+ke)^1.5</f>
        <v>1.29508788716282</v>
      </c>
      <c r="C125" s="25" t="n">
        <f aca="false">pref_28/(1+ke)^0.5+pref_29/(1+ke)^1.5</f>
        <v>1.29508788716282</v>
      </c>
      <c r="D125" s="25" t="n">
        <f aca="false">pref_28/(1+ke)^0.5+pref_29/(1+ke)^1.5</f>
        <v>1.29508788716282</v>
      </c>
      <c r="E125" s="7" t="s">
        <v>939</v>
      </c>
    </row>
    <row r="126" customFormat="false" ht="17.15" hidden="false" customHeight="false" outlineLevel="0" collapsed="false">
      <c r="A126" s="4" t="s">
        <v>940</v>
      </c>
      <c r="B126" s="22" t="n">
        <f aca="false">PL!H50+conv_sh</f>
        <v>2.682469002309</v>
      </c>
      <c r="C126" s="22" t="n">
        <f aca="false">PL!H97+conv_sh</f>
        <v>2.682469002309</v>
      </c>
      <c r="D126" s="22" t="n">
        <f aca="false">PL!H144+conv_sh</f>
        <v>2.682469002309</v>
      </c>
    </row>
    <row r="127" customFormat="false" ht="17.15" hidden="false" customHeight="false" outlineLevel="0" collapsed="false">
      <c r="A127" s="4" t="s">
        <v>941</v>
      </c>
      <c r="B127" s="25" t="n">
        <f aca="false">MAX(0,(B116+B122-B123-B124-B125)/B126)</f>
        <v>761.91456502518</v>
      </c>
      <c r="C127" s="25" t="n">
        <f aca="false">MAX(0,(C116+C122-C123-C124-C125)/C126)</f>
        <v>722.486622356777</v>
      </c>
      <c r="D127" s="25" t="n">
        <f aca="false">MAX(0,(D116+D122-D123-D124-D125)/D126)</f>
        <v>683.058679688375</v>
      </c>
    </row>
    <row r="128" customFormat="false" ht="17.15" hidden="false" customHeight="false" outlineLevel="0" collapsed="false">
      <c r="A128" s="4" t="s">
        <v>942</v>
      </c>
      <c r="B128" s="25" t="n">
        <f aca="false">MAX(0,(B119+B122-B123-B124-B125)/B126)</f>
        <v>952.42033007798</v>
      </c>
      <c r="C128" s="25" t="n">
        <f aca="false">MAX(0,(C119+C122-C123-C124-C125)/C126)</f>
        <v>895.603620009101</v>
      </c>
      <c r="D128" s="25" t="n">
        <f aca="false">MAX(0,(D119+D122-D123-D124-D125)/D126)</f>
        <v>838.789461937125</v>
      </c>
    </row>
    <row r="129" customFormat="false" ht="15" hidden="false" customHeight="false" outlineLevel="0" collapsed="false">
      <c r="A129" s="34" t="s">
        <v>943</v>
      </c>
      <c r="B129" s="33" t="n">
        <f aca="false">IF(internal_ai_reading=2,B128,B127)</f>
        <v>952.42033007798</v>
      </c>
      <c r="C129" s="33" t="n">
        <f aca="false">IF(internal_ai_reading=2,C128,C127)</f>
        <v>895.603620009101</v>
      </c>
      <c r="D129" s="33" t="n">
        <f aca="false">IF(internal_ai_reading=2,D128,D127)</f>
        <v>838.789461937125</v>
      </c>
      <c r="E129" s="8"/>
    </row>
    <row r="130" customFormat="false" ht="17.15" hidden="false" customHeight="false" outlineLevel="0" collapsed="false">
      <c r="A130" s="4" t="s">
        <v>944</v>
      </c>
      <c r="B130" s="24" t="n">
        <f aca="false">B120/B121</f>
        <v>10.7510274024504</v>
      </c>
      <c r="C130" s="24" t="n">
        <f aca="false">C120/C121</f>
        <v>10.7146806090239</v>
      </c>
      <c r="D130" s="24" t="n">
        <f aca="false">D120/D121</f>
        <v>10.6729846251186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945</v>
      </c>
    </row>
    <row r="3" customFormat="false" ht="17.15" hidden="false" customHeight="false" outlineLevel="0" collapsed="false">
      <c r="A3" s="5" t="s">
        <v>946</v>
      </c>
    </row>
    <row r="4" customFormat="false" ht="17.15" hidden="false" customHeight="false" outlineLevel="0" collapsed="false">
      <c r="A4" s="3" t="s">
        <v>43</v>
      </c>
      <c r="B4" s="3" t="s">
        <v>947</v>
      </c>
      <c r="C4" s="3" t="s">
        <v>791</v>
      </c>
      <c r="D4" s="3" t="s">
        <v>792</v>
      </c>
      <c r="E4" s="3" t="s">
        <v>793</v>
      </c>
      <c r="F4" s="3" t="s">
        <v>948</v>
      </c>
      <c r="G4" s="21" t="s">
        <v>949</v>
      </c>
      <c r="H4" s="3" t="s">
        <v>50</v>
      </c>
    </row>
    <row r="5" customFormat="false" ht="15" hidden="false" customHeight="false" outlineLevel="0" collapsed="false">
      <c r="A5" s="4" t="s">
        <v>950</v>
      </c>
      <c r="B5" s="0" t="s">
        <v>951</v>
      </c>
      <c r="C5" s="25" t="n">
        <f aca="false">PL!G16</f>
        <v>258.049870727419</v>
      </c>
      <c r="D5" s="25" t="n">
        <f aca="false">PL!G63</f>
        <v>258.049870727419</v>
      </c>
      <c r="E5" s="25" t="n">
        <f aca="false">PL!G110</f>
        <v>258.049870727419</v>
      </c>
      <c r="F5" s="25" t="n">
        <f aca="false">c_revenue_26</f>
        <v>254.117</v>
      </c>
      <c r="G5" s="15" t="n">
        <f aca="false">D5/F5-1</f>
        <v>0.0154766140298335</v>
      </c>
    </row>
    <row r="6" customFormat="false" ht="15" hidden="false" customHeight="false" outlineLevel="0" collapsed="false">
      <c r="A6" s="4" t="s">
        <v>950</v>
      </c>
      <c r="B6" s="0" t="s">
        <v>952</v>
      </c>
      <c r="C6" s="25" t="n">
        <f aca="false">PL!H16</f>
        <v>324.536495141153</v>
      </c>
      <c r="D6" s="25" t="n">
        <f aca="false">PL!H63</f>
        <v>316.833175832657</v>
      </c>
      <c r="E6" s="25" t="n">
        <f aca="false">PL!H110</f>
        <v>309.129856524162</v>
      </c>
      <c r="F6" s="25" t="n">
        <f aca="false">c_revenue_27</f>
        <v>306.527</v>
      </c>
      <c r="G6" s="15" t="n">
        <f aca="false">D6/F6-1</f>
        <v>0.0336224079205332</v>
      </c>
    </row>
    <row r="7" customFormat="false" ht="15" hidden="false" customHeight="false" outlineLevel="0" collapsed="false">
      <c r="A7" s="4" t="s">
        <v>950</v>
      </c>
      <c r="B7" s="0" t="s">
        <v>953</v>
      </c>
      <c r="C7" s="25" t="n">
        <f aca="false">PL!I16</f>
        <v>391.844714971317</v>
      </c>
      <c r="D7" s="25" t="n">
        <f aca="false">PL!I63</f>
        <v>373.724371718742</v>
      </c>
      <c r="E7" s="25" t="n">
        <f aca="false">PL!I110</f>
        <v>355.604028466167</v>
      </c>
      <c r="F7" s="25" t="n">
        <f aca="false">c_revenue_28</f>
        <v>363.046</v>
      </c>
      <c r="G7" s="15" t="n">
        <f aca="false">D7/F7-1</f>
        <v>0.0294132746779798</v>
      </c>
    </row>
    <row r="8" customFormat="false" ht="17.15" hidden="false" customHeight="false" outlineLevel="0" collapsed="false">
      <c r="A8" s="4" t="s">
        <v>954</v>
      </c>
      <c r="B8" s="0" t="s">
        <v>951</v>
      </c>
      <c r="C8" s="25" t="n">
        <f aca="false">PL!G31</f>
        <v>80.654147824231</v>
      </c>
      <c r="D8" s="25" t="n">
        <f aca="false">PL!G78</f>
        <v>80.654147824231</v>
      </c>
      <c r="E8" s="25" t="n">
        <f aca="false">PL!G125</f>
        <v>80.654147824231</v>
      </c>
      <c r="F8" s="25" t="n">
        <f aca="false">c_ebit_26</f>
        <v>86.862</v>
      </c>
      <c r="G8" s="15" t="n">
        <f aca="false">D8/F8-1</f>
        <v>-0.0714679857218229</v>
      </c>
      <c r="H8" s="4" t="s">
        <v>955</v>
      </c>
    </row>
    <row r="9" customFormat="false" ht="15" hidden="false" customHeight="false" outlineLevel="0" collapsed="false">
      <c r="A9" s="4" t="s">
        <v>954</v>
      </c>
      <c r="B9" s="0" t="s">
        <v>952</v>
      </c>
      <c r="C9" s="25" t="n">
        <f aca="false">PL!H31</f>
        <v>100.521325621482</v>
      </c>
      <c r="D9" s="25" t="n">
        <f aca="false">PL!H78</f>
        <v>95.7254222248241</v>
      </c>
      <c r="E9" s="25" t="n">
        <f aca="false">PL!H125</f>
        <v>90.9295188281663</v>
      </c>
      <c r="F9" s="25" t="n">
        <f aca="false">c_ebit_27</f>
        <v>104.105</v>
      </c>
      <c r="G9" s="15" t="n">
        <f aca="false">D9/F9-1</f>
        <v>-0.0804915976675075</v>
      </c>
    </row>
    <row r="10" customFormat="false" ht="15" hidden="false" customHeight="false" outlineLevel="0" collapsed="false">
      <c r="A10" s="4" t="s">
        <v>954</v>
      </c>
      <c r="B10" s="0" t="s">
        <v>953</v>
      </c>
      <c r="C10" s="25" t="n">
        <f aca="false">PL!I31</f>
        <v>99.5822018542232</v>
      </c>
      <c r="D10" s="25" t="n">
        <f aca="false">PL!I78</f>
        <v>91.680088266787</v>
      </c>
      <c r="E10" s="25" t="n">
        <f aca="false">PL!I125</f>
        <v>83.7779746793508</v>
      </c>
      <c r="F10" s="25" t="n">
        <f aca="false">c_ebit_28</f>
        <v>124.141</v>
      </c>
      <c r="G10" s="15" t="n">
        <f aca="false">D10/F10-1</f>
        <v>-0.261484213380052</v>
      </c>
    </row>
    <row r="11" customFormat="false" ht="17.15" hidden="false" customHeight="false" outlineLevel="0" collapsed="false">
      <c r="A11" s="0" t="s">
        <v>956</v>
      </c>
      <c r="B11" s="0" t="s">
        <v>951</v>
      </c>
      <c r="C11" s="25" t="n">
        <f aca="false">PL!G52</f>
        <v>28.8488160110654</v>
      </c>
      <c r="D11" s="25" t="n">
        <f aca="false">PL!G99</f>
        <v>28.8488160110654</v>
      </c>
      <c r="E11" s="25" t="n">
        <f aca="false">PL!G146</f>
        <v>28.8488160110654</v>
      </c>
      <c r="F11" s="25" t="n">
        <f aca="false">c_eps_26</f>
        <v>31.04</v>
      </c>
      <c r="G11" s="15" t="n">
        <f aca="false">D11/F11-1</f>
        <v>-0.0705922676847482</v>
      </c>
      <c r="H11" s="4" t="s">
        <v>955</v>
      </c>
    </row>
    <row r="12" customFormat="false" ht="17.15" hidden="false" customHeight="false" outlineLevel="0" collapsed="false">
      <c r="A12" s="0" t="s">
        <v>956</v>
      </c>
      <c r="B12" s="0" t="s">
        <v>952</v>
      </c>
      <c r="C12" s="25" t="n">
        <f aca="false">PL!H52</f>
        <v>31.5858304824768</v>
      </c>
      <c r="D12" s="25" t="n">
        <f aca="false">PL!H99</f>
        <v>30.050770158256</v>
      </c>
      <c r="E12" s="25" t="n">
        <f aca="false">PL!H146</f>
        <v>28.5157098340352</v>
      </c>
      <c r="F12" s="25" t="n">
        <f aca="false">c_eps_27</f>
        <v>34.07</v>
      </c>
      <c r="G12" s="15" t="n">
        <f aca="false">D12/F12-1</f>
        <v>-0.117969763479424</v>
      </c>
    </row>
    <row r="13" customFormat="false" ht="17.15" hidden="false" customHeight="false" outlineLevel="0" collapsed="false">
      <c r="A13" s="0" t="s">
        <v>956</v>
      </c>
      <c r="B13" s="0" t="s">
        <v>953</v>
      </c>
      <c r="C13" s="25" t="n">
        <f aca="false">PL!I52</f>
        <v>30.0465746062588</v>
      </c>
      <c r="D13" s="25" t="n">
        <f aca="false">PL!I99</f>
        <v>27.9043704690644</v>
      </c>
      <c r="E13" s="25" t="n">
        <f aca="false">PL!I146</f>
        <v>25.7406348860566</v>
      </c>
      <c r="F13" s="25" t="n">
        <f aca="false">c_eps_28</f>
        <v>39.53</v>
      </c>
      <c r="G13" s="15" t="n">
        <f aca="false">D13/F13-1</f>
        <v>-0.294096370628272</v>
      </c>
    </row>
    <row r="14" customFormat="false" ht="17.15" hidden="false" customHeight="false" outlineLevel="0" collapsed="false">
      <c r="A14" s="4" t="s">
        <v>957</v>
      </c>
      <c r="B14" s="0" t="s">
        <v>951</v>
      </c>
      <c r="C14" s="25" t="n">
        <f aca="false">CF!G22</f>
        <v>140</v>
      </c>
      <c r="D14" s="25" t="n">
        <f aca="false">CF!G54</f>
        <v>140</v>
      </c>
      <c r="E14" s="25" t="n">
        <f aca="false">CF!G86</f>
        <v>140</v>
      </c>
      <c r="F14" s="25" t="n">
        <f aca="false">c_capex_26</f>
        <v>139.19</v>
      </c>
      <c r="G14" s="15" t="n">
        <f aca="false">D14/F14-1</f>
        <v>0.00581938357640643</v>
      </c>
      <c r="H14" s="4" t="s">
        <v>958</v>
      </c>
    </row>
    <row r="15" customFormat="false" ht="17.15" hidden="false" customHeight="false" outlineLevel="0" collapsed="false">
      <c r="A15" s="4" t="s">
        <v>957</v>
      </c>
      <c r="B15" s="0" t="s">
        <v>952</v>
      </c>
      <c r="C15" s="25" t="n">
        <f aca="false">CF!H22</f>
        <v>236.561760022156</v>
      </c>
      <c r="D15" s="25" t="n">
        <f aca="false">CF!H54</f>
        <v>205.705878280136</v>
      </c>
      <c r="E15" s="25" t="n">
        <f aca="false">CF!H86</f>
        <v>174.849996538115</v>
      </c>
      <c r="F15" s="25" t="n">
        <f aca="false">c_capex_27</f>
        <v>193.057</v>
      </c>
      <c r="G15" s="15" t="n">
        <f aca="false">D15/F15-1</f>
        <v>0.0655188792954189</v>
      </c>
      <c r="H15" s="4" t="s">
        <v>958</v>
      </c>
    </row>
    <row r="16" customFormat="false" ht="17.15" hidden="false" customHeight="false" outlineLevel="0" collapsed="false">
      <c r="A16" s="4" t="s">
        <v>957</v>
      </c>
      <c r="B16" s="0" t="s">
        <v>953</v>
      </c>
      <c r="C16" s="25" t="n">
        <f aca="false">CF!I22</f>
        <v>252.344346298214</v>
      </c>
      <c r="D16" s="25" t="n">
        <f aca="false">CF!I54</f>
        <v>219.283263325636</v>
      </c>
      <c r="E16" s="25" t="n">
        <f aca="false">CF!I86</f>
        <v>186.222180353058</v>
      </c>
      <c r="F16" s="25" t="n">
        <f aca="false">c_capex_28</f>
        <v>209.324</v>
      </c>
      <c r="G16" s="15" t="n">
        <f aca="false">D16/F16-1</f>
        <v>0.0475782200112549</v>
      </c>
      <c r="H16" s="4" t="s">
        <v>958</v>
      </c>
    </row>
    <row r="17" customFormat="false" ht="15" hidden="false" customHeight="false" outlineLevel="0" collapsed="false">
      <c r="A17" s="4" t="s">
        <v>959</v>
      </c>
      <c r="B17" s="0" t="s">
        <v>951</v>
      </c>
      <c r="C17" s="25" t="n">
        <f aca="false">CF!G23</f>
        <v>-3.49949020348981</v>
      </c>
      <c r="D17" s="25" t="n">
        <f aca="false">CF!G55</f>
        <v>-3.49949020348981</v>
      </c>
      <c r="E17" s="25" t="n">
        <f aca="false">CF!G87</f>
        <v>-3.49949020348981</v>
      </c>
      <c r="F17" s="25" t="n">
        <f aca="false">c_fcf_26</f>
        <v>-7.076</v>
      </c>
      <c r="G17" s="15" t="n">
        <f aca="false">D17/F17-1</f>
        <v>-0.505442311547511</v>
      </c>
    </row>
    <row r="18" customFormat="false" ht="15" hidden="false" customHeight="false" outlineLevel="0" collapsed="false">
      <c r="A18" s="4" t="s">
        <v>959</v>
      </c>
      <c r="B18" s="0" t="s">
        <v>952</v>
      </c>
      <c r="C18" s="25" t="n">
        <f aca="false">CF!H23</f>
        <v>-63.1495684214844</v>
      </c>
      <c r="D18" s="25" t="n">
        <f aca="false">CF!H55</f>
        <v>-38.2516415743879</v>
      </c>
      <c r="E18" s="25" t="n">
        <f aca="false">CF!H87</f>
        <v>-13.3537147272914</v>
      </c>
      <c r="F18" s="25" t="n">
        <f aca="false">c_fcf_27</f>
        <v>-23.398</v>
      </c>
      <c r="G18" s="15" t="n">
        <f aca="false">D18/F18-1</f>
        <v>0.634825266022218</v>
      </c>
    </row>
    <row r="19" customFormat="false" ht="15" hidden="false" customHeight="false" outlineLevel="0" collapsed="false">
      <c r="A19" s="4" t="s">
        <v>959</v>
      </c>
      <c r="B19" s="0" t="s">
        <v>953</v>
      </c>
      <c r="C19" s="25" t="n">
        <f aca="false">CF!I23</f>
        <v>-40.7371843674181</v>
      </c>
      <c r="D19" s="25" t="n">
        <f aca="false">CF!I55</f>
        <v>-20.877315040331</v>
      </c>
      <c r="E19" s="25" t="n">
        <f aca="false">CF!I87</f>
        <v>-1.07517380794656</v>
      </c>
      <c r="F19" s="25" t="n">
        <f aca="false">c_fcf_28</f>
        <v>8.281</v>
      </c>
      <c r="G19" s="15" t="n">
        <f aca="false">D19/F19-1</f>
        <v>-3.52111037801364</v>
      </c>
    </row>
    <row r="20" customFormat="false" ht="17.15" hidden="false" customHeight="false" outlineLevel="0" collapsed="false">
      <c r="A20" s="0" t="s">
        <v>960</v>
      </c>
      <c r="B20" s="0" t="s">
        <v>951</v>
      </c>
      <c r="C20" s="25" t="n">
        <f aca="false">PL!G31+PL!G29+PL!G55</f>
        <v>139.140721848387</v>
      </c>
      <c r="D20" s="25" t="n">
        <f aca="false">PL!G78+PL!G76+PL!G102</f>
        <v>139.140721848387</v>
      </c>
      <c r="E20" s="25" t="n">
        <f aca="false">PL!G125+PL!G123+PL!G149</f>
        <v>139.140721848387</v>
      </c>
      <c r="F20" s="25" t="n">
        <f aca="false">c_ebitda_26</f>
        <v>144.544</v>
      </c>
      <c r="G20" s="15" t="n">
        <f aca="false">D20/F20-1</f>
        <v>-0.0373815457688513</v>
      </c>
    </row>
    <row r="21" customFormat="false" ht="17.15" hidden="false" customHeight="false" outlineLevel="0" collapsed="false">
      <c r="A21" s="0" t="s">
        <v>960</v>
      </c>
      <c r="B21" s="0" t="s">
        <v>952</v>
      </c>
      <c r="C21" s="25" t="n">
        <f aca="false">PL!H31+PL!H29+PL!H55</f>
        <v>191.498263746676</v>
      </c>
      <c r="D21" s="25" t="n">
        <f aca="false">PL!H78+PL!H76+PL!H102</f>
        <v>184.772964308287</v>
      </c>
      <c r="E21" s="25" t="n">
        <f aca="false">PL!H125+PL!H123+PL!H149</f>
        <v>178.047664869898</v>
      </c>
      <c r="F21" s="25" t="n">
        <f aca="false">c_ebitda_27</f>
        <v>180.579</v>
      </c>
      <c r="G21" s="15" t="n">
        <f aca="false">D21/F21-1</f>
        <v>0.0232250943259571</v>
      </c>
    </row>
    <row r="22" customFormat="false" ht="17.15" hidden="false" customHeight="false" outlineLevel="0" collapsed="false">
      <c r="A22" s="0" t="s">
        <v>960</v>
      </c>
      <c r="B22" s="0" t="s">
        <v>953</v>
      </c>
      <c r="C22" s="25" t="n">
        <f aca="false">PL!I31+PL!I29+PL!I55</f>
        <v>231.088803755687</v>
      </c>
      <c r="D22" s="25" t="n">
        <f aca="false">PL!I78+PL!I76+PL!I102</f>
        <v>215.728953499441</v>
      </c>
      <c r="E22" s="25" t="n">
        <f aca="false">PL!I125+PL!I123+PL!I149</f>
        <v>200.369103243196</v>
      </c>
      <c r="F22" s="25" t="n">
        <f aca="false">c_ebitda_28</f>
        <v>221.948</v>
      </c>
      <c r="G22" s="15" t="n">
        <f aca="false">D22/F22-1</f>
        <v>-0.0280202862857902</v>
      </c>
    </row>
    <row r="23" customFormat="false" ht="17.15" hidden="false" customHeight="false" outlineLevel="0" collapsed="false">
      <c r="A23" s="0" t="s">
        <v>961</v>
      </c>
      <c r="B23" s="0" t="s">
        <v>951</v>
      </c>
      <c r="C23" s="24" t="n">
        <f aca="false">PL!G53</f>
        <v>30.5505395135432</v>
      </c>
      <c r="D23" s="24" t="n">
        <f aca="false">PL!G100</f>
        <v>30.5505395135432</v>
      </c>
      <c r="E23" s="24" t="n">
        <f aca="false">PL!G147</f>
        <v>30.5505395135432</v>
      </c>
      <c r="F23" s="24" t="n">
        <f aca="false">c_eps26_vi</f>
        <v>33.59</v>
      </c>
      <c r="G23" s="15" t="n">
        <f aca="false">D23/F23-1</f>
        <v>-0.0904870641993684</v>
      </c>
    </row>
    <row r="25" customFormat="false" ht="17.15" hidden="false" customHeight="false" outlineLevel="0" collapsed="false">
      <c r="A25" s="5" t="s">
        <v>962</v>
      </c>
    </row>
    <row r="26" customFormat="false" ht="15" hidden="false" customHeight="false" outlineLevel="0" collapsed="false">
      <c r="A26" s="3" t="s">
        <v>43</v>
      </c>
      <c r="B26" s="3" t="s">
        <v>963</v>
      </c>
      <c r="C26" s="3" t="s">
        <v>964</v>
      </c>
      <c r="D26" s="3" t="s">
        <v>965</v>
      </c>
      <c r="E26" s="3" t="s">
        <v>948</v>
      </c>
      <c r="F26" s="3" t="s">
        <v>50</v>
      </c>
    </row>
    <row r="27" customFormat="false" ht="17.15" hidden="false" customHeight="false" outlineLevel="0" collapsed="false">
      <c r="A27" s="0" t="s">
        <v>966</v>
      </c>
      <c r="B27" s="25" t="n">
        <f aca="false">PL!F63</f>
        <v>76.3368707274192</v>
      </c>
      <c r="C27" s="25" t="n">
        <v>73</v>
      </c>
      <c r="D27" s="25" t="n">
        <v>76</v>
      </c>
      <c r="E27" s="25" t="n">
        <f aca="false">c_q4rev</f>
        <v>74.93</v>
      </c>
      <c r="F27" s="4" t="s">
        <v>967</v>
      </c>
    </row>
    <row r="28" customFormat="false" ht="17.15" hidden="false" customHeight="false" outlineLevel="0" collapsed="false">
      <c r="A28" s="0" t="s">
        <v>968</v>
      </c>
      <c r="B28" s="25" t="n">
        <f aca="false">PL!G63-PL!G78</f>
        <v>177.395722903188</v>
      </c>
      <c r="C28" s="25" t="n">
        <v>175</v>
      </c>
      <c r="D28" s="25" t="n">
        <v>179</v>
      </c>
      <c r="F28" s="4" t="s">
        <v>969</v>
      </c>
    </row>
    <row r="29" customFormat="false" ht="17.15" hidden="false" customHeight="false" outlineLevel="0" collapsed="false">
      <c r="A29" s="0" t="s">
        <v>970</v>
      </c>
      <c r="B29" s="25" t="n">
        <f aca="false">CF!G54</f>
        <v>140</v>
      </c>
      <c r="C29" s="25" t="n">
        <v>135</v>
      </c>
      <c r="D29" s="25" t="n">
        <v>145</v>
      </c>
      <c r="E29" s="25" t="n">
        <f aca="false">c_capex_26</f>
        <v>139.19</v>
      </c>
      <c r="F29" s="7" t="s">
        <v>971</v>
      </c>
    </row>
    <row r="30" customFormat="false" ht="17.15" hidden="false" customHeight="false" outlineLevel="0" collapsed="false">
      <c r="A30" s="0" t="s">
        <v>972</v>
      </c>
      <c r="B30" s="25" t="n">
        <f aca="false">-PL!G71</f>
        <v>18.5</v>
      </c>
      <c r="C30" s="25" t="n">
        <v>18</v>
      </c>
      <c r="D30" s="25" t="n">
        <v>19</v>
      </c>
      <c r="F30" s="7" t="s">
        <v>973</v>
      </c>
    </row>
    <row r="31" customFormat="false" ht="17.15" hidden="false" customHeight="false" outlineLevel="0" collapsed="false">
      <c r="A31" s="0" t="s">
        <v>397</v>
      </c>
      <c r="B31" s="25" t="n">
        <f aca="false">-PL!H71</f>
        <v>15</v>
      </c>
      <c r="F31" s="4" t="s">
        <v>974</v>
      </c>
    </row>
    <row r="32" customFormat="false" ht="17.15" hidden="false" customHeight="false" outlineLevel="0" collapsed="false">
      <c r="A32" s="0" t="s">
        <v>975</v>
      </c>
      <c r="B32" s="25" t="n">
        <f aca="false">CF!H54</f>
        <v>205.705878280136</v>
      </c>
      <c r="E32" s="25" t="n">
        <f aca="false">c_capex_27</f>
        <v>193.057</v>
      </c>
      <c r="F32" s="4" t="s">
        <v>976</v>
      </c>
    </row>
    <row r="33" customFormat="false" ht="17.15" hidden="false" customHeight="false" outlineLevel="0" collapsed="false">
      <c r="A33" s="0" t="s">
        <v>977</v>
      </c>
      <c r="B33" s="25" t="n">
        <f aca="false">PL!G61</f>
        <v>255.861406059325</v>
      </c>
      <c r="F33" s="4" t="s">
        <v>978</v>
      </c>
    </row>
    <row r="34" customFormat="false" ht="17.15" hidden="false" customHeight="false" outlineLevel="0" collapsed="false">
      <c r="A34" s="0" t="s">
        <v>979</v>
      </c>
      <c r="B34" s="25" t="n">
        <f aca="false">PL!G62</f>
        <v>2.18846466809422</v>
      </c>
      <c r="F34" s="4" t="s">
        <v>980</v>
      </c>
    </row>
    <row r="36" customFormat="false" ht="17.15" hidden="false" customHeight="false" outlineLevel="0" collapsed="false">
      <c r="A36" s="5" t="s">
        <v>981</v>
      </c>
    </row>
    <row r="37" customFormat="false" ht="15" hidden="false" customHeight="false" outlineLevel="0" collapsed="false">
      <c r="A37" s="3" t="s">
        <v>43</v>
      </c>
      <c r="B37" s="3" t="s">
        <v>611</v>
      </c>
      <c r="C37" s="3" t="s">
        <v>50</v>
      </c>
    </row>
    <row r="38" customFormat="false" ht="17.15" hidden="false" customHeight="false" outlineLevel="0" collapsed="false">
      <c r="A38" s="4" t="s">
        <v>982</v>
      </c>
      <c r="B38" s="19" t="n">
        <f aca="false">355.73</f>
        <v>355.73</v>
      </c>
      <c r="C38" s="7" t="s">
        <v>983</v>
      </c>
    </row>
    <row r="39" customFormat="false" ht="17.15" hidden="false" customHeight="false" outlineLevel="0" collapsed="false">
      <c r="A39" s="4" t="s">
        <v>984</v>
      </c>
      <c r="B39" s="19" t="n">
        <f aca="false">454.52</f>
        <v>454.52</v>
      </c>
      <c r="C39" s="7" t="s">
        <v>985</v>
      </c>
    </row>
    <row r="40" customFormat="false" ht="17.15" hidden="false" customHeight="false" outlineLevel="0" collapsed="false">
      <c r="A40" s="4" t="s">
        <v>986</v>
      </c>
      <c r="B40" s="19" t="n">
        <f aca="false">In!F89</f>
        <v>17.79</v>
      </c>
      <c r="C40" s="7" t="s">
        <v>987</v>
      </c>
    </row>
    <row r="41" customFormat="false" ht="17.15" hidden="false" customHeight="false" outlineLevel="0" collapsed="false">
      <c r="A41" s="4" t="s">
        <v>988</v>
      </c>
      <c r="B41" s="41" t="n">
        <f aca="false">B40/he_vr*1000</f>
        <v>1455.15865959924</v>
      </c>
      <c r="C41" s="4" t="s">
        <v>989</v>
      </c>
    </row>
    <row r="42" customFormat="false" ht="17.15" hidden="false" customHeight="false" outlineLevel="0" collapsed="false">
      <c r="A42" s="4" t="s">
        <v>990</v>
      </c>
      <c r="B42" s="41" t="n">
        <f aca="false">Thesis!H81</f>
        <v>10452.5437929502</v>
      </c>
    </row>
    <row r="43" customFormat="false" ht="17.15" hidden="false" customHeight="false" outlineLevel="0" collapsed="false">
      <c r="A43" s="4" t="s">
        <v>991</v>
      </c>
      <c r="B43" s="41" t="n">
        <f aca="false">mw_tot0</f>
        <v>5038.19651070486</v>
      </c>
    </row>
    <row r="44" customFormat="false" ht="17.15" hidden="false" customHeight="false" outlineLevel="0" collapsed="false">
      <c r="A44" s="4" t="s">
        <v>992</v>
      </c>
      <c r="B44" s="19" t="n">
        <f aca="false">0</f>
        <v>0</v>
      </c>
      <c r="C44" s="4" t="s">
        <v>993</v>
      </c>
    </row>
    <row r="45" customFormat="false" ht="17.15" hidden="false" customHeight="false" outlineLevel="0" collapsed="false">
      <c r="A45" s="4" t="s">
        <v>994</v>
      </c>
      <c r="B45" s="19" t="n">
        <f aca="false">14.72</f>
        <v>14.72</v>
      </c>
      <c r="C45" s="7" t="s">
        <v>995</v>
      </c>
    </row>
    <row r="46" customFormat="false" ht="17.15" hidden="false" customHeight="false" outlineLevel="0" collapsed="false">
      <c r="A46" s="0" t="s">
        <v>996</v>
      </c>
      <c r="B46" s="19" t="n">
        <f aca="false">0</f>
        <v>0</v>
      </c>
      <c r="C46" s="4" t="s">
        <v>997</v>
      </c>
    </row>
    <row r="48" customFormat="false" ht="17.15" hidden="false" customHeight="false" outlineLevel="0" collapsed="false">
      <c r="A48" s="5" t="s">
        <v>998</v>
      </c>
    </row>
    <row r="49" customFormat="false" ht="15" hidden="false" customHeight="false" outlineLevel="0" collapsed="false">
      <c r="A49" s="3" t="s">
        <v>43</v>
      </c>
      <c r="B49" s="3" t="s">
        <v>999</v>
      </c>
      <c r="C49" s="3" t="s">
        <v>1000</v>
      </c>
      <c r="D49" s="3" t="s">
        <v>1001</v>
      </c>
      <c r="E49" s="3" t="s">
        <v>50</v>
      </c>
    </row>
    <row r="50" customFormat="false" ht="17.15" hidden="false" customHeight="false" outlineLevel="0" collapsed="false">
      <c r="A50" s="0" t="s">
        <v>1002</v>
      </c>
      <c r="B50" s="25" t="n">
        <f aca="false">PL!G78</f>
        <v>80.654147824231</v>
      </c>
      <c r="C50" s="25" t="n">
        <f aca="false">PL!G81</f>
        <v>94.124147824231</v>
      </c>
      <c r="D50" s="25" t="n">
        <f aca="false">C50-B50</f>
        <v>13.47</v>
      </c>
      <c r="E50" s="4" t="s">
        <v>1003</v>
      </c>
    </row>
    <row r="51" customFormat="false" ht="17.15" hidden="false" customHeight="false" outlineLevel="0" collapsed="false">
      <c r="A51" s="0" t="s">
        <v>1004</v>
      </c>
      <c r="B51" s="25" t="n">
        <f aca="false">PL!G99</f>
        <v>28.8488160110654</v>
      </c>
      <c r="C51" s="25" t="n">
        <f aca="false">PL!G100</f>
        <v>30.5505395135432</v>
      </c>
      <c r="D51" s="25" t="n">
        <f aca="false">C51-B51</f>
        <v>1.70172350247781</v>
      </c>
      <c r="E51" s="4" t="s">
        <v>1003</v>
      </c>
    </row>
    <row r="52" customFormat="false" ht="17.15" hidden="false" customHeight="false" outlineLevel="0" collapsed="false">
      <c r="A52" s="0" t="s">
        <v>1005</v>
      </c>
      <c r="B52" s="25" t="n">
        <f aca="false">PL!E99</f>
        <v>20.4365264797508</v>
      </c>
      <c r="C52" s="25" t="n">
        <f aca="false">PL!E100</f>
        <v>22.1405280869943</v>
      </c>
      <c r="D52" s="25" t="n">
        <f aca="false">C52-B52</f>
        <v>1.70400160724354</v>
      </c>
      <c r="E52" s="4" t="s">
        <v>1003</v>
      </c>
    </row>
    <row r="54" customFormat="false" ht="17.15" hidden="false" customHeight="false" outlineLevel="0" collapsed="false">
      <c r="A54" s="5" t="s">
        <v>1006</v>
      </c>
    </row>
    <row r="55" customFormat="false" ht="15" hidden="false" customHeight="false" outlineLevel="0" collapsed="false">
      <c r="A55" s="3" t="s">
        <v>43</v>
      </c>
      <c r="B55" s="3" t="s">
        <v>611</v>
      </c>
      <c r="C55" s="3" t="s">
        <v>50</v>
      </c>
    </row>
    <row r="56" customFormat="false" ht="17.15" hidden="false" customHeight="false" outlineLevel="0" collapsed="false">
      <c r="A56" s="4" t="s">
        <v>1007</v>
      </c>
      <c r="B56" s="25" t="n">
        <f aca="false">11.89</f>
        <v>11.89</v>
      </c>
      <c r="C56" s="7" t="s">
        <v>1008</v>
      </c>
    </row>
    <row r="57" customFormat="false" ht="17.15" hidden="false" customHeight="false" outlineLevel="0" collapsed="false">
      <c r="A57" s="4" t="s">
        <v>1009</v>
      </c>
      <c r="B57" s="42" t="n">
        <f aca="false">11.577-6.867</f>
        <v>4.71</v>
      </c>
      <c r="C57" s="7" t="s">
        <v>1010</v>
      </c>
    </row>
    <row r="58" customFormat="false" ht="17.15" hidden="false" customHeight="false" outlineLevel="0" collapsed="false">
      <c r="A58" s="4" t="s">
        <v>1011</v>
      </c>
      <c r="B58" s="42" t="n">
        <f aca="false">8.304-0.45</f>
        <v>7.854</v>
      </c>
      <c r="C58" s="7" t="s">
        <v>1012</v>
      </c>
    </row>
    <row r="59" customFormat="false" ht="17.15" hidden="false" customHeight="false" outlineLevel="0" collapsed="false">
      <c r="A59" s="4" t="s">
        <v>1013</v>
      </c>
      <c r="B59" s="22" t="n">
        <f aca="false">(12.7+0.075)/11.89</f>
        <v>1.0744322960471</v>
      </c>
      <c r="C59" s="4" t="s">
        <v>1014</v>
      </c>
    </row>
    <row r="60" customFormat="false" ht="17.15" hidden="false" customHeight="false" outlineLevel="0" collapsed="false">
      <c r="A60" s="4" t="s">
        <v>1015</v>
      </c>
      <c r="B60" s="25" t="n">
        <f aca="false">11.704</f>
        <v>11.704</v>
      </c>
      <c r="C60" s="7" t="s">
        <v>1016</v>
      </c>
    </row>
    <row r="61" customFormat="false" ht="17.15" hidden="false" customHeight="false" outlineLevel="0" collapsed="false">
      <c r="A61" s="4" t="s">
        <v>1017</v>
      </c>
      <c r="B61" s="25" t="n">
        <f aca="false">25.03</f>
        <v>25.03</v>
      </c>
      <c r="C61" s="7" t="s">
        <v>1018</v>
      </c>
    </row>
    <row r="62" customFormat="false" ht="17.15" hidden="false" customHeight="false" outlineLevel="0" collapsed="false">
      <c r="A62" s="4" t="s">
        <v>1019</v>
      </c>
      <c r="B62" s="25" t="n">
        <f aca="false">5.34</f>
        <v>5.34</v>
      </c>
      <c r="C62" s="7" t="s">
        <v>1020</v>
      </c>
    </row>
    <row r="63" customFormat="false" ht="17.15" hidden="false" customHeight="false" outlineLevel="0" collapsed="false">
      <c r="A63" s="4" t="s">
        <v>1021</v>
      </c>
      <c r="B63" s="25" t="n">
        <f aca="false">12.826</f>
        <v>12.826</v>
      </c>
      <c r="C63" s="4" t="s">
        <v>1022</v>
      </c>
    </row>
    <row r="64" customFormat="false" ht="17.15" hidden="false" customHeight="false" outlineLevel="0" collapsed="false">
      <c r="A64" s="0" t="s">
        <v>1023</v>
      </c>
      <c r="B64" s="19"/>
      <c r="C64" s="4" t="s">
        <v>1024</v>
      </c>
    </row>
    <row r="65" customFormat="false" ht="17.15" hidden="false" customHeight="false" outlineLevel="0" collapsed="false">
      <c r="A65" s="0" t="s">
        <v>1025</v>
      </c>
      <c r="B65" s="19" t="n">
        <f aca="false">-PL!H71</f>
        <v>15</v>
      </c>
      <c r="C65" s="4" t="s">
        <v>1026</v>
      </c>
    </row>
    <row r="66" customFormat="false" ht="17.15" hidden="false" customHeight="false" outlineLevel="0" collapsed="false">
      <c r="A66" s="0" t="s">
        <v>1027</v>
      </c>
      <c r="B66" s="19"/>
      <c r="C66" s="7" t="s"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1029</v>
      </c>
    </row>
    <row r="2" customFormat="false" ht="17.15" hidden="false" customHeight="false" outlineLevel="0" collapsed="false">
      <c r="A2" s="4" t="s">
        <v>1030</v>
      </c>
    </row>
    <row r="3" customFormat="false" ht="17.15" hidden="false" customHeight="false" outlineLevel="0" collapsed="false">
      <c r="A3" s="3" t="s">
        <v>1031</v>
      </c>
      <c r="B3" s="3" t="s">
        <v>1032</v>
      </c>
      <c r="C3" s="3" t="s">
        <v>1033</v>
      </c>
      <c r="D3" s="3" t="s">
        <v>1034</v>
      </c>
      <c r="E3" s="3" t="s">
        <v>1035</v>
      </c>
      <c r="F3" s="3" t="s">
        <v>42</v>
      </c>
      <c r="G3" s="3" t="s">
        <v>50</v>
      </c>
      <c r="H3" s="3" t="s">
        <v>1036</v>
      </c>
      <c r="I3" s="21" t="s">
        <v>1037</v>
      </c>
    </row>
    <row r="4" customFormat="false" ht="17.15" hidden="false" customHeight="false" outlineLevel="0" collapsed="false">
      <c r="A4" s="4" t="s">
        <v>1038</v>
      </c>
      <c r="B4" s="4" t="s">
        <v>1039</v>
      </c>
      <c r="C4" s="4" t="s">
        <v>1040</v>
      </c>
      <c r="D4" s="28" t="n">
        <v>428.701487951025</v>
      </c>
      <c r="E4" s="43" t="n">
        <f aca="false">D4/Val!$B$8-1</f>
        <v>-0.492118321363253</v>
      </c>
      <c r="F4" s="7" t="s">
        <v>195</v>
      </c>
      <c r="G4" s="4" t="s">
        <v>1041</v>
      </c>
      <c r="H4" s="27" t="n">
        <v>14.9797695854028</v>
      </c>
      <c r="I4" s="27" t="n">
        <v>205.705878280136</v>
      </c>
    </row>
    <row r="5" customFormat="false" ht="17.15" hidden="false" customHeight="false" outlineLevel="0" collapsed="false">
      <c r="A5" s="0" t="s">
        <v>1042</v>
      </c>
      <c r="B5" s="4" t="s">
        <v>1043</v>
      </c>
      <c r="C5" s="4" t="s">
        <v>1044</v>
      </c>
      <c r="D5" s="28" t="n">
        <v>1069.63295008926</v>
      </c>
      <c r="E5" s="43" t="n">
        <f aca="false">D5/Val!$B$8-1</f>
        <v>0.267191725442692</v>
      </c>
      <c r="F5" s="7" t="s">
        <v>223</v>
      </c>
      <c r="G5" s="4" t="s">
        <v>1041</v>
      </c>
      <c r="H5" s="27" t="n">
        <v>14.9797695854028</v>
      </c>
      <c r="I5" s="27" t="n">
        <v>205.705878280136</v>
      </c>
    </row>
    <row r="6" customFormat="false" ht="17.15" hidden="false" customHeight="false" outlineLevel="0" collapsed="false">
      <c r="A6" s="0" t="s">
        <v>1045</v>
      </c>
      <c r="B6" s="4" t="s">
        <v>1046</v>
      </c>
      <c r="C6" s="4" t="s">
        <v>1044</v>
      </c>
      <c r="D6" s="28" t="n">
        <v>826.45393811584</v>
      </c>
      <c r="E6" s="43" t="n">
        <f aca="false">D6/Val!$B$8-1</f>
        <v>-0.0209018974662994</v>
      </c>
      <c r="F6" s="7" t="s">
        <v>223</v>
      </c>
      <c r="G6" s="4" t="s">
        <v>1041</v>
      </c>
      <c r="H6" s="27" t="n">
        <v>14.9797695854028</v>
      </c>
      <c r="I6" s="27" t="n">
        <v>205.705878280136</v>
      </c>
    </row>
    <row r="7" customFormat="false" ht="17.15" hidden="false" customHeight="false" outlineLevel="0" collapsed="false">
      <c r="A7" s="0" t="s">
        <v>1047</v>
      </c>
      <c r="B7" s="4" t="s">
        <v>1048</v>
      </c>
      <c r="C7" s="4" t="s">
        <v>1044</v>
      </c>
      <c r="D7" s="28" t="n">
        <v>864.974232935718</v>
      </c>
      <c r="E7" s="43" t="n">
        <f aca="false">D7/Val!$B$8-1</f>
        <v>0.0247330082771045</v>
      </c>
      <c r="F7" s="7" t="s">
        <v>227</v>
      </c>
      <c r="G7" s="4" t="s">
        <v>1041</v>
      </c>
      <c r="H7" s="27" t="n">
        <v>14.9797695854028</v>
      </c>
      <c r="I7" s="27" t="n">
        <v>205.705878280136</v>
      </c>
    </row>
    <row r="8" customFormat="false" ht="17.15" hidden="false" customHeight="false" outlineLevel="0" collapsed="false">
      <c r="A8" s="4" t="s">
        <v>1049</v>
      </c>
      <c r="B8" s="0" t="s">
        <v>1050</v>
      </c>
      <c r="C8" s="4" t="s">
        <v>1040</v>
      </c>
      <c r="D8" s="28" t="n">
        <v>810.978359510486</v>
      </c>
      <c r="E8" s="43" t="n">
        <f aca="false">D8/Val!$B$8-1</f>
        <v>-0.0392357802748891</v>
      </c>
      <c r="F8" s="7" t="s">
        <v>370</v>
      </c>
      <c r="G8" s="4" t="s">
        <v>1041</v>
      </c>
      <c r="H8" s="27" t="n">
        <v>-5.8557186505483</v>
      </c>
      <c r="I8" s="27" t="n">
        <v>205.705878280136</v>
      </c>
    </row>
    <row r="9" customFormat="false" ht="17.15" hidden="false" customHeight="false" outlineLevel="0" collapsed="false">
      <c r="A9" s="4" t="s">
        <v>1051</v>
      </c>
      <c r="B9" s="0" t="s">
        <v>1050</v>
      </c>
      <c r="C9" s="4" t="s">
        <v>1044</v>
      </c>
      <c r="D9" s="28" t="n">
        <v>879.077297075187</v>
      </c>
      <c r="E9" s="43" t="n">
        <f aca="false">D9/Val!$B$8-1</f>
        <v>0.0414408763167262</v>
      </c>
      <c r="F9" s="7" t="s">
        <v>370</v>
      </c>
      <c r="G9" s="4" t="s">
        <v>1041</v>
      </c>
      <c r="H9" s="27" t="n">
        <v>36.291127831741</v>
      </c>
      <c r="I9" s="27" t="n">
        <v>205.705878280136</v>
      </c>
    </row>
    <row r="10" customFormat="false" ht="17.15" hidden="false" customHeight="false" outlineLevel="0" collapsed="false">
      <c r="A10" s="4" t="s">
        <v>1052</v>
      </c>
      <c r="B10" s="0" t="s">
        <v>1053</v>
      </c>
      <c r="C10" s="4" t="s">
        <v>1040</v>
      </c>
      <c r="D10" s="28" t="n">
        <v>810.183802314627</v>
      </c>
      <c r="E10" s="43" t="n">
        <f aca="false">D10/Val!$B$8-1</f>
        <v>-0.0401770903793501</v>
      </c>
      <c r="F10" s="7" t="s">
        <v>373</v>
      </c>
      <c r="G10" s="4" t="s">
        <v>1041</v>
      </c>
      <c r="H10" s="27" t="n">
        <v>-6.43114686447009</v>
      </c>
      <c r="I10" s="27" t="n">
        <v>205.705878280136</v>
      </c>
    </row>
    <row r="11" customFormat="false" ht="17.15" hidden="false" customHeight="false" outlineLevel="0" collapsed="false">
      <c r="A11" s="4" t="s">
        <v>1054</v>
      </c>
      <c r="B11" s="0" t="s">
        <v>1053</v>
      </c>
      <c r="C11" s="4" t="s">
        <v>1044</v>
      </c>
      <c r="D11" s="28" t="n">
        <v>879.959339944736</v>
      </c>
      <c r="E11" s="43" t="n">
        <f aca="false">D11/Val!$B$8-1</f>
        <v>0.042485830500014</v>
      </c>
      <c r="F11" s="7" t="s">
        <v>373</v>
      </c>
      <c r="G11" s="4" t="s">
        <v>1041</v>
      </c>
      <c r="H11" s="27" t="n">
        <v>36.8927502602385</v>
      </c>
      <c r="I11" s="27" t="n">
        <v>205.705878280136</v>
      </c>
    </row>
    <row r="12" customFormat="false" ht="17.15" hidden="false" customHeight="false" outlineLevel="0" collapsed="false">
      <c r="A12" s="4" t="s">
        <v>1055</v>
      </c>
      <c r="B12" s="4" t="s">
        <v>1056</v>
      </c>
      <c r="C12" s="4" t="s">
        <v>1044</v>
      </c>
      <c r="D12" s="28" t="n">
        <v>825.764197584289</v>
      </c>
      <c r="E12" s="43" t="n">
        <f aca="false">D12/Val!$B$8-1</f>
        <v>-0.0217190315067297</v>
      </c>
      <c r="F12" s="7" t="s">
        <v>366</v>
      </c>
      <c r="G12" s="4" t="s">
        <v>1041</v>
      </c>
      <c r="H12" s="27" t="n">
        <v>-4.11401430090849</v>
      </c>
      <c r="I12" s="27" t="n">
        <v>205.705878280136</v>
      </c>
    </row>
    <row r="13" customFormat="false" ht="17.15" hidden="false" customHeight="false" outlineLevel="0" collapsed="false">
      <c r="A13" s="4" t="s">
        <v>1057</v>
      </c>
      <c r="B13" s="0" t="s">
        <v>1058</v>
      </c>
      <c r="C13" s="4" t="s">
        <v>1040</v>
      </c>
      <c r="D13" s="28" t="n">
        <v>832.993903021197</v>
      </c>
      <c r="E13" s="43" t="n">
        <f aca="false">D13/Val!$B$8-1</f>
        <v>-0.013154015903692</v>
      </c>
      <c r="F13" s="7" t="s">
        <v>376</v>
      </c>
      <c r="G13" s="4" t="s">
        <v>1041</v>
      </c>
      <c r="H13" s="27" t="n">
        <v>14.9797695854028</v>
      </c>
      <c r="I13" s="27" t="n">
        <v>205.705878280136</v>
      </c>
    </row>
    <row r="14" customFormat="false" ht="17.15" hidden="false" customHeight="false" outlineLevel="0" collapsed="false">
      <c r="A14" s="4" t="s">
        <v>1059</v>
      </c>
      <c r="B14" s="0" t="s">
        <v>1058</v>
      </c>
      <c r="C14" s="4" t="s">
        <v>1044</v>
      </c>
      <c r="D14" s="28" t="n">
        <v>855.200438240786</v>
      </c>
      <c r="E14" s="43" t="n">
        <f aca="false">D14/Val!$B$8-1</f>
        <v>0.0131540159110222</v>
      </c>
      <c r="F14" s="7" t="s">
        <v>376</v>
      </c>
      <c r="G14" s="4" t="s">
        <v>1041</v>
      </c>
      <c r="H14" s="27" t="n">
        <v>14.9797695854028</v>
      </c>
      <c r="I14" s="27" t="n">
        <v>205.705878280136</v>
      </c>
    </row>
    <row r="15" customFormat="false" ht="17.15" hidden="false" customHeight="false" outlineLevel="0" collapsed="false">
      <c r="A15" s="4" t="s">
        <v>1060</v>
      </c>
      <c r="B15" s="0" t="s">
        <v>1061</v>
      </c>
      <c r="C15" s="4" t="s">
        <v>1040</v>
      </c>
      <c r="D15" s="28" t="n">
        <v>832.993899778544</v>
      </c>
      <c r="E15" s="43" t="n">
        <f aca="false">D15/Val!$B$8-1</f>
        <v>-0.0131540197452555</v>
      </c>
      <c r="F15" s="7" t="s">
        <v>380</v>
      </c>
      <c r="G15" s="4" t="s">
        <v>1041</v>
      </c>
      <c r="H15" s="27" t="n">
        <v>14.9797695854028</v>
      </c>
      <c r="I15" s="27" t="n">
        <v>205.705878280136</v>
      </c>
    </row>
    <row r="16" customFormat="false" ht="17.15" hidden="false" customHeight="false" outlineLevel="0" collapsed="false">
      <c r="A16" s="4" t="s">
        <v>1062</v>
      </c>
      <c r="B16" s="0" t="s">
        <v>1061</v>
      </c>
      <c r="C16" s="4" t="s">
        <v>1044</v>
      </c>
      <c r="D16" s="28" t="n">
        <v>855.200441487984</v>
      </c>
      <c r="E16" s="43" t="n">
        <f aca="false">D16/Val!$B$8-1</f>
        <v>0.0131540197579703</v>
      </c>
      <c r="F16" s="7" t="s">
        <v>380</v>
      </c>
      <c r="G16" s="4" t="s">
        <v>1041</v>
      </c>
      <c r="H16" s="27" t="n">
        <v>14.9797695854028</v>
      </c>
      <c r="I16" s="27" t="n">
        <v>205.705878280136</v>
      </c>
    </row>
    <row r="17" customFormat="false" ht="17.15" hidden="false" customHeight="false" outlineLevel="0" collapsed="false">
      <c r="A17" s="0" t="s">
        <v>1063</v>
      </c>
      <c r="B17" s="0" t="s">
        <v>1064</v>
      </c>
      <c r="C17" s="4" t="s">
        <v>1044</v>
      </c>
      <c r="D17" s="28" t="n">
        <v>806.953171270309</v>
      </c>
      <c r="E17" s="43" t="n">
        <f aca="false">D17/Val!$B$8-1</f>
        <v>-0.0440044116365874</v>
      </c>
      <c r="F17" s="7" t="s">
        <v>406</v>
      </c>
      <c r="G17" s="4" t="s">
        <v>1041</v>
      </c>
      <c r="H17" s="27" t="n">
        <v>-20.0589651303187</v>
      </c>
      <c r="I17" s="27" t="n">
        <v>205.705878280136</v>
      </c>
    </row>
    <row r="18" customFormat="false" ht="17.15" hidden="false" customHeight="false" outlineLevel="0" collapsed="false">
      <c r="A18" s="0" t="s">
        <v>1065</v>
      </c>
      <c r="B18" s="0" t="s">
        <v>1066</v>
      </c>
      <c r="C18" s="4" t="s">
        <v>1040</v>
      </c>
      <c r="D18" s="28" t="n">
        <v>841.044211970164</v>
      </c>
      <c r="E18" s="43" t="n">
        <f aca="false">D18/Val!$B$8-1</f>
        <v>-0.00361683318457606</v>
      </c>
      <c r="F18" s="7" t="s">
        <v>386</v>
      </c>
      <c r="G18" s="4" t="s">
        <v>1041</v>
      </c>
      <c r="H18" s="27" t="n">
        <v>13.290518827639</v>
      </c>
      <c r="I18" s="27" t="n">
        <v>205.705878280136</v>
      </c>
    </row>
    <row r="19" customFormat="false" ht="17.15" hidden="false" customHeight="false" outlineLevel="0" collapsed="false">
      <c r="A19" s="0" t="s">
        <v>1067</v>
      </c>
      <c r="B19" s="0" t="s">
        <v>1066</v>
      </c>
      <c r="C19" s="4" t="s">
        <v>1044</v>
      </c>
      <c r="D19" s="28" t="n">
        <v>849.506904970158</v>
      </c>
      <c r="E19" s="43" t="n">
        <f aca="false">D19/Val!$B$8-1</f>
        <v>0.00640889998273075</v>
      </c>
      <c r="F19" s="7" t="s">
        <v>386</v>
      </c>
      <c r="G19" s="4" t="s">
        <v>1041</v>
      </c>
      <c r="H19" s="27" t="n">
        <v>17.6024500322183</v>
      </c>
      <c r="I19" s="27" t="n">
        <v>205.705878280136</v>
      </c>
    </row>
    <row r="20" customFormat="false" ht="17.15" hidden="false" customHeight="false" outlineLevel="0" collapsed="false">
      <c r="A20" s="0" t="s">
        <v>1068</v>
      </c>
      <c r="B20" s="0" t="s">
        <v>1069</v>
      </c>
      <c r="C20" s="4" t="s">
        <v>1040</v>
      </c>
      <c r="D20" s="28" t="n">
        <v>851.996440568378</v>
      </c>
      <c r="E20" s="43" t="n">
        <f aca="false">D20/Val!$B$8-1</f>
        <v>0.00935824714896771</v>
      </c>
      <c r="F20" s="7" t="s">
        <v>399</v>
      </c>
      <c r="G20" s="4" t="s">
        <v>1041</v>
      </c>
      <c r="H20" s="27" t="n">
        <v>20.1450931770827</v>
      </c>
      <c r="I20" s="27" t="n">
        <v>205.705878280136</v>
      </c>
    </row>
    <row r="21" customFormat="false" ht="17.15" hidden="false" customHeight="false" outlineLevel="0" collapsed="false">
      <c r="A21" s="0" t="s">
        <v>1070</v>
      </c>
      <c r="B21" s="0" t="s">
        <v>1069</v>
      </c>
      <c r="C21" s="4" t="s">
        <v>1044</v>
      </c>
      <c r="D21" s="28" t="n">
        <v>836.197900687418</v>
      </c>
      <c r="E21" s="43" t="n">
        <f aca="false">D21/Val!$B$8-1</f>
        <v>-0.00935824714896705</v>
      </c>
      <c r="F21" s="7" t="s">
        <v>399</v>
      </c>
      <c r="G21" s="4" t="s">
        <v>1041</v>
      </c>
      <c r="H21" s="27" t="n">
        <v>9.81444599372274</v>
      </c>
      <c r="I21" s="27" t="n">
        <v>205.705878280136</v>
      </c>
    </row>
    <row r="22" customFormat="false" ht="17.15" hidden="false" customHeight="false" outlineLevel="0" collapsed="false">
      <c r="A22" s="0" t="s">
        <v>1071</v>
      </c>
      <c r="B22" s="0" t="s">
        <v>1072</v>
      </c>
      <c r="C22" s="4" t="s">
        <v>1040</v>
      </c>
      <c r="D22" s="28" t="n">
        <v>850.263564413865</v>
      </c>
      <c r="E22" s="43" t="n">
        <f aca="false">D22/Val!$B$8-1</f>
        <v>0.0073053127063325</v>
      </c>
      <c r="F22" s="7" t="s">
        <v>396</v>
      </c>
      <c r="G22" s="4" t="s">
        <v>1041</v>
      </c>
      <c r="H22" s="27" t="n">
        <v>22.5501156401161</v>
      </c>
      <c r="I22" s="27" t="n">
        <v>205.705878280136</v>
      </c>
    </row>
    <row r="23" customFormat="false" ht="17.15" hidden="false" customHeight="false" outlineLevel="0" collapsed="false">
      <c r="A23" s="0" t="s">
        <v>1073</v>
      </c>
      <c r="B23" s="0" t="s">
        <v>1072</v>
      </c>
      <c r="C23" s="4" t="s">
        <v>1044</v>
      </c>
      <c r="D23" s="28" t="n">
        <v>837.930776841931</v>
      </c>
      <c r="E23" s="43" t="n">
        <f aca="false">D23/Val!$B$8-1</f>
        <v>-0.00730531270633184</v>
      </c>
      <c r="F23" s="7" t="s">
        <v>396</v>
      </c>
      <c r="G23" s="4" t="s">
        <v>1041</v>
      </c>
      <c r="H23" s="27" t="n">
        <v>7.40942353068941</v>
      </c>
      <c r="I23" s="27" t="n">
        <v>205.705878280136</v>
      </c>
    </row>
    <row r="24" customFormat="false" ht="17.15" hidden="false" customHeight="false" outlineLevel="0" collapsed="false">
      <c r="A24" s="0" t="s">
        <v>1074</v>
      </c>
      <c r="B24" s="0" t="s">
        <v>1075</v>
      </c>
      <c r="C24" s="4" t="s">
        <v>1040</v>
      </c>
      <c r="D24" s="28" t="n">
        <v>844.265880282906</v>
      </c>
      <c r="E24" s="43" t="n">
        <f aca="false">D24/Val!$B$8-1</f>
        <v>0.000199869944929043</v>
      </c>
      <c r="F24" s="7" t="s">
        <v>392</v>
      </c>
      <c r="G24" s="4" t="s">
        <v>1041</v>
      </c>
      <c r="H24" s="27" t="n">
        <v>15.4652586432172</v>
      </c>
      <c r="I24" s="27" t="n">
        <v>205.705878280136</v>
      </c>
    </row>
    <row r="25" customFormat="false" ht="17.15" hidden="false" customHeight="false" outlineLevel="0" collapsed="false">
      <c r="A25" s="0" t="s">
        <v>1076</v>
      </c>
      <c r="B25" s="0" t="s">
        <v>1075</v>
      </c>
      <c r="C25" s="4" t="s">
        <v>1044</v>
      </c>
      <c r="D25" s="28" t="n">
        <v>843.92846097289</v>
      </c>
      <c r="E25" s="43" t="n">
        <f aca="false">D25/Val!$B$8-1</f>
        <v>-0.000199869944928599</v>
      </c>
      <c r="F25" s="7" t="s">
        <v>392</v>
      </c>
      <c r="G25" s="4" t="s">
        <v>1041</v>
      </c>
      <c r="H25" s="27" t="n">
        <v>14.4942805275883</v>
      </c>
      <c r="I25" s="27" t="n">
        <v>205.705878280136</v>
      </c>
    </row>
    <row r="26" customFormat="false" ht="17.15" hidden="false" customHeight="false" outlineLevel="0" collapsed="false">
      <c r="A26" s="4" t="s">
        <v>1077</v>
      </c>
      <c r="B26" s="0" t="s">
        <v>1078</v>
      </c>
      <c r="C26" s="4" t="s">
        <v>1040</v>
      </c>
      <c r="D26" s="28" t="n">
        <v>846.384149585228</v>
      </c>
      <c r="E26" s="43" t="n">
        <f aca="false">D26/Val!$B$8-1</f>
        <v>0.00270937877404442</v>
      </c>
      <c r="F26" s="7" t="s">
        <v>402</v>
      </c>
      <c r="G26" s="4" t="s">
        <v>1041</v>
      </c>
      <c r="H26" s="27" t="n">
        <v>16.5653561800848</v>
      </c>
      <c r="I26" s="27" t="n">
        <v>205.705878280136</v>
      </c>
    </row>
    <row r="27" customFormat="false" ht="17.15" hidden="false" customHeight="false" outlineLevel="0" collapsed="false">
      <c r="A27" s="4" t="s">
        <v>1079</v>
      </c>
      <c r="B27" s="0" t="s">
        <v>1078</v>
      </c>
      <c r="C27" s="4" t="s">
        <v>1044</v>
      </c>
      <c r="D27" s="28" t="n">
        <v>841.810191670568</v>
      </c>
      <c r="E27" s="43" t="n">
        <f aca="false">D27/Val!$B$8-1</f>
        <v>-0.00270937877404398</v>
      </c>
      <c r="F27" s="7" t="s">
        <v>402</v>
      </c>
      <c r="G27" s="4" t="s">
        <v>1041</v>
      </c>
      <c r="H27" s="27" t="n">
        <v>13.3941829907207</v>
      </c>
      <c r="I27" s="27" t="n">
        <v>205.705878280136</v>
      </c>
    </row>
    <row r="28" customFormat="false" ht="17.15" hidden="false" customHeight="false" outlineLevel="0" collapsed="false">
      <c r="A28" s="0" t="s">
        <v>1080</v>
      </c>
      <c r="B28" s="0" t="s">
        <v>1081</v>
      </c>
      <c r="C28" s="4" t="s">
        <v>1040</v>
      </c>
      <c r="D28" s="28" t="n">
        <v>765.147886778992</v>
      </c>
      <c r="E28" s="43" t="n">
        <f aca="false">D28/Val!$B$8-1</f>
        <v>-0.0935310371792597</v>
      </c>
      <c r="F28" s="7" t="s">
        <v>1082</v>
      </c>
      <c r="G28" s="4" t="s">
        <v>1041</v>
      </c>
      <c r="H28" s="27" t="n">
        <v>14.9797695854028</v>
      </c>
      <c r="I28" s="27" t="n">
        <v>205.705878280136</v>
      </c>
    </row>
    <row r="29" customFormat="false" ht="17.15" hidden="false" customHeight="false" outlineLevel="0" collapsed="false">
      <c r="A29" s="0" t="s">
        <v>1083</v>
      </c>
      <c r="B29" s="0" t="s">
        <v>1081</v>
      </c>
      <c r="C29" s="4" t="s">
        <v>1044</v>
      </c>
      <c r="D29" s="28" t="n">
        <v>1054.79186990892</v>
      </c>
      <c r="E29" s="43" t="n">
        <f aca="false">D29/Val!$B$8-1</f>
        <v>0.249609531476445</v>
      </c>
      <c r="F29" s="7" t="s">
        <v>1082</v>
      </c>
      <c r="G29" s="4" t="s">
        <v>1041</v>
      </c>
      <c r="H29" s="27" t="n">
        <v>14.9797695854028</v>
      </c>
      <c r="I29" s="27" t="n">
        <v>205.705878280136</v>
      </c>
    </row>
    <row r="30" customFormat="false" ht="17.15" hidden="false" customHeight="false" outlineLevel="0" collapsed="false">
      <c r="A30" s="0" t="s">
        <v>1084</v>
      </c>
      <c r="B30" s="0" t="s">
        <v>1085</v>
      </c>
      <c r="C30" s="4" t="s">
        <v>1040</v>
      </c>
      <c r="D30" s="28" t="n">
        <v>844.564180712475</v>
      </c>
      <c r="E30" s="43" t="n">
        <f aca="false">D30/Val!$B$8-1</f>
        <v>0.000553265786011226</v>
      </c>
      <c r="F30" s="7" t="s">
        <v>254</v>
      </c>
      <c r="G30" s="4" t="s">
        <v>1041</v>
      </c>
      <c r="H30" s="27" t="n">
        <v>66.7759294078465</v>
      </c>
      <c r="I30" s="27" t="n">
        <v>193.685695492626</v>
      </c>
    </row>
    <row r="31" customFormat="false" ht="17.15" hidden="false" customHeight="false" outlineLevel="0" collapsed="false">
      <c r="A31" s="0" t="s">
        <v>1086</v>
      </c>
      <c r="B31" s="0" t="s">
        <v>1085</v>
      </c>
      <c r="C31" s="4" t="s">
        <v>1044</v>
      </c>
      <c r="D31" s="28" t="n">
        <v>843.634107433052</v>
      </c>
      <c r="E31" s="43" t="n">
        <f aca="false">D31/Val!$B$8-1</f>
        <v>-0.000548589914714737</v>
      </c>
      <c r="F31" s="7" t="s">
        <v>254</v>
      </c>
      <c r="G31" s="4" t="s">
        <v>1041</v>
      </c>
      <c r="H31" s="27" t="n">
        <v>-38.4127938620629</v>
      </c>
      <c r="I31" s="27" t="n">
        <v>218.072249532646</v>
      </c>
    </row>
    <row r="32" customFormat="false" ht="17.15" hidden="false" customHeight="false" outlineLevel="0" collapsed="false">
      <c r="A32" s="0" t="s">
        <v>1087</v>
      </c>
      <c r="B32" s="0" t="s">
        <v>1088</v>
      </c>
      <c r="C32" s="4" t="s">
        <v>1040</v>
      </c>
      <c r="D32" s="28" t="n">
        <v>843.732133418546</v>
      </c>
      <c r="E32" s="43" t="n">
        <f aca="false">D32/Val!$B$8-1</f>
        <v>-0.000432458752444576</v>
      </c>
      <c r="F32" s="7" t="s">
        <v>258</v>
      </c>
      <c r="G32" s="4" t="s">
        <v>1041</v>
      </c>
      <c r="H32" s="27" t="n">
        <v>139.321753646349</v>
      </c>
      <c r="I32" s="27" t="n">
        <v>172.852939140068</v>
      </c>
    </row>
    <row r="33" customFormat="false" ht="17.15" hidden="false" customHeight="false" outlineLevel="0" collapsed="false">
      <c r="A33" s="0" t="s">
        <v>1089</v>
      </c>
      <c r="B33" s="0" t="s">
        <v>1088</v>
      </c>
      <c r="C33" s="4" t="s">
        <v>1044</v>
      </c>
      <c r="D33" s="28" t="n">
        <v>844.463678424043</v>
      </c>
      <c r="E33" s="43" t="n">
        <f aca="false">D33/Val!$B$8-1</f>
        <v>0.000434200953277175</v>
      </c>
      <c r="F33" s="7" t="s">
        <v>258</v>
      </c>
      <c r="G33" s="4" t="s">
        <v>1041</v>
      </c>
      <c r="H33" s="27" t="n">
        <v>-110.33648645475</v>
      </c>
      <c r="I33" s="27" t="n">
        <v>238.558817420204</v>
      </c>
    </row>
    <row r="34" customFormat="false" ht="17.15" hidden="false" customHeight="false" outlineLevel="0" collapsed="false">
      <c r="A34" s="0" t="s">
        <v>1090</v>
      </c>
      <c r="B34" s="0" t="s">
        <v>1091</v>
      </c>
      <c r="C34" s="4" t="s">
        <v>1040</v>
      </c>
      <c r="D34" s="28" t="n">
        <v>844.464488854615</v>
      </c>
      <c r="E34" s="43" t="n">
        <f aca="false">D34/Val!$B$8-1</f>
        <v>0.000435161068534251</v>
      </c>
      <c r="F34" s="7" t="s">
        <v>274</v>
      </c>
      <c r="G34" s="4" t="s">
        <v>1041</v>
      </c>
      <c r="H34" s="27" t="n">
        <v>115.10633632111</v>
      </c>
      <c r="I34" s="27" t="n">
        <v>205.705878280136</v>
      </c>
    </row>
    <row r="35" customFormat="false" ht="17.15" hidden="false" customHeight="false" outlineLevel="0" collapsed="false">
      <c r="A35" s="0" t="s">
        <v>1092</v>
      </c>
      <c r="B35" s="0" t="s">
        <v>1091</v>
      </c>
      <c r="C35" s="4" t="s">
        <v>1044</v>
      </c>
      <c r="D35" s="28" t="n">
        <v>843.729852401181</v>
      </c>
      <c r="E35" s="43" t="n">
        <f aca="false">D35/Val!$B$8-1</f>
        <v>-0.000435161068533696</v>
      </c>
      <c r="F35" s="7" t="s">
        <v>274</v>
      </c>
      <c r="G35" s="4" t="s">
        <v>1041</v>
      </c>
      <c r="H35" s="27" t="n">
        <v>-85.6239173155526</v>
      </c>
      <c r="I35" s="27" t="n">
        <v>205.705878280136</v>
      </c>
    </row>
    <row r="36" customFormat="false" ht="17.15" hidden="false" customHeight="false" outlineLevel="0" collapsed="false">
      <c r="A36" s="4" t="s">
        <v>1093</v>
      </c>
      <c r="B36" s="0" t="s">
        <v>1094</v>
      </c>
      <c r="C36" s="4" t="s">
        <v>1040</v>
      </c>
      <c r="D36" s="28" t="n">
        <v>855.79942322361</v>
      </c>
      <c r="E36" s="43" t="n">
        <f aca="false">D36/Val!$B$8-1</f>
        <v>0.0138636320590997</v>
      </c>
      <c r="F36" s="7" t="s">
        <v>232</v>
      </c>
      <c r="G36" s="4" t="s">
        <v>1041</v>
      </c>
      <c r="H36" s="27" t="n">
        <v>19.2324714912264</v>
      </c>
      <c r="I36" s="27" t="n">
        <v>205.705878280136</v>
      </c>
    </row>
    <row r="37" customFormat="false" ht="17.15" hidden="false" customHeight="false" outlineLevel="0" collapsed="false">
      <c r="A37" s="4" t="s">
        <v>1095</v>
      </c>
      <c r="B37" s="0" t="s">
        <v>1094</v>
      </c>
      <c r="C37" s="4" t="s">
        <v>1044</v>
      </c>
      <c r="D37" s="28" t="n">
        <v>826.42404095402</v>
      </c>
      <c r="E37" s="43" t="n">
        <f aca="false">D37/Val!$B$8-1</f>
        <v>-0.0209373165659722</v>
      </c>
      <c r="F37" s="7" t="s">
        <v>232</v>
      </c>
      <c r="G37" s="4" t="s">
        <v>1041</v>
      </c>
      <c r="H37" s="27" t="n">
        <v>8.63048163221838</v>
      </c>
      <c r="I37" s="27" t="n">
        <v>205.705878280136</v>
      </c>
    </row>
    <row r="38" customFormat="false" ht="17.15" hidden="false" customHeight="false" outlineLevel="0" collapsed="false">
      <c r="A38" s="4" t="s">
        <v>1096</v>
      </c>
      <c r="B38" s="0" t="s">
        <v>1097</v>
      </c>
      <c r="C38" s="4" t="s">
        <v>1040</v>
      </c>
      <c r="D38" s="28" t="n">
        <v>839.68454638869</v>
      </c>
      <c r="E38" s="43" t="n">
        <f aca="false">D38/Val!$B$8-1</f>
        <v>-0.00522762590937875</v>
      </c>
      <c r="F38" s="7" t="s">
        <v>294</v>
      </c>
      <c r="G38" s="4" t="s">
        <v>1041</v>
      </c>
      <c r="H38" s="27" t="n">
        <v>16.4559715761961</v>
      </c>
      <c r="I38" s="27" t="n">
        <v>205.705878280136</v>
      </c>
    </row>
    <row r="39" customFormat="false" ht="17.15" hidden="false" customHeight="false" outlineLevel="0" collapsed="false">
      <c r="A39" s="4" t="s">
        <v>1098</v>
      </c>
      <c r="B39" s="0" t="s">
        <v>1097</v>
      </c>
      <c r="C39" s="4" t="s">
        <v>1044</v>
      </c>
      <c r="D39" s="28" t="n">
        <v>848.164317363382</v>
      </c>
      <c r="E39" s="43" t="n">
        <f aca="false">D39/Val!$B$8-1</f>
        <v>0.00481833949574639</v>
      </c>
      <c r="F39" s="7" t="s">
        <v>294</v>
      </c>
      <c r="G39" s="4" t="s">
        <v>1041</v>
      </c>
      <c r="H39" s="27" t="n">
        <v>13.5884024256722</v>
      </c>
      <c r="I39" s="27" t="n">
        <v>205.705878280136</v>
      </c>
    </row>
    <row r="40" customFormat="false" ht="17.15" hidden="false" customHeight="false" outlineLevel="0" collapsed="false">
      <c r="A40" s="4" t="s">
        <v>1099</v>
      </c>
      <c r="B40" s="0" t="s">
        <v>1100</v>
      </c>
      <c r="C40" s="4" t="s">
        <v>1040</v>
      </c>
      <c r="D40" s="28" t="n">
        <v>803.040514510684</v>
      </c>
      <c r="E40" s="43" t="n">
        <f aca="false">D40/Val!$B$8-1</f>
        <v>-0.0486397272089811</v>
      </c>
      <c r="F40" s="7" t="s">
        <v>294</v>
      </c>
      <c r="G40" s="4" t="s">
        <v>1041</v>
      </c>
      <c r="H40" s="27" t="n">
        <v>28.50979392783</v>
      </c>
      <c r="I40" s="27" t="n">
        <v>205.705878280136</v>
      </c>
    </row>
    <row r="41" customFormat="false" ht="17.15" hidden="false" customHeight="false" outlineLevel="0" collapsed="false">
      <c r="A41" s="4" t="s">
        <v>1101</v>
      </c>
      <c r="B41" s="0" t="s">
        <v>1102</v>
      </c>
      <c r="C41" s="4" t="s">
        <v>1040</v>
      </c>
      <c r="D41" s="28" t="n">
        <v>844.926554052376</v>
      </c>
      <c r="E41" s="43" t="n">
        <f aca="false">D41/Val!$B$8-1</f>
        <v>0.000982568658370653</v>
      </c>
      <c r="F41" s="7" t="s">
        <v>298</v>
      </c>
      <c r="G41" s="4" t="s">
        <v>1041</v>
      </c>
      <c r="H41" s="27" t="n">
        <v>14.248287164574</v>
      </c>
      <c r="I41" s="27" t="n">
        <v>205.705878280136</v>
      </c>
    </row>
    <row r="42" customFormat="false" ht="17.15" hidden="false" customHeight="false" outlineLevel="0" collapsed="false">
      <c r="A42" s="4" t="s">
        <v>1103</v>
      </c>
      <c r="B42" s="0" t="s">
        <v>1102</v>
      </c>
      <c r="C42" s="4" t="s">
        <v>1044</v>
      </c>
      <c r="D42" s="28" t="n">
        <v>843.26778720342</v>
      </c>
      <c r="E42" s="43" t="n">
        <f aca="false">D42/Val!$B$8-1</f>
        <v>-0.000982568658369987</v>
      </c>
      <c r="F42" s="7" t="s">
        <v>298</v>
      </c>
      <c r="G42" s="4" t="s">
        <v>1041</v>
      </c>
      <c r="H42" s="27" t="n">
        <v>15.7112520062315</v>
      </c>
      <c r="I42" s="27" t="n">
        <v>205.705878280136</v>
      </c>
    </row>
    <row r="43" customFormat="false" ht="17.15" hidden="false" customHeight="false" outlineLevel="0" collapsed="false">
      <c r="A43" s="0" t="s">
        <v>1104</v>
      </c>
      <c r="B43" s="0" t="s">
        <v>1105</v>
      </c>
      <c r="C43" s="4" t="s">
        <v>1040</v>
      </c>
      <c r="D43" s="28" t="n">
        <v>845.264259958575</v>
      </c>
      <c r="E43" s="43" t="n">
        <f aca="false">D43/Val!$B$8-1</f>
        <v>0.0013826480780752</v>
      </c>
      <c r="F43" s="7" t="s">
        <v>239</v>
      </c>
      <c r="G43" s="4" t="s">
        <v>1041</v>
      </c>
      <c r="H43" s="27" t="n">
        <v>20.8578640599555</v>
      </c>
      <c r="I43" s="27" t="n">
        <v>205.705878280136</v>
      </c>
    </row>
    <row r="44" customFormat="false" ht="17.15" hidden="false" customHeight="false" outlineLevel="0" collapsed="false">
      <c r="A44" s="0" t="s">
        <v>1106</v>
      </c>
      <c r="B44" s="0" t="s">
        <v>1105</v>
      </c>
      <c r="C44" s="4" t="s">
        <v>1044</v>
      </c>
      <c r="D44" s="28" t="n">
        <v>842.929835229016</v>
      </c>
      <c r="E44" s="43" t="n">
        <f aca="false">D44/Val!$B$8-1</f>
        <v>-0.00138293959451774</v>
      </c>
      <c r="F44" s="7" t="s">
        <v>239</v>
      </c>
      <c r="G44" s="4" t="s">
        <v>1041</v>
      </c>
      <c r="H44" s="27" t="n">
        <v>9.10063855677426</v>
      </c>
      <c r="I44" s="27" t="n">
        <v>205.705878280136</v>
      </c>
    </row>
    <row r="45" customFormat="false" ht="17.15" hidden="false" customHeight="false" outlineLevel="0" collapsed="false">
      <c r="A45" s="0" t="s">
        <v>1107</v>
      </c>
      <c r="B45" s="0" t="s">
        <v>1108</v>
      </c>
      <c r="C45" s="4" t="s">
        <v>1040</v>
      </c>
      <c r="D45" s="28" t="n">
        <v>843.341179505264</v>
      </c>
      <c r="E45" s="43" t="n">
        <f aca="false">D45/Val!$B$8-1</f>
        <v>-0.000895620965144839</v>
      </c>
      <c r="F45" s="7" t="s">
        <v>313</v>
      </c>
      <c r="G45" s="4" t="s">
        <v>1041</v>
      </c>
      <c r="H45" s="27" t="n">
        <v>14.7708693829487</v>
      </c>
      <c r="I45" s="27" t="n">
        <v>205.705878280136</v>
      </c>
    </row>
    <row r="46" customFormat="false" ht="17.15" hidden="false" customHeight="false" outlineLevel="0" collapsed="false">
      <c r="A46" s="0" t="s">
        <v>1109</v>
      </c>
      <c r="B46" s="0" t="s">
        <v>1108</v>
      </c>
      <c r="C46" s="4" t="s">
        <v>1044</v>
      </c>
      <c r="D46" s="28" t="n">
        <v>845.609152873166</v>
      </c>
      <c r="E46" s="43" t="n">
        <f aca="false">D46/Val!$B$8-1</f>
        <v>0.00179124193029034</v>
      </c>
      <c r="F46" s="7" t="s">
        <v>313</v>
      </c>
      <c r="G46" s="4" t="s">
        <v>1041</v>
      </c>
      <c r="H46" s="27" t="n">
        <v>15.397569990311</v>
      </c>
      <c r="I46" s="27" t="n">
        <v>205.705878280136</v>
      </c>
    </row>
    <row r="47" customFormat="false" ht="17.15" hidden="false" customHeight="false" outlineLevel="0" collapsed="false">
      <c r="A47" s="4" t="s">
        <v>1110</v>
      </c>
      <c r="B47" s="0" t="s">
        <v>1111</v>
      </c>
      <c r="C47" s="4" t="s">
        <v>1040</v>
      </c>
      <c r="D47" s="28" t="n">
        <v>850.116330962982</v>
      </c>
      <c r="E47" s="43" t="n">
        <f aca="false">D47/Val!$B$8-1</f>
        <v>0.00713088557163011</v>
      </c>
      <c r="F47" s="7" t="s">
        <v>311</v>
      </c>
      <c r="G47" s="4" t="s">
        <v>1041</v>
      </c>
      <c r="H47" s="27" t="n">
        <v>10.3520217408818</v>
      </c>
      <c r="I47" s="27" t="n">
        <v>205.705878280136</v>
      </c>
    </row>
    <row r="48" customFormat="false" ht="17.15" hidden="false" customHeight="false" outlineLevel="0" collapsed="false">
      <c r="A48" s="4" t="s">
        <v>1112</v>
      </c>
      <c r="B48" s="0" t="s">
        <v>1111</v>
      </c>
      <c r="C48" s="4" t="s">
        <v>1044</v>
      </c>
      <c r="D48" s="28" t="n">
        <v>838.078010292814</v>
      </c>
      <c r="E48" s="43" t="n">
        <f aca="false">D48/Val!$B$8-1</f>
        <v>-0.00713088557162944</v>
      </c>
      <c r="F48" s="7" t="s">
        <v>311</v>
      </c>
      <c r="G48" s="4" t="s">
        <v>1041</v>
      </c>
      <c r="H48" s="27" t="n">
        <v>19.6075174299237</v>
      </c>
      <c r="I48" s="27" t="n">
        <v>205.705878280136</v>
      </c>
    </row>
    <row r="49" customFormat="false" ht="17.15" hidden="false" customHeight="false" outlineLevel="0" collapsed="false">
      <c r="A49" s="4" t="s">
        <v>1113</v>
      </c>
      <c r="B49" s="0" t="s">
        <v>1114</v>
      </c>
      <c r="C49" s="4" t="s">
        <v>1040</v>
      </c>
      <c r="D49" s="28" t="n">
        <v>840.857627863043</v>
      </c>
      <c r="E49" s="43" t="n">
        <f aca="false">D49/Val!$B$8-1</f>
        <v>-0.00383787895230703</v>
      </c>
      <c r="F49" s="7" t="s">
        <v>306</v>
      </c>
      <c r="G49" s="4" t="s">
        <v>1041</v>
      </c>
      <c r="H49" s="27" t="n">
        <v>16.3744819079304</v>
      </c>
      <c r="I49" s="27" t="n">
        <v>205.705878280136</v>
      </c>
    </row>
    <row r="50" customFormat="false" ht="17.15" hidden="false" customHeight="false" outlineLevel="0" collapsed="false">
      <c r="A50" s="4" t="s">
        <v>1115</v>
      </c>
      <c r="B50" s="0" t="s">
        <v>1114</v>
      </c>
      <c r="C50" s="4" t="s">
        <v>1044</v>
      </c>
      <c r="D50" s="28" t="n">
        <v>846.040896286811</v>
      </c>
      <c r="E50" s="43" t="n">
        <f aca="false">D50/Val!$B$8-1</f>
        <v>0.00230272737138471</v>
      </c>
      <c r="F50" s="7" t="s">
        <v>306</v>
      </c>
      <c r="G50" s="4" t="s">
        <v>1041</v>
      </c>
      <c r="H50" s="27" t="n">
        <v>14.1429421918862</v>
      </c>
      <c r="I50" s="27" t="n">
        <v>205.705878280136</v>
      </c>
    </row>
    <row r="51" customFormat="false" ht="17.15" hidden="false" customHeight="false" outlineLevel="0" collapsed="false">
      <c r="A51" s="4" t="s">
        <v>1116</v>
      </c>
      <c r="B51" s="0" t="s">
        <v>1117</v>
      </c>
      <c r="C51" s="4" t="s">
        <v>1040</v>
      </c>
      <c r="D51" s="28" t="n">
        <v>842.108519202473</v>
      </c>
      <c r="E51" s="43" t="n">
        <f aca="false">D51/Val!$B$8-1</f>
        <v>-0.00235595082488604</v>
      </c>
      <c r="F51" s="7" t="s">
        <v>309</v>
      </c>
      <c r="G51" s="4" t="s">
        <v>1041</v>
      </c>
      <c r="H51" s="27" t="n">
        <v>15.4465845010033</v>
      </c>
      <c r="I51" s="27" t="n">
        <v>205.705878280136</v>
      </c>
    </row>
    <row r="52" customFormat="false" ht="17.15" hidden="false" customHeight="false" outlineLevel="0" collapsed="false">
      <c r="A52" s="4" t="s">
        <v>1118</v>
      </c>
      <c r="B52" s="0" t="s">
        <v>1117</v>
      </c>
      <c r="C52" s="4" t="s">
        <v>1044</v>
      </c>
      <c r="D52" s="28" t="n">
        <v>846.748705861797</v>
      </c>
      <c r="E52" s="43" t="n">
        <f aca="false">D52/Val!$B$8-1</f>
        <v>0.00314126776651413</v>
      </c>
      <c r="F52" s="7" t="s">
        <v>309</v>
      </c>
      <c r="G52" s="4" t="s">
        <v>1041</v>
      </c>
      <c r="H52" s="27" t="n">
        <v>14.3573496979354</v>
      </c>
      <c r="I52" s="27" t="n">
        <v>205.705878280136</v>
      </c>
    </row>
    <row r="53" customFormat="false" ht="17.15" hidden="false" customHeight="false" outlineLevel="0" collapsed="false">
      <c r="A53" s="4" t="s">
        <v>1119</v>
      </c>
      <c r="B53" s="0" t="s">
        <v>1120</v>
      </c>
      <c r="C53" s="4" t="s">
        <v>1040</v>
      </c>
      <c r="D53" s="28" t="n">
        <v>848.496202260108</v>
      </c>
      <c r="E53" s="43" t="n">
        <f aca="false">D53/Val!$B$8-1</f>
        <v>0.00521152277875547</v>
      </c>
      <c r="F53" s="7" t="s">
        <v>280</v>
      </c>
      <c r="G53" s="4" t="s">
        <v>1041</v>
      </c>
      <c r="H53" s="27" t="n">
        <v>10.7406040058858</v>
      </c>
      <c r="I53" s="27" t="n">
        <v>205.705878280136</v>
      </c>
    </row>
    <row r="54" customFormat="false" ht="17.15" hidden="false" customHeight="false" outlineLevel="0" collapsed="false">
      <c r="A54" s="4" t="s">
        <v>1121</v>
      </c>
      <c r="B54" s="0" t="s">
        <v>1120</v>
      </c>
      <c r="C54" s="4" t="s">
        <v>1044</v>
      </c>
      <c r="D54" s="28" t="n">
        <v>839.926898267708</v>
      </c>
      <c r="E54" s="43" t="n">
        <f aca="false">D54/Val!$B$8-1</f>
        <v>-0.0049405121890026</v>
      </c>
      <c r="F54" s="7" t="s">
        <v>280</v>
      </c>
      <c r="G54" s="4" t="s">
        <v>1041</v>
      </c>
      <c r="H54" s="27" t="n">
        <v>18.9696523686339</v>
      </c>
      <c r="I54" s="27" t="n">
        <v>205.705878280136</v>
      </c>
    </row>
    <row r="55" customFormat="false" ht="17.15" hidden="false" customHeight="false" outlineLevel="0" collapsed="false">
      <c r="A55" s="0" t="s">
        <v>1122</v>
      </c>
      <c r="B55" s="0" t="s">
        <v>1123</v>
      </c>
      <c r="C55" s="4" t="s">
        <v>1040</v>
      </c>
      <c r="D55" s="28" t="n">
        <v>841.754126664948</v>
      </c>
      <c r="E55" s="43" t="n">
        <f aca="false">D55/Val!$B$8-1</f>
        <v>-0.00277579885880541</v>
      </c>
      <c r="F55" s="7" t="s">
        <v>302</v>
      </c>
      <c r="G55" s="4" t="s">
        <v>1041</v>
      </c>
      <c r="H55" s="27" t="n">
        <v>22.8706369983523</v>
      </c>
      <c r="I55" s="27" t="n">
        <v>205.705878280136</v>
      </c>
    </row>
    <row r="56" customFormat="false" ht="17.15" hidden="false" customHeight="false" outlineLevel="0" collapsed="false">
      <c r="A56" s="0" t="s">
        <v>1124</v>
      </c>
      <c r="B56" s="0" t="s">
        <v>1123</v>
      </c>
      <c r="C56" s="4" t="s">
        <v>1044</v>
      </c>
      <c r="D56" s="28" t="n">
        <v>859.700254042242</v>
      </c>
      <c r="E56" s="43" t="n">
        <f aca="false">D56/Val!$B$8-1</f>
        <v>0.0184849374660712</v>
      </c>
      <c r="F56" s="7" t="s">
        <v>302</v>
      </c>
      <c r="G56" s="4" t="s">
        <v>1041</v>
      </c>
      <c r="H56" s="27" t="n">
        <v>9.3434357190102</v>
      </c>
      <c r="I56" s="27" t="n">
        <v>205.705878280136</v>
      </c>
    </row>
    <row r="57" customFormat="false" ht="17.15" hidden="false" customHeight="false" outlineLevel="0" collapsed="false">
      <c r="A57" s="4" t="s">
        <v>1125</v>
      </c>
      <c r="B57" s="0" t="s">
        <v>1126</v>
      </c>
      <c r="C57" s="4" t="s">
        <v>1044</v>
      </c>
      <c r="D57" s="28" t="n">
        <v>843.168697643548</v>
      </c>
      <c r="E57" s="43" t="n">
        <f aca="false">D57/Val!$B$8-1</f>
        <v>-0.00109995983478906</v>
      </c>
      <c r="F57" s="7" t="s">
        <v>321</v>
      </c>
      <c r="G57" s="4" t="s">
        <v>1041</v>
      </c>
      <c r="H57" s="27" t="n">
        <v>-31.7595237944755</v>
      </c>
      <c r="I57" s="27" t="n">
        <v>205.705878280136</v>
      </c>
    </row>
    <row r="58" customFormat="false" ht="17.15" hidden="false" customHeight="false" outlineLevel="0" collapsed="false">
      <c r="A58" s="4" t="s">
        <v>1127</v>
      </c>
      <c r="B58" s="0" t="s">
        <v>1128</v>
      </c>
      <c r="C58" s="4" t="s">
        <v>1044</v>
      </c>
      <c r="D58" s="28" t="n">
        <v>841.987564829641</v>
      </c>
      <c r="E58" s="43" t="n">
        <f aca="false">D58/Val!$B$8-1</f>
        <v>-0.00249924519553535</v>
      </c>
      <c r="F58" s="7" t="s">
        <v>482</v>
      </c>
      <c r="G58" s="4" t="s">
        <v>1041</v>
      </c>
      <c r="H58" s="27" t="n">
        <v>14.9797695854028</v>
      </c>
      <c r="I58" s="27" t="n">
        <v>205.705878280136</v>
      </c>
    </row>
    <row r="59" customFormat="false" ht="17.15" hidden="false" customHeight="false" outlineLevel="0" collapsed="false">
      <c r="A59" s="4" t="s">
        <v>1129</v>
      </c>
      <c r="B59" s="4" t="s">
        <v>1130</v>
      </c>
      <c r="C59" s="4" t="s">
        <v>1044</v>
      </c>
      <c r="D59" s="28" t="n">
        <v>843.70401137366</v>
      </c>
      <c r="E59" s="43" t="n">
        <f aca="false">D59/Val!$B$8-1</f>
        <v>-0.000465774875119229</v>
      </c>
      <c r="F59" s="7" t="s">
        <v>474</v>
      </c>
      <c r="G59" s="4" t="s">
        <v>1041</v>
      </c>
      <c r="H59" s="27" t="n">
        <v>12.8439402263553</v>
      </c>
      <c r="I59" s="27" t="n">
        <v>205.705878280136</v>
      </c>
    </row>
    <row r="60" customFormat="false" ht="17.15" hidden="false" customHeight="false" outlineLevel="0" collapsed="false">
      <c r="A60" s="4" t="s">
        <v>1131</v>
      </c>
      <c r="B60" s="0" t="s">
        <v>1132</v>
      </c>
      <c r="C60" s="4" t="s">
        <v>1044</v>
      </c>
      <c r="D60" s="28" t="n">
        <v>841.086124307005</v>
      </c>
      <c r="E60" s="43" t="n">
        <f aca="false">D60/Val!$B$8-1</f>
        <v>-0.00356717973435805</v>
      </c>
      <c r="F60" s="7" t="s">
        <v>87</v>
      </c>
      <c r="G60" s="4" t="s">
        <v>1041</v>
      </c>
      <c r="H60" s="27" t="n">
        <v>14.9797695854028</v>
      </c>
      <c r="I60" s="27" t="n">
        <v>205.705878280136</v>
      </c>
    </row>
    <row r="61" customFormat="false" ht="17.15" hidden="false" customHeight="false" outlineLevel="0" collapsed="false">
      <c r="A61" s="4" t="s">
        <v>1133</v>
      </c>
      <c r="B61" s="0" t="s">
        <v>1134</v>
      </c>
      <c r="C61" s="4" t="s">
        <v>1040</v>
      </c>
      <c r="D61" s="28" t="n">
        <v>847.277898917308</v>
      </c>
      <c r="E61" s="43" t="n">
        <f aca="false">D61/Val!$B$8-1</f>
        <v>0.00376820157689206</v>
      </c>
      <c r="F61" s="7" t="s">
        <v>92</v>
      </c>
      <c r="G61" s="4" t="s">
        <v>1041</v>
      </c>
      <c r="H61" s="27" t="n">
        <v>14.9797695854028</v>
      </c>
      <c r="I61" s="27" t="n">
        <v>205.705878280136</v>
      </c>
    </row>
    <row r="62" customFormat="false" ht="17.15" hidden="false" customHeight="false" outlineLevel="0" collapsed="false">
      <c r="A62" s="4" t="s">
        <v>1135</v>
      </c>
      <c r="B62" s="4" t="s">
        <v>1136</v>
      </c>
      <c r="C62" s="4" t="s">
        <v>1040</v>
      </c>
      <c r="D62" s="28" t="n">
        <v>847.321217224923</v>
      </c>
      <c r="E62" s="43" t="n">
        <f aca="false">D62/Val!$B$8-1</f>
        <v>0.00381952067749136</v>
      </c>
      <c r="F62" s="7" t="s">
        <v>114</v>
      </c>
      <c r="G62" s="4" t="s">
        <v>1041</v>
      </c>
      <c r="H62" s="27" t="n">
        <v>12.2802281063699</v>
      </c>
      <c r="I62" s="27" t="n">
        <v>205.705878280136</v>
      </c>
    </row>
    <row r="63" customFormat="false" ht="17.15" hidden="false" customHeight="false" outlineLevel="0" collapsed="false">
      <c r="A63" s="4" t="s">
        <v>1137</v>
      </c>
      <c r="B63" s="0" t="s">
        <v>1138</v>
      </c>
      <c r="C63" s="4" t="s">
        <v>1040</v>
      </c>
      <c r="D63" s="28" t="n">
        <v>861.431070960636</v>
      </c>
      <c r="E63" s="43" t="n">
        <f aca="false">D63/Val!$B$8-1</f>
        <v>0.0205354323363554</v>
      </c>
      <c r="F63" s="7" t="s">
        <v>433</v>
      </c>
      <c r="G63" s="4" t="s">
        <v>1041</v>
      </c>
      <c r="H63" s="27" t="n">
        <v>26.7670671690473</v>
      </c>
      <c r="I63" s="27" t="n">
        <v>205.705878280136</v>
      </c>
    </row>
    <row r="64" customFormat="false" ht="17.15" hidden="false" customHeight="false" outlineLevel="0" collapsed="false">
      <c r="A64" s="4" t="s">
        <v>1139</v>
      </c>
      <c r="B64" s="0" t="s">
        <v>1138</v>
      </c>
      <c r="C64" s="4" t="s">
        <v>1044</v>
      </c>
      <c r="D64" s="28" t="n">
        <v>826.73797486725</v>
      </c>
      <c r="E64" s="43" t="n">
        <f aca="false">D64/Val!$B$8-1</f>
        <v>-0.020565399772321</v>
      </c>
      <c r="F64" s="7" t="s">
        <v>433</v>
      </c>
      <c r="G64" s="4" t="s">
        <v>1041</v>
      </c>
      <c r="H64" s="27" t="n">
        <v>3.2484126134208</v>
      </c>
      <c r="I64" s="27" t="n">
        <v>205.705878280136</v>
      </c>
    </row>
    <row r="65" customFormat="false" ht="17.15" hidden="false" customHeight="false" outlineLevel="0" collapsed="false">
      <c r="A65" s="4" t="s">
        <v>1140</v>
      </c>
      <c r="B65" s="0" t="s">
        <v>1141</v>
      </c>
      <c r="C65" s="4" t="s">
        <v>1040</v>
      </c>
      <c r="D65" s="28" t="n">
        <v>842.984169870995</v>
      </c>
      <c r="E65" s="43" t="n">
        <f aca="false">D65/Val!$B$8-1</f>
        <v>-0.00131856946762998</v>
      </c>
      <c r="F65" s="7" t="s">
        <v>450</v>
      </c>
      <c r="G65" s="4" t="s">
        <v>1041</v>
      </c>
      <c r="H65" s="27" t="n">
        <v>10.7155119816249</v>
      </c>
      <c r="I65" s="27" t="n">
        <v>205.705878280136</v>
      </c>
    </row>
    <row r="66" customFormat="false" ht="17.15" hidden="false" customHeight="false" outlineLevel="0" collapsed="false">
      <c r="A66" s="4" t="s">
        <v>1142</v>
      </c>
      <c r="B66" s="0" t="s">
        <v>1141</v>
      </c>
      <c r="C66" s="4" t="s">
        <v>1044</v>
      </c>
      <c r="D66" s="28" t="n">
        <v>845.210171384801</v>
      </c>
      <c r="E66" s="43" t="n">
        <f aca="false">D66/Val!$B$8-1</f>
        <v>0.00131856946763054</v>
      </c>
      <c r="F66" s="7" t="s">
        <v>450</v>
      </c>
      <c r="G66" s="4" t="s">
        <v>1041</v>
      </c>
      <c r="H66" s="27" t="n">
        <v>19.2440271891806</v>
      </c>
      <c r="I66" s="27" t="n">
        <v>205.705878280136</v>
      </c>
    </row>
    <row r="67" customFormat="false" ht="17.15" hidden="false" customHeight="false" outlineLevel="0" collapsed="false">
      <c r="A67" s="4" t="s">
        <v>1143</v>
      </c>
      <c r="B67" s="0" t="s">
        <v>1144</v>
      </c>
      <c r="C67" s="4" t="s">
        <v>1040</v>
      </c>
      <c r="D67" s="28" t="n">
        <v>845.04326387831</v>
      </c>
      <c r="E67" s="43" t="n">
        <f aca="false">D67/Val!$B$8-1</f>
        <v>0.00112083452395462</v>
      </c>
      <c r="F67" s="7" t="s">
        <v>101</v>
      </c>
      <c r="G67" s="4" t="s">
        <v>1041</v>
      </c>
      <c r="H67" s="27" t="n">
        <v>14.987483516252</v>
      </c>
      <c r="I67" s="27" t="n">
        <v>205.705878280136</v>
      </c>
    </row>
    <row r="68" customFormat="false" ht="17.15" hidden="false" customHeight="false" outlineLevel="0" collapsed="false">
      <c r="A68" s="4" t="s">
        <v>1145</v>
      </c>
      <c r="B68" s="0" t="s">
        <v>1146</v>
      </c>
      <c r="C68" s="4" t="s">
        <v>1040</v>
      </c>
      <c r="D68" s="28" t="n">
        <v>844.62508045183</v>
      </c>
      <c r="E68" s="43" t="n">
        <f aca="false">D68/Val!$B$8-1</f>
        <v>0.000625413568842381</v>
      </c>
      <c r="F68" s="7" t="s">
        <v>149</v>
      </c>
      <c r="G68" s="4" t="s">
        <v>1041</v>
      </c>
      <c r="H68" s="27" t="n">
        <v>14.9797695854028</v>
      </c>
      <c r="I68" s="27" t="n">
        <v>205.705878280136</v>
      </c>
    </row>
    <row r="69" customFormat="false" ht="17.15" hidden="false" customHeight="false" outlineLevel="0" collapsed="false">
      <c r="A69" s="4" t="s">
        <v>1147</v>
      </c>
      <c r="B69" s="0" t="s">
        <v>1146</v>
      </c>
      <c r="C69" s="4" t="s">
        <v>1044</v>
      </c>
      <c r="D69" s="28" t="n">
        <v>843.570419931775</v>
      </c>
      <c r="E69" s="43" t="n">
        <f aca="false">D69/Val!$B$8-1</f>
        <v>-0.000624040352760535</v>
      </c>
      <c r="F69" s="7" t="s">
        <v>149</v>
      </c>
      <c r="G69" s="4" t="s">
        <v>1041</v>
      </c>
      <c r="H69" s="27" t="n">
        <v>14.9797695854028</v>
      </c>
      <c r="I69" s="27" t="n">
        <v>205.705878280136</v>
      </c>
    </row>
    <row r="70" customFormat="false" ht="17.15" hidden="false" customHeight="false" outlineLevel="0" collapsed="false">
      <c r="A70" s="4" t="s">
        <v>1148</v>
      </c>
      <c r="B70" s="0" t="s">
        <v>1149</v>
      </c>
      <c r="C70" s="4" t="s">
        <v>1040</v>
      </c>
      <c r="D70" s="28" t="n">
        <v>851.780692110338</v>
      </c>
      <c r="E70" s="43" t="n">
        <f aca="false">D70/Val!$B$8-1</f>
        <v>0.00910265044097325</v>
      </c>
      <c r="F70" s="7" t="s">
        <v>447</v>
      </c>
      <c r="G70" s="4" t="s">
        <v>1041</v>
      </c>
      <c r="H70" s="27" t="n">
        <v>15.6399629331336</v>
      </c>
      <c r="I70" s="27" t="n">
        <v>205.705878280136</v>
      </c>
    </row>
    <row r="71" customFormat="false" ht="17.15" hidden="false" customHeight="false" outlineLevel="0" collapsed="false">
      <c r="A71" s="4" t="s">
        <v>1150</v>
      </c>
      <c r="B71" s="0" t="s">
        <v>1149</v>
      </c>
      <c r="C71" s="4" t="s">
        <v>1044</v>
      </c>
      <c r="D71" s="28" t="n">
        <v>840.870257218253</v>
      </c>
      <c r="E71" s="43" t="n">
        <f aca="false">D71/Val!$B$8-1</f>
        <v>-0.00382291698388748</v>
      </c>
      <c r="F71" s="7" t="s">
        <v>447</v>
      </c>
      <c r="G71" s="4" t="s">
        <v>1041</v>
      </c>
      <c r="H71" s="27" t="n">
        <v>14.692374551386</v>
      </c>
      <c r="I71" s="27" t="n">
        <v>205.705878280136</v>
      </c>
    </row>
    <row r="72" customFormat="false" ht="17.15" hidden="false" customHeight="false" outlineLevel="0" collapsed="false">
      <c r="A72" s="4" t="s">
        <v>1151</v>
      </c>
      <c r="B72" s="0" t="s">
        <v>1152</v>
      </c>
      <c r="C72" s="4" t="s">
        <v>1044</v>
      </c>
      <c r="D72" s="28" t="n">
        <v>844.407115572906</v>
      </c>
      <c r="E72" s="43" t="n">
        <f aca="false">D72/Val!$B$8-1</f>
        <v>0.000367191072063067</v>
      </c>
      <c r="F72" s="7" t="s">
        <v>459</v>
      </c>
      <c r="G72" s="4" t="s">
        <v>1041</v>
      </c>
      <c r="H72" s="27" t="n">
        <v>12.5194196655721</v>
      </c>
      <c r="I72" s="27" t="n">
        <v>205.705878280136</v>
      </c>
    </row>
    <row r="73" customFormat="false" ht="17.15" hidden="false" customHeight="false" outlineLevel="0" collapsed="false">
      <c r="A73" s="0" t="s">
        <v>1153</v>
      </c>
      <c r="B73" s="0" t="s">
        <v>1154</v>
      </c>
      <c r="C73" s="4" t="s">
        <v>1040</v>
      </c>
      <c r="D73" s="28" t="n">
        <v>897.74587892051</v>
      </c>
      <c r="E73" s="43" t="n">
        <f aca="false">D73/Val!$B$8-1</f>
        <v>0.0635575028082427</v>
      </c>
      <c r="F73" s="7" t="s">
        <v>155</v>
      </c>
      <c r="G73" s="4" t="s">
        <v>1041</v>
      </c>
      <c r="H73" s="27" t="n">
        <v>14.9797695854028</v>
      </c>
      <c r="I73" s="27" t="n">
        <v>205.705878280136</v>
      </c>
    </row>
    <row r="74" customFormat="false" ht="17.15" hidden="false" customHeight="false" outlineLevel="0" collapsed="false">
      <c r="A74" s="0" t="s">
        <v>1155</v>
      </c>
      <c r="B74" s="0" t="s">
        <v>1154</v>
      </c>
      <c r="C74" s="4" t="s">
        <v>1044</v>
      </c>
      <c r="D74" s="28" t="n">
        <v>800.252664566621</v>
      </c>
      <c r="E74" s="43" t="n">
        <f aca="false">D74/Val!$B$8-1</f>
        <v>-0.0519424867028783</v>
      </c>
      <c r="F74" s="7" t="s">
        <v>155</v>
      </c>
      <c r="G74" s="4" t="s">
        <v>1041</v>
      </c>
      <c r="H74" s="27" t="n">
        <v>14.9797695854028</v>
      </c>
      <c r="I74" s="27" t="n">
        <v>205.705878280136</v>
      </c>
    </row>
    <row r="75" customFormat="false" ht="17.15" hidden="false" customHeight="false" outlineLevel="0" collapsed="false">
      <c r="A75" s="0" t="s">
        <v>1156</v>
      </c>
      <c r="B75" s="0" t="s">
        <v>1157</v>
      </c>
      <c r="C75" s="4" t="s">
        <v>1040</v>
      </c>
      <c r="D75" s="28" t="n">
        <v>848.019243401844</v>
      </c>
      <c r="E75" s="43" t="n">
        <f aca="false">D75/Val!$B$8-1</f>
        <v>0.00464647070316415</v>
      </c>
      <c r="F75" s="7" t="s">
        <v>142</v>
      </c>
      <c r="G75" s="4" t="s">
        <v>1041</v>
      </c>
      <c r="H75" s="27" t="n">
        <v>14.9797695854028</v>
      </c>
      <c r="I75" s="27" t="n">
        <v>205.705878280136</v>
      </c>
    </row>
    <row r="76" customFormat="false" ht="17.15" hidden="false" customHeight="false" outlineLevel="0" collapsed="false">
      <c r="A76" s="0" t="s">
        <v>1158</v>
      </c>
      <c r="B76" s="0" t="s">
        <v>1157</v>
      </c>
      <c r="C76" s="4" t="s">
        <v>1044</v>
      </c>
      <c r="D76" s="28" t="n">
        <v>840.232131851494</v>
      </c>
      <c r="E76" s="43" t="n">
        <f aca="false">D76/Val!$B$8-1</f>
        <v>-0.00457890265587391</v>
      </c>
      <c r="F76" s="7" t="s">
        <v>142</v>
      </c>
      <c r="G76" s="4" t="s">
        <v>1041</v>
      </c>
      <c r="H76" s="27" t="n">
        <v>14.9797695854028</v>
      </c>
      <c r="I76" s="27" t="n">
        <v>205.705878280136</v>
      </c>
    </row>
    <row r="77" customFormat="false" ht="17.15" hidden="false" customHeight="false" outlineLevel="0" collapsed="false">
      <c r="A77" s="4" t="s">
        <v>1159</v>
      </c>
      <c r="B77" s="0" t="s">
        <v>1160</v>
      </c>
      <c r="C77" s="4" t="s">
        <v>1040</v>
      </c>
      <c r="D77" s="28" t="n">
        <v>898.267081713105</v>
      </c>
      <c r="E77" s="43" t="n">
        <f aca="false">D77/Val!$B$8-1</f>
        <v>0.0641749705723003</v>
      </c>
      <c r="F77" s="7" t="s">
        <v>146</v>
      </c>
      <c r="G77" s="4" t="s">
        <v>1041</v>
      </c>
      <c r="H77" s="27" t="n">
        <v>14.9797695854028</v>
      </c>
      <c r="I77" s="27" t="n">
        <v>205.705878280136</v>
      </c>
    </row>
    <row r="78" customFormat="false" ht="17.15" hidden="false" customHeight="false" outlineLevel="0" collapsed="false">
      <c r="A78" s="4" t="s">
        <v>1161</v>
      </c>
      <c r="B78" s="0" t="s">
        <v>1160</v>
      </c>
      <c r="C78" s="4" t="s">
        <v>1044</v>
      </c>
      <c r="D78" s="28" t="n">
        <v>800.468195080523</v>
      </c>
      <c r="E78" s="43" t="n">
        <f aca="false">D78/Val!$B$8-1</f>
        <v>-0.0516871481928088</v>
      </c>
      <c r="F78" s="7" t="s">
        <v>146</v>
      </c>
      <c r="G78" s="4" t="s">
        <v>1041</v>
      </c>
      <c r="H78" s="27" t="n">
        <v>14.9797695854028</v>
      </c>
      <c r="I78" s="27" t="n">
        <v>205.705878280136</v>
      </c>
    </row>
    <row r="79" customFormat="false" ht="17.15" hidden="false" customHeight="false" outlineLevel="0" collapsed="false">
      <c r="A79" s="4" t="s">
        <v>1162</v>
      </c>
      <c r="B79" s="0" t="s">
        <v>1163</v>
      </c>
      <c r="C79" s="4" t="s">
        <v>1040</v>
      </c>
      <c r="D79" s="28" t="n">
        <v>842.084550126429</v>
      </c>
      <c r="E79" s="43" t="n">
        <f aca="false">D79/Val!$B$8-1</f>
        <v>-0.00238434693481038</v>
      </c>
      <c r="F79" s="7" t="s">
        <v>157</v>
      </c>
      <c r="G79" s="4" t="s">
        <v>1041</v>
      </c>
      <c r="H79" s="27" t="n">
        <v>21.2756797055381</v>
      </c>
      <c r="I79" s="27" t="n">
        <v>205.705878280136</v>
      </c>
    </row>
    <row r="80" customFormat="false" ht="17.15" hidden="false" customHeight="false" outlineLevel="0" collapsed="false">
      <c r="A80" s="4" t="s">
        <v>1164</v>
      </c>
      <c r="B80" s="0" t="s">
        <v>1163</v>
      </c>
      <c r="C80" s="4" t="s">
        <v>1044</v>
      </c>
      <c r="D80" s="28" t="n">
        <v>846.125961703274</v>
      </c>
      <c r="E80" s="43" t="n">
        <f aca="false">D80/Val!$B$8-1</f>
        <v>0.0024035041769741</v>
      </c>
      <c r="F80" s="7" t="s">
        <v>157</v>
      </c>
      <c r="G80" s="4" t="s">
        <v>1041</v>
      </c>
      <c r="H80" s="27" t="n">
        <v>8.66589226883279</v>
      </c>
      <c r="I80" s="27" t="n">
        <v>205.705878280136</v>
      </c>
    </row>
    <row r="81" customFormat="false" ht="17.15" hidden="false" customHeight="false" outlineLevel="0" collapsed="false">
      <c r="A81" s="0" t="s">
        <v>1165</v>
      </c>
      <c r="B81" s="0" t="s">
        <v>1166</v>
      </c>
      <c r="C81" s="4" t="s">
        <v>1044</v>
      </c>
      <c r="D81" s="28" t="n">
        <v>881.763020638509</v>
      </c>
      <c r="E81" s="43" t="n">
        <f aca="false">D81/Val!$B$8-1</f>
        <v>0.0446226469194213</v>
      </c>
      <c r="F81" s="7" t="s">
        <v>159</v>
      </c>
      <c r="G81" s="4" t="s">
        <v>1041</v>
      </c>
      <c r="H81" s="27" t="n">
        <v>14.9797695854028</v>
      </c>
      <c r="I81" s="27" t="n">
        <v>205.705878280136</v>
      </c>
    </row>
    <row r="82" customFormat="false" ht="17.15" hidden="false" customHeight="false" outlineLevel="0" collapsed="false">
      <c r="A82" s="4" t="s">
        <v>1167</v>
      </c>
      <c r="B82" s="4" t="s">
        <v>1168</v>
      </c>
      <c r="C82" s="4" t="s">
        <v>1044</v>
      </c>
      <c r="D82" s="28" t="n">
        <v>966.358542593008</v>
      </c>
      <c r="E82" s="43" t="n">
        <f aca="false">D82/Val!$B$8-1</f>
        <v>0.144842769552425</v>
      </c>
      <c r="F82" s="7" t="s">
        <v>202</v>
      </c>
      <c r="G82" s="4" t="s">
        <v>1041</v>
      </c>
      <c r="H82" s="27" t="n">
        <v>14.9797695854028</v>
      </c>
      <c r="I82" s="27" t="n">
        <v>205.705878280136</v>
      </c>
    </row>
    <row r="83" customFormat="false" ht="17.15" hidden="false" customHeight="false" outlineLevel="0" collapsed="false">
      <c r="A83" s="0" t="s">
        <v>1169</v>
      </c>
      <c r="B83" s="0" t="s">
        <v>1170</v>
      </c>
      <c r="C83" s="4" t="s">
        <v>1040</v>
      </c>
      <c r="D83" s="28" t="n">
        <v>864.700005580069</v>
      </c>
      <c r="E83" s="43" t="n">
        <f aca="false">D83/Val!$B$8-1</f>
        <v>0.0244081317519942</v>
      </c>
      <c r="F83" s="7" t="s">
        <v>179</v>
      </c>
      <c r="G83" s="4" t="s">
        <v>1041</v>
      </c>
      <c r="H83" s="27" t="n">
        <v>14.9797695854028</v>
      </c>
      <c r="I83" s="27" t="n">
        <v>205.705878280136</v>
      </c>
    </row>
    <row r="84" customFormat="false" ht="17.15" hidden="false" customHeight="false" outlineLevel="0" collapsed="false">
      <c r="A84" s="0" t="s">
        <v>1171</v>
      </c>
      <c r="B84" s="0" t="s">
        <v>1170</v>
      </c>
      <c r="C84" s="4" t="s">
        <v>1044</v>
      </c>
      <c r="D84" s="28" t="n">
        <v>823.494335675726</v>
      </c>
      <c r="E84" s="43" t="n">
        <f aca="false">D84/Val!$B$8-1</f>
        <v>-0.0244081317519947</v>
      </c>
      <c r="F84" s="7" t="s">
        <v>179</v>
      </c>
      <c r="G84" s="4" t="s">
        <v>1041</v>
      </c>
      <c r="H84" s="27" t="n">
        <v>14.9797695854028</v>
      </c>
      <c r="I84" s="27" t="n">
        <v>205.705878280136</v>
      </c>
    </row>
    <row r="85" customFormat="false" ht="17.15" hidden="false" customHeight="false" outlineLevel="0" collapsed="false">
      <c r="A85" s="0" t="s">
        <v>1172</v>
      </c>
      <c r="B85" s="4" t="s">
        <v>1173</v>
      </c>
      <c r="C85" s="4" t="s">
        <v>1044</v>
      </c>
      <c r="D85" s="28" t="n">
        <v>938.909266461827</v>
      </c>
      <c r="E85" s="43" t="n">
        <f aca="false">D85/Val!$B$8-1</f>
        <v>0.112323674492833</v>
      </c>
      <c r="F85" s="7" t="s">
        <v>199</v>
      </c>
      <c r="G85" s="4" t="s">
        <v>1041</v>
      </c>
      <c r="H85" s="27" t="n">
        <v>14.9797695854028</v>
      </c>
      <c r="I85" s="27" t="n">
        <v>205.705878280136</v>
      </c>
    </row>
    <row r="87" customFormat="false" ht="17.15" hidden="false" customHeight="false" outlineLevel="0" collapsed="false">
      <c r="A87" s="4" t="s">
        <v>1174</v>
      </c>
      <c r="D87" s="25" t="n">
        <f aca="false">Val!B8</f>
        <v>844.097170627898</v>
      </c>
      <c r="H87" s="19" t="n">
        <f aca="false">CF!C6</f>
        <v>14.9797695854028</v>
      </c>
      <c r="I87" s="19" t="n">
        <f aca="false">CF!H54</f>
        <v>205.705878280136</v>
      </c>
    </row>
    <row r="88" customFormat="false" ht="15" hidden="false" customHeight="false" outlineLevel="0" collapsed="false">
      <c r="A88" s="4" t="s">
        <v>1175</v>
      </c>
      <c r="D88" s="28" t="n">
        <v>844.097170627898</v>
      </c>
      <c r="E88" s="22" t="n">
        <f aca="false">D88-D87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1176</v>
      </c>
    </row>
    <row r="3" customFormat="false" ht="15" hidden="false" customHeight="false" outlineLevel="0" collapsed="false">
      <c r="A3" s="3" t="s">
        <v>1177</v>
      </c>
      <c r="B3" s="3" t="s">
        <v>1178</v>
      </c>
      <c r="C3" s="3" t="s">
        <v>1179</v>
      </c>
      <c r="D3" s="3" t="s">
        <v>1180</v>
      </c>
      <c r="E3" s="3" t="s">
        <v>48</v>
      </c>
      <c r="F3" s="3" t="s">
        <v>1181</v>
      </c>
    </row>
    <row r="4" customFormat="false" ht="17.15" hidden="false" customHeight="false" outlineLevel="0" collapsed="false">
      <c r="A4" s="0" t="s">
        <v>1182</v>
      </c>
      <c r="B4" s="0" t="s">
        <v>1183</v>
      </c>
      <c r="C4" s="0" t="s">
        <v>1184</v>
      </c>
      <c r="D4" s="0" t="s">
        <v>1185</v>
      </c>
      <c r="E4" s="0" t="s">
        <v>55</v>
      </c>
      <c r="F4" s="0" t="s">
        <v>1186</v>
      </c>
    </row>
    <row r="5" customFormat="false" ht="17.15" hidden="false" customHeight="false" outlineLevel="0" collapsed="false">
      <c r="A5" s="0" t="s">
        <v>1187</v>
      </c>
      <c r="B5" s="0" t="s">
        <v>1188</v>
      </c>
      <c r="C5" s="0" t="s">
        <v>1189</v>
      </c>
      <c r="D5" s="4" t="s">
        <v>1190</v>
      </c>
      <c r="E5" s="0" t="s">
        <v>55</v>
      </c>
      <c r="F5" s="4" t="s">
        <v>1191</v>
      </c>
    </row>
    <row r="6" customFormat="false" ht="17.15" hidden="false" customHeight="false" outlineLevel="0" collapsed="false">
      <c r="A6" s="0" t="s">
        <v>1192</v>
      </c>
      <c r="B6" s="0" t="s">
        <v>1193</v>
      </c>
      <c r="C6" s="0" t="s">
        <v>1194</v>
      </c>
      <c r="D6" s="0" t="s">
        <v>1195</v>
      </c>
      <c r="E6" s="0" t="s">
        <v>55</v>
      </c>
      <c r="F6" s="4" t="s">
        <v>1196</v>
      </c>
    </row>
    <row r="7" customFormat="false" ht="17.15" hidden="false" customHeight="false" outlineLevel="0" collapsed="false">
      <c r="A7" s="0" t="s">
        <v>1197</v>
      </c>
      <c r="B7" s="0" t="s">
        <v>1198</v>
      </c>
      <c r="C7" s="0" t="s">
        <v>1199</v>
      </c>
      <c r="D7" s="0" t="s">
        <v>1200</v>
      </c>
      <c r="E7" s="0" t="s">
        <v>55</v>
      </c>
      <c r="F7" s="4" t="s">
        <v>1201</v>
      </c>
    </row>
    <row r="8" customFormat="false" ht="17.15" hidden="false" customHeight="false" outlineLevel="0" collapsed="false">
      <c r="A8" s="0" t="s">
        <v>1202</v>
      </c>
      <c r="B8" s="0" t="s">
        <v>1203</v>
      </c>
      <c r="C8" s="0" t="s">
        <v>1204</v>
      </c>
      <c r="D8" s="0" t="s">
        <v>1205</v>
      </c>
      <c r="E8" s="0" t="s">
        <v>55</v>
      </c>
      <c r="F8" s="4" t="s">
        <v>1206</v>
      </c>
    </row>
    <row r="9" customFormat="false" ht="17.15" hidden="false" customHeight="false" outlineLevel="0" collapsed="false">
      <c r="A9" s="0" t="s">
        <v>1207</v>
      </c>
      <c r="B9" s="0" t="s">
        <v>1208</v>
      </c>
      <c r="C9" s="0" t="s">
        <v>1194</v>
      </c>
      <c r="D9" s="0" t="s">
        <v>1209</v>
      </c>
      <c r="E9" s="0" t="s">
        <v>55</v>
      </c>
      <c r="F9" s="4" t="s">
        <v>1210</v>
      </c>
    </row>
    <row r="10" customFormat="false" ht="17.15" hidden="false" customHeight="false" outlineLevel="0" collapsed="false">
      <c r="A10" s="0" t="s">
        <v>1211</v>
      </c>
      <c r="B10" s="0" t="s">
        <v>1212</v>
      </c>
      <c r="C10" s="0" t="s">
        <v>1184</v>
      </c>
      <c r="D10" s="0" t="s">
        <v>1213</v>
      </c>
      <c r="E10" s="0" t="s">
        <v>133</v>
      </c>
      <c r="F10" s="0" t="s">
        <v>1214</v>
      </c>
    </row>
    <row r="11" customFormat="false" ht="17.15" hidden="false" customHeight="false" outlineLevel="0" collapsed="false">
      <c r="A11" s="0" t="s">
        <v>1215</v>
      </c>
      <c r="B11" s="0" t="s">
        <v>1216</v>
      </c>
      <c r="C11" s="0" t="s">
        <v>1184</v>
      </c>
      <c r="D11" s="0" t="s">
        <v>1217</v>
      </c>
      <c r="E11" s="0" t="s">
        <v>133</v>
      </c>
      <c r="F11" s="4" t="s">
        <v>1218</v>
      </c>
    </row>
    <row r="12" customFormat="false" ht="17.15" hidden="false" customHeight="false" outlineLevel="0" collapsed="false">
      <c r="A12" s="0" t="s">
        <v>1219</v>
      </c>
      <c r="B12" s="4" t="s">
        <v>1220</v>
      </c>
      <c r="C12" s="0" t="s">
        <v>1221</v>
      </c>
      <c r="D12" s="0" t="s">
        <v>1222</v>
      </c>
      <c r="E12" s="4" t="s">
        <v>1223</v>
      </c>
      <c r="F12" s="0" t="s">
        <v>1224</v>
      </c>
    </row>
    <row r="13" customFormat="false" ht="17.15" hidden="false" customHeight="false" outlineLevel="0" collapsed="false">
      <c r="A13" s="0" t="s">
        <v>1225</v>
      </c>
      <c r="B13" s="0" t="s">
        <v>1226</v>
      </c>
      <c r="C13" s="0" t="s">
        <v>1194</v>
      </c>
      <c r="D13" s="0" t="s">
        <v>1227</v>
      </c>
      <c r="E13" s="0" t="s">
        <v>94</v>
      </c>
      <c r="F13" s="0" t="s">
        <v>1228</v>
      </c>
    </row>
    <row r="14" customFormat="false" ht="17.15" hidden="false" customHeight="false" outlineLevel="0" collapsed="false">
      <c r="A14" s="0" t="s">
        <v>1229</v>
      </c>
      <c r="B14" s="4" t="s">
        <v>1230</v>
      </c>
      <c r="C14" s="0" t="s">
        <v>1221</v>
      </c>
      <c r="D14" s="0" t="s">
        <v>1222</v>
      </c>
      <c r="E14" s="0" t="s">
        <v>133</v>
      </c>
      <c r="F14" s="4" t="s">
        <v>1231</v>
      </c>
    </row>
    <row r="15" customFormat="false" ht="17.15" hidden="false" customHeight="false" outlineLevel="0" collapsed="false">
      <c r="A15" s="0" t="s">
        <v>1232</v>
      </c>
      <c r="B15" s="4" t="s">
        <v>1233</v>
      </c>
      <c r="C15" s="0" t="s">
        <v>1234</v>
      </c>
      <c r="D15" s="0" t="s">
        <v>1222</v>
      </c>
      <c r="E15" s="0" t="s">
        <v>94</v>
      </c>
      <c r="F15" s="0" t="s">
        <v>1235</v>
      </c>
    </row>
    <row r="16" customFormat="false" ht="17.15" hidden="false" customHeight="false" outlineLevel="0" collapsed="false">
      <c r="A16" s="0" t="s">
        <v>1236</v>
      </c>
      <c r="B16" s="0" t="s">
        <v>1237</v>
      </c>
      <c r="C16" s="0" t="s">
        <v>1221</v>
      </c>
      <c r="D16" s="0" t="s">
        <v>1238</v>
      </c>
      <c r="E16" s="0" t="s">
        <v>55</v>
      </c>
      <c r="F16" s="4" t="s">
        <v>1239</v>
      </c>
    </row>
    <row r="17" customFormat="false" ht="17.15" hidden="false" customHeight="false" outlineLevel="0" collapsed="false">
      <c r="A17" s="0" t="s">
        <v>1240</v>
      </c>
      <c r="B17" s="0" t="s">
        <v>1241</v>
      </c>
      <c r="C17" s="0" t="s">
        <v>1221</v>
      </c>
      <c r="D17" s="0" t="s">
        <v>1242</v>
      </c>
      <c r="E17" s="0" t="s">
        <v>55</v>
      </c>
      <c r="F17" s="0" t="s">
        <v>1243</v>
      </c>
    </row>
    <row r="18" customFormat="false" ht="17.15" hidden="false" customHeight="false" outlineLevel="0" collapsed="false">
      <c r="A18" s="0" t="s">
        <v>1244</v>
      </c>
      <c r="B18" s="0" t="s">
        <v>1245</v>
      </c>
      <c r="C18" s="0" t="s">
        <v>1221</v>
      </c>
      <c r="D18" s="0" t="s">
        <v>1246</v>
      </c>
      <c r="E18" s="0" t="s">
        <v>133</v>
      </c>
      <c r="F18" s="0" t="s">
        <v>1247</v>
      </c>
    </row>
    <row r="19" customFormat="false" ht="17.15" hidden="false" customHeight="false" outlineLevel="0" collapsed="false">
      <c r="A19" s="0" t="s">
        <v>1248</v>
      </c>
      <c r="B19" s="0" t="s">
        <v>1249</v>
      </c>
      <c r="C19" s="0" t="s">
        <v>1221</v>
      </c>
      <c r="D19" s="0" t="s">
        <v>1250</v>
      </c>
      <c r="E19" s="0" t="s">
        <v>133</v>
      </c>
      <c r="F19" s="0" t="s">
        <v>1251</v>
      </c>
    </row>
    <row r="20" customFormat="false" ht="17.15" hidden="false" customHeight="false" outlineLevel="0" collapsed="false">
      <c r="A20" s="0" t="s">
        <v>1252</v>
      </c>
      <c r="B20" s="4" t="s">
        <v>1253</v>
      </c>
      <c r="C20" s="0" t="s">
        <v>1199</v>
      </c>
      <c r="D20" s="0" t="s">
        <v>1254</v>
      </c>
      <c r="E20" s="0" t="s">
        <v>55</v>
      </c>
      <c r="F20" s="0" t="s">
        <v>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2026-10-30T07:22:38Z</dcterms:created>
  <dc:creator>openpyxl</dc:creator>
  <dc:description/>
  <dc:language>en-US</dc:language>
  <cp:lastModifiedBy/>
  <dcterms:modified xsi:type="dcterms:W3CDTF">2026-10-30T07:22:38Z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