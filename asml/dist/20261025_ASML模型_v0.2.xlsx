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Q!$F$16</definedName>
    <definedName function="false" hidden="false" name="a25_euv" vbProcedure="false">Q!$B$23</definedName>
    <definedName function="false" hidden="false" name="a25_gp" vbProcedure="false">Q!$F$7</definedName>
    <definedName function="false" hidden="false" name="a25_ibm" vbProcedure="false">Q!$F$5</definedName>
    <definedName function="false" hidden="false" name="a25_log" vbProcedure="false">In!$E$103</definedName>
    <definedName function="false" hidden="false" name="a25_mem" vbProcedure="false">In!$E$104</definedName>
    <definedName function="false" hidden="false" name="a25_ni" vbProcedure="false">Q!$F$14</definedName>
    <definedName function="false" hidden="false" name="a25_oi" vbProcedure="false">Q!$F$11</definedName>
    <definedName function="false" hidden="false" name="a25_rd" vbProcedure="false">Q!$F$9</definedName>
    <definedName function="false" hidden="false" name="a25_rev" vbProcedure="false">Q!$F$6</definedName>
    <definedName function="false" hidden="false" name="a25_sga" vbProcedure="false">Q!$F$10</definedName>
    <definedName function="false" hidden="false" name="a25_shr" vbProcedure="false">Q!$F$15</definedName>
    <definedName function="false" hidden="false" name="a25_sys" vbProcedure="false">Q!$F$4</definedName>
    <definedName function="false" hidden="false" name="a26_eps" vbProcedure="false">Q!$K$16</definedName>
    <definedName function="false" hidden="false" name="a26_euv" vbProcedure="false">Q!$G$23</definedName>
    <definedName function="false" hidden="false" name="a26_gp" vbProcedure="false">Q!$K$7</definedName>
    <definedName function="false" hidden="false" name="a26_ibm" vbProcedure="false">Q!$K$5</definedName>
    <definedName function="false" hidden="false" name="a26_ni" vbProcedure="false">Q!$K$14</definedName>
    <definedName function="false" hidden="false" name="a26_oi" vbProcedure="false">Q!$K$11</definedName>
    <definedName function="false" hidden="false" name="a26_rd" vbProcedure="false">Q!$K$9</definedName>
    <definedName function="false" hidden="false" name="a26_rev" vbProcedure="false">Q!$K$6</definedName>
    <definedName function="false" hidden="false" name="a26_sga" vbProcedure="false">Q!$K$10</definedName>
    <definedName function="false" hidden="false" name="a26_shr" vbProcedure="false">Q!$K$15</definedName>
    <definedName function="false" hidden="false" name="a26_sys" vbProcedure="false">Q!$K$4</definedName>
    <definedName function="false" hidden="false" name="bb" vbProcedure="false">In!$E$125</definedName>
    <definedName function="false" hidden="false" name="bb_hi" vbProcedure="false">In!$F$125</definedName>
    <definedName function="false" hidden="false" name="bb_lo" vbProcedure="false">In!$D$125</definedName>
    <definedName function="false" hidden="false" name="cap_27" vbProcedure="false">In!$E$110</definedName>
    <definedName function="false" hidden="false" name="cap_27_hi" vbProcedure="false">In!$F$110</definedName>
    <definedName function="false" hidden="false" name="cap_27_lo" vbProcedure="false">In!$D$110</definedName>
    <definedName function="false" hidden="false" name="cap_28" vbProcedure="false">In!$E$111</definedName>
    <definedName function="false" hidden="false" name="cap_28_hi" vbProcedure="false">In!$F$111</definedName>
    <definedName function="false" hidden="false" name="cap_28_lo" vbProcedure="false">In!$D$111</definedName>
    <definedName function="false" hidden="false" name="cap_29" vbProcedure="false">In!$E$112</definedName>
    <definedName function="false" hidden="false" name="cap_29_hi" vbProcedure="false">In!$F$112</definedName>
    <definedName function="false" hidden="false" name="cap_29_lo" vbProcedure="false">In!$D$112</definedName>
    <definedName function="false" hidden="false" name="cn_sh26" vbProcedure="false">In!$E$106</definedName>
    <definedName function="false" hidden="false" name="cn_sh26_hi" vbProcedure="false">In!$F$106</definedName>
    <definedName function="false" hidden="false" name="cn_sh26_lo" vbProcedure="false">In!$D$106</definedName>
    <definedName function="false" hidden="false" name="cn_tot25" vbProcedure="false">In!$E$107</definedName>
    <definedName function="false" hidden="false" name="cons_eps26" vbProcedure="false">In!$E$142</definedName>
    <definedName function="false" hidden="false" name="cons_eps27" vbProcedure="false">In!$E$144</definedName>
    <definedName function="false" hidden="false" name="cons_feps" vbProcedure="false">In!$E$161</definedName>
    <definedName function="false" hidden="false" name="cons_rev26" vbProcedure="false">In!$E$141</definedName>
    <definedName function="false" hidden="false" name="cons_rev27" vbProcedure="false">In!$E$143</definedName>
    <definedName function="false" hidden="false" name="cons_tp" vbProcedure="false">In!$E$160</definedName>
    <definedName function="false" hidden="false" name="drA_25" vbProcedure="false">In!$E$35</definedName>
    <definedName function="false" hidden="false" name="drA_26" vbProcedure="false">In!$E$36</definedName>
    <definedName function="false" hidden="false" name="drA_27" vbProcedure="false">In!$E$37</definedName>
    <definedName function="false" hidden="false" name="drA_28" vbProcedure="false">In!$E$38</definedName>
    <definedName function="false" hidden="false" name="drA_29" vbProcedure="false">In!$E$39</definedName>
    <definedName function="false" hidden="false" name="drB_25" vbProcedure="false">In!$E$40</definedName>
    <definedName function="false" hidden="false" name="drB_26" vbProcedure="false">In!$E$41</definedName>
    <definedName function="false" hidden="false" name="drB_27" vbProcedure="false">In!$E$42</definedName>
    <definedName function="false" hidden="false" name="drB_28" vbProcedure="false">In!$E$43</definedName>
    <definedName function="false" hidden="false" name="drB_29" vbProcedure="false">In!$E$44</definedName>
    <definedName function="false" hidden="false" name="drC_25" vbProcedure="false">In!$E$45</definedName>
    <definedName function="false" hidden="false" name="drC_26" vbProcedure="false">In!$E$46</definedName>
    <definedName function="false" hidden="false" name="drC_27" vbProcedure="false">In!$E$47</definedName>
    <definedName function="false" hidden="false" name="drC_28" vbProcedure="false">In!$E$48</definedName>
    <definedName function="false" hidden="false" name="drC_29" vbProcedure="false">In!$E$49</definedName>
    <definedName function="false" hidden="false" name="eul_pe28" vbProcedure="false">In!$E$145</definedName>
    <definedName function="false" hidden="false" name="euv_cap27" vbProcedure="false">In!$E$135</definedName>
    <definedName function="false" hidden="false" name="euv_sh_27" vbProcedure="false">In!$E$127</definedName>
    <definedName function="false" hidden="false" name="euv_sh_27_hi" vbProcedure="false">In!$F$127</definedName>
    <definedName function="false" hidden="false" name="euv_sh_27_lo" vbProcedure="false">In!$D$127</definedName>
    <definedName function="false" hidden="false" name="euv_sh_28" vbProcedure="false">In!$E$128</definedName>
    <definedName function="false" hidden="false" name="euv_sh_28_hi" vbProcedure="false">In!$F$128</definedName>
    <definedName function="false" hidden="false" name="euv_sh_28_lo" vbProcedure="false">In!$D$128</definedName>
    <definedName function="false" hidden="false" name="euv_sh_29" vbProcedure="false">In!$E$129</definedName>
    <definedName function="false" hidden="false" name="euv_sh_29_hi" vbProcedure="false">In!$F$129</definedName>
    <definedName function="false" hidden="false" name="euv_sh_29_lo" vbProcedure="false">In!$D$129</definedName>
    <definedName function="false" hidden="false" name="fx_25" vbProcedure="false">In!$E$137</definedName>
    <definedName function="false" hidden="false" name="fx_f" vbProcedure="false">In!$E$138</definedName>
    <definedName function="false" hidden="false" name="fx_f_hi" vbProcedure="false">In!$F$138</definedName>
    <definedName function="false" hidden="false" name="fx_f_lo" vbProcedure="false">In!$D$138</definedName>
    <definedName function="false" hidden="false" name="gm_b" vbProcedure="false">In!$E$120</definedName>
    <definedName function="false" hidden="false" name="gm_b_hi" vbProcedure="false">In!$F$120</definedName>
    <definedName function="false" hidden="false" name="gm_b_lo" vbProcedure="false">In!$D$120</definedName>
    <definedName function="false" hidden="false" name="g_cn_A" vbProcedure="false">In!$E$113</definedName>
    <definedName function="false" hidden="false" name="g_cn_A_hi" vbProcedure="false">In!$F$113</definedName>
    <definedName function="false" hidden="false" name="g_cn_A_lo" vbProcedure="false">In!$D$113</definedName>
    <definedName function="false" hidden="false" name="g_cn_B" vbProcedure="false">In!$E$114</definedName>
    <definedName function="false" hidden="false" name="g_cn_B_hi" vbProcedure="false">In!$F$114</definedName>
    <definedName function="false" hidden="false" name="g_cn_B_lo" vbProcedure="false">In!$D$114</definedName>
    <definedName function="false" hidden="false" name="g_cn_C" vbProcedure="false">In!$E$115</definedName>
    <definedName function="false" hidden="false" name="g_cn_C_hi" vbProcedure="false">In!$F$115</definedName>
    <definedName function="false" hidden="false" name="g_cn_C_lo" vbProcedure="false">In!$D$115</definedName>
    <definedName function="false" hidden="false" name="g_euv" vbProcedure="false">In!$E$97</definedName>
    <definedName function="false" hidden="false" name="g_fy_gm" vbProcedure="false">In!$E$95</definedName>
    <definedName function="false" hidden="false" name="g_fy_rev" vbProcedure="false">In!$E$94</definedName>
    <definedName function="false" hidden="false" name="g_fy_rev_hi" vbProcedure="false">In!$F$94</definedName>
    <definedName function="false" hidden="false" name="g_fy_rev_lo" vbProcedure="false">In!$D$94</definedName>
    <definedName function="false" hidden="false" name="g_ibm26" vbProcedure="false">In!$E$100</definedName>
    <definedName function="false" hidden="false" name="g_ibm_A" vbProcedure="false">In!$E$116</definedName>
    <definedName function="false" hidden="false" name="g_ibm_A_hi" vbProcedure="false">In!$F$116</definedName>
    <definedName function="false" hidden="false" name="g_ibm_A_lo" vbProcedure="false">In!$D$116</definedName>
    <definedName function="false" hidden="false" name="g_ibm_B" vbProcedure="false">In!$E$117</definedName>
    <definedName function="false" hidden="false" name="g_ibm_B_hi" vbProcedure="false">In!$F$117</definedName>
    <definedName function="false" hidden="false" name="g_ibm_B_lo" vbProcedure="false">In!$D$117</definedName>
    <definedName function="false" hidden="false" name="g_ibm_C" vbProcedure="false">In!$E$118</definedName>
    <definedName function="false" hidden="false" name="g_ibm_C_hi" vbProcedure="false">In!$F$118</definedName>
    <definedName function="false" hidden="false" name="g_ibm_C_lo" vbProcedure="false">In!$D$118</definedName>
    <definedName function="false" hidden="false" name="g_int" vbProcedure="false">In!$E$109</definedName>
    <definedName function="false" hidden="false" name="g_int_hi" vbProcedure="false">In!$F$109</definedName>
    <definedName function="false" hidden="false" name="g_int_lo" vbProcedure="false">In!$D$109</definedName>
    <definedName function="false" hidden="false" name="g_log" vbProcedure="false">In!$E$98</definedName>
    <definedName function="false" hidden="false" name="g_mem" vbProcedure="false">In!$E$99</definedName>
    <definedName function="false" hidden="false" name="g_q4_gm" vbProcedure="false">In!$E$91</definedName>
    <definedName function="false" hidden="false" name="g_q4_gm_hi" vbProcedure="false">In!$F$91</definedName>
    <definedName function="false" hidden="false" name="g_q4_gm_lo" vbProcedure="false">In!$D$91</definedName>
    <definedName function="false" hidden="false" name="g_q4_ibm" vbProcedure="false">In!$E$90</definedName>
    <definedName function="false" hidden="false" name="g_q4_rd" vbProcedure="false">In!$E$92</definedName>
    <definedName function="false" hidden="false" name="g_q4_rev" vbProcedure="false">In!$E$89</definedName>
    <definedName function="false" hidden="false" name="g_q4_rev_hi" vbProcedure="false">In!$F$89</definedName>
    <definedName function="false" hidden="false" name="g_q4_rev_lo" vbProcedure="false">In!$D$89</definedName>
    <definedName function="false" hidden="false" name="g_q4_sga" vbProcedure="false">In!$E$93</definedName>
    <definedName function="false" hidden="false" name="g_tax" vbProcedure="false">In!$E$96</definedName>
    <definedName function="false" hidden="false" name="hna_asp" vbProcedure="false">In!$E$133</definedName>
    <definedName function="false" hidden="false" name="hna_asp_hi" vbProcedure="false">In!$F$133</definedName>
    <definedName function="false" hidden="false" name="hna_asp_lo" vbProcedure="false">In!$D$133</definedName>
    <definedName function="false" hidden="false" name="hna_n_27" vbProcedure="false">In!$E$130</definedName>
    <definedName function="false" hidden="false" name="hna_n_27_hi" vbProcedure="false">In!$F$130</definedName>
    <definedName function="false" hidden="false" name="hna_n_27_lo" vbProcedure="false">In!$D$130</definedName>
    <definedName function="false" hidden="false" name="hna_n_28" vbProcedure="false">In!$E$131</definedName>
    <definedName function="false" hidden="false" name="hna_n_28_hi" vbProcedure="false">In!$F$131</definedName>
    <definedName function="false" hidden="false" name="hna_n_28_lo" vbProcedure="false">In!$D$131</definedName>
    <definedName function="false" hidden="false" name="hna_n_29" vbProcedure="false">In!$E$132</definedName>
    <definedName function="false" hidden="false" name="hna_n_29_hi" vbProcedure="false">In!$F$132</definedName>
    <definedName function="false" hidden="false" name="hna_n_29_lo" vbProcedure="false">In!$D$132</definedName>
    <definedName function="false" hidden="false" name="laA_25" vbProcedure="false">In!$E$5</definedName>
    <definedName function="false" hidden="false" name="laA_26" vbProcedure="false">In!$E$6</definedName>
    <definedName function="false" hidden="false" name="laA_27" vbProcedure="false">In!$E$7</definedName>
    <definedName function="false" hidden="false" name="laA_28" vbProcedure="false">In!$E$8</definedName>
    <definedName function="false" hidden="false" name="laA_29" vbProcedure="false">In!$E$9</definedName>
    <definedName function="false" hidden="false" name="laB_25" vbProcedure="false">In!$E$10</definedName>
    <definedName function="false" hidden="false" name="laB_26" vbProcedure="false">In!$E$11</definedName>
    <definedName function="false" hidden="false" name="laB_27" vbProcedure="false">In!$E$12</definedName>
    <definedName function="false" hidden="false" name="laB_28" vbProcedure="false">In!$E$13</definedName>
    <definedName function="false" hidden="false" name="laB_29" vbProcedure="false">In!$E$14</definedName>
    <definedName function="false" hidden="false" name="laC_25" vbProcedure="false">In!$E$15</definedName>
    <definedName function="false" hidden="false" name="laC_26" vbProcedure="false">In!$E$16</definedName>
    <definedName function="false" hidden="false" name="laC_27" vbProcedure="false">In!$E$17</definedName>
    <definedName function="false" hidden="false" name="laC_28" vbProcedure="false">In!$E$18</definedName>
    <definedName function="false" hidden="false" name="laC_29" vbProcedure="false">In!$E$19</definedName>
    <definedName function="false" hidden="false" name="lna_asp" vbProcedure="false">In!$E$134</definedName>
    <definedName function="false" hidden="false" name="lna_asp_hi" vbProcedure="false">In!$F$134</definedName>
    <definedName function="false" hidden="false" name="lna_asp_lo" vbProcedure="false">In!$D$134</definedName>
    <definedName function="false" hidden="false" name="loA_25" vbProcedure="false">In!$E$20</definedName>
    <definedName function="false" hidden="false" name="loA_26" vbProcedure="false">In!$E$21</definedName>
    <definedName function="false" hidden="false" name="loA_27" vbProcedure="false">In!$E$22</definedName>
    <definedName function="false" hidden="false" name="loA_28" vbProcedure="false">In!$E$23</definedName>
    <definedName function="false" hidden="false" name="loA_29" vbProcedure="false">In!$E$24</definedName>
    <definedName function="false" hidden="false" name="loB_25" vbProcedure="false">In!$E$25</definedName>
    <definedName function="false" hidden="false" name="loB_26" vbProcedure="false">In!$E$26</definedName>
    <definedName function="false" hidden="false" name="loB_27" vbProcedure="false">In!$E$27</definedName>
    <definedName function="false" hidden="false" name="loB_28" vbProcedure="false">In!$E$28</definedName>
    <definedName function="false" hidden="false" name="loB_29" vbProcedure="false">In!$E$29</definedName>
    <definedName function="false" hidden="false" name="loC_25" vbProcedure="false">In!$E$30</definedName>
    <definedName function="false" hidden="false" name="loC_26" vbProcedure="false">In!$E$31</definedName>
    <definedName function="false" hidden="false" name="loC_27" vbProcedure="false">In!$E$32</definedName>
    <definedName function="false" hidden="false" name="loC_28" vbProcedure="false">In!$E$33</definedName>
    <definedName function="false" hidden="false" name="loC_29" vbProcedure="false">In!$E$34</definedName>
    <definedName function="false" hidden="false" name="log_sh26" vbProcedure="false">In!$E$105</definedName>
    <definedName function="false" hidden="false" name="naA_25" vbProcedure="false">In!$E$50</definedName>
    <definedName function="false" hidden="false" name="naA_26" vbProcedure="false">In!$E$51</definedName>
    <definedName function="false" hidden="false" name="naA_27" vbProcedure="false">In!$E$52</definedName>
    <definedName function="false" hidden="false" name="naA_28" vbProcedure="false">In!$E$53</definedName>
    <definedName function="false" hidden="false" name="naA_29" vbProcedure="false">In!$E$54</definedName>
    <definedName function="false" hidden="false" name="naB_25" vbProcedure="false">In!$E$55</definedName>
    <definedName function="false" hidden="false" name="naB_26" vbProcedure="false">In!$E$56</definedName>
    <definedName function="false" hidden="false" name="naB_27" vbProcedure="false">In!$E$57</definedName>
    <definedName function="false" hidden="false" name="naB_28" vbProcedure="false">In!$E$58</definedName>
    <definedName function="false" hidden="false" name="naB_29" vbProcedure="false">In!$E$59</definedName>
    <definedName function="false" hidden="false" name="naC_25" vbProcedure="false">In!$E$60</definedName>
    <definedName function="false" hidden="false" name="naC_26" vbProcedure="false">In!$E$61</definedName>
    <definedName function="false" hidden="false" name="naC_27" vbProcedure="false">In!$E$62</definedName>
    <definedName function="false" hidden="false" name="naC_28" vbProcedure="false">In!$E$63</definedName>
    <definedName function="false" hidden="false" name="naC_29" vbProcedure="false">In!$E$64</definedName>
    <definedName function="false" hidden="false" name="nim10" vbProcedure="false">In!$E$159</definedName>
    <definedName function="false" hidden="false" name="nioi" vbProcedure="false">In!$E$124</definedName>
    <definedName function="false" hidden="false" name="nioi_hi" vbProcedure="false">In!$F$124</definedName>
    <definedName function="false" hidden="false" name="nioi_lo" vbProcedure="false">In!$D$124</definedName>
    <definedName function="false" hidden="false" name="opex25" vbProcedure="false">In!$E$121</definedName>
    <definedName function="false" hidden="false" name="opex26" vbProcedure="false">In!$E$122</definedName>
    <definedName function="false" hidden="false" name="pe_mid" vbProcedure="false">Val!$B$41</definedName>
    <definedName function="false" hidden="false" name="pe_peak" vbProcedure="false">Val!$B$40</definedName>
    <definedName function="false" hidden="false" name="pe_trough" vbProcedure="false">Val!$B$42</definedName>
    <definedName function="false" hidden="false" name="phi" vbProcedure="false">In!$E$123</definedName>
    <definedName function="false" hidden="false" name="phi_hi" vbProcedure="false">In!$F$123</definedName>
    <definedName function="false" hidden="false" name="phi_lo" vbProcedure="false">In!$D$123</definedName>
    <definedName function="false" hidden="false" name="pk_A" vbProcedure="false">In!$E$85</definedName>
    <definedName function="false" hidden="false" name="pk_B" vbProcedure="false">In!$E$86</definedName>
    <definedName function="false" hidden="false" name="pk_C" vbProcedure="false">In!$E$87</definedName>
    <definedName function="false" hidden="false" name="px" vbProcedure="false">In!$E$139</definedName>
    <definedName function="false" hidden="false" name="sa_fpe" vbProcedure="false">In!$E$140</definedName>
    <definedName function="false" hidden="false" name="semi_wfe_25" vbProcedure="false">In!$E$80</definedName>
    <definedName function="false" hidden="false" name="semi_wfe_26" vbProcedure="false">In!$E$81</definedName>
    <definedName function="false" hidden="false" name="semi_wfe_27" vbProcedure="false">In!$E$82</definedName>
    <definedName function="false" hidden="false" name="semi_wfe_28" vbProcedure="false">In!$E$83</definedName>
    <definedName function="false" hidden="false" name="semi_wfe_29" vbProcedure="false">In!$E$84</definedName>
    <definedName function="false" hidden="false" name="sh_q4" vbProcedure="false">In!$E$101</definedName>
    <definedName function="false" hidden="false" name="sh_q4_hi" vbProcedure="false">In!$F$101</definedName>
    <definedName function="false" hidden="false" name="sh_q4_lo" vbProcedure="false">In!$D$101</definedName>
    <definedName function="false" hidden="false" name="t30_gm_hi" vbProcedure="false">In!$E$152</definedName>
    <definedName function="false" hidden="false" name="t30_gm_lo" vbProcedure="false">In!$E$151</definedName>
    <definedName function="false" hidden="false" name="t30_rev_hi" vbProcedure="false">In!$E$150</definedName>
    <definedName function="false" hidden="false" name="t30_rev_lo" vbProcedure="false">In!$E$149</definedName>
    <definedName function="false" hidden="false" name="tp_g" vbProcedure="false">In!$E$156</definedName>
    <definedName function="false" hidden="false" name="tp_r" vbProcedure="false">In!$E$155</definedName>
    <definedName function="false" hidden="false" name="tp_roe" vbProcedure="false">In!$E$157</definedName>
    <definedName function="false" hidden="false" name="tp_wA" vbProcedure="false">In!$E$146</definedName>
    <definedName function="false" hidden="false" name="tp_wB" vbProcedure="false">In!$E$147</definedName>
    <definedName function="false" hidden="false" name="tp_wC" vbProcedure="false">In!$E$148</definedName>
    <definedName function="false" hidden="false" name="tp_w_dcf" vbProcedure="false">In!$E$158</definedName>
    <definedName function="false" hidden="false" name="wfA_25" vbProcedure="false">In!$E$65</definedName>
    <definedName function="false" hidden="false" name="wfA_26" vbProcedure="false">In!$E$66</definedName>
    <definedName function="false" hidden="false" name="wfA_27" vbProcedure="false">In!$E$67</definedName>
    <definedName function="false" hidden="false" name="wfA_28" vbProcedure="false">In!$E$68</definedName>
    <definedName function="false" hidden="false" name="wfA_29" vbProcedure="false">In!$E$69</definedName>
    <definedName function="false" hidden="false" name="wfB_25" vbProcedure="false">In!$E$70</definedName>
    <definedName function="false" hidden="false" name="wfB_26" vbProcedure="false">In!$E$71</definedName>
    <definedName function="false" hidden="false" name="wfB_27" vbProcedure="false">In!$E$72</definedName>
    <definedName function="false" hidden="false" name="wfB_28" vbProcedure="false">In!$E$73</definedName>
    <definedName function="false" hidden="false" name="wfB_29" vbProcedure="false">In!$E$74</definedName>
    <definedName function="false" hidden="false" name="wfC_25" vbProcedure="false">In!$E$75</definedName>
    <definedName function="false" hidden="false" name="wfC_26" vbProcedure="false">In!$E$76</definedName>
    <definedName function="false" hidden="false" name="wfC_27" vbProcedure="false">In!$E$77</definedName>
    <definedName function="false" hidden="false" name="wfC_28" vbProcedure="false">In!$E$78</definedName>
    <definedName function="false" hidden="false" name="wfC_29" vbProcedure="false">In!$E$79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<sst xmlns="http://schemas.openxmlformats.org/spreadsheetml/2006/main" count="3193" uniqueCount="958">
  <si>
    <r>
      <rPr>
        <b val="true"/>
        <sz val="11"/>
        <rFont val="Cambria"/>
        <family val="0"/>
        <charset val="1"/>
      </rPr>
      <t xml:space="preserve">ASML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ASML.AS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ASML ADR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</si>
  <si>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ASML </t>
    </r>
    <r>
      <rPr>
        <sz val="11"/>
        <rFont val="Noto Sans CJK SC"/>
        <family val="2"/>
      </rPr>
      <t xml:space="preserve">是 </t>
    </r>
    <r>
      <rPr>
        <sz val="11"/>
        <rFont val="Cambria"/>
        <family val="0"/>
        <charset val="1"/>
      </rPr>
      <t xml:space="preserve">EUV </t>
    </r>
    <r>
      <rPr>
        <sz val="11"/>
        <rFont val="Noto Sans CJK SC"/>
        <family val="2"/>
      </rPr>
      <t xml:space="preserve">唯一供應者，營收由晶圓廠的微影設備支出與裝機基礎服務決定。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帶動記憶體與先進邏輯擴產，營收約 </t>
    </r>
    <r>
      <rPr>
        <sz val="11"/>
        <rFont val="Cambria"/>
        <family val="0"/>
        <charset val="1"/>
      </rPr>
      <t xml:space="preserve">+36%</t>
    </r>
    <r>
      <rPr>
        <sz val="11"/>
        <rFont val="Noto Sans CJK SC"/>
        <family val="2"/>
      </rPr>
      <t xml:space="preserve">、毛利率升到 </t>
    </r>
    <r>
      <rPr>
        <sz val="11"/>
        <rFont val="Cambria"/>
        <family val="0"/>
        <charset val="1"/>
      </rPr>
      <t xml:space="preserve">56%</t>
    </r>
    <r>
      <rPr>
        <sz val="11"/>
        <rFont val="Noto Sans CJK SC"/>
        <family val="2"/>
      </rPr>
      <t xml:space="preserve">；股價約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倍前瞻本益比，問題是設備支出在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年後放緩、中國營收占比續降時，產能 </t>
    </r>
    <r>
      <rPr>
        <sz val="11"/>
        <rFont val="Cambria"/>
        <family val="0"/>
        <charset val="1"/>
      </rPr>
      <t xml:space="preserve">+30% </t>
    </r>
    <r>
      <rPr>
        <sz val="11"/>
        <rFont val="Noto Sans CJK SC"/>
        <family val="2"/>
      </rPr>
      <t xml:space="preserve">與漲價能否撐住盈餘成長。</t>
    </r>
  </si>
  <si>
    <r>
      <rPr>
        <sz val="11"/>
        <rFont val="Noto Sans CJK SC"/>
        <family val="2"/>
      </rPr>
      <t xml:space="preserve">會計年度＝日曆年（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2026-01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12</t>
    </r>
    <r>
      <rPr>
        <sz val="11"/>
        <rFont val="Noto Sans CJK SC"/>
        <family val="2"/>
      </rPr>
      <t xml:space="preserve">）；金額以歐元為主（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 €</t>
    </r>
    <r>
      <rPr>
        <sz val="11"/>
        <rFont val="Cambria"/>
        <family val="0"/>
        <charset val="1"/>
      </rPr>
      <t xml:space="preserve">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 €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錨點＝前三季實績（含 </t>
    </r>
    <r>
      <rPr>
        <sz val="11"/>
        <rFont val="Cambria"/>
        <family val="0"/>
        <charset val="1"/>
      </rPr>
      <t xml:space="preserve">2026-10-14 </t>
    </r>
    <r>
      <rPr>
        <sz val="11"/>
        <rFont val="Noto Sans CJK SC"/>
        <family val="2"/>
      </rPr>
      <t xml:space="preserve">公布的第三季）＋第四季公司指引中點，三情境相同；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由驅動推導。第四季財報預定 </t>
    </r>
    <r>
      <rPr>
        <sz val="11"/>
        <rFont val="Cambria"/>
        <family val="0"/>
        <charset val="1"/>
      </rPr>
      <t xml:space="preserve">2027-01 </t>
    </r>
    <r>
      <rPr>
        <sz val="11"/>
        <rFont val="Noto Sans CJK SC"/>
        <family val="2"/>
      </rPr>
      <t xml:space="preserve">下旬公布。</t>
    </r>
  </si>
  <si>
    <t xml:space="preserve">驅動因子 → 推導量</t>
  </si>
  <si>
    <r>
      <rPr>
        <sz val="11"/>
        <rFont val="Noto Sans CJK SC"/>
        <family val="2"/>
      </rPr>
      <t xml:space="preserve">系統營收（非中國）＝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晶圓前段設備指數（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：邏輯＝先進邏輯＋其他代工邏輯，記憶體＝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含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微影強度與價格係數（</t>
    </r>
    <r>
      <rPr>
        <sz val="11"/>
        <rFont val="Cambria"/>
        <family val="0"/>
        <charset val="1"/>
      </rPr>
      <t xml:space="preserve">Assumed +3%</t>
    </r>
    <r>
      <rPr>
        <sz val="11"/>
        <rFont val="Noto Sans CJK SC"/>
        <family val="2"/>
      </rPr>
      <t xml:space="preserve">／年）；邏輯與記憶體分開，權重＝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指引成長推得的邏輯占比</t>
    </r>
  </si>
  <si>
    <r>
      <rPr>
        <sz val="11"/>
        <rFont val="Noto Sans CJK SC"/>
        <family val="2"/>
      </rPr>
      <t xml:space="preserve">中國系統營收：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＝錨點 </t>
    </r>
    <r>
      <rPr>
        <sz val="11"/>
        <rFont val="Cambria"/>
        <family val="0"/>
        <charset val="1"/>
      </rPr>
      <t xml:space="preserve">× 20%</t>
    </r>
    <r>
      <rPr>
        <sz val="11"/>
        <rFont val="Noto Sans CJK SC"/>
        <family val="2"/>
      </rPr>
      <t xml:space="preserve">（公司：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），之後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＋情境別年成長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；系統營收＝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產能上限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，產能＝</t>
    </r>
    <r>
      <rPr>
        <sz val="11"/>
        <rFont val="Cambria"/>
        <family val="0"/>
        <charset val="1"/>
      </rPr>
      <t xml:space="preserve">FY2026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2027 +30%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2028 +15%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+10%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強度係數</t>
    </r>
  </si>
  <si>
    <r>
      <rPr>
        <sz val="11"/>
        <rFont val="Cambria"/>
        <family val="0"/>
        <charset val="1"/>
      </rPr>
      <t xml:space="preserve">IBM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＋情境別成長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。毛利率＝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錨點毛利率＋斜率 </t>
    </r>
    <r>
      <rPr>
        <sz val="11"/>
        <rFont val="Cambria"/>
        <family val="0"/>
        <charset val="1"/>
      </rPr>
      <t xml:space="preserve">× ln(</t>
    </r>
    <r>
      <rPr>
        <sz val="11"/>
        <rFont val="Noto Sans CJK SC"/>
        <family val="2"/>
      </rPr>
      <t xml:space="preserve">營收比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兩點推導）；營業費用＝</t>
    </r>
    <r>
      <rPr>
        <sz val="11"/>
        <rFont val="Cambria"/>
        <family val="0"/>
        <charset val="1"/>
      </rPr>
      <t xml:space="preserve">FY2026 ×</t>
    </r>
    <r>
      <rPr>
        <sz val="11"/>
        <rFont val="Noto Sans CJK SC"/>
        <family val="2"/>
      </rPr>
      <t xml:space="preserve">［固定＋變動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營收比］（兩點推導）；不寫死利益率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</si>
  <si>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：設備市場模型的三情境（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續增；</t>
    </r>
    <r>
      <rPr>
        <sz val="11"/>
        <rFont val="Cambria"/>
        <family val="0"/>
        <charset val="1"/>
      </rPr>
      <t xml:space="preserve">B 2028 </t>
    </r>
    <r>
      <rPr>
        <sz val="11"/>
        <rFont val="Noto Sans CJK SC"/>
        <family val="2"/>
      </rPr>
      <t xml:space="preserve">持平、</t>
    </r>
    <r>
      <rPr>
        <sz val="11"/>
        <rFont val="Cambria"/>
        <family val="0"/>
        <charset val="1"/>
      </rPr>
      <t xml:space="preserve">2029 −5%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 2028 −20%</t>
    </r>
    <r>
      <rPr>
        <sz val="11"/>
        <rFont val="Noto Sans CJK SC"/>
        <family val="2"/>
      </rPr>
      <t xml:space="preserve">）＋中國年成長（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IBM </t>
    </r>
    <r>
      <rPr>
        <sz val="11"/>
        <rFont val="Noto Sans CJK SC"/>
        <family val="2"/>
      </rPr>
      <t xml:space="preserve">年成長（</t>
    </r>
    <r>
      <rPr>
        <sz val="11"/>
        <rFont val="Cambria"/>
        <family val="0"/>
        <charset val="1"/>
      </rPr>
      <t xml:space="preserve">+12%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+3%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</si>
  <si>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：公司指引、共識、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目標、微影占設備支出、產能。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：強度與價格、中國、</t>
    </r>
    <r>
      <rPr>
        <sz val="11"/>
        <rFont val="Cambria"/>
        <family val="0"/>
        <charset val="1"/>
      </rPr>
      <t xml:space="preserve">IBM</t>
    </r>
    <r>
      <rPr>
        <sz val="11"/>
        <rFont val="Noto Sans CJK SC"/>
        <family val="2"/>
      </rPr>
      <t xml:space="preserve">、毛利率斜率、營業費用等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</si>
  <si>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未使用。實績取自 </t>
    </r>
    <r>
      <rPr>
        <sz val="11"/>
        <rFont val="Cambria"/>
        <family val="0"/>
        <charset val="1"/>
      </rPr>
      <t xml:space="preserve">SEC 6-K</t>
    </r>
    <r>
      <rPr>
        <sz val="11"/>
        <rFont val="Noto Sans CJK SC"/>
        <family val="2"/>
      </rPr>
      <t xml:space="preserve">；法說內容取自公司逐字稿與第三方轉述。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</si>
  <si>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設備市場的其他代工與記憶體廠含中國廠，本模型另以中國系統營收列處理，指數的中國成分重疊；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微影強度與價格（</t>
    </r>
    <r>
      <rPr>
        <sz val="11"/>
        <rFont val="Cambria"/>
        <family val="0"/>
        <charset val="1"/>
      </rPr>
      <t xml:space="preserve">g_int</t>
    </r>
    <r>
      <rPr>
        <sz val="11"/>
        <rFont val="Noto Sans CJK SC"/>
        <family val="2"/>
      </rPr>
      <t xml:space="preserve">）無直接實證，只有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一年可比；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毛利率、營業費用都只有兩點，毛利率對規模的斜率可能高估（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+2.9pt </t>
    </r>
    <r>
      <rPr>
        <sz val="11"/>
        <rFont val="Noto Sans CJK SC"/>
        <family val="2"/>
      </rPr>
      <t xml:space="preserve">含漲價與產品組合）；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指數只連結設備支出的成長，匯率變動不進營收；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產能上限以系統總額近似，未分 </t>
    </r>
    <r>
      <rPr>
        <sz val="11"/>
        <rFont val="Cambria"/>
        <family val="0"/>
        <charset val="1"/>
      </rPr>
      <t xml:space="preserve">EUV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DUV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(6) Euronext </t>
    </r>
    <r>
      <rPr>
        <sz val="11"/>
        <rFont val="Noto Sans CJK SC"/>
        <family val="2"/>
      </rPr>
      <t xml:space="preserve">年底收盤價未找到，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ADR </t>
    </r>
    <r>
      <rPr>
        <sz val="11"/>
        <rFont val="Noto Sans CJK SC"/>
        <family val="2"/>
      </rPr>
      <t xml:space="preserve">價格與 </t>
    </r>
    <r>
      <rPr>
        <sz val="11"/>
        <rFont val="Cambria"/>
        <family val="0"/>
        <charset val="1"/>
      </rPr>
      <t xml:space="preserve">ECB </t>
    </r>
    <r>
      <rPr>
        <sz val="11"/>
        <rFont val="Noto Sans CJK SC"/>
        <family val="2"/>
      </rPr>
      <t xml:space="preserve">匯率換算；</t>
    </r>
    <r>
      <rPr>
        <sz val="11"/>
        <rFont val="Cambria"/>
        <family val="0"/>
        <charset val="1"/>
      </rPr>
      <t xml:space="preserve">(7) 2028–29 </t>
    </r>
    <r>
      <rPr>
        <sz val="11"/>
        <rFont val="Noto Sans CJK SC"/>
        <family val="2"/>
      </rPr>
      <t xml:space="preserve">依設備市場情境係數（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</si>
  <si>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</si>
  <si>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</si>
  <si>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頁與指引為百萬歐元（€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），驅動與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為十億歐元（€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）；設備市場為十億美元（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</si>
  <si>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未使用。公司數字取自 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新聞稿、財務報表、簡報）與法說逐字稿；</t>
    </r>
    <r>
      <rPr>
        <sz val="11"/>
        <color theme="1"/>
        <rFont val="Calibri"/>
        <family val="2"/>
        <charset val="1"/>
      </rPr>
      <t xml:space="preserve">asml.com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Noto Sans CJK SC"/>
        <family val="2"/>
      </rPr>
      <t xml:space="preserve">經搜尋引擎摘錄讀取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</si>
  <si>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</si>
  <si>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</si>
  <si>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</si>
  <si>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</si>
  <si>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</si>
  <si>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</si>
  <si>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</si>
  <si>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</si>
  <si>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</si>
  <si>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晶圓前段設備支出（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成品，三情境；唯讀，不自行重估）</t>
    </r>
  </si>
  <si>
    <t xml:space="preserve">laA_25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</si>
  <si>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</si>
  <si>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</si>
  <si>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</si>
  <si>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Mkt!C120:G120</t>
    </r>
  </si>
  <si>
    <r>
      <rPr>
        <sz val="11"/>
        <color theme="1"/>
        <rFont val="Noto Sans CJK SC"/>
        <family val="2"/>
      </rPr>
      <t xml:space="preserve">設備市場模型：公司資本支出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設備占比＋其他廠；</t>
    </r>
    <r>
      <rPr>
        <sz val="11"/>
        <color theme="1"/>
        <rFont val="Calibri"/>
        <family val="2"/>
        <charset val="1"/>
      </rPr>
      <t xml:space="preserve">2025–2027 </t>
    </r>
    <r>
      <rPr>
        <sz val="11"/>
        <color theme="1"/>
        <rFont val="Noto Sans CJK SC"/>
        <family val="2"/>
      </rPr>
      <t xml:space="preserve">三情境相同，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依情境係數</t>
    </r>
  </si>
  <si>
    <t xml:space="preserve">laA_26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</si>
  <si>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</si>
  <si>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</si>
  <si>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laA_27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</si>
  <si>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</si>
  <si>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laA_28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</si>
  <si>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</si>
  <si>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laA_29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</si>
  <si>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</si>
  <si>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laB_25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</si>
  <si>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</si>
  <si>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Mkt!C139:G139</t>
    </r>
  </si>
  <si>
    <t xml:space="preserve">laB_26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</si>
  <si>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</si>
  <si>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</si>
  <si>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</si>
  <si>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</si>
  <si>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</si>
  <si>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laB_29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</si>
  <si>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</si>
  <si>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laC_25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</si>
  <si>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</si>
  <si>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Mkt!C158:G158</t>
    </r>
  </si>
  <si>
    <t xml:space="preserve">laC_26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</si>
  <si>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</si>
  <si>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laC_27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</si>
  <si>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</si>
  <si>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laC_28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</si>
  <si>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</si>
  <si>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laC_29</t>
  </si>
  <si>
    <r>
      <rPr>
        <sz val="11"/>
        <color theme="1"/>
        <rFont val="Noto Sans CJK SC"/>
        <family val="2"/>
      </rPr>
      <t xml:space="preserve">先進邏輯設備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</si>
  <si>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loA_25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</si>
  <si>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</si>
  <si>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Mkt!C121:G121</t>
    </r>
  </si>
  <si>
    <t xml:space="preserve">loA_26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</si>
  <si>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</si>
  <si>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</si>
  <si>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</si>
  <si>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</si>
  <si>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</si>
  <si>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loA_29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</si>
  <si>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</si>
  <si>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loB_25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</si>
  <si>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</si>
  <si>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Mkt!C140:G140</t>
    </r>
  </si>
  <si>
    <t xml:space="preserve">loB_26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</si>
  <si>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</si>
  <si>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</si>
  <si>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</si>
  <si>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</si>
  <si>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</si>
  <si>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loB_29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</si>
  <si>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</si>
  <si>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loC_25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</si>
  <si>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</si>
  <si>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Mkt!C159:G159</t>
    </r>
  </si>
  <si>
    <t xml:space="preserve">loC_26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</si>
  <si>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</si>
  <si>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loC_27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</si>
  <si>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</si>
  <si>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loC_28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</si>
  <si>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</si>
  <si>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loC_29</t>
  </si>
  <si>
    <r>
      <rPr>
        <sz val="11"/>
        <color theme="1"/>
        <rFont val="Noto Sans CJK SC"/>
        <family val="2"/>
      </rPr>
      <t xml:space="preserve">其他代工與邏輯設備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</si>
  <si>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</si>
  <si>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</si>
  <si>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</si>
  <si>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t xml:space="preserve">drA_26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</si>
  <si>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</si>
  <si>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</si>
  <si>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</si>
  <si>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</si>
  <si>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</si>
  <si>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</si>
  <si>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</si>
  <si>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drB_25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</si>
  <si>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</si>
  <si>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</si>
  <si>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drB_26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</si>
  <si>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</si>
  <si>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</si>
  <si>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</si>
  <si>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</si>
  <si>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</si>
  <si>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drB_29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</si>
  <si>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</si>
  <si>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drC_25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</si>
  <si>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</si>
  <si>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</si>
  <si>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drC_26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</si>
  <si>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</si>
  <si>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</si>
  <si>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</si>
  <si>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</si>
  <si>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</si>
  <si>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drC_29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</si>
  <si>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</si>
  <si>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naA_25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</si>
  <si>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</si>
  <si>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Mkt!C123:G123</t>
    </r>
  </si>
  <si>
    <t xml:space="preserve">naA_26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</si>
  <si>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</si>
  <si>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naA_27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</si>
  <si>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</si>
  <si>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naA_28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</si>
  <si>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</si>
  <si>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naA_29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</si>
  <si>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</si>
  <si>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naB_25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</si>
  <si>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</si>
  <si>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Mkt!C142:G142</t>
    </r>
  </si>
  <si>
    <t xml:space="preserve">naB_26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</si>
  <si>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</si>
  <si>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naB_27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</si>
  <si>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</si>
  <si>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naB_28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</si>
  <si>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</si>
  <si>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naB_29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</si>
  <si>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</si>
  <si>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naC_25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</si>
  <si>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</si>
  <si>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Mkt!C161:G161</t>
    </r>
  </si>
  <si>
    <t xml:space="preserve">naC_26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</si>
  <si>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</si>
  <si>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naC_27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</si>
  <si>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</si>
  <si>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naC_28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</si>
  <si>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</si>
  <si>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naC_29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</si>
  <si>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</si>
  <si>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wfA_25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</si>
  <si>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</si>
  <si>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Mkt!C127:G127</t>
    </r>
  </si>
  <si>
    <t xml:space="preserve">wfA_26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</si>
  <si>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</si>
  <si>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wfA_27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</si>
  <si>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</si>
  <si>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wfA_28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</si>
  <si>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</si>
  <si>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wfA_29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</si>
  <si>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</si>
  <si>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wfB_25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</si>
  <si>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</si>
  <si>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Mkt!C146:G146</t>
    </r>
  </si>
  <si>
    <t xml:space="preserve">wfB_26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</si>
  <si>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</si>
  <si>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wfB_27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</si>
  <si>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</si>
  <si>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wfB_28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</si>
  <si>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</si>
  <si>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wfB_29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</si>
  <si>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</si>
  <si>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wfC_25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</si>
  <si>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</si>
  <si>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Mkt!C165:G165</t>
    </r>
  </si>
  <si>
    <t xml:space="preserve">wfC_26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</si>
  <si>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</si>
  <si>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wfC_27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</si>
  <si>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</si>
  <si>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wfC_28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</si>
  <si>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</si>
  <si>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wfC_29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</si>
  <si>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</si>
  <si>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semi_wfe_25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</si>
  <si>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</si>
  <si>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</si>
  <si>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Mkt!C44:G44</t>
    </r>
  </si>
  <si>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起為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預測（設備商協會，傾向樂觀；只用於對帳）</t>
    </r>
  </si>
  <si>
    <t xml:space="preserve">semi_wfe_26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</si>
  <si>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</t>
    </r>
  </si>
  <si>
    <t xml:space="preserve">Interested-party</t>
  </si>
  <si>
    <t xml:space="preserve">semi_wfe_27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</si>
  <si>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2027</t>
    </r>
  </si>
  <si>
    <t xml:space="preserve">semi_wfe_28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</si>
  <si>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2028</t>
    </r>
  </si>
  <si>
    <t xml:space="preserve">semi_wfe_29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</si>
  <si>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2029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</si>
  <si>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</si>
  <si>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</si>
  <si>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</si>
  <si>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</si>
  <si>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會計年度＝日曆年，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直接對照日曆年 </t>
    </r>
    <r>
      <rPr>
        <sz val="11"/>
        <color theme="1"/>
        <rFont val="Calibri"/>
        <family val="2"/>
        <charset val="1"/>
      </rPr>
      <t xml:space="preserve">t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</si>
  <si>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</si>
  <si>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</si>
  <si>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</si>
  <si>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</si>
  <si>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</si>
  <si>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</si>
  <si>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Cambria"/>
        <family val="0"/>
        <charset val="1"/>
      </rPr>
      <t xml:space="preserve">B. FY2026 </t>
    </r>
    <r>
      <rPr>
        <b val="true"/>
        <sz val="11"/>
        <rFont val="Noto Sans CJK SC"/>
        <family val="2"/>
      </rPr>
      <t xml:space="preserve">第四季公司指引（</t>
    </r>
    <r>
      <rPr>
        <b val="true"/>
        <sz val="11"/>
        <rFont val="Cambria"/>
        <family val="0"/>
        <charset val="1"/>
      </rPr>
      <t xml:space="preserve">2026-10-14</t>
    </r>
    <r>
      <rPr>
        <b val="true"/>
        <sz val="11"/>
        <rFont val="Noto Sans CJK SC"/>
        <family val="2"/>
      </rPr>
      <t xml:space="preserve">）與全年指引；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錨點＝前三季實績＋第四季指引中點</t>
    </r>
  </si>
  <si>
    <t xml:space="preserve">g_q4_rev</t>
  </si>
  <si>
    <r>
      <rPr>
        <sz val="11"/>
        <color theme="1"/>
        <rFont val="Noto Sans CJK SC"/>
        <family val="2"/>
      </rPr>
      <t xml:space="preserve">第四季營收指引（</t>
    </r>
    <r>
      <rPr>
        <sz val="11"/>
        <color theme="1"/>
        <rFont val="Calibri"/>
        <family val="2"/>
        <charset val="1"/>
      </rPr>
      <t xml:space="preserve">14.2–15.2 </t>
    </r>
    <r>
      <rPr>
        <sz val="11"/>
        <color theme="1"/>
        <rFont val="Noto Sans CJK SC"/>
        <family val="2"/>
      </rPr>
      <t xml:space="preserve">中點）</t>
    </r>
  </si>
  <si>
    <t xml:space="preserve">€M</t>
  </si>
  <si>
    <r>
      <rPr>
        <sz val="11"/>
        <color theme="1"/>
        <rFont val="Calibri"/>
        <family val="2"/>
        <charset val="1"/>
      </rPr>
      <t xml:space="preserve">ASML Q3 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Q4 €14.2–15.2B</t>
    </r>
  </si>
  <si>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附件）同；</t>
    </r>
    <r>
      <rPr>
        <sz val="11"/>
        <color theme="1"/>
        <rFont val="Calibri"/>
        <family val="2"/>
        <charset val="1"/>
      </rPr>
      <t xml:space="preserve">stockhub.kr </t>
    </r>
    <r>
      <rPr>
        <sz val="11"/>
        <color theme="1"/>
        <rFont val="Noto Sans CJK SC"/>
        <family val="2"/>
      </rPr>
      <t xml:space="preserve">摘要同</t>
    </r>
  </si>
  <si>
    <t xml:space="preserve">g_q4_ibm</t>
  </si>
  <si>
    <r>
      <rPr>
        <sz val="11"/>
        <color theme="1"/>
        <rFont val="Noto Sans CJK SC"/>
        <family val="2"/>
      </rPr>
      <t xml:space="preserve">第四季裝機基礎管理（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）營收指引</t>
    </r>
  </si>
  <si>
    <r>
      <rPr>
        <sz val="11"/>
        <color theme="1"/>
        <rFont val="Calibri"/>
        <family val="2"/>
        <charset val="1"/>
      </rPr>
      <t xml:space="preserve">ASML Q3 2026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Q4 IBM </t>
    </r>
    <r>
      <rPr>
        <sz val="11"/>
        <color theme="1"/>
        <rFont val="Noto Sans CJK SC"/>
        <family val="2"/>
      </rPr>
      <t xml:space="preserve">約 €</t>
    </r>
    <r>
      <rPr>
        <sz val="11"/>
        <color theme="1"/>
        <rFont val="Calibri"/>
        <family val="2"/>
        <charset val="1"/>
      </rPr>
      <t xml:space="preserve">3.7B</t>
    </r>
  </si>
  <si>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）同</t>
    </r>
  </si>
  <si>
    <t xml:space="preserve">g_q4_gm</t>
  </si>
  <si>
    <t xml:space="preserve">第四季毛利率指引</t>
  </si>
  <si>
    <t xml:space="preserve">%</t>
  </si>
  <si>
    <r>
      <rPr>
        <sz val="11"/>
        <color theme="1"/>
        <rFont val="Calibri"/>
        <family val="2"/>
        <charset val="1"/>
      </rPr>
      <t xml:space="preserve">ASML Q3 2026 </t>
    </r>
    <r>
      <rPr>
        <sz val="11"/>
        <color theme="1"/>
        <rFont val="Noto Sans CJK SC"/>
        <family val="2"/>
      </rPr>
      <t xml:space="preserve">新聞稿：約 </t>
    </r>
    <r>
      <rPr>
        <sz val="11"/>
        <color theme="1"/>
        <rFont val="Calibri"/>
        <family val="2"/>
        <charset val="1"/>
      </rPr>
      <t xml:space="preserve">57%</t>
    </r>
  </si>
  <si>
    <r>
      <rPr>
        <sz val="11"/>
        <color theme="1"/>
        <rFont val="Calibri"/>
        <family val="2"/>
        <charset val="1"/>
      </rPr>
      <t xml:space="preserve">stockhub.kr </t>
    </r>
    <r>
      <rPr>
        <sz val="11"/>
        <color theme="1"/>
        <rFont val="Noto Sans CJK SC"/>
        <family val="2"/>
      </rPr>
      <t xml:space="preserve">摘要同；低／高 </t>
    </r>
    <r>
      <rPr>
        <sz val="11"/>
        <color theme="1"/>
        <rFont val="Calibri"/>
        <family val="2"/>
        <charset val="1"/>
      </rPr>
      <t xml:space="preserve">±1pt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</si>
  <si>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g_q4_rd</t>
  </si>
  <si>
    <t xml:space="preserve">第四季研發費用指引</t>
  </si>
  <si>
    <r>
      <rPr>
        <sz val="11"/>
        <color theme="1"/>
        <rFont val="Noto Sans CJK SC"/>
        <family val="2"/>
      </rPr>
      <t xml:space="preserve">同上：約 €</t>
    </r>
    <r>
      <rPr>
        <sz val="11"/>
        <color theme="1"/>
        <rFont val="Calibri"/>
        <family val="2"/>
        <charset val="1"/>
      </rPr>
      <t xml:space="preserve">1.2B</t>
    </r>
  </si>
  <si>
    <t xml:space="preserve">g_q4_sga</t>
  </si>
  <si>
    <t xml:space="preserve">第四季銷管費用指引</t>
  </si>
  <si>
    <r>
      <rPr>
        <sz val="11"/>
        <color theme="1"/>
        <rFont val="Noto Sans CJK SC"/>
        <family val="2"/>
      </rPr>
      <t xml:space="preserve">同上：約 €</t>
    </r>
    <r>
      <rPr>
        <sz val="11"/>
        <color theme="1"/>
        <rFont val="Calibri"/>
        <family val="2"/>
        <charset val="1"/>
      </rPr>
      <t xml:space="preserve">0.4B</t>
    </r>
  </si>
  <si>
    <t xml:space="preserve">g_fy_rev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</si>
  <si>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44–45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</si>
  <si>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Calibri"/>
        <family val="2"/>
        <charset val="1"/>
      </rPr>
      <t xml:space="preserve">ASML Q3 2026 </t>
    </r>
    <r>
      <rPr>
        <sz val="11"/>
        <color theme="1"/>
        <rFont val="Noto Sans CJK SC"/>
        <family val="2"/>
      </rPr>
      <t xml:space="preserve">新聞稿：€</t>
    </r>
    <r>
      <rPr>
        <sz val="11"/>
        <color theme="1"/>
        <rFont val="Calibri"/>
        <family val="2"/>
        <charset val="1"/>
      </rPr>
      <t xml:space="preserve">44–45B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€</t>
    </r>
    <r>
      <rPr>
        <sz val="11"/>
        <color theme="1"/>
        <rFont val="Calibri"/>
        <family val="2"/>
        <charset val="1"/>
      </rPr>
      <t xml:space="preserve">43–45B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€</t>
    </r>
    <r>
      <rPr>
        <sz val="11"/>
        <color theme="1"/>
        <rFont val="Calibri"/>
        <family val="2"/>
        <charset val="1"/>
      </rPr>
      <t xml:space="preserve">36–40B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 €</t>
    </r>
    <r>
      <rPr>
        <sz val="11"/>
        <color theme="1"/>
        <rFont val="Calibri"/>
        <family val="2"/>
        <charset val="1"/>
      </rPr>
      <t xml:space="preserve">34–39B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</si>
  <si>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aiweekly 2026-10-15</t>
    </r>
    <r>
      <rPr>
        <sz val="11"/>
        <color theme="1"/>
        <rFont val="Noto Sans CJK SC"/>
        <family val="2"/>
      </rPr>
      <t xml:space="preserve">：下緣上調至 €</t>
    </r>
    <r>
      <rPr>
        <sz val="11"/>
        <color theme="1"/>
        <rFont val="Calibri"/>
        <family val="2"/>
        <charset val="1"/>
      </rPr>
      <t xml:space="preserve">44B</t>
    </r>
  </si>
  <si>
    <t xml:space="preserve">g_fy_gm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</si>
  <si>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</si>
  <si>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54–56%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51–53%</t>
    </r>
    <r>
      <rPr>
        <sz val="11"/>
        <color theme="1"/>
        <rFont val="Noto Sans CJK SC"/>
        <family val="2"/>
      </rPr>
      <t xml:space="preserve">）</t>
    </r>
  </si>
  <si>
    <t xml:space="preserve">g_tax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</si>
  <si>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有效稅率指引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</si>
  <si>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簡報：約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16.1%</t>
    </r>
    <r>
      <rPr>
        <sz val="11"/>
        <color theme="1"/>
        <rFont val="Noto Sans CJK SC"/>
        <family val="2"/>
      </rPr>
      <t xml:space="preserve">）</t>
    </r>
  </si>
  <si>
    <t xml:space="preserve">法說逐字稿同</t>
  </si>
  <si>
    <t xml:space="preserve">g_euv</t>
  </si>
  <si>
    <r>
      <rPr>
        <sz val="11"/>
        <color theme="1"/>
        <rFont val="Calibri"/>
        <family val="2"/>
        <charset val="1"/>
      </rPr>
      <t xml:space="preserve">FY2026 EUV </t>
    </r>
    <r>
      <rPr>
        <sz val="11"/>
        <color theme="1"/>
        <rFont val="Noto Sans CJK SC"/>
        <family val="2"/>
      </rPr>
      <t xml:space="preserve">系統營收成長（指引「超過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</si>
  <si>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營收成長超過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出貨約 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台）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</si>
  <si>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法說同（超過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台）</t>
    </r>
  </si>
  <si>
    <t xml:space="preserve">g_log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</si>
  <si>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邏輯系統營收成長（指引）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</si>
  <si>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法說：邏輯約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、記憶體約 </t>
    </r>
    <r>
      <rPr>
        <sz val="11"/>
        <color theme="1"/>
        <rFont val="Calibri"/>
        <family val="2"/>
        <charset val="1"/>
      </rPr>
      <t xml:space="preserve">+75%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</si>
  <si>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法說：記憶體超過 </t>
    </r>
    <r>
      <rPr>
        <sz val="11"/>
        <color theme="1"/>
        <rFont val="Calibri"/>
        <family val="2"/>
        <charset val="1"/>
      </rPr>
      <t xml:space="preserve">+75%</t>
    </r>
    <r>
      <rPr>
        <sz val="11"/>
        <color theme="1"/>
        <rFont val="Noto Sans CJK SC"/>
        <family val="2"/>
      </rPr>
      <t xml:space="preserve">、先進邏輯代工超過 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（口徑不同）</t>
    </r>
  </si>
  <si>
    <t xml:space="preserve">g_mem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</si>
  <si>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記憶體系統營收成長（指引）</t>
    </r>
  </si>
  <si>
    <t xml:space="preserve">g_ibm26</t>
  </si>
  <si>
    <r>
      <rPr>
        <sz val="11"/>
        <color theme="1"/>
        <rFont val="Calibri"/>
        <family val="2"/>
        <charset val="1"/>
      </rPr>
      <t xml:space="preserve">FY2026 IBM </t>
    </r>
    <r>
      <rPr>
        <sz val="11"/>
        <color theme="1"/>
        <rFont val="Noto Sans CJK SC"/>
        <family val="2"/>
      </rPr>
      <t xml:space="preserve">成長（指引）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</si>
  <si>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月：超過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</si>
  <si>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錨點值見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頁（由前三季＋第四季指引推得，對照用）</t>
    </r>
  </si>
  <si>
    <t xml:space="preserve">sh_q4</t>
  </si>
  <si>
    <t xml:space="preserve">第四季加權平均股數（基本）</t>
  </si>
  <si>
    <t xml:space="preserve">百萬股</t>
  </si>
  <si>
    <t xml:space="preserve">Assumed</t>
  </si>
  <si>
    <r>
      <rPr>
        <sz val="11"/>
        <color theme="1"/>
        <rFont val="Noto Sans CJK SC"/>
        <family val="2"/>
      </rPr>
      <t xml:space="preserve">無：公司未給；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383.1M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買回約 </t>
    </r>
    <r>
      <rPr>
        <sz val="11"/>
        <color theme="1"/>
        <rFont val="Calibri"/>
        <family val="2"/>
        <charset val="1"/>
      </rPr>
      <t xml:space="preserve">2.8M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</si>
  <si>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值（不再買回）；基準＝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再減約 </t>
    </r>
    <r>
      <rPr>
        <sz val="11"/>
        <color theme="1"/>
        <rFont val="Calibri"/>
        <family val="2"/>
        <charset val="1"/>
      </rPr>
      <t xml:space="preserve">0.4%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</si>
  <si>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系統營收的組成（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錨點的拆分）</t>
    </r>
  </si>
  <si>
    <t xml:space="preserve">a25_log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</si>
  <si>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邏輯系統營收</t>
    </r>
  </si>
  <si>
    <r>
      <rPr>
        <sz val="11"/>
        <color theme="1"/>
        <rFont val="Calibri"/>
        <family val="2"/>
        <charset val="1"/>
      </rPr>
      <t xml:space="preserve">ASML Q4 2025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）：邏輯 €</t>
    </r>
    <r>
      <rPr>
        <sz val="11"/>
        <color theme="1"/>
        <rFont val="Calibri"/>
        <family val="2"/>
        <charset val="1"/>
      </rPr>
      <t xml:space="preserve">16.1B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</si>
  <si>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 €</t>
    </r>
    <r>
      <rPr>
        <sz val="11"/>
        <color theme="1"/>
        <rFont val="Calibri"/>
        <family val="2"/>
        <charset val="1"/>
      </rPr>
      <t xml:space="preserve">8.4B</t>
    </r>
    <r>
      <rPr>
        <sz val="11"/>
        <color theme="1"/>
        <rFont val="Noto Sans CJK SC"/>
        <family val="2"/>
      </rPr>
      <t xml:space="preserve">；兩者合計 </t>
    </r>
    <r>
      <rPr>
        <sz val="11"/>
        <color theme="1"/>
        <rFont val="Calibri"/>
        <family val="2"/>
        <charset val="1"/>
      </rPr>
      <t xml:space="preserve">24.5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24,474 </t>
    </r>
    <r>
      <rPr>
        <sz val="11"/>
        <color theme="1"/>
        <rFont val="Noto Sans CJK SC"/>
        <family val="2"/>
      </rPr>
      <t xml:space="preserve">相符</t>
    </r>
  </si>
  <si>
    <t xml:space="preserve">a25_mem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</si>
  <si>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記憶體系統營收</t>
    </r>
  </si>
  <si>
    <r>
      <rPr>
        <sz val="11"/>
        <color theme="1"/>
        <rFont val="Noto Sans CJK SC"/>
        <family val="2"/>
      </rPr>
      <t xml:space="preserve">同上：記憶體 €</t>
    </r>
    <r>
      <rPr>
        <sz val="11"/>
        <color theme="1"/>
        <rFont val="Calibri"/>
        <family val="2"/>
        <charset val="1"/>
      </rPr>
      <t xml:space="preserve">8.4B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）</t>
    </r>
  </si>
  <si>
    <t xml:space="preserve">log_sh26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</si>
  <si>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邏輯占系統營收（指引成長推得）</t>
    </r>
  </si>
  <si>
    <r>
      <rPr>
        <sz val="11"/>
        <color theme="1"/>
        <rFont val="Calibri"/>
        <family val="2"/>
        <charset val="1"/>
      </rPr>
      <t xml:space="preserve">16.1×1.10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16.1×1.10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8.4×1.75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</si>
  <si>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Q1–Q3 2026 </t>
    </r>
    <r>
      <rPr>
        <sz val="11"/>
        <color theme="1"/>
        <rFont val="Noto Sans CJK SC"/>
        <family val="2"/>
      </rPr>
      <t xml:space="preserve">單季：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（法說）</t>
    </r>
  </si>
  <si>
    <t xml:space="preserve">cn_sh26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</si>
  <si>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中國占系統營收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</si>
  <si>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年中國約占總營收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法說）；本模型套用於系統營收（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</si>
  <si>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aiweekly 2026-10-15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占系統出貨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14%</t>
    </r>
    <r>
      <rPr>
        <sz val="11"/>
        <color theme="1"/>
        <rFont val="Noto Sans CJK SC"/>
        <family val="2"/>
      </rPr>
      <t xml:space="preserve">；低／高＝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</si>
  <si>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cn_tot25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</si>
  <si>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中國占總營收</t>
    </r>
  </si>
  <si>
    <r>
      <rPr>
        <sz val="11"/>
        <color theme="1"/>
        <rFont val="Calibri"/>
        <family val="2"/>
        <charset val="1"/>
      </rPr>
      <t xml:space="preserve">Caixin 2026-01-29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揭露）：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，高於公司 </t>
    </r>
    <r>
      <rPr>
        <sz val="11"/>
        <color theme="1"/>
        <rFont val="Calibri"/>
        <family val="2"/>
        <charset val="1"/>
      </rPr>
      <t xml:space="preserve">2025-07 </t>
    </r>
    <r>
      <rPr>
        <sz val="11"/>
        <color theme="1"/>
        <rFont val="Noto Sans CJK SC"/>
        <family val="2"/>
      </rPr>
      <t xml:space="preserve">預估的約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</si>
  <si>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Caixin </t>
    </r>
    <r>
      <rPr>
        <sz val="11"/>
        <color theme="1"/>
        <rFont val="Noto Sans CJK SC"/>
        <family val="2"/>
      </rPr>
      <t xml:space="preserve">時間軸，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生成，弱）；第二來源：未找到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</si>
  <si>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驅動：設備支出指數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微影強度與價格 → 系統需求；產能上限；中國；</t>
    </r>
    <r>
      <rPr>
        <b val="true"/>
        <sz val="11"/>
        <rFont val="Cambria"/>
        <family val="0"/>
        <charset val="1"/>
      </rPr>
      <t xml:space="preserve">IBM</t>
    </r>
  </si>
  <si>
    <t xml:space="preserve">g_int</t>
  </si>
  <si>
    <t xml:space="preserve">微影強度與價格提升（每年；相對晶圓前段設備支出）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</si>
  <si>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</si>
  <si>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無直接實證。公司：關鍵產品漲價自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生效、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全年生效（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層數增加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</si>
  <si>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系統營收（美元）</t>
    </r>
    <r>
      <rPr>
        <sz val="11"/>
        <color theme="1"/>
        <rFont val="Calibri"/>
        <family val="2"/>
        <charset val="1"/>
      </rPr>
      <t xml:space="preserve">÷ SEMI WFE 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）；只有一年可比，不作校準</t>
    </r>
  </si>
  <si>
    <t xml:space="preserve">cap_27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</si>
  <si>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產能成長（</t>
    </r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DUV </t>
    </r>
    <r>
      <rPr>
        <sz val="11"/>
        <color theme="1"/>
        <rFont val="Noto Sans CJK SC"/>
        <family val="2"/>
      </rPr>
      <t xml:space="preserve">浸潤式）</t>
    </r>
  </si>
  <si>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產能約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</si>
  <si>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Low-NA EUV 2027</t>
    </r>
    <r>
      <rPr>
        <sz val="11"/>
        <color theme="1"/>
        <rFont val="Noto Sans CJK SC"/>
        <family val="2"/>
      </rPr>
      <t xml:space="preserve">「至少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台」（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台 → </t>
    </r>
    <r>
      <rPr>
        <sz val="11"/>
        <color theme="1"/>
        <rFont val="Calibri"/>
        <family val="2"/>
        <charset val="1"/>
      </rPr>
      <t xml:space="preserve">+23%</t>
    </r>
    <r>
      <rPr>
        <sz val="11"/>
        <color theme="1"/>
        <rFont val="Noto Sans CJK SC"/>
        <family val="2"/>
      </rPr>
      <t xml:space="preserve">）；低＝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</si>
  <si>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cap_28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</si>
  <si>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產能成長</t>
    </r>
  </si>
  <si>
    <r>
      <rPr>
        <sz val="11"/>
        <color theme="1"/>
        <rFont val="Noto Sans CJK SC"/>
        <family val="2"/>
      </rPr>
      <t xml:space="preserve">公司：研究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再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（未確定）</t>
    </r>
  </si>
  <si>
    <t xml:space="preserve">基準取一半；高＝公司研究值</t>
  </si>
  <si>
    <t xml:space="preserve">cap_29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</si>
  <si>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產能成長</t>
    </r>
  </si>
  <si>
    <t xml:space="preserve">無</t>
  </si>
  <si>
    <t xml:space="preserve">—</t>
  </si>
  <si>
    <t xml:space="preserve">g_cn_A</t>
  </si>
  <si>
    <r>
      <rPr>
        <sz val="11"/>
        <color theme="1"/>
        <rFont val="Noto Sans CJK SC"/>
        <family val="2"/>
      </rPr>
      <t xml:space="preserve">中國系統營收年成長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</si>
  <si>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：中國占總營收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36%→2025 33%→2026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以後中國需求「仍非常強」（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法說）</t>
    </r>
  </si>
  <si>
    <t xml:space="preserve">第二來源：未找到</t>
  </si>
  <si>
    <t xml:space="preserve">g_cn_B</t>
  </si>
  <si>
    <r>
      <rPr>
        <sz val="11"/>
        <color theme="1"/>
        <rFont val="Noto Sans CJK SC"/>
        <family val="2"/>
      </rPr>
      <t xml:space="preserve">中國系統營收年成長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</si>
  <si>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出口管制擴大、成熟製程擴產放緩</t>
  </si>
  <si>
    <t xml:space="preserve">g_cn_C</t>
  </si>
  <si>
    <r>
      <rPr>
        <sz val="11"/>
        <color theme="1"/>
        <rFont val="Noto Sans CJK SC"/>
        <family val="2"/>
      </rPr>
      <t xml:space="preserve">中國系統營收年成長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</si>
  <si>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管制擴及浸潤式與維修服務（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下行）</t>
    </r>
  </si>
  <si>
    <t xml:space="preserve">g_ibm_A</t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</si>
  <si>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</si>
  <si>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IBM 2024 €6,494M→2025 €8,193M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）→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+49%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裝機量與生產力升級）</t>
    </r>
  </si>
  <si>
    <t xml:space="preserve">g_ibm_B</t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</si>
  <si>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</si>
  <si>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升級需求隨設備支出持平而降溫</t>
  </si>
  <si>
    <t xml:space="preserve">g_ibm_C</t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</si>
  <si>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FY2027–29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</si>
  <si>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設備下行時升級需求回落，服務仍隨裝機量成長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</si>
  <si>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毛利率與營業費用（兩點推導：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錨點；不寫死利益率）</t>
    </r>
  </si>
  <si>
    <t xml:space="preserve">gm_b</t>
  </si>
  <si>
    <r>
      <rPr>
        <sz val="11"/>
        <color theme="1"/>
        <rFont val="Noto Sans CJK SC"/>
        <family val="2"/>
      </rPr>
      <t xml:space="preserve">毛利率對營收規模的斜率（每 </t>
    </r>
    <r>
      <rPr>
        <sz val="11"/>
        <color theme="1"/>
        <rFont val="Calibri"/>
        <family val="2"/>
        <charset val="1"/>
      </rPr>
      <t xml:space="preserve">ln </t>
    </r>
    <r>
      <rPr>
        <sz val="11"/>
        <color theme="1"/>
        <rFont val="Noto Sans CJK SC"/>
        <family val="2"/>
      </rPr>
      <t xml:space="preserve">單位營收）</t>
    </r>
  </si>
  <si>
    <t xml:space="preserve">pt</t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</si>
  <si>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FY2025 52.8%</t>
    </r>
    <r>
      <rPr>
        <sz val="11"/>
        <color theme="1"/>
        <rFont val="Noto Sans CJK SC"/>
        <family val="2"/>
      </rPr>
      <t xml:space="preserve">（€</t>
    </r>
    <r>
      <rPr>
        <sz val="11"/>
        <color theme="1"/>
        <rFont val="Calibri"/>
        <family val="2"/>
        <charset val="1"/>
      </rPr>
      <t xml:space="preserve">32.7B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錨點（€</t>
    </r>
    <r>
      <rPr>
        <sz val="11"/>
        <color theme="1"/>
        <rFont val="Calibri"/>
        <family val="2"/>
        <charset val="1"/>
      </rPr>
      <t xml:space="preserve">44.5B</t>
    </r>
    <r>
      <rPr>
        <sz val="11"/>
        <color theme="1"/>
        <rFont val="Noto Sans CJK SC"/>
        <family val="2"/>
      </rPr>
      <t xml:space="preserve">）；毛利率＝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錨點毛利率＋斜率 </t>
    </r>
    <r>
      <rPr>
        <sz val="11"/>
        <color theme="1"/>
        <rFont val="Calibri"/>
        <family val="2"/>
        <charset val="1"/>
      </rPr>
      <t xml:space="preserve">× ln(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</si>
  <si>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目標：營收 €</t>
    </r>
    <r>
      <rPr>
        <sz val="11"/>
        <color theme="1"/>
        <rFont val="Calibri"/>
        <family val="2"/>
        <charset val="1"/>
      </rPr>
      <t xml:space="preserve">44–60B </t>
    </r>
    <r>
      <rPr>
        <sz val="11"/>
        <color theme="1"/>
        <rFont val="Noto Sans CJK SC"/>
        <family val="2"/>
      </rPr>
      <t xml:space="preserve">時毛利率 </t>
    </r>
    <r>
      <rPr>
        <sz val="11"/>
        <color theme="1"/>
        <rFont val="Calibri"/>
        <family val="2"/>
        <charset val="1"/>
      </rPr>
      <t xml:space="preserve">56–60%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投資人日；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對照）。低／高＝</t>
    </r>
    <r>
      <rPr>
        <sz val="11"/>
        <color theme="1"/>
        <rFont val="Calibri"/>
        <family val="2"/>
        <charset val="1"/>
      </rPr>
      <t xml:space="preserve">×0.5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</si>
  <si>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opex25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</si>
  <si>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（研發＋銷管）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</si>
  <si>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</si>
  <si>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opex26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</si>
  <si>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錨點（前三季＋第四季指引）</t>
    </r>
  </si>
  <si>
    <t xml:space="preserve">phi</t>
  </si>
  <si>
    <r>
      <rPr>
        <sz val="11"/>
        <color theme="1"/>
        <rFont val="Noto Sans CJK SC"/>
        <family val="2"/>
      </rPr>
      <t xml:space="preserve">營業費用中隨營收變動的比例（以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為基準）</t>
    </r>
  </si>
  <si>
    <r>
      <rPr>
        <sz val="11"/>
        <color theme="1"/>
        <rFont val="Noto Sans CJK SC"/>
        <family val="2"/>
      </rPr>
      <t xml:space="preserve">基準＝兩點斜率 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營業費用；營業費用＝</t>
    </r>
    <r>
      <rPr>
        <sz val="11"/>
        <color theme="1"/>
        <rFont val="Calibri"/>
        <family val="2"/>
        <charset val="1"/>
      </rPr>
      <t xml:space="preserve">FY2026 ×</t>
    </r>
    <r>
      <rPr>
        <sz val="11"/>
        <color theme="1"/>
        <rFont val="Noto Sans CJK SC"/>
        <family val="2"/>
      </rPr>
      <t xml:space="preserve">［</t>
    </r>
    <r>
      <rPr>
        <sz val="11"/>
        <color theme="1"/>
        <rFont val="Calibri"/>
        <family val="2"/>
        <charset val="1"/>
      </rPr>
      <t xml:space="preserve">(1−phi)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phi 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營收］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</si>
  <si>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+36%</t>
    </r>
    <r>
      <rPr>
        <sz val="11"/>
        <color theme="1"/>
        <rFont val="Noto Sans CJK SC"/>
        <family val="2"/>
      </rPr>
      <t xml:space="preserve">、營業費用 </t>
    </r>
    <r>
      <rPr>
        <sz val="11"/>
        <color theme="1"/>
        <rFont val="Calibri"/>
        <family val="2"/>
        <charset val="1"/>
      </rPr>
      <t xml:space="preserve">+4%</t>
    </r>
    <r>
      <rPr>
        <sz val="11"/>
        <color theme="1"/>
        <rFont val="Noto Sans CJK SC"/>
        <family val="2"/>
      </rPr>
      <t xml:space="preserve">；低＝全固定、高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</si>
  <si>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</si>
  <si>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</si>
  <si>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x</t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</si>
  <si>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0.850</t>
    </r>
    <r>
      <rPr>
        <sz val="11"/>
        <color theme="1"/>
        <rFont val="Noto Sans CJK SC"/>
        <family val="2"/>
      </rPr>
      <t xml:space="preserve">（稅率約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＋利息與權益法收益）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</si>
  <si>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前三季含 </t>
    </r>
    <r>
      <rPr>
        <sz val="11"/>
        <color theme="1"/>
        <rFont val="Calibri"/>
        <family val="2"/>
        <charset val="1"/>
      </rPr>
      <t xml:space="preserve">Mistral AI </t>
    </r>
    <r>
      <rPr>
        <sz val="11"/>
        <color theme="1"/>
        <rFont val="Noto Sans CJK SC"/>
        <family val="2"/>
      </rPr>
      <t xml:space="preserve">投資評價益 €</t>
    </r>
    <r>
      <rPr>
        <sz val="11"/>
        <color theme="1"/>
        <rFont val="Calibri"/>
        <family val="2"/>
        <charset val="1"/>
      </rPr>
      <t xml:space="preserve">509.7M</t>
    </r>
    <r>
      <rPr>
        <sz val="11"/>
        <color theme="1"/>
        <rFont val="Noto Sans CJK SC"/>
        <family val="2"/>
      </rPr>
      <t xml:space="preserve">（一次性），不當基準；低／高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</si>
  <si>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bb</t>
  </si>
  <si>
    <t xml:space="preserve">股數每年減少（買回）</t>
  </si>
  <si>
    <r>
      <rPr>
        <sz val="11"/>
        <color theme="1"/>
        <rFont val="Noto Sans CJK SC"/>
        <family val="2"/>
      </rPr>
      <t xml:space="preserve">公司：€</t>
    </r>
    <r>
      <rPr>
        <sz val="11"/>
        <color theme="1"/>
        <rFont val="Calibri"/>
        <family val="2"/>
        <charset val="1"/>
      </rPr>
      <t xml:space="preserve">12B </t>
    </r>
    <r>
      <rPr>
        <sz val="11"/>
        <color theme="1"/>
        <rFont val="Noto Sans CJK SC"/>
        <family val="2"/>
      </rPr>
      <t xml:space="preserve">買回計畫，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執行（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簡報）</t>
    </r>
  </si>
  <si>
    <r>
      <rPr>
        <sz val="11"/>
        <color theme="1"/>
        <rFont val="Noto Sans CJK SC"/>
        <family val="2"/>
      </rPr>
      <t xml:space="preserve">以 €</t>
    </r>
    <r>
      <rPr>
        <sz val="11"/>
        <color theme="1"/>
        <rFont val="Calibri"/>
        <family val="2"/>
        <charset val="1"/>
      </rPr>
      <t xml:space="preserve">1,400</t>
    </r>
    <r>
      <rPr>
        <sz val="11"/>
        <color theme="1"/>
        <rFont val="Noto Sans CJK SC"/>
        <family val="2"/>
      </rPr>
      <t xml:space="preserve">／股約 </t>
    </r>
    <r>
      <rPr>
        <sz val="11"/>
        <color theme="1"/>
        <rFont val="Calibri"/>
        <family val="2"/>
        <charset val="1"/>
      </rPr>
      <t xml:space="preserve">8.6M </t>
    </r>
    <r>
      <rPr>
        <sz val="11"/>
        <color theme="1"/>
        <rFont val="Noto Sans CJK SC"/>
        <family val="2"/>
      </rPr>
      <t xml:space="preserve">股、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年約 −</t>
    </r>
    <r>
      <rPr>
        <sz val="11"/>
        <color theme="1"/>
        <rFont val="Calibri"/>
        <family val="2"/>
        <charset val="1"/>
      </rPr>
      <t xml:space="preserve">0.75%</t>
    </r>
    <r>
      <rPr>
        <sz val="11"/>
        <color theme="1"/>
        <rFont val="Noto Sans CJK SC"/>
        <family val="2"/>
      </rPr>
      <t xml:space="preserve">／年；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單季買回 </t>
    </r>
    <r>
      <rPr>
        <sz val="11"/>
        <color theme="1"/>
        <rFont val="Calibri"/>
        <family val="2"/>
        <charset val="1"/>
      </rPr>
      <t xml:space="preserve">2.8M </t>
    </r>
    <r>
      <rPr>
        <sz val="11"/>
        <color theme="1"/>
        <rFont val="Noto Sans CJK SC"/>
        <family val="2"/>
      </rPr>
      <t xml:space="preserve">股（€</t>
    </r>
    <r>
      <rPr>
        <sz val="11"/>
        <color theme="1"/>
        <rFont val="Calibri"/>
        <family val="2"/>
        <charset val="1"/>
      </rPr>
      <t xml:space="preserve">4.1B</t>
    </r>
    <r>
      <rPr>
        <sz val="11"/>
        <color theme="1"/>
        <rFont val="Noto Sans CJK SC"/>
        <family val="2"/>
      </rPr>
      <t xml:space="preserve">），基準取 </t>
    </r>
    <r>
      <rPr>
        <sz val="11"/>
        <color theme="1"/>
        <rFont val="Calibri"/>
        <family val="2"/>
        <charset val="1"/>
      </rPr>
      <t xml:space="preserve">1%</t>
    </r>
  </si>
  <si>
    <r>
      <rPr>
        <b val="true"/>
        <sz val="11"/>
        <rFont val="Cambria"/>
        <family val="0"/>
        <charset val="1"/>
      </rPr>
      <t xml:space="preserve">F. EUV </t>
    </r>
    <r>
      <rPr>
        <b val="true"/>
        <sz val="11"/>
        <rFont val="Noto Sans CJK SC"/>
        <family val="2"/>
      </rPr>
      <t xml:space="preserve">顯示與產能核對（不影響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</si>
  <si>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euv_sh_27</t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</si>
  <si>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占系統營收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</si>
  <si>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47%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11.6÷24.5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52%</t>
    </r>
  </si>
  <si>
    <t xml:space="preserve">euv_sh_28</t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</si>
  <si>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占系統營收 </t>
    </r>
    <r>
      <rPr>
        <sz val="11"/>
        <color theme="1"/>
        <rFont val="Calibri"/>
        <family val="2"/>
        <charset val="1"/>
      </rPr>
      <t xml:space="preserve">2028</t>
    </r>
  </si>
  <si>
    <t xml:space="preserve">euv_sh_29</t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</si>
  <si>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占系統營收 </t>
    </r>
    <r>
      <rPr>
        <sz val="11"/>
        <color theme="1"/>
        <rFont val="Calibri"/>
        <family val="2"/>
        <charset val="1"/>
      </rPr>
      <t xml:space="preserve">2029</t>
    </r>
  </si>
  <si>
    <t xml:space="preserve">hna_n_27</t>
  </si>
  <si>
    <r>
      <rPr>
        <sz val="11"/>
        <color theme="1"/>
        <rFont val="Calibri"/>
        <family val="2"/>
        <charset val="1"/>
      </rPr>
      <t xml:space="preserve">High-NA EUV </t>
    </r>
    <r>
      <rPr>
        <sz val="11"/>
        <color theme="1"/>
        <rFont val="Noto Sans CJK SC"/>
        <family val="2"/>
      </rPr>
      <t xml:space="preserve">營收認列台數 </t>
    </r>
    <r>
      <rPr>
        <sz val="11"/>
        <color theme="1"/>
        <rFont val="Calibri"/>
        <family val="2"/>
        <charset val="1"/>
      </rPr>
      <t xml:space="preserve">2027</t>
    </r>
  </si>
  <si>
    <t xml:space="preserve">台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</si>
  <si>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前三季認列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台（</t>
    </r>
    <r>
      <rPr>
        <sz val="11"/>
        <color theme="1"/>
        <rFont val="Calibri"/>
        <family val="2"/>
        <charset val="1"/>
      </rPr>
      <t xml:space="preserve">Q1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1</t>
    </r>
    <r>
      <rPr>
        <sz val="11"/>
        <color theme="1"/>
        <rFont val="Noto Sans CJK SC"/>
        <family val="2"/>
      </rPr>
      <t xml:space="preserve">）；三星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、台積電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法說）</t>
    </r>
  </si>
  <si>
    <t xml:space="preserve">hna_n_28</t>
  </si>
  <si>
    <r>
      <rPr>
        <sz val="11"/>
        <color theme="1"/>
        <rFont val="Calibri"/>
        <family val="2"/>
        <charset val="1"/>
      </rPr>
      <t xml:space="preserve">High-NA EUV </t>
    </r>
    <r>
      <rPr>
        <sz val="11"/>
        <color theme="1"/>
        <rFont val="Noto Sans CJK SC"/>
        <family val="2"/>
      </rPr>
      <t xml:space="preserve">營收認列台數 </t>
    </r>
    <r>
      <rPr>
        <sz val="11"/>
        <color theme="1"/>
        <rFont val="Calibri"/>
        <family val="2"/>
        <charset val="1"/>
      </rPr>
      <t xml:space="preserve">2028</t>
    </r>
  </si>
  <si>
    <t xml:space="preserve">hna_n_29</t>
  </si>
  <si>
    <r>
      <rPr>
        <sz val="11"/>
        <color theme="1"/>
        <rFont val="Calibri"/>
        <family val="2"/>
        <charset val="1"/>
      </rPr>
      <t xml:space="preserve">High-NA EUV </t>
    </r>
    <r>
      <rPr>
        <sz val="11"/>
        <color theme="1"/>
        <rFont val="Noto Sans CJK SC"/>
        <family val="2"/>
      </rPr>
      <t xml:space="preserve">營收認列台數 </t>
    </r>
    <r>
      <rPr>
        <sz val="11"/>
        <color theme="1"/>
        <rFont val="Calibri"/>
        <family val="2"/>
        <charset val="1"/>
      </rPr>
      <t xml:space="preserve">2029</t>
    </r>
  </si>
  <si>
    <t xml:space="preserve">hna_asp</t>
  </si>
  <si>
    <r>
      <rPr>
        <sz val="11"/>
        <color theme="1"/>
        <rFont val="Calibri"/>
        <family val="2"/>
        <charset val="1"/>
      </rPr>
      <t xml:space="preserve">High-NA EUV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</si>
  <si>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Calibri"/>
        <family val="2"/>
        <charset val="1"/>
      </rPr>
      <t xml:space="preserve">€M</t>
    </r>
    <r>
      <rPr>
        <sz val="11"/>
        <color theme="1"/>
        <rFont val="Noto Sans CJK SC"/>
        <family val="2"/>
      </rPr>
      <t xml:space="preserve">／台</t>
    </r>
  </si>
  <si>
    <r>
      <rPr>
        <sz val="11"/>
        <color theme="1"/>
        <rFont val="Noto Sans CJK SC"/>
        <family val="2"/>
      </rPr>
      <t xml:space="preserve">媒體：約 </t>
    </r>
    <r>
      <rPr>
        <sz val="11"/>
        <color theme="1"/>
        <rFont val="Calibri"/>
        <family val="2"/>
        <charset val="1"/>
      </rPr>
      <t xml:space="preserve">US$380M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轉述）≈ €</t>
    </r>
    <r>
      <rPr>
        <sz val="11"/>
        <color theme="1"/>
        <rFont val="Calibri"/>
        <family val="2"/>
        <charset val="1"/>
      </rPr>
      <t xml:space="preserve">350M</t>
    </r>
  </si>
  <si>
    <t xml:space="preserve">公司未揭露；第二來源：未找到</t>
  </si>
  <si>
    <t xml:space="preserve">lna_asp</t>
  </si>
  <si>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NXE:3800E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</si>
  <si>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EUV €11.6B ÷ 48 </t>
    </r>
    <r>
      <rPr>
        <sz val="11"/>
        <color theme="1"/>
        <rFont val="Noto Sans CJK SC"/>
        <family val="2"/>
      </rPr>
      <t xml:space="preserve">台＝€</t>
    </r>
    <r>
      <rPr>
        <sz val="11"/>
        <color theme="1"/>
        <rFont val="Calibri"/>
        <family val="2"/>
        <charset val="1"/>
      </rPr>
      <t xml:space="preserve">242M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High-NA</t>
    </r>
    <r>
      <rPr>
        <sz val="11"/>
        <color theme="1"/>
        <rFont val="Noto Sans CJK SC"/>
        <family val="2"/>
      </rPr>
      <t xml:space="preserve">）</t>
    </r>
  </si>
  <si>
    <t xml:space="preserve">euv_cap27</t>
  </si>
  <si>
    <r>
      <rPr>
        <sz val="11"/>
        <color theme="1"/>
        <rFont val="Calibri"/>
        <family val="2"/>
        <charset val="1"/>
      </rPr>
      <t xml:space="preserve">2027 Low-NA EUV </t>
    </r>
    <r>
      <rPr>
        <sz val="11"/>
        <color theme="1"/>
        <rFont val="Noto Sans CJK SC"/>
        <family val="2"/>
      </rPr>
      <t xml:space="preserve">產能</t>
    </r>
  </si>
  <si>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台」</t>
    </r>
  </si>
  <si>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65×1.3≈85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</si>
  <si>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匯率、股價、共識與公司長期目標</t>
    </r>
  </si>
  <si>
    <t xml:space="preserve">fx_25</t>
  </si>
  <si>
    <r>
      <rPr>
        <sz val="11"/>
        <color theme="1"/>
        <rFont val="Noto Sans CJK SC"/>
        <family val="2"/>
      </rPr>
      <t xml:space="preserve">歐元兌美元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</t>
    </r>
  </si>
  <si>
    <t xml:space="preserve">US$/€</t>
  </si>
  <si>
    <r>
      <rPr>
        <sz val="11"/>
        <color theme="1"/>
        <rFont val="Noto Sans CJK SC"/>
        <family val="2"/>
      </rPr>
      <t xml:space="preserve">芬蘭央行（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參考匯率）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年平均 </t>
    </r>
    <r>
      <rPr>
        <sz val="11"/>
        <color theme="1"/>
        <rFont val="Calibri"/>
        <family val="2"/>
        <charset val="1"/>
      </rPr>
      <t xml:space="preserve">1.1300</t>
    </r>
  </si>
  <si>
    <r>
      <rPr>
        <sz val="11"/>
        <color theme="1"/>
        <rFont val="Noto Sans CJK SC"/>
        <family val="2"/>
      </rPr>
      <t xml:space="preserve">只用於對帳（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系統營收換成美元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設備市場）</t>
    </r>
  </si>
  <si>
    <t xml:space="preserve">fx_f</t>
  </si>
  <si>
    <r>
      <rPr>
        <sz val="11"/>
        <color theme="1"/>
        <rFont val="Noto Sans CJK SC"/>
        <family val="2"/>
      </rPr>
      <t xml:space="preserve">歐元兌美元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</si>
  <si>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無：模型以指數連結設備市場，匯率不進營收；只用於對帳</t>
  </si>
  <si>
    <r>
      <rPr>
        <sz val="11"/>
        <color theme="1"/>
        <rFont val="Calibri"/>
        <family val="2"/>
        <charset val="1"/>
      </rPr>
      <t xml:space="preserve">ECB 2025-12-31 </t>
    </r>
    <r>
      <rPr>
        <sz val="11"/>
        <color theme="1"/>
        <rFont val="Noto Sans CJK SC"/>
        <family val="2"/>
      </rPr>
      <t xml:space="preserve">參考匯率 </t>
    </r>
    <r>
      <rPr>
        <sz val="11"/>
        <color theme="1"/>
        <rFont val="Calibri"/>
        <family val="2"/>
        <charset val="1"/>
      </rPr>
      <t xml:space="preserve">1.1750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</si>
  <si>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</si>
  <si>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Euronext Amsterdam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</si>
  <si>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€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</si>
  <si>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AMS:ASML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€</t>
    </r>
    <r>
      <rPr>
        <sz val="11"/>
        <color theme="1"/>
        <rFont val="Calibri"/>
        <family val="2"/>
        <charset val="1"/>
      </rPr>
      <t xml:space="preserve">1,407.20</t>
    </r>
  </si>
  <si>
    <r>
      <rPr>
        <sz val="11"/>
        <color theme="1"/>
        <rFont val="Calibri"/>
        <family val="2"/>
        <charset val="1"/>
      </rPr>
      <t xml:space="preserve">eulerpool </t>
    </r>
    <r>
      <rPr>
        <sz val="11"/>
        <color theme="1"/>
        <rFont val="Noto Sans CJK SC"/>
        <family val="2"/>
      </rPr>
      <t xml:space="preserve">同為 €</t>
    </r>
    <r>
      <rPr>
        <sz val="11"/>
        <color theme="1"/>
        <rFont val="Calibri"/>
        <family val="2"/>
        <charset val="1"/>
      </rPr>
      <t xml:space="preserve">1,407.20</t>
    </r>
  </si>
  <si>
    <t xml:space="preserve">sa_fpe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</si>
  <si>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</si>
  <si>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stockanalysis.com 2026-10-23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</si>
  <si>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40.24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34.97</t>
    </r>
    <r>
      <rPr>
        <sz val="11"/>
        <color theme="1"/>
        <rFont val="Noto Sans CJK SC"/>
        <family val="2"/>
      </rPr>
      <t xml:space="preserve">（同站）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</si>
  <si>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</si>
  <si>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</si>
  <si>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2026-10-17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</si>
  <si>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eulerpool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</si>
  <si>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</si>
  <si>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</si>
  <si>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調整後）</t>
    </r>
  </si>
  <si>
    <r>
      <rPr>
        <sz val="11"/>
        <color theme="1"/>
        <rFont val="Calibri"/>
        <family val="2"/>
        <charset val="1"/>
      </rPr>
      <t xml:space="preserve">eulerpool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41.24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</si>
  <si>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</si>
  <si>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</si>
  <si>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Next Year</t>
    </r>
    <r>
      <rPr>
        <sz val="11"/>
        <color theme="1"/>
        <rFont val="Noto Sans CJK SC"/>
        <family val="2"/>
      </rPr>
      <t xml:space="preserve">」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</si>
  <si>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</si>
  <si>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</si>
  <si>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r>
      <rPr>
        <sz val="11"/>
        <color theme="1"/>
        <rFont val="Calibri"/>
        <family val="2"/>
        <charset val="1"/>
      </rPr>
      <t xml:space="preserve">eulerpool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P/E 2027 24.81 → </t>
    </r>
    <r>
      <rPr>
        <sz val="11"/>
        <color theme="1"/>
        <rFont val="Noto Sans CJK SC"/>
        <family val="2"/>
      </rPr>
      <t xml:space="preserve">隱含 €</t>
    </r>
    <r>
      <rPr>
        <sz val="11"/>
        <color theme="1"/>
        <rFont val="Calibri"/>
        <family val="2"/>
        <charset val="1"/>
      </rPr>
      <t xml:space="preserve">56.7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</si>
  <si>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eul_pe28</t>
  </si>
  <si>
    <r>
      <rPr>
        <sz val="11"/>
        <color theme="1"/>
        <rFont val="Calibri"/>
        <family val="2"/>
        <charset val="1"/>
      </rPr>
      <t xml:space="preserve">eulerpool P/E 2028</t>
    </r>
    <r>
      <rPr>
        <sz val="11"/>
        <color theme="1"/>
        <rFont val="Noto Sans CJK SC"/>
        <family val="2"/>
      </rPr>
      <t xml:space="preserve">（共識）</t>
    </r>
  </si>
  <si>
    <r>
      <rPr>
        <sz val="11"/>
        <color theme="1"/>
        <rFont val="Calibri"/>
        <family val="2"/>
        <charset val="1"/>
      </rPr>
      <t xml:space="preserve">eulerpool.com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ASML.AS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</si>
  <si>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18.80</t>
    </r>
    <r>
      <rPr>
        <sz val="11"/>
        <color theme="1"/>
        <rFont val="Noto Sans CJK SC"/>
        <family val="2"/>
      </rPr>
      <t xml:space="preserve">；第二來源：未找到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</si>
  <si>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</si>
  <si>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</si>
  <si>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</si>
  <si>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</si>
  <si>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</si>
  <si>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</si>
  <si>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</si>
  <si>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</si>
  <si>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t30_rev_lo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</si>
  <si>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營收目標 下緣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</si>
  <si>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投資人日（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簡報重申）：約 €</t>
    </r>
    <r>
      <rPr>
        <sz val="11"/>
        <color theme="1"/>
        <rFont val="Calibri"/>
        <family val="2"/>
        <charset val="1"/>
      </rPr>
      <t xml:space="preserve">44–60B</t>
    </r>
  </si>
  <si>
    <t xml:space="preserve">t30_rev_hi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</si>
  <si>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營收目標 上緣</t>
    </r>
  </si>
  <si>
    <r>
      <rPr>
        <sz val="11"/>
        <color theme="1"/>
        <rFont val="Noto Sans CJK SC"/>
        <family val="2"/>
      </rPr>
      <t xml:space="preserve">下次更新：</t>
    </r>
    <r>
      <rPr>
        <sz val="11"/>
        <color theme="1"/>
        <rFont val="Calibri"/>
        <family val="2"/>
        <charset val="1"/>
      </rPr>
      <t xml:space="preserve">2027-06-10 </t>
    </r>
    <r>
      <rPr>
        <sz val="11"/>
        <color theme="1"/>
        <rFont val="Noto Sans CJK SC"/>
        <family val="2"/>
      </rPr>
      <t xml:space="preserve">投資人日</t>
    </r>
  </si>
  <si>
    <t xml:space="preserve">t30_gm_lo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</si>
  <si>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毛利率目標 下緣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</si>
  <si>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56–60%</t>
    </r>
  </si>
  <si>
    <t xml:space="preserve">t30_gm_hi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</si>
  <si>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毛利率目標 上緣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</si>
  <si>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</si>
  <si>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</si>
  <si>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</si>
  <si>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</si>
  <si>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</si>
  <si>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</si>
  <si>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</si>
  <si>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</si>
  <si>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</si>
  <si>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</si>
  <si>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FY2023 70.42%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47.43%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50.46%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</si>
  <si>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65.64%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</si>
  <si>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</si>
  <si>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</si>
  <si>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</si>
  <si>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</si>
  <si>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</si>
  <si>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vcpscanner.com </t>
    </r>
    <r>
      <rPr>
        <sz val="11"/>
        <color theme="1"/>
        <rFont val="Noto Sans CJK SC"/>
        <family val="2"/>
      </rPr>
      <t xml:space="preserve">年度損益（十億；網站標示美元，數值與公司歐元報表相同量級；比率不受幣別影響）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</si>
  <si>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頁實績核對；其餘年度單一來源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</si>
  <si>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</si>
  <si>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</si>
  <si>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AMS:ASML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位分析師平均 €</t>
    </r>
    <r>
      <rPr>
        <sz val="11"/>
        <color theme="1"/>
        <rFont val="Calibri"/>
        <family val="2"/>
        <charset val="1"/>
      </rPr>
      <t xml:space="preserve">2,108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2,100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1,288–2,600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2026-10-21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</si>
  <si>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</si>
  <si>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</si>
  <si>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55.93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為主，約晚一年，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</si>
  <si>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實績（百萬歐元；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為歐元）。會計年度＝日曆年。藍字＝輸入（</t>
    </r>
    <r>
      <rPr>
        <sz val="11"/>
        <color theme="1"/>
        <rFont val="Calibri"/>
        <family val="2"/>
        <charset val="1"/>
      </rPr>
      <t xml:space="preserve">SEC 6-K </t>
    </r>
    <r>
      <rPr>
        <sz val="11"/>
        <color theme="1"/>
        <rFont val="Noto Sans CJK SC"/>
        <family val="2"/>
      </rPr>
      <t xml:space="preserve">公司財報）；黑字＝公式（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錨點＝前三季實績＋第四季公司指引（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</si>
  <si>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2026-10-14 </t>
    </r>
    <r>
      <rPr>
        <sz val="11"/>
        <color theme="1"/>
        <rFont val="Noto Sans CJK SC"/>
        <family val="2"/>
      </rPr>
      <t xml:space="preserve">公布）已納入；第四季與全年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財報預定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下旬公布（公司慣例：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月第四個週三；確切日期：未找到），屆時以實績取代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欄指引</t>
    </r>
  </si>
  <si>
    <r>
      <rPr>
        <b val="true"/>
        <sz val="11"/>
        <rFont val="Cambria"/>
        <family val="0"/>
        <charset val="1"/>
      </rPr>
      <t xml:space="preserve">9M 2025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1–9</t>
    </r>
    <r>
      <rPr>
        <b val="true"/>
        <sz val="11"/>
        <rFont val="Noto Sans CJK SC"/>
        <family val="2"/>
      </rPr>
      <t xml:space="preserve">月）</t>
    </r>
  </si>
  <si>
    <t xml:space="preserve">Q3 2025</t>
  </si>
  <si>
    <r>
      <rPr>
        <b val="true"/>
        <sz val="11"/>
        <rFont val="Cambria"/>
        <family val="0"/>
        <charset val="1"/>
      </rPr>
      <t xml:space="preserve">H1 2025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）</t>
    </r>
  </si>
  <si>
    <t xml:space="preserve">Q4 2025</t>
  </si>
  <si>
    <t xml:space="preserve">FY2025</t>
  </si>
  <si>
    <t xml:space="preserve">Q1 2026</t>
  </si>
  <si>
    <t xml:space="preserve">Q2 2026</t>
  </si>
  <si>
    <t xml:space="preserve">Q3 2026</t>
  </si>
  <si>
    <r>
      <rPr>
        <b val="true"/>
        <sz val="11"/>
        <rFont val="Cambria"/>
        <family val="0"/>
        <charset val="1"/>
      </rPr>
      <t xml:space="preserve">Q4 2026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</si>
  <si>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</si>
  <si>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</si>
  <si>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系統營收（</t>
    </r>
    <r>
      <rPr>
        <sz val="11"/>
        <color theme="1"/>
        <rFont val="Calibri"/>
        <family val="2"/>
        <charset val="1"/>
      </rPr>
      <t xml:space="preserve">net system sales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</si>
  <si>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</si>
  <si>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FY2025 €24,474M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Q3 €8.4B</t>
    </r>
  </si>
  <si>
    <r>
      <rPr>
        <sz val="11"/>
        <color theme="1"/>
        <rFont val="Noto Sans CJK SC"/>
        <family val="2"/>
      </rPr>
      <t xml:space="preserve">裝機基礎管理（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net service and field option sales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</si>
  <si>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</si>
  <si>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欄＝公司指引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</si>
  <si>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IBM €8.2B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）</t>
    </r>
  </si>
  <si>
    <t xml:space="preserve">營收</t>
  </si>
  <si>
    <r>
      <rPr>
        <sz val="11"/>
        <color theme="1"/>
        <rFont val="Noto Sans CJK SC"/>
        <family val="2"/>
      </rPr>
      <t xml:space="preserve">系統＋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欄＝指引中點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</si>
  <si>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FY2025 €32,667M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新聞稿 €</t>
    </r>
    <r>
      <rPr>
        <sz val="11"/>
        <color theme="1"/>
        <rFont val="Calibri"/>
        <family val="2"/>
        <charset val="1"/>
      </rPr>
      <t xml:space="preserve">11,662M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</si>
  <si>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</si>
  <si>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52.83%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</si>
  <si>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</si>
  <si>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52.8%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2026 57.5%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56%</t>
    </r>
  </si>
  <si>
    <t xml:space="preserve">研發費用</t>
  </si>
  <si>
    <t xml:space="preserve">銷管費用</t>
  </si>
  <si>
    <t xml:space="preserve">營業利益</t>
  </si>
  <si>
    <t xml:space="preserve">毛利 − 研發 − 銷管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</si>
  <si>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營業利益 €</t>
    </r>
    <r>
      <rPr>
        <sz val="11"/>
        <color theme="1"/>
        <rFont val="Calibri"/>
        <family val="2"/>
        <charset val="1"/>
      </rPr>
      <t xml:space="preserve">5,172.8M</t>
    </r>
    <r>
      <rPr>
        <sz val="11"/>
        <color theme="1"/>
        <rFont val="Noto Sans CJK SC"/>
        <family val="2"/>
      </rPr>
      <t xml:space="preserve">（營業利益率 </t>
    </r>
    <r>
      <rPr>
        <sz val="11"/>
        <color theme="1"/>
        <rFont val="Calibri"/>
        <family val="2"/>
        <charset val="1"/>
      </rPr>
      <t xml:space="preserve">44.4%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34.6%</t>
    </r>
  </si>
  <si>
    <t xml:space="preserve">營業利益（公司公布；核對用）</t>
  </si>
  <si>
    <r>
      <rPr>
        <sz val="11"/>
        <color theme="1"/>
        <rFont val="Calibri"/>
        <family val="2"/>
        <charset val="1"/>
      </rPr>
      <t xml:space="preserve">stockhub.kr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營業利益 €</t>
    </r>
    <r>
      <rPr>
        <sz val="11"/>
        <color theme="1"/>
        <rFont val="Calibri"/>
        <family val="2"/>
        <charset val="1"/>
      </rPr>
      <t xml:space="preserve">5.2B</t>
    </r>
  </si>
  <si>
    <r>
      <rPr>
        <sz val="11"/>
        <color theme="1"/>
        <rFont val="Noto Sans CJK SC"/>
        <family val="2"/>
      </rPr>
      <t xml:space="preserve">權益投資評價益（</t>
    </r>
    <r>
      <rPr>
        <sz val="11"/>
        <color theme="1"/>
        <rFont val="Calibri"/>
        <family val="2"/>
        <charset val="1"/>
      </rPr>
      <t xml:space="preserve">Mistral AI</t>
    </r>
    <r>
      <rPr>
        <sz val="11"/>
        <color theme="1"/>
        <rFont val="Noto Sans CJK SC"/>
        <family val="2"/>
      </rPr>
      <t xml:space="preserve">；一次性）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</si>
  <si>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Gain on equity investments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</si>
  <si>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法說：初始投資的評價上升約 €</t>
    </r>
    <r>
      <rPr>
        <sz val="11"/>
        <color theme="1"/>
        <rFont val="Calibri"/>
        <family val="2"/>
        <charset val="1"/>
      </rPr>
      <t xml:space="preserve">0.5B</t>
    </r>
  </si>
  <si>
    <t xml:space="preserve">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</si>
  <si>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</si>
  <si>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欄＝第四季營業利益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實績比例）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</si>
  <si>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FY2025 €9,609M</t>
    </r>
  </si>
  <si>
    <t xml:space="preserve">加權平均股數（基本，百萬股）</t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</si>
  <si>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</si>
  <si>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sh_q4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</si>
  <si>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（基本，歐元）</t>
    </r>
  </si>
  <si>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財務報表（季度摘要表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 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24.73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簡報）</t>
    </r>
  </si>
  <si>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24.71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12.93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四季平均股數</t>
    </r>
  </si>
  <si>
    <t xml:space="preserve">微影系統銷售台數（新＋二手）</t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</si>
  <si>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327 </t>
    </r>
    <r>
      <rPr>
        <sz val="11"/>
        <color theme="1"/>
        <rFont val="Noto Sans CJK SC"/>
        <family val="2"/>
      </rPr>
      <t xml:space="preserve">台</t>
    </r>
  </si>
  <si>
    <t xml:space="preserve">檢查：營業利益（自算 − 公布）</t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</si>
  <si>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</si>
  <si>
    <r>
      <rPr>
        <b val="true"/>
        <sz val="11"/>
        <rFont val="Noto Sans CJK SC"/>
        <family val="2"/>
      </rPr>
      <t xml:space="preserve">系統營收的組成（€</t>
    </r>
    <r>
      <rPr>
        <b val="true"/>
        <sz val="11"/>
        <rFont val="Cambria"/>
        <family val="0"/>
        <charset val="1"/>
      </rPr>
      <t xml:space="preserve">M</t>
    </r>
    <r>
      <rPr>
        <b val="true"/>
        <sz val="11"/>
        <rFont val="Noto Sans CJK SC"/>
        <family val="2"/>
      </rPr>
      <t xml:space="preserve">；公司法說）</t>
    </r>
  </si>
  <si>
    <r>
      <rPr>
        <b val="true"/>
        <sz val="11"/>
        <rFont val="Cambria"/>
        <family val="0"/>
        <charset val="1"/>
      </rPr>
      <t xml:space="preserve">Q4 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</si>
  <si>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系統營收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</si>
  <si>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簡報：</t>
    </r>
    <r>
      <rPr>
        <sz val="11"/>
        <color theme="1"/>
        <rFont val="Calibri"/>
        <family val="2"/>
        <charset val="1"/>
      </rPr>
      <t xml:space="preserve">FY2025 €11.6B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NXE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EXE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法說「超過 €</t>
    </r>
    <r>
      <rPr>
        <sz val="11"/>
        <color theme="1"/>
        <rFont val="Calibri"/>
        <family val="2"/>
        <charset val="1"/>
      </rPr>
      <t xml:space="preserve">4.1B</t>
    </r>
    <r>
      <rPr>
        <sz val="11"/>
        <color theme="1"/>
        <rFont val="Noto Sans CJK SC"/>
        <family val="2"/>
      </rPr>
      <t xml:space="preserve">」（含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High-NA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Q2 €3.8B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台）、</t>
    </r>
    <r>
      <rPr>
        <sz val="11"/>
        <color theme="1"/>
        <rFont val="Calibri"/>
        <family val="2"/>
        <charset val="1"/>
      </rPr>
      <t xml:space="preserve">Q3 €4.1B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台）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</si>
  <si>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45%)</t>
    </r>
    <r>
      <rPr>
        <sz val="11"/>
        <color theme="1"/>
        <rFont val="Noto Sans CJK SC"/>
        <family val="2"/>
      </rPr>
      <t xml:space="preserve">（公司「超過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」，故為下限）；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＝全年 − 前三季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</si>
  <si>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系統營收（</t>
    </r>
    <r>
      <rPr>
        <sz val="11"/>
        <color theme="1"/>
        <rFont val="Calibri"/>
        <family val="2"/>
        <charset val="1"/>
      </rPr>
      <t xml:space="preserve">DUV</t>
    </r>
    <r>
      <rPr>
        <sz val="11"/>
        <color theme="1"/>
        <rFont val="Noto Sans CJK SC"/>
        <family val="2"/>
      </rPr>
      <t xml:space="preserve">＋量測檢測）</t>
    </r>
  </si>
  <si>
    <r>
      <rPr>
        <sz val="11"/>
        <color theme="1"/>
        <rFont val="Noto Sans CJK SC"/>
        <family val="2"/>
      </rPr>
      <t xml:space="preserve">系統營收 − </t>
    </r>
    <r>
      <rPr>
        <sz val="11"/>
        <color theme="1"/>
        <rFont val="Calibri"/>
        <family val="2"/>
        <charset val="1"/>
      </rPr>
      <t xml:space="preserve">EUV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</si>
  <si>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DUV €12.0B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279 </t>
    </r>
    <r>
      <rPr>
        <sz val="11"/>
        <color theme="1"/>
        <rFont val="Noto Sans CJK SC"/>
        <family val="2"/>
      </rPr>
      <t xml:space="preserve">台，</t>
    </r>
    <r>
      <rPr>
        <sz val="11"/>
        <color theme="1"/>
        <rFont val="Calibri"/>
        <family val="2"/>
        <charset val="1"/>
      </rPr>
      <t xml:space="preserve">47% </t>
    </r>
    <r>
      <rPr>
        <sz val="11"/>
        <color theme="1"/>
        <rFont val="Noto Sans CJK SC"/>
        <family val="2"/>
      </rPr>
      <t xml:space="preserve">浸潤式）、量測檢測 €</t>
    </r>
    <r>
      <rPr>
        <sz val="11"/>
        <color theme="1"/>
        <rFont val="Calibri"/>
        <family val="2"/>
        <charset val="1"/>
      </rPr>
      <t xml:space="preserve">825M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EUV €2.8B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Q3 €4.3B</t>
    </r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</si>
  <si>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占系統營收</t>
    </r>
  </si>
  <si>
    <t xml:space="preserve">邏輯占系統營收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</si>
  <si>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＝€</t>
    </r>
    <r>
      <rPr>
        <sz val="11"/>
        <color theme="1"/>
        <rFont val="Calibri"/>
        <family val="2"/>
        <charset val="1"/>
      </rPr>
      <t xml:space="preserve">16.1B ÷ 24,474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</si>
  <si>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＝指引成長推得（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log_sh26</t>
    </r>
    <r>
      <rPr>
        <sz val="11"/>
        <color theme="1"/>
        <rFont val="Noto Sans CJK SC"/>
        <family val="2"/>
      </rPr>
      <t xml:space="preserve">）</t>
    </r>
  </si>
  <si>
    <t xml:space="preserve">中國占比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</si>
  <si>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占總營收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Caixin</t>
    </r>
    <r>
      <rPr>
        <sz val="11"/>
        <color theme="1"/>
        <rFont val="Noto Sans CJK SC"/>
        <family val="2"/>
      </rPr>
      <t xml:space="preserve">，公司揭露）；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占系統出貨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aiweekly 2026-10-15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</si>
  <si>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：公司約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（總營收），本模型套用於系統營收；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：未找到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</si>
  <si>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44,455 </t>
    </r>
    <r>
      <rPr>
        <sz val="11"/>
        <color theme="1"/>
        <rFont val="Noto Sans CJK SC"/>
        <family val="2"/>
      </rPr>
      <t xml:space="preserve">與指引中點 </t>
    </r>
    <r>
      <rPr>
        <sz val="11"/>
        <color theme="1"/>
        <rFont val="Calibri"/>
        <family val="2"/>
        <charset val="1"/>
      </rPr>
      <t xml:space="preserve">44,500 </t>
    </r>
    <r>
      <rPr>
        <sz val="11"/>
        <color theme="1"/>
        <rFont val="Noto Sans CJK SC"/>
        <family val="2"/>
      </rPr>
      <t xml:space="preserve">差 −</t>
    </r>
    <r>
      <rPr>
        <sz val="11"/>
        <color theme="1"/>
        <rFont val="Calibri"/>
        <family val="2"/>
        <charset val="1"/>
      </rPr>
      <t xml:space="preserve">0.1%</t>
    </r>
    <r>
      <rPr>
        <sz val="11"/>
        <color theme="1"/>
        <rFont val="Noto Sans CJK SC"/>
        <family val="2"/>
      </rPr>
      <t xml:space="preserve">；毛利率 </t>
    </r>
    <r>
      <rPr>
        <sz val="11"/>
        <color theme="1"/>
        <rFont val="Calibri"/>
        <family val="2"/>
        <charset val="1"/>
      </rPr>
      <t xml:space="preserve">55.7%</t>
    </r>
    <r>
      <rPr>
        <sz val="11"/>
        <color theme="1"/>
        <rFont val="Noto Sans CJK SC"/>
        <family val="2"/>
      </rPr>
      <t xml:space="preserve">（指引約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）。前三季淨利含 </t>
    </r>
    <r>
      <rPr>
        <sz val="11"/>
        <color theme="1"/>
        <rFont val="Calibri"/>
        <family val="2"/>
        <charset val="1"/>
      </rPr>
      <t xml:space="preserve">Mistral AI </t>
    </r>
    <r>
      <rPr>
        <sz val="11"/>
        <color theme="1"/>
        <rFont val="Noto Sans CJK SC"/>
        <family val="2"/>
      </rPr>
      <t xml:space="preserve">評價益 </t>
    </r>
    <r>
      <rPr>
        <sz val="11"/>
        <color theme="1"/>
        <rFont val="Calibri"/>
        <family val="2"/>
        <charset val="1"/>
      </rPr>
      <t xml:space="preserve">509.7</t>
    </r>
    <r>
      <rPr>
        <sz val="11"/>
        <color theme="1"/>
        <rFont val="Noto Sans CJK SC"/>
        <family val="2"/>
      </rPr>
      <t xml:space="preserve">（一次性），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為報告口徑；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實績比例（不含此項）。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</si>
  <si>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晶圓前段設備支出（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；三情境）→ 邏輯與記憶體指數（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會計年度＝日曆年，不需 </t>
    </r>
    <r>
      <rPr>
        <sz val="11"/>
        <color theme="1"/>
        <rFont val="Calibri"/>
        <family val="2"/>
        <charset val="1"/>
      </rPr>
      <t xml:space="preserve">3/4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1/4 </t>
    </r>
    <r>
      <rPr>
        <sz val="11"/>
        <color theme="1"/>
        <rFont val="Noto Sans CJK SC"/>
        <family val="2"/>
      </rPr>
      <t xml:space="preserve">轉換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</si>
  <si>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</si>
  <si>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</si>
  <si>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</si>
  <si>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</si>
  <si>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</si>
  <si>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</si>
  <si>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</si>
  <si>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邏輯晶圓前段設備（先進邏輯＋其他代工與邏輯）</t>
  </si>
  <si>
    <r>
      <rPr>
        <sz val="11"/>
        <color theme="1"/>
        <rFont val="Noto Sans CJK SC"/>
        <family val="2"/>
      </rPr>
      <t xml:space="preserve">  記憶體晶圓前段設備（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）</t>
    </r>
  </si>
  <si>
    <t xml:space="preserve">  晶圓前段設備合計</t>
  </si>
  <si>
    <r>
      <rPr>
        <sz val="11"/>
        <color theme="1"/>
        <rFont val="Noto Sans CJK SC"/>
        <family val="2"/>
      </rPr>
      <t xml:space="preserve">  邏輯指數（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</si>
  <si>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記憶體指數（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</si>
  <si>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  其他（類比、功率、光罩、廠務）＝合計 − 邏輯 − 記憶體</t>
  </si>
  <si>
    <r>
      <rPr>
        <sz val="11"/>
        <color theme="1"/>
        <rFont val="Noto Sans CJK SC"/>
        <family val="2"/>
      </rPr>
      <t xml:space="preserve">不進 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的需求指數（其他前段的微影含量低；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</si>
  <si>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</si>
  <si>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</si>
  <si>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讀法：邏輯指數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1.16</t>
    </r>
    <r>
      <rPr>
        <sz val="11"/>
        <color theme="1"/>
        <rFont val="Noto Sans CJK SC"/>
        <family val="2"/>
      </rPr>
      <t xml:space="preserve">、記憶體約 </t>
    </r>
    <r>
      <rPr>
        <sz val="11"/>
        <color theme="1"/>
        <rFont val="Calibri"/>
        <family val="2"/>
        <charset val="1"/>
      </rPr>
      <t xml:space="preserve">1.35</t>
    </r>
    <r>
      <rPr>
        <sz val="11"/>
        <color theme="1"/>
        <rFont val="Noto Sans CJK SC"/>
        <family val="2"/>
      </rPr>
      <t xml:space="preserve">（三情境相同）；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依設備市場情境係數。設備市場的其他代工與記憶體廠含中國廠（中芯、長鑫等）；本模型另以中國系統營收列處理中國，指數的中國成分重疊（限制，見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</si>
  <si>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PL — ASML </t>
    </r>
    <r>
      <rPr>
        <sz val="11"/>
        <color theme="1"/>
        <rFont val="Noto Sans CJK SC"/>
        <family val="2"/>
      </rPr>
      <t xml:space="preserve">損益（€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為歐元）。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為錨點（前三季實績＋第四季公司指引；三情境相同），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為模型。三情境各一個完整推導區塊（見下方），本頁頂端為摘要</t>
    </r>
  </si>
  <si>
    <t xml:space="preserve">情境／項目</t>
  </si>
  <si>
    <t xml:space="preserve">FY2025A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</si>
  <si>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</si>
  <si>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</si>
  <si>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</si>
  <si>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</si>
  <si>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t xml:space="preserve">€B</t>
  </si>
  <si>
    <t xml:space="preserve">  系統營收</t>
  </si>
  <si>
    <r>
      <rPr>
        <sz val="11"/>
        <color theme="1"/>
        <rFont val="Noto Sans CJK SC"/>
        <family val="2"/>
      </rPr>
      <t xml:space="preserve">  裝機基礎管理（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）</t>
    </r>
  </si>
  <si>
    <t xml:space="preserve">  中國占系統營收</t>
  </si>
  <si>
    <t xml:space="preserve">營業利益率</t>
  </si>
  <si>
    <t xml:space="preserve">EPS</t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</si>
  <si>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EPS − Q </t>
    </r>
    <r>
      <rPr>
        <sz val="11"/>
        <color theme="1"/>
        <rFont val="Noto Sans CJK SC"/>
        <family val="2"/>
      </rPr>
      <t xml:space="preserve">頁（三情境，應為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</si>
  <si>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：基準（設備支出續增；中國持平；</t>
    </r>
    <r>
      <rPr>
        <b val="true"/>
        <sz val="11"/>
        <rFont val="Cambria"/>
        <family val="0"/>
        <charset val="1"/>
      </rPr>
      <t xml:space="preserve">IBM +12%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</si>
  <si>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設備市場連結（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頁；情境別）</t>
    </r>
  </si>
  <si>
    <r>
      <rPr>
        <sz val="11"/>
        <color theme="1"/>
        <rFont val="Noto Sans CJK SC"/>
        <family val="2"/>
      </rPr>
      <t xml:space="preserve">邏輯晶圓前段設備指數（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</si>
  <si>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記憶體晶圓前段設備指數（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</si>
  <si>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微影強度與價格係數（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</si>
  <si>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g_int)^(t−2026)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</si>
  <si>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系統營收（€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</si>
  <si>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t xml:space="preserve">非中國 邏輯系統需求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</si>
  <si>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＝錨點系統營收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中國占比）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邏輯占比；之後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邏輯指數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強度係數</t>
    </r>
  </si>
  <si>
    <t xml:space="preserve">非中國 記憶體系統需求</t>
  </si>
  <si>
    <t xml:space="preserve">中國系統需求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</si>
  <si>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中國占比；之後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＋中國年成長</t>
    </r>
    <r>
      <rPr>
        <sz val="11"/>
        <color theme="1"/>
        <rFont val="Calibri"/>
        <family val="2"/>
        <charset val="1"/>
      </rPr>
      <t xml:space="preserve">)</t>
    </r>
  </si>
  <si>
    <t xml:space="preserve">系統需求合計</t>
  </si>
  <si>
    <r>
      <rPr>
        <sz val="11"/>
        <color theme="1"/>
        <rFont val="Noto Sans CJK SC"/>
        <family val="2"/>
      </rPr>
      <t xml:space="preserve">系統產能上限（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產能成長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強度係數）</t>
    </r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</si>
  <si>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產能已滿（供不應求）；上限只在需求超過時生效</t>
    </r>
  </si>
  <si>
    <r>
      <rPr>
        <sz val="11"/>
        <color theme="1"/>
        <rFont val="Noto Sans CJK SC"/>
        <family val="2"/>
      </rPr>
      <t xml:space="preserve">系統營收＝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產能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</si>
  <si>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產能限制生效（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</si>
  <si>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t xml:space="preserve">中國占系統營收</t>
  </si>
  <si>
    <t xml:space="preserve">產能限制時各組成同比例縮減</t>
  </si>
  <si>
    <r>
      <rPr>
        <sz val="11"/>
        <color theme="1"/>
        <rFont val="Noto Sans CJK SC"/>
        <family val="2"/>
      </rPr>
      <t xml:space="preserve">裝機基礎管理（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）營收</t>
    </r>
  </si>
  <si>
    <t xml:space="preserve">營收年增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</si>
  <si>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</si>
  <si>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錨點毛利率＋斜率 </t>
    </r>
    <r>
      <rPr>
        <sz val="11"/>
        <color theme="1"/>
        <rFont val="Calibri"/>
        <family val="2"/>
        <charset val="1"/>
      </rPr>
      <t xml:space="preserve">× ln(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</t>
    </r>
  </si>
  <si>
    <t xml:space="preserve">營業費用（研發＋銷管）</t>
  </si>
  <si>
    <r>
      <rPr>
        <sz val="11"/>
        <color theme="1"/>
        <rFont val="Calibri"/>
        <family val="2"/>
        <charset val="1"/>
      </rPr>
      <t xml:space="preserve">FY2026 ×</t>
    </r>
    <r>
      <rPr>
        <sz val="11"/>
        <color theme="1"/>
        <rFont val="Noto Sans CJK SC"/>
        <family val="2"/>
      </rPr>
      <t xml:space="preserve">［</t>
    </r>
    <r>
      <rPr>
        <sz val="11"/>
        <color theme="1"/>
        <rFont val="Calibri"/>
        <family val="2"/>
        <charset val="1"/>
      </rPr>
      <t xml:space="preserve">(1−phi)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phi × </t>
    </r>
    <r>
      <rPr>
        <sz val="11"/>
        <color theme="1"/>
        <rFont val="Noto Sans CJK SC"/>
        <family val="2"/>
      </rPr>
      <t xml:space="preserve">營收比］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</si>
  <si>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Mistral AI </t>
    </r>
    <r>
      <rPr>
        <sz val="11"/>
        <color theme="1"/>
        <rFont val="Noto Sans CJK SC"/>
        <family val="2"/>
      </rPr>
      <t xml:space="preserve">評價益 €</t>
    </r>
    <r>
      <rPr>
        <sz val="11"/>
        <color theme="1"/>
        <rFont val="Calibri"/>
        <family val="2"/>
        <charset val="1"/>
      </rPr>
      <t xml:space="preserve">0.51B</t>
    </r>
    <r>
      <rPr>
        <sz val="11"/>
        <color theme="1"/>
        <rFont val="Noto Sans CJK SC"/>
        <family val="2"/>
      </rPr>
      <t xml:space="preserve">（一次性）</t>
    </r>
  </si>
  <si>
    <t xml:space="preserve">加權平均股數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</si>
  <si>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</si>
  <si>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顯示與核對（不影響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</si>
  <si>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台數（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High-NA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</t>
    </r>
  </si>
  <si>
    <t xml:space="preserve">系統營收（美元）</t>
  </si>
  <si>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晶圓前段設備（設備市場模型）</t>
    </r>
  </si>
  <si>
    <r>
      <rPr>
        <sz val="11"/>
        <color theme="1"/>
        <rFont val="Noto Sans CJK SC"/>
        <family val="2"/>
      </rPr>
      <t xml:space="preserve">微影（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）占晶圓前段設備；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起匯率為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</si>
  <si>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：設備支出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  <r>
      <rPr>
        <b val="true"/>
        <sz val="11"/>
        <rFont val="Noto Sans CJK SC"/>
        <family val="2"/>
      </rPr>
      <t xml:space="preserve">；中國每年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IBM +8%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</si>
  <si>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：設備支出 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；中國每年 −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（管制擴大）；</t>
    </r>
    <r>
      <rPr>
        <b val="true"/>
        <sz val="11"/>
        <rFont val="Cambria"/>
        <family val="0"/>
        <charset val="1"/>
      </rPr>
      <t xml:space="preserve">IBM +3%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</si>
  <si>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</si>
  <si>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</si>
  <si>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</si>
  <si>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</si>
  <si>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</si>
  <si>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</si>
  <si>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</si>
  <si>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</si>
  <si>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</si>
  <si>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</si>
  <si>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</si>
  <si>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</si>
  <si>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</si>
  <si>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</si>
  <si>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估值（歐元）。跨公司規則：合理倍數＝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會計年度＝日曆年）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</si>
  <si>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定義（自算）：年底 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收盤價（美元，未調整）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（當年基本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（歐元）</t>
    </r>
    <r>
      <rPr>
        <sz val="11"/>
        <color theme="1"/>
        <rFont val="Calibri"/>
        <family val="2"/>
        <charset val="1"/>
      </rPr>
      <t xml:space="preserve">× ECB </t>
    </r>
    <r>
      <rPr>
        <sz val="11"/>
        <color theme="1"/>
        <rFont val="Noto Sans CJK SC"/>
        <family val="2"/>
      </rPr>
      <t xml:space="preserve">年底歐元兌美元）。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與阿姆斯特丹普通股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；當年即年底所在會計年度（會計年度＝日曆年）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</si>
  <si>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</si>
  <si>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</si>
  <si>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</si>
  <si>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</si>
  <si>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</si>
  <si>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</si>
  <si>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</si>
  <si>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</si>
  <si>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</si>
  <si>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</si>
  <si>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</si>
  <si>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</si>
  <si>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分位）。十年倍數含 </t>
    </r>
    <r>
      <rPr>
        <sz val="11"/>
        <color theme="1"/>
        <rFont val="Calibri"/>
        <family val="2"/>
        <charset val="1"/>
      </rPr>
      <t xml:space="preserve">2019–2021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量產與疫情後設備熱潮的高倍數（</t>
    </r>
    <r>
      <rPr>
        <sz val="11"/>
        <color theme="1"/>
        <rFont val="Calibri"/>
        <family val="2"/>
        <charset val="1"/>
      </rPr>
      <t xml:space="preserve">43–49x</t>
    </r>
    <r>
      <rPr>
        <sz val="11"/>
        <color theme="1"/>
        <rFont val="Noto Sans CJK SC"/>
        <family val="2"/>
      </rPr>
      <t xml:space="preserve">），偏誤方向為高估；隱含價約為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</si>
  <si>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</si>
  <si>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</si>
  <si>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</si>
  <si>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</si>
  <si>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Euronext Amsterdam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</si>
  <si>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</si>
  <si>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</si>
  <si>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</si>
  <si>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</si>
  <si>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</si>
  <si>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 40.24</t>
    </r>
    <r>
      <rPr>
        <sz val="11"/>
        <color theme="1"/>
        <rFont val="Noto Sans CJK SC"/>
        <family val="2"/>
      </rPr>
      <t xml:space="preserve">（同站）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</si>
  <si>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</si>
  <si>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</si>
  <si>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</si>
  <si>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Cambria"/>
        <family val="0"/>
        <charset val="1"/>
      </rPr>
      <t xml:space="preserve">ADR </t>
    </r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（未調整）</t>
    </r>
  </si>
  <si>
    <r>
      <rPr>
        <b val="true"/>
        <sz val="11"/>
        <rFont val="Noto Sans CJK SC"/>
        <family val="2"/>
      </rPr>
      <t xml:space="preserve">基本 </t>
    </r>
    <r>
      <rPr>
        <b val="true"/>
        <sz val="11"/>
        <rFont val="Cambria"/>
        <family val="0"/>
        <charset val="1"/>
      </rPr>
      <t xml:space="preserve">EPS €</t>
    </r>
  </si>
  <si>
    <r>
      <rPr>
        <b val="true"/>
        <sz val="11"/>
        <rFont val="Cambria"/>
        <family val="0"/>
        <charset val="1"/>
      </rPr>
      <t xml:space="preserve">ECB </t>
    </r>
    <r>
      <rPr>
        <b val="true"/>
        <sz val="11"/>
        <rFont val="Noto Sans CJK SC"/>
        <family val="2"/>
      </rPr>
      <t xml:space="preserve">年底 </t>
    </r>
    <r>
      <rPr>
        <b val="true"/>
        <sz val="11"/>
        <rFont val="Cambria"/>
        <family val="0"/>
        <charset val="1"/>
      </rPr>
      <t xml:space="preserve">US$/€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</si>
  <si>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換美元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</si>
  <si>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自算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</si>
  <si>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</si>
  <si>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 − </t>
    </r>
    <r>
      <rPr>
        <b val="true"/>
        <sz val="11"/>
        <rFont val="Cambria"/>
        <family val="0"/>
        <charset val="1"/>
      </rPr>
      <t xml:space="preserve">cmc</t>
    </r>
  </si>
  <si>
    <t xml:space="preserve">來源／說明</t>
  </si>
  <si>
    <t xml:space="preserve">2016-12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</si>
  <si>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2017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3.46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</si>
  <si>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2017-12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</si>
  <si>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：同上：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4.93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</si>
  <si>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2018-12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</si>
  <si>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2019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6.10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</si>
  <si>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2019-12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</si>
  <si>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：同上：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6.16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</si>
  <si>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2020-12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</si>
  <si>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2020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8.49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</si>
  <si>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2021-12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</si>
  <si>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2022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14.36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</si>
  <si>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2022-12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</si>
  <si>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：同上：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14.14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</si>
  <si>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2023-12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</si>
  <si>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2024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19.91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</si>
  <si>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2024-12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</si>
  <si>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：同上：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19.25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</si>
  <si>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t xml:space="preserve">2025-12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</si>
  <si>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（未調整 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24.73</t>
    </r>
    <r>
      <rPr>
        <sz val="11"/>
        <color theme="1"/>
        <rFont val="Noto Sans CJK SC"/>
        <family val="2"/>
      </rPr>
      <t xml:space="preserve">；匯率：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參考匯率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</si>
  <si>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ADR </t>
    </r>
    <r>
      <rPr>
        <sz val="11"/>
        <color theme="1"/>
        <rFont val="Noto Sans CJK SC"/>
        <family val="2"/>
      </rPr>
      <t xml:space="preserve">年底收盤價＝</t>
    </r>
    <r>
      <rPr>
        <sz val="11"/>
        <color theme="1"/>
        <rFont val="Calibri"/>
        <family val="2"/>
        <charset val="1"/>
      </rPr>
      <t xml:space="preserve">digrin.com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的調整後價格作數量級對照）；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各年第四季新聞稿（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另以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14.34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14.13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24.71</t>
    </r>
    <r>
      <rPr>
        <sz val="11"/>
        <color theme="1"/>
        <rFont val="Noto Sans CJK SC"/>
        <family val="2"/>
      </rPr>
      <t xml:space="preserve">）交叉；匯率＝</t>
    </r>
    <r>
      <rPr>
        <sz val="11"/>
        <color theme="1"/>
        <rFont val="Calibri"/>
        <family val="2"/>
        <charset val="1"/>
      </rPr>
      <t xml:space="preserve">ECB </t>
    </r>
    <r>
      <rPr>
        <sz val="11"/>
        <color theme="1"/>
        <rFont val="Noto Sans CJK SC"/>
        <family val="2"/>
      </rPr>
      <t xml:space="preserve">各年最後營業日參考匯率。</t>
    </r>
    <r>
      <rPr>
        <sz val="11"/>
        <color theme="1"/>
        <rFont val="Calibri"/>
        <family val="2"/>
        <charset val="1"/>
      </rPr>
      <t xml:space="preserve">cmc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）為美元計價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口徑，作第二來源對照（差距見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欄）。</t>
    </r>
    <r>
      <rPr>
        <sz val="11"/>
        <color theme="1"/>
        <rFont val="Calibri"/>
        <family val="2"/>
        <charset val="1"/>
      </rPr>
      <t xml:space="preserve">Euronext </t>
    </r>
    <r>
      <rPr>
        <sz val="11"/>
        <color theme="1"/>
        <rFont val="Noto Sans CJK SC"/>
        <family val="2"/>
      </rPr>
      <t xml:space="preserve">年底收盤價：未找到（改用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，口徑相同）。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</si>
  <si>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</si>
  <si>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</si>
  <si>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</si>
  <si>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</si>
  <si>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</si>
  <si>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</si>
  <si>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</si>
  <si>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</si>
  <si>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</si>
  <si>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</si>
  <si>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</si>
  <si>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2016–2018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22–31x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量產前）、</t>
    </r>
    <r>
      <rPr>
        <sz val="11"/>
        <color theme="1"/>
        <rFont val="Calibri"/>
        <family val="2"/>
        <charset val="1"/>
      </rPr>
      <t xml:space="preserve">2019–2021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43–49x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量產與疫情後設備熱潮）、</t>
    </r>
    <r>
      <rPr>
        <sz val="11"/>
        <color theme="1"/>
        <rFont val="Calibri"/>
        <family val="2"/>
        <charset val="1"/>
      </rPr>
      <t xml:space="preserve">2022–2025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34–37x</t>
    </r>
    <r>
      <rPr>
        <sz val="11"/>
        <color theme="1"/>
        <rFont val="Noto Sans CJK SC"/>
        <family val="2"/>
      </rPr>
      <t xml:space="preserve">。分位對樣本敏感；兩來源的分位差距見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</si>
  <si>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</si>
  <si>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會計年度＝日曆年，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全部落在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</si>
  <si>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</si>
  <si>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</si>
  <si>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</si>
  <si>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</si>
  <si>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</si>
  <si>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規則</t>
  </si>
  <si>
    <t xml:space="preserve">tools/cycle_position.py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</si>
  <si>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隱含股價（歐元）：規則值＝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</si>
  <si>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</si>
  <si>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</si>
  <si>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</si>
  <si>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</si>
  <si>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</si>
  <si>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未折現；約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</si>
  <si>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</si>
  <si>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</si>
  <si>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</si>
  <si>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</si>
  <si>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</si>
  <si>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</si>
  <si>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</si>
  <si>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</si>
  <si>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</si>
  <si>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</si>
  <si>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</si>
  <si>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</si>
  <si>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</si>
  <si>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</si>
  <si>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</si>
  <si>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</si>
  <si>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</si>
  <si>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</si>
  <si>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</si>
  <si>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</si>
  <si>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</si>
  <si>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</si>
  <si>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</si>
  <si>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</si>
  <si>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</si>
  <si>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</si>
  <si>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</si>
  <si>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</si>
  <si>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</si>
  <si>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</si>
  <si>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</si>
  <si>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</si>
  <si>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應用材料（</t>
    </r>
    <r>
      <rPr>
        <sz val="11"/>
        <color theme="1"/>
        <rFont val="Calibri"/>
        <family val="2"/>
        <charset val="1"/>
      </rPr>
      <t xml:space="preserve">Applied Materials</t>
    </r>
    <r>
      <rPr>
        <sz val="11"/>
        <color theme="1"/>
        <rFont val="Noto Sans CJK SC"/>
        <family val="2"/>
      </rPr>
      <t xml:space="preserve">）</t>
    </r>
  </si>
  <si>
    <t xml:space="preserve">AMAT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</si>
  <si>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</si>
  <si>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</si>
  <si>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科林研發（</t>
    </r>
    <r>
      <rPr>
        <sz val="11"/>
        <color theme="1"/>
        <rFont val="Calibri"/>
        <family val="2"/>
        <charset val="1"/>
      </rPr>
      <t xml:space="preserve">Lam Research</t>
    </r>
    <r>
      <rPr>
        <sz val="11"/>
        <color theme="1"/>
        <rFont val="Noto Sans CJK SC"/>
        <family val="2"/>
      </rPr>
      <t xml:space="preserve">）</t>
    </r>
  </si>
  <si>
    <t xml:space="preserve">LRCX</t>
  </si>
  <si>
    <r>
      <rPr>
        <sz val="11"/>
        <color theme="1"/>
        <rFont val="Noto Sans CJK SC"/>
        <family val="2"/>
      </rPr>
      <t xml:space="preserve">科磊（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</si>
  <si>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t xml:space="preserve">KLAC</t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</si>
  <si>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</si>
  <si>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</si>
  <si>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</si>
  <si>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t xml:space="preserve">ASM International</t>
  </si>
  <si>
    <t xml:space="preserve">ASM.AS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</si>
  <si>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</si>
  <si>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前段設備同業：應用材料、科林研發、科磊、東京威力科創、</t>
    </r>
    <r>
      <rPr>
        <sz val="11"/>
        <color theme="1"/>
        <rFont val="Calibri"/>
        <family val="2"/>
        <charset val="1"/>
      </rPr>
      <t xml:space="preserve">ASM International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</si>
  <si>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</si>
  <si>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</si>
  <si>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</si>
  <si>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</si>
  <si>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</si>
  <si>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</si>
  <si>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</si>
  <si>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</si>
  <si>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</si>
  <si>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</si>
  <si>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</si>
  <si>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Euronext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</si>
  <si>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</si>
  <si>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</si>
  <si>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55.93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為主，約晚一年，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</si>
  <si>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</si>
  <si>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</si>
  <si>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</si>
  <si>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</si>
  <si>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</si>
  <si>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</si>
  <si>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：應用材料、科林研發、科磊、東京威力科創、</t>
    </r>
    <r>
      <rPr>
        <sz val="11"/>
        <color theme="1"/>
        <rFont val="Calibri"/>
        <family val="2"/>
        <charset val="1"/>
      </rPr>
      <t xml:space="preserve">ASM International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（同業多為美元計價，倍數不受幣別影響）。偏誤：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獨占通常享有溢價，用同業中位數偏低估；十年平均淨利率約兩成六，情境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收斂偏保守。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</si>
  <si>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目標、設備市場與產能。只作事後對照，不為對上數字而調整參數。差距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</si>
  <si>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</si>
  <si>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</si>
  <si>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</si>
  <si>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</si>
  <si>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</si>
  <si>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</si>
  <si>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</si>
  <si>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</si>
  <si>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公司全年指引（錨點用第四季指引，故差距小；非獨立檢驗）</t>
    </r>
  </si>
  <si>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</si>
  <si>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新聞稿：€</t>
    </r>
    <r>
      <rPr>
        <sz val="11"/>
        <color theme="1"/>
        <rFont val="Calibri"/>
        <family val="2"/>
        <charset val="1"/>
      </rPr>
      <t xml:space="preserve">44–45B </t>
    </r>
    <r>
      <rPr>
        <sz val="11"/>
        <color theme="1"/>
        <rFont val="Noto Sans CJK SC"/>
        <family val="2"/>
      </rPr>
      <t xml:space="preserve">中點</t>
    </r>
  </si>
  <si>
    <t xml:space="preserve">毛利率（差距以百分點計）</t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</si>
  <si>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</si>
  <si>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成長（差距以百分點計）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</si>
  <si>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+50%</t>
    </r>
  </si>
  <si>
    <r>
      <rPr>
        <sz val="11"/>
        <color theme="1"/>
        <rFont val="Noto Sans CJK SC"/>
        <family val="2"/>
      </rPr>
      <t xml:space="preserve">系統營收（€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指引成長推得（邏輯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+75%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</si>
  <si>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</si>
  <si>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獨立檢驗：錨點系統營收（由第四季總營收與 </t>
    </r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指引推得）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邏輯／記憶體成長指引</t>
    </r>
  </si>
  <si>
    <r>
      <rPr>
        <b val="true"/>
        <sz val="11"/>
        <rFont val="Cambria"/>
        <family val="0"/>
        <charset val="1"/>
      </rPr>
      <t xml:space="preserve">B. vs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stockanalysis 2026-10-17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eulerpool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</si>
  <si>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</si>
  <si>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stockanalysis 44.46B</t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</si>
  <si>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（€）</t>
    </r>
  </si>
  <si>
    <r>
      <rPr>
        <sz val="11"/>
        <color theme="1"/>
        <rFont val="Calibri"/>
        <family val="2"/>
        <charset val="1"/>
      </rPr>
      <t xml:space="preserve">stockanalysis 41.21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eulerpool 41.24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</si>
  <si>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模型為報告口徑，含 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評價益約 €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／股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</si>
  <si>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</si>
  <si>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stockanalysis 57.21B</t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</si>
  <si>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（€）</t>
    </r>
  </si>
  <si>
    <r>
      <rPr>
        <sz val="11"/>
        <color theme="1"/>
        <rFont val="Calibri"/>
        <family val="2"/>
        <charset val="1"/>
      </rPr>
      <t xml:space="preserve">stockanalysis 55.93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eulerpool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56.7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</si>
  <si>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（€；</t>
    </r>
    <r>
      <rPr>
        <sz val="11"/>
        <color theme="1"/>
        <rFont val="Calibri"/>
        <family val="2"/>
        <charset val="1"/>
      </rPr>
      <t xml:space="preserve">eulerpool P/E 18.80 </t>
    </r>
    <r>
      <rPr>
        <sz val="11"/>
        <color theme="1"/>
        <rFont val="Noto Sans CJK SC"/>
        <family val="2"/>
      </rPr>
      <t xml:space="preserve">隱含）</t>
    </r>
  </si>
  <si>
    <r>
      <rPr>
        <sz val="11"/>
        <color theme="1"/>
        <rFont val="Calibri"/>
        <family val="2"/>
        <charset val="1"/>
      </rPr>
      <t xml:space="preserve">eulerpool</t>
    </r>
    <r>
      <rPr>
        <sz val="11"/>
        <color theme="1"/>
        <rFont val="Noto Sans CJK SC"/>
        <family val="2"/>
      </rPr>
      <t xml:space="preserve">（單一來源）</t>
    </r>
  </si>
  <si>
    <r>
      <rPr>
        <b val="true"/>
        <sz val="11"/>
        <rFont val="Cambria"/>
        <family val="0"/>
        <charset val="1"/>
      </rPr>
      <t xml:space="preserve">C. FY2029 vs </t>
    </r>
    <r>
      <rPr>
        <b val="true"/>
        <sz val="11"/>
        <rFont val="Noto Sans CJK SC"/>
        <family val="2"/>
      </rPr>
      <t xml:space="preserve">公司 </t>
    </r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目標（</t>
    </r>
    <r>
      <rPr>
        <b val="true"/>
        <sz val="11"/>
        <rFont val="Cambria"/>
        <family val="0"/>
        <charset val="1"/>
      </rPr>
      <t xml:space="preserve">2024 </t>
    </r>
    <r>
      <rPr>
        <b val="true"/>
        <sz val="11"/>
        <rFont val="Noto Sans CJK SC"/>
        <family val="2"/>
      </rPr>
      <t xml:space="preserve">投資人日；目標年較模型末年晚一年）</t>
    </r>
  </si>
  <si>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目標下緣 </t>
    </r>
    <r>
      <rPr>
        <sz val="11"/>
        <color theme="1"/>
        <rFont val="Calibri"/>
        <family val="2"/>
        <charset val="1"/>
      </rPr>
      <t xml:space="preserve">44</t>
    </r>
  </si>
  <si>
    <r>
      <rPr>
        <sz val="11"/>
        <color theme="1"/>
        <rFont val="Noto Sans CJK SC"/>
        <family val="2"/>
      </rPr>
      <t xml:space="preserve">公司：€</t>
    </r>
    <r>
      <rPr>
        <sz val="11"/>
        <color theme="1"/>
        <rFont val="Calibri"/>
        <family val="2"/>
        <charset val="1"/>
      </rPr>
      <t xml:space="preserve">44–60B</t>
    </r>
  </si>
  <si>
    <r>
      <rPr>
        <sz val="11"/>
        <color theme="1"/>
        <rFont val="Noto Sans CJK SC"/>
        <family val="2"/>
      </rPr>
      <t xml:space="preserve">營收（€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目標上緣 </t>
    </r>
    <r>
      <rPr>
        <sz val="11"/>
        <color theme="1"/>
        <rFont val="Calibri"/>
        <family val="2"/>
        <charset val="1"/>
      </rPr>
      <t xml:space="preserve">60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</si>
  <si>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目標中點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</si>
  <si>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56–60%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</si>
  <si>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微影占晶圓前段設備（</t>
    </r>
    <r>
      <rPr>
        <b val="true"/>
        <sz val="11"/>
        <rFont val="Cambria"/>
        <family val="0"/>
        <charset val="1"/>
      </rPr>
      <t xml:space="preserve">ASML </t>
    </r>
    <r>
      <rPr>
        <b val="true"/>
        <sz val="11"/>
        <rFont val="Noto Sans CJK SC"/>
        <family val="2"/>
      </rPr>
      <t xml:space="preserve">系統營收換美元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設備市場模型；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實績）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</si>
  <si>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晶圓前段設備實績（百分點）</t>
    </r>
  </si>
  <si>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Noto Sans CJK SC"/>
        <family val="2"/>
      </rPr>
      <t xml:space="preserve">實績（設備市場模型）</t>
    </r>
  </si>
  <si>
    <r>
      <rPr>
        <sz val="11"/>
        <color theme="1"/>
        <rFont val="Noto Sans CJK SC"/>
        <family val="2"/>
      </rPr>
      <t xml:space="preserve">設備市場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實績校準，差距必為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（恆等式）；比例本身約 </t>
    </r>
    <r>
      <rPr>
        <sz val="11"/>
        <color theme="1"/>
        <rFont val="Calibri"/>
        <family val="2"/>
        <charset val="1"/>
      </rPr>
      <t xml:space="preserve">23.7%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</si>
  <si>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占晶圓前段設備（各情境）</t>
    </r>
  </si>
  <si>
    <r>
      <rPr>
        <sz val="11"/>
        <color theme="1"/>
        <rFont val="Noto Sans CJK SC"/>
        <family val="2"/>
      </rPr>
      <t xml:space="preserve">對照值＝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</si>
  <si>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Noto Sans CJK SC"/>
        <family val="2"/>
      </rPr>
      <t xml:space="preserve">比例上升＝微影強度與價格（</t>
    </r>
    <r>
      <rPr>
        <sz val="11"/>
        <color theme="1"/>
        <rFont val="Calibri"/>
        <family val="2"/>
        <charset val="1"/>
      </rPr>
      <t xml:space="preserve">g_int</t>
    </r>
    <r>
      <rPr>
        <sz val="11"/>
        <color theme="1"/>
        <rFont val="Noto Sans CJK SC"/>
        <family val="2"/>
      </rPr>
      <t xml:space="preserve">）＋記憶體比重上升；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起匯率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</si>
  <si>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占晶圓前段設備（各情境）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</si>
  <si>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占晶圓前段設備（各情境）</t>
    </r>
  </si>
  <si>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占晶圓前段設備（各情境）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</si>
  <si>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產能與 </t>
    </r>
    <r>
      <rPr>
        <b val="true"/>
        <sz val="11"/>
        <rFont val="Cambria"/>
        <family val="0"/>
        <charset val="1"/>
      </rPr>
      <t xml:space="preserve">EUV </t>
    </r>
    <r>
      <rPr>
        <b val="true"/>
        <sz val="11"/>
        <rFont val="Noto Sans CJK SC"/>
        <family val="2"/>
      </rPr>
      <t xml:space="preserve">台數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</si>
  <si>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Low-NA EUV </t>
    </r>
    <r>
      <rPr>
        <sz val="11"/>
        <color theme="1"/>
        <rFont val="Noto Sans CJK SC"/>
        <family val="2"/>
      </rPr>
      <t xml:space="preserve">台數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產能「至少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台」</t>
    </r>
  </si>
  <si>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</si>
  <si>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High-NA </t>
    </r>
    <r>
      <rPr>
        <sz val="11"/>
        <color theme="1"/>
        <rFont val="Noto Sans CJK SC"/>
        <family val="2"/>
      </rPr>
      <t xml:space="preserve">台數與單價（皆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）推得；超過產能代表 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Noto Sans CJK SC"/>
        <family val="2"/>
      </rPr>
      <t xml:space="preserve">占比或單價假設偏高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</si>
  <si>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：系統需求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</si>
  <si>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產能上限＝</t>
    </r>
    <r>
      <rPr>
        <sz val="11"/>
        <color theme="1"/>
        <rFont val="Calibri"/>
        <family val="2"/>
        <charset val="1"/>
      </rPr>
      <t xml:space="preserve">FY2026 × </t>
    </r>
    <r>
      <rPr>
        <sz val="11"/>
        <color theme="1"/>
        <rFont val="Noto Sans CJK SC"/>
        <family val="2"/>
      </rPr>
      <t xml:space="preserve">產能成長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強度係數</t>
    </r>
  </si>
  <si>
    <r>
      <rPr>
        <sz val="11"/>
        <color theme="1"/>
        <rFont val="Calibri"/>
        <family val="2"/>
        <charset val="1"/>
      </rPr>
      <t xml:space="preserve">&gt;100%</t>
    </r>
    <r>
      <rPr>
        <sz val="11"/>
        <color theme="1"/>
        <rFont val="Noto Sans CJK SC"/>
        <family val="2"/>
      </rPr>
      <t xml:space="preserve">＝產能限制生效（系統營收取上限）</t>
    </r>
  </si>
  <si>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：系統需求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</si>
  <si>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：系統需求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</si>
  <si>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中國占比路徑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</si>
  <si>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中國占總營收 </t>
    </r>
    <r>
      <rPr>
        <sz val="11"/>
        <color theme="1"/>
        <rFont val="Calibri"/>
        <family val="2"/>
        <charset val="1"/>
      </rPr>
      <t xml:space="preserve">33% vs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中國占系統營收（百分點）</t>
    </r>
  </si>
  <si>
    <r>
      <rPr>
        <sz val="11"/>
        <color theme="1"/>
        <rFont val="Calibri"/>
        <family val="2"/>
        <charset val="1"/>
      </rPr>
      <t xml:space="preserve">Caixin</t>
    </r>
    <r>
      <rPr>
        <sz val="11"/>
        <color theme="1"/>
        <rFont val="Noto Sans CJK SC"/>
        <family val="2"/>
      </rPr>
      <t xml:space="preserve">（公司揭露）</t>
    </r>
  </si>
  <si>
    <r>
      <rPr>
        <sz val="11"/>
        <color theme="1"/>
        <rFont val="Noto Sans CJK SC"/>
        <family val="2"/>
      </rPr>
      <t xml:space="preserve">口徑不同（總營收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系統），只看方向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</si>
  <si>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</si>
  <si>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</si>
  <si>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</si>
  <si>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€</t>
    </r>
    <r>
      <rPr>
        <b val="true"/>
        <sz val="11"/>
        <rFont val="Cambria"/>
        <family val="0"/>
        <charset val="1"/>
      </rPr>
      <t xml:space="preserve">B</t>
    </r>
  </si>
  <si>
    <t xml:space="preserve">FY2027 EPS €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</si>
  <si>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</si>
  <si>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€</t>
    </r>
    <r>
      <rPr>
        <b val="true"/>
        <sz val="11"/>
        <rFont val="Cambria"/>
        <family val="0"/>
        <charset val="1"/>
      </rPr>
      <t xml:space="preserve">B</t>
    </r>
  </si>
  <si>
    <t xml:space="preserve">FY2028 EPS €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</si>
  <si>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</si>
  <si>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</si>
  <si>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微影強度與價格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</si>
  <si>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g_int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</si>
  <si>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微影強度與價格 </t>
    </r>
    <r>
      <rPr>
        <sz val="11"/>
        <color theme="1"/>
        <rFont val="Calibri"/>
        <family val="2"/>
        <charset val="1"/>
      </rPr>
      <t xml:space="preserve">+6%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</si>
  <si>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g_int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</si>
  <si>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中國占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系統 </t>
    </r>
    <r>
      <rPr>
        <sz val="11"/>
        <color theme="1"/>
        <rFont val="Calibri"/>
        <family val="2"/>
        <charset val="1"/>
      </rPr>
      <t xml:space="preserve">17%</t>
    </r>
  </si>
  <si>
    <t xml:space="preserve">非中國基期較大</t>
  </si>
  <si>
    <r>
      <rPr>
        <sz val="11"/>
        <color theme="1"/>
        <rFont val="Noto Sans CJK SC"/>
        <family val="2"/>
      </rPr>
      <t xml:space="preserve">中國占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系統 </t>
    </r>
    <r>
      <rPr>
        <sz val="11"/>
        <color theme="1"/>
        <rFont val="Calibri"/>
        <family val="2"/>
        <charset val="1"/>
      </rPr>
      <t xml:space="preserve">23%</t>
    </r>
  </si>
  <si>
    <t xml:space="preserve">非中國基期較小</t>
  </si>
  <si>
    <r>
      <rPr>
        <sz val="11"/>
        <color theme="1"/>
        <rFont val="Noto Sans CJK SC"/>
        <family val="2"/>
      </rPr>
      <t xml:space="preserve">中國年成長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</si>
  <si>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</si>
  <si>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中國年成長 </t>
    </r>
    <r>
      <rPr>
        <sz val="11"/>
        <color theme="1"/>
        <rFont val="Calibri"/>
        <family val="2"/>
        <charset val="1"/>
      </rPr>
      <t xml:space="preserve">+10%</t>
    </r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</si>
  <si>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</si>
  <si>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+12%</t>
    </r>
  </si>
  <si>
    <r>
      <rPr>
        <sz val="11"/>
        <color theme="1"/>
        <rFont val="Calibri"/>
        <family val="2"/>
        <charset val="1"/>
      </rPr>
      <t xml:space="preserve">IBM </t>
    </r>
    <r>
      <rPr>
        <sz val="11"/>
        <color theme="1"/>
        <rFont val="Noto Sans CJK SC"/>
        <family val="2"/>
      </rPr>
      <t xml:space="preserve">年成長 </t>
    </r>
    <r>
      <rPr>
        <sz val="11"/>
        <color theme="1"/>
        <rFont val="Calibri"/>
        <family val="2"/>
        <charset val="1"/>
      </rPr>
      <t xml:space="preserve">+16%</t>
    </r>
  </si>
  <si>
    <r>
      <rPr>
        <sz val="11"/>
        <color theme="1"/>
        <rFont val="Noto Sans CJK SC"/>
        <family val="2"/>
      </rPr>
      <t xml:space="preserve">毛利率斜率 </t>
    </r>
    <r>
      <rPr>
        <sz val="11"/>
        <color theme="1"/>
        <rFont val="Calibri"/>
        <family val="2"/>
        <charset val="1"/>
      </rPr>
      <t xml:space="preserve">×0.5</t>
    </r>
  </si>
  <si>
    <t xml:space="preserve">營收規模帶動毛利率的效果減半</t>
  </si>
  <si>
    <r>
      <rPr>
        <sz val="11"/>
        <color theme="1"/>
        <rFont val="Noto Sans CJK SC"/>
        <family val="2"/>
      </rPr>
      <t xml:space="preserve">毛利率斜率 </t>
    </r>
    <r>
      <rPr>
        <sz val="11"/>
        <color theme="1"/>
        <rFont val="Calibri"/>
        <family val="2"/>
        <charset val="1"/>
      </rPr>
      <t xml:space="preserve">×1.5</t>
    </r>
  </si>
  <si>
    <r>
      <rPr>
        <sz val="11"/>
        <color theme="1"/>
        <rFont val="Noto Sans CJK SC"/>
        <family val="2"/>
      </rPr>
      <t xml:space="preserve">營業費用全固定（</t>
    </r>
    <r>
      <rPr>
        <sz val="11"/>
        <color theme="1"/>
        <rFont val="Calibri"/>
        <family val="2"/>
        <charset val="1"/>
      </rPr>
      <t xml:space="preserve">phi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</si>
  <si>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營業費用變動比例 </t>
    </r>
    <r>
      <rPr>
        <sz val="11"/>
        <color theme="1"/>
        <rFont val="Calibri"/>
        <family val="2"/>
        <charset val="1"/>
      </rPr>
      <t xml:space="preserve">40%</t>
    </r>
  </si>
  <si>
    <t xml:space="preserve">營業費用隨營收成長較多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</si>
  <si>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</si>
  <si>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Low-NA</t>
    </r>
    <r>
      <rPr>
        <sz val="11"/>
        <color theme="1"/>
        <rFont val="Noto Sans CJK SC"/>
        <family val="2"/>
      </rPr>
      <t xml:space="preserve">「至少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台」的下緣口徑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</si>
  <si>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</si>
  <si>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</si>
  <si>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0.87</t>
    </r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</si>
  <si>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</si>
  <si>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</si>
  <si>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</si>
  <si>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設備支出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持平；中國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IBM +8%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</si>
  <si>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</si>
  <si>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設備支出 </t>
    </r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；中國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IBM +3%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</si>
  <si>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三個設備情境相同（設備市場模型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年三情境相同），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的差異只來自中國與 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；設備情境的差異從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才出現。產能上限在基準下未生效（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），所以產能案例對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影響為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時，代表需求低於產能。</t>
    </r>
  </si>
  <si>
    <r>
      <rPr>
        <b val="true"/>
        <sz val="11"/>
        <rFont val="Noto Sans CJK SC"/>
        <family val="2"/>
      </rPr>
      <t xml:space="preserve">案例區塊：微影強度與價格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</si>
  <si>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案例區塊：微影強度與價格 </t>
    </r>
    <r>
      <rPr>
        <b val="true"/>
        <sz val="11"/>
        <rFont val="Cambria"/>
        <family val="0"/>
        <charset val="1"/>
      </rPr>
      <t xml:space="preserve">+6%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</si>
  <si>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案例區塊：中國占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系統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</si>
  <si>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案例區塊：中國占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系統 </t>
    </r>
    <r>
      <rPr>
        <b val="true"/>
        <sz val="11"/>
        <rFont val="Cambria"/>
        <family val="0"/>
        <charset val="1"/>
      </rPr>
      <t xml:space="preserve">23%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</si>
  <si>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案例區塊：中國年成長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</si>
  <si>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案例區塊：中國年成長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</si>
  <si>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IBM </t>
    </r>
    <r>
      <rPr>
        <b val="true"/>
        <sz val="11"/>
        <rFont val="Noto Sans CJK SC"/>
        <family val="2"/>
      </rPr>
      <t xml:space="preserve">年成長 </t>
    </r>
    <r>
      <rPr>
        <b val="true"/>
        <sz val="11"/>
        <rFont val="Cambria"/>
        <family val="0"/>
        <charset val="1"/>
      </rPr>
      <t xml:space="preserve">+8%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</si>
  <si>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IBM </t>
    </r>
    <r>
      <rPr>
        <b val="true"/>
        <sz val="11"/>
        <rFont val="Noto Sans CJK SC"/>
        <family val="2"/>
      </rPr>
      <t xml:space="preserve">年成長 </t>
    </r>
    <r>
      <rPr>
        <b val="true"/>
        <sz val="11"/>
        <rFont val="Cambria"/>
        <family val="0"/>
        <charset val="1"/>
      </rPr>
      <t xml:space="preserve">+16%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</si>
  <si>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案例區塊：毛利率斜率 </t>
    </r>
    <r>
      <rPr>
        <b val="true"/>
        <sz val="11"/>
        <rFont val="Cambria"/>
        <family val="0"/>
        <charset val="1"/>
      </rPr>
      <t xml:space="preserve">×0.5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</si>
  <si>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案例區塊：毛利率斜率 </t>
    </r>
    <r>
      <rPr>
        <b val="true"/>
        <sz val="11"/>
        <rFont val="Cambria"/>
        <family val="0"/>
        <charset val="1"/>
      </rPr>
      <t xml:space="preserve">×1.5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</si>
  <si>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案例區塊：營業費用全固定（</t>
    </r>
    <r>
      <rPr>
        <b val="true"/>
        <sz val="11"/>
        <rFont val="Cambria"/>
        <family val="0"/>
        <charset val="1"/>
      </rPr>
      <t xml:space="preserve">phi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</si>
  <si>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</si>
  <si>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產能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</si>
  <si>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產能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</si>
  <si>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</si>
  <si>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</si>
  <si>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</si>
  <si>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</si>
  <si>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</si>
  <si>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</si>
  <si>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</si>
  <si>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</si>
  <si>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</si>
  <si>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</si>
  <si>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</si>
  <si>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</si>
  <si>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</si>
  <si>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</si>
  <si>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</si>
  <si>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</si>
  <si>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</si>
  <si>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</si>
  <si>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</si>
  <si>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</si>
  <si>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</si>
  <si>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SEC 6-K </t>
    </r>
    <r>
      <rPr>
        <b val="true"/>
        <sz val="11"/>
        <rFont val="Noto Sans CJK SC"/>
        <family val="2"/>
      </rPr>
      <t xml:space="preserve">為公司原文；</t>
    </r>
    <r>
      <rPr>
        <b val="true"/>
        <sz val="11"/>
        <rFont val="Cambria"/>
        <family val="0"/>
        <charset val="1"/>
      </rPr>
      <t xml:space="preserve">asml.com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PDF </t>
    </r>
    <r>
      <rPr>
        <b val="true"/>
        <sz val="11"/>
        <rFont val="Noto Sans CJK SC"/>
        <family val="2"/>
      </rPr>
      <t xml:space="preserve">與第三方頁面經搜尋引擎摘錄或擷取讀取）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</si>
  <si>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</si>
  <si>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https://www.sec.gov/Archives/edgar/data/0000937966/000162828026065813/pressreleasefinancialresul.htm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</si>
  <si>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財務報表（季度摘要 </t>
    </r>
    <r>
      <rPr>
        <sz val="11"/>
        <color theme="1"/>
        <rFont val="Calibri"/>
        <family val="2"/>
        <charset val="1"/>
      </rPr>
      <t xml:space="preserve">Q3 2025–Q3 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9M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</si>
  <si>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https://www.sec.gov/Archives/edgar/data/0000937966/000162828026065813/financial_statementsxusx.htm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</si>
  <si>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簡報（第四季與全年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指引、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、稅率）</t>
    </r>
  </si>
  <si>
    <t xml:space="preserve">https://www.sec.gov/Archives/edgar/data/0000937966/000162828026065813/a2026_10x14xpresentation.htm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</si>
  <si>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EUV €4.1B</t>
    </r>
    <r>
      <rPr>
        <sz val="11"/>
        <color theme="1"/>
        <rFont val="Noto Sans CJK SC"/>
        <family val="2"/>
      </rPr>
      <t xml:space="preserve">、邏輯 </t>
    </r>
    <r>
      <rPr>
        <sz val="11"/>
        <color theme="1"/>
        <rFont val="Calibri"/>
        <family val="2"/>
        <charset val="1"/>
      </rPr>
      <t xml:space="preserve">54%</t>
    </r>
    <r>
      <rPr>
        <sz val="11"/>
        <color theme="1"/>
        <rFont val="Noto Sans CJK SC"/>
        <family val="2"/>
      </rPr>
      <t xml:space="preserve">、中國約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Noto Sans CJK SC"/>
        <family val="2"/>
      </rPr>
      <t xml:space="preserve">評價益）</t>
    </r>
  </si>
  <si>
    <t xml:space="preserve">https://www.benzinga.com/news/26/10/62356129</t>
  </si>
  <si>
    <r>
      <rPr>
        <sz val="11"/>
        <color theme="1"/>
        <rFont val="Calibri"/>
        <family val="2"/>
        <charset val="1"/>
      </rPr>
      <t xml:space="preserve">stockhub.kr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摘要（營業利益 €</t>
    </r>
    <r>
      <rPr>
        <sz val="11"/>
        <color theme="1"/>
        <rFont val="Calibri"/>
        <family val="2"/>
        <charset val="1"/>
      </rPr>
      <t xml:space="preserve">5.2B</t>
    </r>
    <r>
      <rPr>
        <sz val="11"/>
        <color theme="1"/>
        <rFont val="Noto Sans CJK SC"/>
        <family val="2"/>
      </rPr>
      <t xml:space="preserve">、稀釋 </t>
    </r>
    <r>
      <rPr>
        <sz val="11"/>
        <color theme="1"/>
        <rFont val="Calibri"/>
        <family val="2"/>
        <charset val="1"/>
      </rPr>
      <t xml:space="preserve">EPS 12.93</t>
    </r>
    <r>
      <rPr>
        <sz val="11"/>
        <color theme="1"/>
        <rFont val="Noto Sans CJK SC"/>
        <family val="2"/>
      </rPr>
      <t xml:space="preserve">）</t>
    </r>
  </si>
  <si>
    <t xml:space="preserve">https://www.stockhub.kr/en/insights/asml-cy2026-q3-earnings-20261014</t>
  </si>
  <si>
    <r>
      <rPr>
        <sz val="11"/>
        <color theme="1"/>
        <rFont val="Calibri"/>
        <family val="2"/>
        <charset val="1"/>
      </rPr>
      <t xml:space="preserve">aiweekly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中國占系統出貨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14%</t>
    </r>
    <r>
      <rPr>
        <sz val="11"/>
        <color theme="1"/>
        <rFont val="Noto Sans CJK SC"/>
        <family val="2"/>
      </rPr>
      <t xml:space="preserve">）</t>
    </r>
  </si>
  <si>
    <t xml:space="preserve">https://aiweekly.co/alerts/asml-q3-china-equipment-sales-soar-109-qoq-to-23-of-system-shipments-as-memory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</si>
  <si>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2026-07-15</t>
    </r>
    <r>
      <rPr>
        <sz val="11"/>
        <color theme="1"/>
        <rFont val="Noto Sans CJK SC"/>
        <family val="2"/>
      </rPr>
      <t xml:space="preserve">）</t>
    </r>
  </si>
  <si>
    <t xml:space="preserve">https://ourbrand.asml.com/asset/1fd3908a-0381-47b5-9b69-a3094f656651/2026_07_15-ASML-Transcript-investor-call-Q2-2026.pdf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</si>
  <si>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2026-04-15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Low-NA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台）</t>
    </r>
  </si>
  <si>
    <t xml:space="preserve">https://ourbrand.asml.com/asset/8e1f7393-33dd-4737-a436-cfe1b68cc577/2026_04_15-ASML-Transcript-investor-call-Q1-2026.pdf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</si>
  <si>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SEC 6-K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EUV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DUV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、買回 €</t>
    </r>
    <r>
      <rPr>
        <sz val="11"/>
        <color theme="1"/>
        <rFont val="Calibri"/>
        <family val="2"/>
        <charset val="1"/>
      </rPr>
      <t xml:space="preserve">12B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</si>
  <si>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https://www.sec.gov/Archives/edgar/data/937966/000162828026003701/a2026_01x28xpresentation.htm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</si>
  <si>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法說逐字稿（邏輯 €</t>
    </r>
    <r>
      <rPr>
        <sz val="11"/>
        <color theme="1"/>
        <rFont val="Calibri"/>
        <family val="2"/>
        <charset val="1"/>
      </rPr>
      <t xml:space="preserve">16.1B</t>
    </r>
    <r>
      <rPr>
        <sz val="11"/>
        <color theme="1"/>
        <rFont val="Noto Sans CJK SC"/>
        <family val="2"/>
      </rPr>
      <t xml:space="preserve">、記憶體 €</t>
    </r>
    <r>
      <rPr>
        <sz val="11"/>
        <color theme="1"/>
        <rFont val="Calibri"/>
        <family val="2"/>
        <charset val="1"/>
      </rPr>
      <t xml:space="preserve">8.4B</t>
    </r>
    <r>
      <rPr>
        <sz val="11"/>
        <color theme="1"/>
        <rFont val="Noto Sans CJK SC"/>
        <family val="2"/>
      </rPr>
      <t xml:space="preserve">）</t>
    </r>
  </si>
  <si>
    <t xml:space="preserve">https://ourbrand.asml.com/m/285dcba22c2bf203/original/2026_01_28-ASML-Transcript-investor-call-Q4-2025.pdf</t>
  </si>
  <si>
    <r>
      <rPr>
        <sz val="11"/>
        <color theme="1"/>
        <rFont val="Calibri"/>
        <family val="2"/>
        <charset val="1"/>
      </rPr>
      <t xml:space="preserve">Caixin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2025 </t>
    </r>
    <r>
      <rPr>
        <sz val="11"/>
        <color theme="1"/>
        <rFont val="Noto Sans CJK SC"/>
        <family val="2"/>
      </rPr>
      <t xml:space="preserve">中國占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）</t>
    </r>
  </si>
  <si>
    <t xml:space="preserve">https://www.caixinglobal.com/2026-01-29/asml-expects-china-revenue-drop-following-backlog-fueled-surge-102409285.html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</si>
  <si>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</si>
  <si>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https://www.sec.gov/Archives/edgar/data/937966/000093796625000003/pressreleasequarterlyresul.htm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</si>
  <si>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2022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</si>
  <si>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https://www.sec.gov/Archives/edgar/data/937966/000093796623000003/pressreleasequarterlyresul.htm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</si>
  <si>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2020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2020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</si>
  <si>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https://www.sec.gov/Archives/edgar/data/937966/000093796621000003/pressreleasequarterlyresul.htm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</si>
  <si>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2019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</si>
  <si>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https://www.sec.gov/Archives/edgar/data/937966/000093796620000003/pressreleasequarterlyresul.htm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</si>
  <si>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2017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2017 EPS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</si>
  <si>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https://www.sec.gov/Archives/edgar/data/0000937966/000093796618000003/pressreleasequarterlyresul.htm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</si>
  <si>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財務（</t>
    </r>
    <r>
      <rPr>
        <sz val="11"/>
        <color theme="1"/>
        <rFont val="Calibri"/>
        <family val="2"/>
        <charset val="1"/>
      </rPr>
      <t xml:space="preserve">FY2021–2025</t>
    </r>
    <r>
      <rPr>
        <sz val="11"/>
        <color theme="1"/>
        <rFont val="Noto Sans CJK SC"/>
        <family val="2"/>
      </rPr>
      <t xml:space="preserve">，稀釋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交叉）</t>
    </r>
  </si>
  <si>
    <t xml:space="preserve">https://stockanalysis.com/stocks/asml/financials/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</si>
  <si>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AMS:ASML </t>
    </r>
    <r>
      <rPr>
        <sz val="11"/>
        <color theme="1"/>
        <rFont val="Noto Sans CJK SC"/>
        <family val="2"/>
      </rPr>
      <t xml:space="preserve">現價、前瞻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</si>
  <si>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https://stockanalysis.com/quote/ams/ASML/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</si>
  <si>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2026-10-17 </t>
    </r>
    <r>
      <rPr>
        <sz val="11"/>
        <color theme="1"/>
        <rFont val="Noto Sans CJK SC"/>
        <family val="2"/>
      </rPr>
      <t xml:space="preserve">更新）</t>
    </r>
  </si>
  <si>
    <t xml:space="preserve">https://stockanalysis.com/stocks/asml/forecast/</t>
  </si>
  <si>
    <r>
      <rPr>
        <sz val="11"/>
        <color theme="1"/>
        <rFont val="Calibri"/>
        <family val="2"/>
        <charset val="1"/>
      </rPr>
      <t xml:space="preserve">eulerpool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ASML.AS </t>
    </r>
    <r>
      <rPr>
        <sz val="11"/>
        <color theme="1"/>
        <rFont val="Noto Sans CJK SC"/>
        <family val="2"/>
      </rPr>
      <t xml:space="preserve">現價、共識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</si>
  <si>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https://eulerpool.com/stock/NL0010273215</t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</si>
  <si>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ADR </t>
    </r>
    <r>
      <rPr>
        <sz val="11"/>
        <color theme="1"/>
        <rFont val="Noto Sans CJK SC"/>
        <family val="2"/>
      </rPr>
      <t xml:space="preserve">年底價格（未調整）</t>
    </r>
  </si>
  <si>
    <t xml:space="preserve">https://www.digrin.com/stocks/detail/ASML/price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</si>
  <si>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ADR </t>
    </r>
    <r>
      <rPr>
        <sz val="11"/>
        <color theme="1"/>
        <rFont val="Noto Sans CJK SC"/>
        <family val="2"/>
      </rPr>
      <t xml:space="preserve">價格歷史（調整後，數量級對照）</t>
    </r>
  </si>
  <si>
    <t xml:space="preserve">https://macrotrends.net/stocks/charts/ASML/asml-holding/stock-price-history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</si>
  <si>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ASML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</si>
  <si>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https://companiesmarketcap.com/asml/pe-ratio/</t>
  </si>
  <si>
    <r>
      <rPr>
        <sz val="11"/>
        <color theme="1"/>
        <rFont val="Calibri"/>
        <family val="2"/>
        <charset val="1"/>
      </rPr>
      <t xml:space="preserve">ECB</t>
    </r>
    <r>
      <rPr>
        <sz val="11"/>
        <color theme="1"/>
        <rFont val="Noto Sans CJK SC"/>
        <family val="2"/>
      </rPr>
      <t xml:space="preserve">：歐元參考匯率（各年最後營業日，例：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）</t>
    </r>
  </si>
  <si>
    <t xml:space="preserve">https://www.ecb.europa.eu/stats/exchange/eurofxref/shared/pdf/2025/12/20251231.pdf</t>
  </si>
  <si>
    <r>
      <rPr>
        <sz val="11"/>
        <color theme="1"/>
        <rFont val="Noto Sans CJK SC"/>
        <family val="2"/>
      </rPr>
      <t xml:space="preserve">芬蘭央行：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年平均匯率（</t>
    </r>
    <r>
      <rPr>
        <sz val="11"/>
        <color theme="1"/>
        <rFont val="Calibri"/>
        <family val="2"/>
        <charset val="1"/>
      </rPr>
      <t xml:space="preserve">ECB</t>
    </r>
    <r>
      <rPr>
        <sz val="11"/>
        <color theme="1"/>
        <rFont val="Noto Sans CJK SC"/>
        <family val="2"/>
      </rPr>
      <t xml:space="preserve">）</t>
    </r>
  </si>
  <si>
    <t xml:space="preserve">https://www.suomenpankki.fi/en/statistics/interest-rates-and-exchange-rates/exchange-rates/average-annual-exchange-rates-for-the-year-2025/</t>
  </si>
  <si>
    <r>
      <rPr>
        <sz val="11"/>
        <color theme="1"/>
        <rFont val="Calibri"/>
        <family val="2"/>
        <charset val="1"/>
      </rPr>
      <t xml:space="preserve">Yole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High-NA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US$380M</t>
    </r>
  </si>
  <si>
    <t xml:space="preserve">https://www.yolegroup.com/industry-news/asmls-high-na-chipmaking-tool-will-cost-380-million-the-company-already-has-orders-for-10-to-20-machines-and-is-ramping-up-production/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</si>
  <si>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；晶圓前段設備三情境、見頂年度）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</si>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</sst>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0%"/>
    <numFmt numFmtId="167" formatCode="#,##0.00"/>
    <numFmt numFmtId="168" formatCode="#,##0.0"/>
    <numFmt numFmtId="169" formatCode="0.00"/>
    <numFmt numFmtId="170" formatCode="0"/>
    <numFmt numFmtId="171" formatCode="0.0"/>
    <numFmt numFmtId="172" formatCode="#,##0"/>
    <numFmt numFmtId="173" formatCode="0.000"/>
    <numFmt numFmtId="174" formatCode="0.0000"/>
    <numFmt numFmtId="17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2" t="s">
        <v>10</v>
      </c>
    </row>
    <row r="15" customFormat="false" ht="17.15" hidden="false" customHeight="false" outlineLevel="0" collapsed="false">
      <c r="A15" s="0" t="s">
        <v>11</v>
      </c>
    </row>
    <row r="16" customFormat="false" ht="17.15" hidden="false" customHeight="false" outlineLevel="0" collapsed="false">
      <c r="A16" s="5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6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6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5" t="s">
        <v>14</v>
      </c>
    </row>
    <row r="3" customFormat="false" ht="17.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5" t="s">
        <v>26</v>
      </c>
      <c r="C5" s="0" t="s">
        <v>27</v>
      </c>
      <c r="E5" s="7" t="n">
        <v>36.0323364171573</v>
      </c>
      <c r="G5" s="8" t="s">
        <v>28</v>
      </c>
      <c r="H5" s="8" t="s">
        <v>29</v>
      </c>
      <c r="I5" s="5" t="s">
        <v>30</v>
      </c>
    </row>
    <row r="6" customFormat="false" ht="17.15" hidden="false" customHeight="false" outlineLevel="0" collapsed="false">
      <c r="A6" s="0" t="s">
        <v>31</v>
      </c>
      <c r="B6" s="5" t="s">
        <v>32</v>
      </c>
      <c r="C6" s="0" t="s">
        <v>27</v>
      </c>
      <c r="E6" s="7" t="n">
        <v>50.3248433305299</v>
      </c>
      <c r="G6" s="8" t="s">
        <v>28</v>
      </c>
      <c r="H6" s="5" t="s">
        <v>33</v>
      </c>
      <c r="I6" s="5" t="s">
        <v>33</v>
      </c>
    </row>
    <row r="7" customFormat="false" ht="17.15" hidden="false" customHeight="false" outlineLevel="0" collapsed="false">
      <c r="A7" s="0" t="s">
        <v>34</v>
      </c>
      <c r="B7" s="5" t="s">
        <v>35</v>
      </c>
      <c r="C7" s="0" t="s">
        <v>27</v>
      </c>
      <c r="E7" s="7" t="n">
        <v>60.7764307969723</v>
      </c>
      <c r="G7" s="8" t="s">
        <v>28</v>
      </c>
      <c r="H7" s="5" t="s">
        <v>33</v>
      </c>
      <c r="I7" s="5" t="s">
        <v>33</v>
      </c>
    </row>
    <row r="8" customFormat="false" ht="17.15" hidden="false" customHeight="false" outlineLevel="0" collapsed="false">
      <c r="A8" s="0" t="s">
        <v>36</v>
      </c>
      <c r="B8" s="5" t="s">
        <v>37</v>
      </c>
      <c r="C8" s="0" t="s">
        <v>27</v>
      </c>
      <c r="E8" s="7" t="n">
        <v>70.01614526073</v>
      </c>
      <c r="G8" s="8" t="s">
        <v>28</v>
      </c>
      <c r="H8" s="5" t="s">
        <v>33</v>
      </c>
      <c r="I8" s="5" t="s">
        <v>33</v>
      </c>
    </row>
    <row r="9" customFormat="false" ht="17.15" hidden="false" customHeight="false" outlineLevel="0" collapsed="false">
      <c r="A9" s="0" t="s">
        <v>38</v>
      </c>
      <c r="B9" s="5" t="s">
        <v>39</v>
      </c>
      <c r="C9" s="0" t="s">
        <v>27</v>
      </c>
      <c r="E9" s="7" t="n">
        <v>74.2094368815884</v>
      </c>
      <c r="G9" s="8" t="s">
        <v>28</v>
      </c>
      <c r="H9" s="5" t="s">
        <v>33</v>
      </c>
      <c r="I9" s="5" t="s">
        <v>33</v>
      </c>
    </row>
    <row r="10" customFormat="false" ht="17.15" hidden="false" customHeight="false" outlineLevel="0" collapsed="false">
      <c r="A10" s="0" t="s">
        <v>40</v>
      </c>
      <c r="B10" s="5" t="s">
        <v>41</v>
      </c>
      <c r="C10" s="0" t="s">
        <v>27</v>
      </c>
      <c r="E10" s="7" t="n">
        <v>36.0323364171573</v>
      </c>
      <c r="G10" s="8" t="s">
        <v>28</v>
      </c>
      <c r="H10" s="8" t="s">
        <v>42</v>
      </c>
      <c r="I10" s="5" t="s">
        <v>33</v>
      </c>
    </row>
    <row r="11" customFormat="false" ht="17.15" hidden="false" customHeight="false" outlineLevel="0" collapsed="false">
      <c r="A11" s="0" t="s">
        <v>43</v>
      </c>
      <c r="B11" s="5" t="s">
        <v>44</v>
      </c>
      <c r="C11" s="0" t="s">
        <v>27</v>
      </c>
      <c r="E11" s="7" t="n">
        <v>50.3248433305299</v>
      </c>
      <c r="G11" s="8" t="s">
        <v>28</v>
      </c>
      <c r="H11" s="5" t="s">
        <v>33</v>
      </c>
      <c r="I11" s="5" t="s">
        <v>33</v>
      </c>
    </row>
    <row r="12" customFormat="false" ht="17.15" hidden="false" customHeight="false" outlineLevel="0" collapsed="false">
      <c r="A12" s="0" t="s">
        <v>45</v>
      </c>
      <c r="B12" s="5" t="s">
        <v>46</v>
      </c>
      <c r="C12" s="0" t="s">
        <v>27</v>
      </c>
      <c r="E12" s="7" t="n">
        <v>60.7764307969723</v>
      </c>
      <c r="G12" s="8" t="s">
        <v>28</v>
      </c>
      <c r="H12" s="5" t="s">
        <v>33</v>
      </c>
      <c r="I12" s="5" t="s">
        <v>33</v>
      </c>
    </row>
    <row r="13" customFormat="false" ht="17.15" hidden="false" customHeight="false" outlineLevel="0" collapsed="false">
      <c r="A13" s="0" t="s">
        <v>47</v>
      </c>
      <c r="B13" s="5" t="s">
        <v>48</v>
      </c>
      <c r="C13" s="0" t="s">
        <v>27</v>
      </c>
      <c r="E13" s="7" t="n">
        <v>60.7764307969723</v>
      </c>
      <c r="G13" s="8" t="s">
        <v>28</v>
      </c>
      <c r="H13" s="5" t="s">
        <v>33</v>
      </c>
      <c r="I13" s="5" t="s">
        <v>33</v>
      </c>
    </row>
    <row r="14" customFormat="false" ht="17.15" hidden="false" customHeight="false" outlineLevel="0" collapsed="false">
      <c r="A14" s="0" t="s">
        <v>49</v>
      </c>
      <c r="B14" s="5" t="s">
        <v>50</v>
      </c>
      <c r="C14" s="0" t="s">
        <v>27</v>
      </c>
      <c r="E14" s="7" t="n">
        <v>57.7376092571236</v>
      </c>
      <c r="G14" s="8" t="s">
        <v>28</v>
      </c>
      <c r="H14" s="5" t="s">
        <v>33</v>
      </c>
      <c r="I14" s="5" t="s">
        <v>33</v>
      </c>
    </row>
    <row r="15" customFormat="false" ht="17.15" hidden="false" customHeight="false" outlineLevel="0" collapsed="false">
      <c r="A15" s="0" t="s">
        <v>51</v>
      </c>
      <c r="B15" s="5" t="s">
        <v>52</v>
      </c>
      <c r="C15" s="0" t="s">
        <v>27</v>
      </c>
      <c r="E15" s="7" t="n">
        <v>36.0323364171573</v>
      </c>
      <c r="G15" s="8" t="s">
        <v>28</v>
      </c>
      <c r="H15" s="8" t="s">
        <v>53</v>
      </c>
      <c r="I15" s="5" t="s">
        <v>33</v>
      </c>
    </row>
    <row r="16" customFormat="false" ht="17.15" hidden="false" customHeight="false" outlineLevel="0" collapsed="false">
      <c r="A16" s="0" t="s">
        <v>54</v>
      </c>
      <c r="B16" s="5" t="s">
        <v>55</v>
      </c>
      <c r="C16" s="0" t="s">
        <v>27</v>
      </c>
      <c r="E16" s="7" t="n">
        <v>50.3248433305299</v>
      </c>
      <c r="G16" s="8" t="s">
        <v>28</v>
      </c>
      <c r="H16" s="5" t="s">
        <v>33</v>
      </c>
      <c r="I16" s="5" t="s">
        <v>33</v>
      </c>
    </row>
    <row r="17" customFormat="false" ht="17.15" hidden="false" customHeight="false" outlineLevel="0" collapsed="false">
      <c r="A17" s="0" t="s">
        <v>56</v>
      </c>
      <c r="B17" s="5" t="s">
        <v>57</v>
      </c>
      <c r="C17" s="0" t="s">
        <v>27</v>
      </c>
      <c r="E17" s="7" t="n">
        <v>60.7764307969723</v>
      </c>
      <c r="G17" s="8" t="s">
        <v>28</v>
      </c>
      <c r="H17" s="5" t="s">
        <v>33</v>
      </c>
      <c r="I17" s="5" t="s">
        <v>33</v>
      </c>
    </row>
    <row r="18" customFormat="false" ht="17.15" hidden="false" customHeight="false" outlineLevel="0" collapsed="false">
      <c r="A18" s="0" t="s">
        <v>58</v>
      </c>
      <c r="B18" s="5" t="s">
        <v>59</v>
      </c>
      <c r="C18" s="0" t="s">
        <v>27</v>
      </c>
      <c r="E18" s="7" t="n">
        <v>48.6211446375778</v>
      </c>
      <c r="G18" s="8" t="s">
        <v>28</v>
      </c>
      <c r="H18" s="5" t="s">
        <v>33</v>
      </c>
      <c r="I18" s="5" t="s">
        <v>33</v>
      </c>
    </row>
    <row r="19" customFormat="false" ht="17.15" hidden="false" customHeight="false" outlineLevel="0" collapsed="false">
      <c r="A19" s="0" t="s">
        <v>60</v>
      </c>
      <c r="B19" s="5" t="s">
        <v>61</v>
      </c>
      <c r="C19" s="0" t="s">
        <v>27</v>
      </c>
      <c r="E19" s="7" t="n">
        <v>48.6211446375778</v>
      </c>
      <c r="G19" s="8" t="s">
        <v>28</v>
      </c>
      <c r="H19" s="5" t="s">
        <v>33</v>
      </c>
      <c r="I19" s="5" t="s">
        <v>33</v>
      </c>
    </row>
    <row r="20" customFormat="false" ht="17.15" hidden="false" customHeight="false" outlineLevel="0" collapsed="false">
      <c r="A20" s="0" t="s">
        <v>62</v>
      </c>
      <c r="B20" s="5" t="s">
        <v>63</v>
      </c>
      <c r="C20" s="0" t="s">
        <v>27</v>
      </c>
      <c r="E20" s="7" t="n">
        <v>29.5690092514718</v>
      </c>
      <c r="G20" s="8" t="s">
        <v>28</v>
      </c>
      <c r="H20" s="8" t="s">
        <v>64</v>
      </c>
      <c r="I20" s="5" t="s">
        <v>30</v>
      </c>
    </row>
    <row r="21" customFormat="false" ht="17.15" hidden="false" customHeight="false" outlineLevel="0" collapsed="false">
      <c r="A21" s="0" t="s">
        <v>65</v>
      </c>
      <c r="B21" s="5" t="s">
        <v>66</v>
      </c>
      <c r="C21" s="0" t="s">
        <v>27</v>
      </c>
      <c r="E21" s="7" t="n">
        <v>31.9345299915896</v>
      </c>
      <c r="G21" s="8" t="s">
        <v>28</v>
      </c>
      <c r="H21" s="5" t="s">
        <v>33</v>
      </c>
      <c r="I21" s="5" t="s">
        <v>33</v>
      </c>
    </row>
    <row r="22" customFormat="false" ht="17.15" hidden="false" customHeight="false" outlineLevel="0" collapsed="false">
      <c r="A22" s="0" t="s">
        <v>67</v>
      </c>
      <c r="B22" s="5" t="s">
        <v>68</v>
      </c>
      <c r="C22" s="0" t="s">
        <v>27</v>
      </c>
      <c r="E22" s="7" t="n">
        <v>34.4892923909167</v>
      </c>
      <c r="G22" s="8" t="s">
        <v>28</v>
      </c>
      <c r="H22" s="5" t="s">
        <v>33</v>
      </c>
      <c r="I22" s="5" t="s">
        <v>33</v>
      </c>
    </row>
    <row r="23" customFormat="false" ht="17.15" hidden="false" customHeight="false" outlineLevel="0" collapsed="false">
      <c r="A23" s="0" t="s">
        <v>69</v>
      </c>
      <c r="B23" s="5" t="s">
        <v>70</v>
      </c>
      <c r="C23" s="0" t="s">
        <v>27</v>
      </c>
      <c r="E23" s="7" t="n">
        <v>37.2484357821901</v>
      </c>
      <c r="G23" s="8" t="s">
        <v>28</v>
      </c>
      <c r="H23" s="5" t="s">
        <v>33</v>
      </c>
      <c r="I23" s="5" t="s">
        <v>33</v>
      </c>
    </row>
    <row r="24" customFormat="false" ht="17.15" hidden="false" customHeight="false" outlineLevel="0" collapsed="false">
      <c r="A24" s="0" t="s">
        <v>71</v>
      </c>
      <c r="B24" s="5" t="s">
        <v>72</v>
      </c>
      <c r="C24" s="0" t="s">
        <v>27</v>
      </c>
      <c r="E24" s="7" t="n">
        <v>40.2283106447653</v>
      </c>
      <c r="G24" s="8" t="s">
        <v>28</v>
      </c>
      <c r="H24" s="5" t="s">
        <v>33</v>
      </c>
      <c r="I24" s="5" t="s">
        <v>33</v>
      </c>
    </row>
    <row r="25" customFormat="false" ht="17.15" hidden="false" customHeight="false" outlineLevel="0" collapsed="false">
      <c r="A25" s="0" t="s">
        <v>73</v>
      </c>
      <c r="B25" s="5" t="s">
        <v>74</v>
      </c>
      <c r="C25" s="0" t="s">
        <v>27</v>
      </c>
      <c r="E25" s="7" t="n">
        <v>29.5690092514718</v>
      </c>
      <c r="G25" s="8" t="s">
        <v>28</v>
      </c>
      <c r="H25" s="8" t="s">
        <v>75</v>
      </c>
      <c r="I25" s="5" t="s">
        <v>33</v>
      </c>
    </row>
    <row r="26" customFormat="false" ht="17.15" hidden="false" customHeight="false" outlineLevel="0" collapsed="false">
      <c r="A26" s="0" t="s">
        <v>76</v>
      </c>
      <c r="B26" s="5" t="s">
        <v>77</v>
      </c>
      <c r="C26" s="0" t="s">
        <v>27</v>
      </c>
      <c r="E26" s="7" t="n">
        <v>31.9345299915896</v>
      </c>
      <c r="G26" s="8" t="s">
        <v>28</v>
      </c>
      <c r="H26" s="5" t="s">
        <v>33</v>
      </c>
      <c r="I26" s="5" t="s">
        <v>33</v>
      </c>
    </row>
    <row r="27" customFormat="false" ht="17.15" hidden="false" customHeight="false" outlineLevel="0" collapsed="false">
      <c r="A27" s="0" t="s">
        <v>78</v>
      </c>
      <c r="B27" s="5" t="s">
        <v>79</v>
      </c>
      <c r="C27" s="0" t="s">
        <v>27</v>
      </c>
      <c r="E27" s="7" t="n">
        <v>34.4892923909167</v>
      </c>
      <c r="G27" s="8" t="s">
        <v>28</v>
      </c>
      <c r="H27" s="5" t="s">
        <v>33</v>
      </c>
      <c r="I27" s="5" t="s">
        <v>33</v>
      </c>
    </row>
    <row r="28" customFormat="false" ht="17.15" hidden="false" customHeight="false" outlineLevel="0" collapsed="false">
      <c r="A28" s="0" t="s">
        <v>80</v>
      </c>
      <c r="B28" s="5" t="s">
        <v>81</v>
      </c>
      <c r="C28" s="0" t="s">
        <v>27</v>
      </c>
      <c r="E28" s="7" t="n">
        <v>34.4892923909167</v>
      </c>
      <c r="G28" s="8" t="s">
        <v>28</v>
      </c>
      <c r="H28" s="5" t="s">
        <v>33</v>
      </c>
      <c r="I28" s="5" t="s">
        <v>33</v>
      </c>
    </row>
    <row r="29" customFormat="false" ht="17.15" hidden="false" customHeight="false" outlineLevel="0" collapsed="false">
      <c r="A29" s="0" t="s">
        <v>82</v>
      </c>
      <c r="B29" s="5" t="s">
        <v>83</v>
      </c>
      <c r="C29" s="0" t="s">
        <v>27</v>
      </c>
      <c r="E29" s="7" t="n">
        <v>32.7648277713709</v>
      </c>
      <c r="G29" s="8" t="s">
        <v>28</v>
      </c>
      <c r="H29" s="5" t="s">
        <v>33</v>
      </c>
      <c r="I29" s="5" t="s">
        <v>33</v>
      </c>
    </row>
    <row r="30" customFormat="false" ht="17.15" hidden="false" customHeight="false" outlineLevel="0" collapsed="false">
      <c r="A30" s="0" t="s">
        <v>84</v>
      </c>
      <c r="B30" s="5" t="s">
        <v>85</v>
      </c>
      <c r="C30" s="0" t="s">
        <v>27</v>
      </c>
      <c r="E30" s="7" t="n">
        <v>29.5690092514718</v>
      </c>
      <c r="G30" s="8" t="s">
        <v>28</v>
      </c>
      <c r="H30" s="8" t="s">
        <v>86</v>
      </c>
      <c r="I30" s="5" t="s">
        <v>33</v>
      </c>
    </row>
    <row r="31" customFormat="false" ht="17.15" hidden="false" customHeight="false" outlineLevel="0" collapsed="false">
      <c r="A31" s="0" t="s">
        <v>87</v>
      </c>
      <c r="B31" s="5" t="s">
        <v>88</v>
      </c>
      <c r="C31" s="0" t="s">
        <v>27</v>
      </c>
      <c r="E31" s="7" t="n">
        <v>31.9345299915896</v>
      </c>
      <c r="G31" s="8" t="s">
        <v>28</v>
      </c>
      <c r="H31" s="5" t="s">
        <v>33</v>
      </c>
      <c r="I31" s="5" t="s">
        <v>33</v>
      </c>
    </row>
    <row r="32" customFormat="false" ht="17.15" hidden="false" customHeight="false" outlineLevel="0" collapsed="false">
      <c r="A32" s="0" t="s">
        <v>89</v>
      </c>
      <c r="B32" s="5" t="s">
        <v>90</v>
      </c>
      <c r="C32" s="0" t="s">
        <v>27</v>
      </c>
      <c r="E32" s="7" t="n">
        <v>34.4892923909167</v>
      </c>
      <c r="G32" s="8" t="s">
        <v>28</v>
      </c>
      <c r="H32" s="5" t="s">
        <v>33</v>
      </c>
      <c r="I32" s="5" t="s">
        <v>33</v>
      </c>
    </row>
    <row r="33" customFormat="false" ht="17.15" hidden="false" customHeight="false" outlineLevel="0" collapsed="false">
      <c r="A33" s="0" t="s">
        <v>91</v>
      </c>
      <c r="B33" s="5" t="s">
        <v>92</v>
      </c>
      <c r="C33" s="0" t="s">
        <v>27</v>
      </c>
      <c r="E33" s="7" t="n">
        <v>27.5914339127334</v>
      </c>
      <c r="G33" s="8" t="s">
        <v>28</v>
      </c>
      <c r="H33" s="5" t="s">
        <v>33</v>
      </c>
      <c r="I33" s="5" t="s">
        <v>33</v>
      </c>
    </row>
    <row r="34" customFormat="false" ht="17.15" hidden="false" customHeight="false" outlineLevel="0" collapsed="false">
      <c r="A34" s="0" t="s">
        <v>93</v>
      </c>
      <c r="B34" s="5" t="s">
        <v>94</v>
      </c>
      <c r="C34" s="0" t="s">
        <v>27</v>
      </c>
      <c r="E34" s="7" t="n">
        <v>27.5914339127334</v>
      </c>
      <c r="G34" s="8" t="s">
        <v>28</v>
      </c>
      <c r="H34" s="5" t="s">
        <v>33</v>
      </c>
      <c r="I34" s="5" t="s">
        <v>33</v>
      </c>
    </row>
    <row r="35" customFormat="false" ht="17.15" hidden="false" customHeight="false" outlineLevel="0" collapsed="false">
      <c r="A35" s="0" t="s">
        <v>95</v>
      </c>
      <c r="B35" s="0" t="s">
        <v>96</v>
      </c>
      <c r="C35" s="0" t="s">
        <v>27</v>
      </c>
      <c r="E35" s="7" t="n">
        <v>26.3761091658243</v>
      </c>
      <c r="G35" s="8" t="s">
        <v>28</v>
      </c>
      <c r="H35" s="8" t="s">
        <v>97</v>
      </c>
      <c r="I35" s="5" t="s">
        <v>30</v>
      </c>
    </row>
    <row r="36" customFormat="false" ht="17.15" hidden="false" customHeight="false" outlineLevel="0" collapsed="false">
      <c r="A36" s="0" t="s">
        <v>98</v>
      </c>
      <c r="B36" s="0" t="s">
        <v>99</v>
      </c>
      <c r="C36" s="0" t="s">
        <v>27</v>
      </c>
      <c r="E36" s="7" t="n">
        <v>39.3659468014757</v>
      </c>
      <c r="G36" s="8" t="s">
        <v>28</v>
      </c>
      <c r="H36" s="5" t="s">
        <v>33</v>
      </c>
      <c r="I36" s="5" t="s">
        <v>33</v>
      </c>
    </row>
    <row r="37" customFormat="false" ht="17.15" hidden="false" customHeight="false" outlineLevel="0" collapsed="false">
      <c r="A37" s="0" t="s">
        <v>100</v>
      </c>
      <c r="B37" s="0" t="s">
        <v>101</v>
      </c>
      <c r="C37" s="0" t="s">
        <v>27</v>
      </c>
      <c r="E37" s="7" t="n">
        <v>53.2587328153375</v>
      </c>
      <c r="G37" s="8" t="s">
        <v>28</v>
      </c>
      <c r="H37" s="5" t="s">
        <v>33</v>
      </c>
      <c r="I37" s="5" t="s">
        <v>33</v>
      </c>
    </row>
    <row r="38" customFormat="false" ht="17.15" hidden="false" customHeight="false" outlineLevel="0" collapsed="false">
      <c r="A38" s="0" t="s">
        <v>102</v>
      </c>
      <c r="B38" s="0" t="s">
        <v>103</v>
      </c>
      <c r="C38" s="0" t="s">
        <v>27</v>
      </c>
      <c r="E38" s="7" t="n">
        <v>59.5608998372386</v>
      </c>
      <c r="G38" s="8" t="s">
        <v>28</v>
      </c>
      <c r="H38" s="5" t="s">
        <v>33</v>
      </c>
      <c r="I38" s="5" t="s">
        <v>33</v>
      </c>
    </row>
    <row r="39" customFormat="false" ht="17.15" hidden="false" customHeight="false" outlineLevel="0" collapsed="false">
      <c r="A39" s="0" t="s">
        <v>104</v>
      </c>
      <c r="B39" s="0" t="s">
        <v>105</v>
      </c>
      <c r="C39" s="0" t="s">
        <v>27</v>
      </c>
      <c r="E39" s="7" t="n">
        <v>61.8312930912183</v>
      </c>
      <c r="G39" s="8" t="s">
        <v>28</v>
      </c>
      <c r="H39" s="5" t="s">
        <v>33</v>
      </c>
      <c r="I39" s="5" t="s">
        <v>33</v>
      </c>
    </row>
    <row r="40" customFormat="false" ht="17.15" hidden="false" customHeight="false" outlineLevel="0" collapsed="false">
      <c r="A40" s="0" t="s">
        <v>106</v>
      </c>
      <c r="B40" s="0" t="s">
        <v>107</v>
      </c>
      <c r="C40" s="0" t="s">
        <v>27</v>
      </c>
      <c r="E40" s="7" t="n">
        <v>26.3761091658243</v>
      </c>
      <c r="G40" s="8" t="s">
        <v>28</v>
      </c>
      <c r="H40" s="8" t="s">
        <v>108</v>
      </c>
      <c r="I40" s="5" t="s">
        <v>33</v>
      </c>
    </row>
    <row r="41" customFormat="false" ht="17.15" hidden="false" customHeight="false" outlineLevel="0" collapsed="false">
      <c r="A41" s="0" t="s">
        <v>109</v>
      </c>
      <c r="B41" s="0" t="s">
        <v>110</v>
      </c>
      <c r="C41" s="0" t="s">
        <v>27</v>
      </c>
      <c r="E41" s="7" t="n">
        <v>39.3659468014757</v>
      </c>
      <c r="G41" s="8" t="s">
        <v>28</v>
      </c>
      <c r="H41" s="5" t="s">
        <v>33</v>
      </c>
      <c r="I41" s="5" t="s">
        <v>33</v>
      </c>
    </row>
    <row r="42" customFormat="false" ht="17.15" hidden="false" customHeight="false" outlineLevel="0" collapsed="false">
      <c r="A42" s="0" t="s">
        <v>111</v>
      </c>
      <c r="B42" s="0" t="s">
        <v>112</v>
      </c>
      <c r="C42" s="0" t="s">
        <v>27</v>
      </c>
      <c r="E42" s="7" t="n">
        <v>53.2587328153375</v>
      </c>
      <c r="G42" s="8" t="s">
        <v>28</v>
      </c>
      <c r="H42" s="5" t="s">
        <v>33</v>
      </c>
      <c r="I42" s="5" t="s">
        <v>33</v>
      </c>
    </row>
    <row r="43" customFormat="false" ht="17.15" hidden="false" customHeight="false" outlineLevel="0" collapsed="false">
      <c r="A43" s="0" t="s">
        <v>113</v>
      </c>
      <c r="B43" s="0" t="s">
        <v>114</v>
      </c>
      <c r="C43" s="0" t="s">
        <v>27</v>
      </c>
      <c r="E43" s="7" t="n">
        <v>53.2587328153375</v>
      </c>
      <c r="G43" s="8" t="s">
        <v>28</v>
      </c>
      <c r="H43" s="5" t="s">
        <v>33</v>
      </c>
      <c r="I43" s="5" t="s">
        <v>33</v>
      </c>
    </row>
    <row r="44" customFormat="false" ht="17.15" hidden="false" customHeight="false" outlineLevel="0" collapsed="false">
      <c r="A44" s="0" t="s">
        <v>115</v>
      </c>
      <c r="B44" s="0" t="s">
        <v>116</v>
      </c>
      <c r="C44" s="0" t="s">
        <v>27</v>
      </c>
      <c r="E44" s="7" t="n">
        <v>50.5957961745707</v>
      </c>
      <c r="G44" s="8" t="s">
        <v>28</v>
      </c>
      <c r="H44" s="5" t="s">
        <v>33</v>
      </c>
      <c r="I44" s="5" t="s">
        <v>33</v>
      </c>
    </row>
    <row r="45" customFormat="false" ht="17.15" hidden="false" customHeight="false" outlineLevel="0" collapsed="false">
      <c r="A45" s="0" t="s">
        <v>117</v>
      </c>
      <c r="B45" s="0" t="s">
        <v>118</v>
      </c>
      <c r="C45" s="0" t="s">
        <v>27</v>
      </c>
      <c r="E45" s="7" t="n">
        <v>26.3761091658243</v>
      </c>
      <c r="G45" s="8" t="s">
        <v>28</v>
      </c>
      <c r="H45" s="8" t="s">
        <v>119</v>
      </c>
      <c r="I45" s="5" t="s">
        <v>33</v>
      </c>
    </row>
    <row r="46" customFormat="false" ht="17.15" hidden="false" customHeight="false" outlineLevel="0" collapsed="false">
      <c r="A46" s="0" t="s">
        <v>120</v>
      </c>
      <c r="B46" s="0" t="s">
        <v>121</v>
      </c>
      <c r="C46" s="0" t="s">
        <v>27</v>
      </c>
      <c r="E46" s="7" t="n">
        <v>39.3659468014757</v>
      </c>
      <c r="G46" s="8" t="s">
        <v>28</v>
      </c>
      <c r="H46" s="5" t="s">
        <v>33</v>
      </c>
      <c r="I46" s="5" t="s">
        <v>33</v>
      </c>
    </row>
    <row r="47" customFormat="false" ht="17.15" hidden="false" customHeight="false" outlineLevel="0" collapsed="false">
      <c r="A47" s="0" t="s">
        <v>122</v>
      </c>
      <c r="B47" s="0" t="s">
        <v>123</v>
      </c>
      <c r="C47" s="0" t="s">
        <v>27</v>
      </c>
      <c r="E47" s="7" t="n">
        <v>53.2587328153375</v>
      </c>
      <c r="G47" s="8" t="s">
        <v>28</v>
      </c>
      <c r="H47" s="5" t="s">
        <v>33</v>
      </c>
      <c r="I47" s="5" t="s">
        <v>33</v>
      </c>
    </row>
    <row r="48" customFormat="false" ht="17.15" hidden="false" customHeight="false" outlineLevel="0" collapsed="false">
      <c r="A48" s="0" t="s">
        <v>124</v>
      </c>
      <c r="B48" s="0" t="s">
        <v>125</v>
      </c>
      <c r="C48" s="0" t="s">
        <v>27</v>
      </c>
      <c r="E48" s="7" t="n">
        <v>42.60698625227</v>
      </c>
      <c r="G48" s="8" t="s">
        <v>28</v>
      </c>
      <c r="H48" s="5" t="s">
        <v>33</v>
      </c>
      <c r="I48" s="5" t="s">
        <v>33</v>
      </c>
    </row>
    <row r="49" customFormat="false" ht="17.15" hidden="false" customHeight="false" outlineLevel="0" collapsed="false">
      <c r="A49" s="0" t="s">
        <v>126</v>
      </c>
      <c r="B49" s="0" t="s">
        <v>127</v>
      </c>
      <c r="C49" s="0" t="s">
        <v>27</v>
      </c>
      <c r="E49" s="7" t="n">
        <v>42.60698625227</v>
      </c>
      <c r="G49" s="8" t="s">
        <v>28</v>
      </c>
      <c r="H49" s="5" t="s">
        <v>33</v>
      </c>
      <c r="I49" s="5" t="s">
        <v>33</v>
      </c>
    </row>
    <row r="50" customFormat="false" ht="17.15" hidden="false" customHeight="false" outlineLevel="0" collapsed="false">
      <c r="A50" s="0" t="s">
        <v>128</v>
      </c>
      <c r="B50" s="0" t="s">
        <v>129</v>
      </c>
      <c r="C50" s="0" t="s">
        <v>27</v>
      </c>
      <c r="E50" s="7" t="n">
        <v>12.1726019800256</v>
      </c>
      <c r="G50" s="8" t="s">
        <v>28</v>
      </c>
      <c r="H50" s="8" t="s">
        <v>130</v>
      </c>
      <c r="I50" s="5" t="s">
        <v>30</v>
      </c>
    </row>
    <row r="51" customFormat="false" ht="17.15" hidden="false" customHeight="false" outlineLevel="0" collapsed="false">
      <c r="A51" s="0" t="s">
        <v>131</v>
      </c>
      <c r="B51" s="0" t="s">
        <v>132</v>
      </c>
      <c r="C51" s="0" t="s">
        <v>27</v>
      </c>
      <c r="E51" s="7" t="n">
        <v>17.5039054704765</v>
      </c>
      <c r="G51" s="8" t="s">
        <v>28</v>
      </c>
      <c r="H51" s="5" t="s">
        <v>33</v>
      </c>
      <c r="I51" s="5" t="s">
        <v>33</v>
      </c>
    </row>
    <row r="52" customFormat="false" ht="17.15" hidden="false" customHeight="false" outlineLevel="0" collapsed="false">
      <c r="A52" s="0" t="s">
        <v>133</v>
      </c>
      <c r="B52" s="0" t="s">
        <v>134</v>
      </c>
      <c r="C52" s="0" t="s">
        <v>27</v>
      </c>
      <c r="E52" s="7" t="n">
        <v>23.2480272411321</v>
      </c>
      <c r="G52" s="8" t="s">
        <v>28</v>
      </c>
      <c r="H52" s="5" t="s">
        <v>33</v>
      </c>
      <c r="I52" s="5" t="s">
        <v>33</v>
      </c>
    </row>
    <row r="53" customFormat="false" ht="17.15" hidden="false" customHeight="false" outlineLevel="0" collapsed="false">
      <c r="A53" s="0" t="s">
        <v>135</v>
      </c>
      <c r="B53" s="0" t="s">
        <v>136</v>
      </c>
      <c r="C53" s="0" t="s">
        <v>27</v>
      </c>
      <c r="E53" s="7" t="n">
        <v>26.181321629459</v>
      </c>
      <c r="G53" s="8" t="s">
        <v>28</v>
      </c>
      <c r="H53" s="5" t="s">
        <v>33</v>
      </c>
      <c r="I53" s="5" t="s">
        <v>33</v>
      </c>
    </row>
    <row r="54" customFormat="false" ht="17.15" hidden="false" customHeight="false" outlineLevel="0" collapsed="false">
      <c r="A54" s="0" t="s">
        <v>137</v>
      </c>
      <c r="B54" s="0" t="s">
        <v>138</v>
      </c>
      <c r="C54" s="0" t="s">
        <v>27</v>
      </c>
      <c r="E54" s="7" t="n">
        <v>27.674312771805</v>
      </c>
      <c r="G54" s="8" t="s">
        <v>28</v>
      </c>
      <c r="H54" s="5" t="s">
        <v>33</v>
      </c>
      <c r="I54" s="5" t="s">
        <v>33</v>
      </c>
    </row>
    <row r="55" customFormat="false" ht="17.15" hidden="false" customHeight="false" outlineLevel="0" collapsed="false">
      <c r="A55" s="0" t="s">
        <v>139</v>
      </c>
      <c r="B55" s="0" t="s">
        <v>140</v>
      </c>
      <c r="C55" s="0" t="s">
        <v>27</v>
      </c>
      <c r="E55" s="7" t="n">
        <v>12.1726019800256</v>
      </c>
      <c r="G55" s="8" t="s">
        <v>28</v>
      </c>
      <c r="H55" s="8" t="s">
        <v>141</v>
      </c>
      <c r="I55" s="5" t="s">
        <v>33</v>
      </c>
    </row>
    <row r="56" customFormat="false" ht="17.15" hidden="false" customHeight="false" outlineLevel="0" collapsed="false">
      <c r="A56" s="0" t="s">
        <v>142</v>
      </c>
      <c r="B56" s="0" t="s">
        <v>143</v>
      </c>
      <c r="C56" s="0" t="s">
        <v>27</v>
      </c>
      <c r="E56" s="7" t="n">
        <v>17.5039054704765</v>
      </c>
      <c r="G56" s="8" t="s">
        <v>28</v>
      </c>
      <c r="H56" s="5" t="s">
        <v>33</v>
      </c>
      <c r="I56" s="5" t="s">
        <v>33</v>
      </c>
    </row>
    <row r="57" customFormat="false" ht="17.15" hidden="false" customHeight="false" outlineLevel="0" collapsed="false">
      <c r="A57" s="0" t="s">
        <v>144</v>
      </c>
      <c r="B57" s="0" t="s">
        <v>145</v>
      </c>
      <c r="C57" s="0" t="s">
        <v>27</v>
      </c>
      <c r="E57" s="7" t="n">
        <v>23.2480272411321</v>
      </c>
      <c r="G57" s="8" t="s">
        <v>28</v>
      </c>
      <c r="H57" s="5" t="s">
        <v>33</v>
      </c>
      <c r="I57" s="5" t="s">
        <v>33</v>
      </c>
    </row>
    <row r="58" customFormat="false" ht="17.15" hidden="false" customHeight="false" outlineLevel="0" collapsed="false">
      <c r="A58" s="0" t="s">
        <v>146</v>
      </c>
      <c r="B58" s="0" t="s">
        <v>147</v>
      </c>
      <c r="C58" s="0" t="s">
        <v>27</v>
      </c>
      <c r="E58" s="7" t="n">
        <v>23.2480272411321</v>
      </c>
      <c r="G58" s="8" t="s">
        <v>28</v>
      </c>
      <c r="H58" s="5" t="s">
        <v>33</v>
      </c>
      <c r="I58" s="5" t="s">
        <v>33</v>
      </c>
    </row>
    <row r="59" customFormat="false" ht="17.15" hidden="false" customHeight="false" outlineLevel="0" collapsed="false">
      <c r="A59" s="0" t="s">
        <v>148</v>
      </c>
      <c r="B59" s="0" t="s">
        <v>149</v>
      </c>
      <c r="C59" s="0" t="s">
        <v>27</v>
      </c>
      <c r="E59" s="7" t="n">
        <v>22.0856258790755</v>
      </c>
      <c r="G59" s="8" t="s">
        <v>28</v>
      </c>
      <c r="H59" s="5" t="s">
        <v>33</v>
      </c>
      <c r="I59" s="5" t="s">
        <v>33</v>
      </c>
    </row>
    <row r="60" customFormat="false" ht="17.15" hidden="false" customHeight="false" outlineLevel="0" collapsed="false">
      <c r="A60" s="0" t="s">
        <v>150</v>
      </c>
      <c r="B60" s="0" t="s">
        <v>151</v>
      </c>
      <c r="C60" s="0" t="s">
        <v>27</v>
      </c>
      <c r="E60" s="7" t="n">
        <v>12.1726019800256</v>
      </c>
      <c r="G60" s="8" t="s">
        <v>28</v>
      </c>
      <c r="H60" s="8" t="s">
        <v>152</v>
      </c>
      <c r="I60" s="5" t="s">
        <v>33</v>
      </c>
    </row>
    <row r="61" customFormat="false" ht="17.15" hidden="false" customHeight="false" outlineLevel="0" collapsed="false">
      <c r="A61" s="0" t="s">
        <v>153</v>
      </c>
      <c r="B61" s="0" t="s">
        <v>154</v>
      </c>
      <c r="C61" s="0" t="s">
        <v>27</v>
      </c>
      <c r="E61" s="7" t="n">
        <v>17.5039054704765</v>
      </c>
      <c r="G61" s="8" t="s">
        <v>28</v>
      </c>
      <c r="H61" s="5" t="s">
        <v>33</v>
      </c>
      <c r="I61" s="5" t="s">
        <v>33</v>
      </c>
    </row>
    <row r="62" customFormat="false" ht="17.15" hidden="false" customHeight="false" outlineLevel="0" collapsed="false">
      <c r="A62" s="0" t="s">
        <v>155</v>
      </c>
      <c r="B62" s="0" t="s">
        <v>156</v>
      </c>
      <c r="C62" s="0" t="s">
        <v>27</v>
      </c>
      <c r="E62" s="7" t="n">
        <v>23.2480272411321</v>
      </c>
      <c r="G62" s="8" t="s">
        <v>28</v>
      </c>
      <c r="H62" s="5" t="s">
        <v>33</v>
      </c>
      <c r="I62" s="5" t="s">
        <v>33</v>
      </c>
    </row>
    <row r="63" customFormat="false" ht="17.15" hidden="false" customHeight="false" outlineLevel="0" collapsed="false">
      <c r="A63" s="0" t="s">
        <v>157</v>
      </c>
      <c r="B63" s="0" t="s">
        <v>158</v>
      </c>
      <c r="C63" s="0" t="s">
        <v>27</v>
      </c>
      <c r="E63" s="7" t="n">
        <v>18.5984217929057</v>
      </c>
      <c r="G63" s="8" t="s">
        <v>28</v>
      </c>
      <c r="H63" s="5" t="s">
        <v>33</v>
      </c>
      <c r="I63" s="5" t="s">
        <v>33</v>
      </c>
    </row>
    <row r="64" customFormat="false" ht="17.15" hidden="false" customHeight="false" outlineLevel="0" collapsed="false">
      <c r="A64" s="0" t="s">
        <v>159</v>
      </c>
      <c r="B64" s="0" t="s">
        <v>160</v>
      </c>
      <c r="C64" s="0" t="s">
        <v>27</v>
      </c>
      <c r="E64" s="7" t="n">
        <v>18.5984217929057</v>
      </c>
      <c r="G64" s="8" t="s">
        <v>28</v>
      </c>
      <c r="H64" s="5" t="s">
        <v>33</v>
      </c>
      <c r="I64" s="5" t="s">
        <v>33</v>
      </c>
    </row>
    <row r="65" customFormat="false" ht="17.15" hidden="false" customHeight="false" outlineLevel="0" collapsed="false">
      <c r="A65" s="0" t="s">
        <v>161</v>
      </c>
      <c r="B65" s="5" t="s">
        <v>162</v>
      </c>
      <c r="C65" s="0" t="s">
        <v>27</v>
      </c>
      <c r="E65" s="7" t="n">
        <v>116.896831844029</v>
      </c>
      <c r="G65" s="8" t="s">
        <v>28</v>
      </c>
      <c r="H65" s="8" t="s">
        <v>163</v>
      </c>
      <c r="I65" s="5" t="s">
        <v>30</v>
      </c>
    </row>
    <row r="66" customFormat="false" ht="17.15" hidden="false" customHeight="false" outlineLevel="0" collapsed="false">
      <c r="A66" s="0" t="s">
        <v>164</v>
      </c>
      <c r="B66" s="5" t="s">
        <v>165</v>
      </c>
      <c r="C66" s="0" t="s">
        <v>27</v>
      </c>
      <c r="E66" s="7" t="n">
        <v>156.157050570127</v>
      </c>
      <c r="G66" s="8" t="s">
        <v>28</v>
      </c>
      <c r="H66" s="5" t="s">
        <v>33</v>
      </c>
      <c r="I66" s="5" t="s">
        <v>33</v>
      </c>
    </row>
    <row r="67" customFormat="false" ht="17.15" hidden="false" customHeight="false" outlineLevel="0" collapsed="false">
      <c r="A67" s="0" t="s">
        <v>166</v>
      </c>
      <c r="B67" s="5" t="s">
        <v>167</v>
      </c>
      <c r="C67" s="0" t="s">
        <v>27</v>
      </c>
      <c r="E67" s="7" t="n">
        <v>192.795469377561</v>
      </c>
      <c r="G67" s="8" t="s">
        <v>28</v>
      </c>
      <c r="H67" s="5" t="s">
        <v>33</v>
      </c>
      <c r="I67" s="5" t="s">
        <v>33</v>
      </c>
    </row>
    <row r="68" customFormat="false" ht="17.15" hidden="false" customHeight="false" outlineLevel="0" collapsed="false">
      <c r="A68" s="0" t="s">
        <v>168</v>
      </c>
      <c r="B68" s="5" t="s">
        <v>169</v>
      </c>
      <c r="C68" s="0" t="s">
        <v>27</v>
      </c>
      <c r="E68" s="7" t="n">
        <v>216.628626308958</v>
      </c>
      <c r="G68" s="8" t="s">
        <v>28</v>
      </c>
      <c r="H68" s="5" t="s">
        <v>33</v>
      </c>
      <c r="I68" s="5" t="s">
        <v>33</v>
      </c>
    </row>
    <row r="69" customFormat="false" ht="17.15" hidden="false" customHeight="false" outlineLevel="0" collapsed="false">
      <c r="A69" s="0" t="s">
        <v>170</v>
      </c>
      <c r="B69" s="5" t="s">
        <v>171</v>
      </c>
      <c r="C69" s="0" t="s">
        <v>27</v>
      </c>
      <c r="E69" s="7" t="n">
        <v>228.903685855226</v>
      </c>
      <c r="G69" s="8" t="s">
        <v>28</v>
      </c>
      <c r="H69" s="5" t="s">
        <v>33</v>
      </c>
      <c r="I69" s="5" t="s">
        <v>33</v>
      </c>
    </row>
    <row r="70" customFormat="false" ht="17.15" hidden="false" customHeight="false" outlineLevel="0" collapsed="false">
      <c r="A70" s="0" t="s">
        <v>172</v>
      </c>
      <c r="B70" s="5" t="s">
        <v>173</v>
      </c>
      <c r="C70" s="0" t="s">
        <v>27</v>
      </c>
      <c r="E70" s="7" t="n">
        <v>116.896831844029</v>
      </c>
      <c r="G70" s="8" t="s">
        <v>28</v>
      </c>
      <c r="H70" s="8" t="s">
        <v>174</v>
      </c>
      <c r="I70" s="5" t="s">
        <v>33</v>
      </c>
    </row>
    <row r="71" customFormat="false" ht="17.15" hidden="false" customHeight="false" outlineLevel="0" collapsed="false">
      <c r="A71" s="0" t="s">
        <v>175</v>
      </c>
      <c r="B71" s="5" t="s">
        <v>176</v>
      </c>
      <c r="C71" s="0" t="s">
        <v>27</v>
      </c>
      <c r="E71" s="7" t="n">
        <v>156.157050570127</v>
      </c>
      <c r="G71" s="8" t="s">
        <v>28</v>
      </c>
      <c r="H71" s="5" t="s">
        <v>33</v>
      </c>
      <c r="I71" s="5" t="s">
        <v>33</v>
      </c>
    </row>
    <row r="72" customFormat="false" ht="17.15" hidden="false" customHeight="false" outlineLevel="0" collapsed="false">
      <c r="A72" s="0" t="s">
        <v>177</v>
      </c>
      <c r="B72" s="5" t="s">
        <v>178</v>
      </c>
      <c r="C72" s="0" t="s">
        <v>27</v>
      </c>
      <c r="E72" s="7" t="n">
        <v>192.795469377561</v>
      </c>
      <c r="G72" s="8" t="s">
        <v>28</v>
      </c>
      <c r="H72" s="5" t="s">
        <v>33</v>
      </c>
      <c r="I72" s="5" t="s">
        <v>33</v>
      </c>
    </row>
    <row r="73" customFormat="false" ht="17.15" hidden="false" customHeight="false" outlineLevel="0" collapsed="false">
      <c r="A73" s="0" t="s">
        <v>179</v>
      </c>
      <c r="B73" s="5" t="s">
        <v>180</v>
      </c>
      <c r="C73" s="0" t="s">
        <v>27</v>
      </c>
      <c r="E73" s="7" t="n">
        <v>192.795469377561</v>
      </c>
      <c r="G73" s="8" t="s">
        <v>28</v>
      </c>
      <c r="H73" s="5" t="s">
        <v>33</v>
      </c>
      <c r="I73" s="5" t="s">
        <v>33</v>
      </c>
    </row>
    <row r="74" customFormat="false" ht="17.15" hidden="false" customHeight="false" outlineLevel="0" collapsed="false">
      <c r="A74" s="0" t="s">
        <v>181</v>
      </c>
      <c r="B74" s="5" t="s">
        <v>182</v>
      </c>
      <c r="C74" s="0" t="s">
        <v>27</v>
      </c>
      <c r="E74" s="7" t="n">
        <v>183.155695908683</v>
      </c>
      <c r="G74" s="8" t="s">
        <v>28</v>
      </c>
      <c r="H74" s="5" t="s">
        <v>33</v>
      </c>
      <c r="I74" s="5" t="s">
        <v>33</v>
      </c>
    </row>
    <row r="75" customFormat="false" ht="17.15" hidden="false" customHeight="false" outlineLevel="0" collapsed="false">
      <c r="A75" s="0" t="s">
        <v>183</v>
      </c>
      <c r="B75" s="5" t="s">
        <v>184</v>
      </c>
      <c r="C75" s="0" t="s">
        <v>27</v>
      </c>
      <c r="E75" s="7" t="n">
        <v>116.896831844029</v>
      </c>
      <c r="G75" s="8" t="s">
        <v>28</v>
      </c>
      <c r="H75" s="8" t="s">
        <v>185</v>
      </c>
      <c r="I75" s="5" t="s">
        <v>33</v>
      </c>
    </row>
    <row r="76" customFormat="false" ht="17.15" hidden="false" customHeight="false" outlineLevel="0" collapsed="false">
      <c r="A76" s="0" t="s">
        <v>186</v>
      </c>
      <c r="B76" s="5" t="s">
        <v>187</v>
      </c>
      <c r="C76" s="0" t="s">
        <v>27</v>
      </c>
      <c r="E76" s="7" t="n">
        <v>156.157050570127</v>
      </c>
      <c r="G76" s="8" t="s">
        <v>28</v>
      </c>
      <c r="H76" s="5" t="s">
        <v>33</v>
      </c>
      <c r="I76" s="5" t="s">
        <v>33</v>
      </c>
    </row>
    <row r="77" customFormat="false" ht="17.15" hidden="false" customHeight="false" outlineLevel="0" collapsed="false">
      <c r="A77" s="0" t="s">
        <v>188</v>
      </c>
      <c r="B77" s="5" t="s">
        <v>189</v>
      </c>
      <c r="C77" s="0" t="s">
        <v>27</v>
      </c>
      <c r="E77" s="7" t="n">
        <v>192.795469377561</v>
      </c>
      <c r="G77" s="8" t="s">
        <v>28</v>
      </c>
      <c r="H77" s="5" t="s">
        <v>33</v>
      </c>
      <c r="I77" s="5" t="s">
        <v>33</v>
      </c>
    </row>
    <row r="78" customFormat="false" ht="17.15" hidden="false" customHeight="false" outlineLevel="0" collapsed="false">
      <c r="A78" s="0" t="s">
        <v>190</v>
      </c>
      <c r="B78" s="5" t="s">
        <v>191</v>
      </c>
      <c r="C78" s="0" t="s">
        <v>27</v>
      </c>
      <c r="E78" s="7" t="n">
        <v>154.236375502049</v>
      </c>
      <c r="G78" s="8" t="s">
        <v>28</v>
      </c>
      <c r="H78" s="5" t="s">
        <v>33</v>
      </c>
      <c r="I78" s="5" t="s">
        <v>33</v>
      </c>
    </row>
    <row r="79" customFormat="false" ht="17.15" hidden="false" customHeight="false" outlineLevel="0" collapsed="false">
      <c r="A79" s="0" t="s">
        <v>192</v>
      </c>
      <c r="B79" s="5" t="s">
        <v>193</v>
      </c>
      <c r="C79" s="0" t="s">
        <v>27</v>
      </c>
      <c r="E79" s="7" t="n">
        <v>154.236375502049</v>
      </c>
      <c r="G79" s="8" t="s">
        <v>28</v>
      </c>
      <c r="H79" s="5" t="s">
        <v>33</v>
      </c>
      <c r="I79" s="5" t="s">
        <v>33</v>
      </c>
    </row>
    <row r="80" customFormat="false" ht="17.15" hidden="false" customHeight="false" outlineLevel="0" collapsed="false">
      <c r="A80" s="0" t="s">
        <v>194</v>
      </c>
      <c r="B80" s="0" t="s">
        <v>195</v>
      </c>
      <c r="C80" s="0" t="s">
        <v>27</v>
      </c>
      <c r="E80" s="7" t="n">
        <v>116.896831844029</v>
      </c>
      <c r="G80" s="8" t="s">
        <v>196</v>
      </c>
      <c r="H80" s="8" t="s">
        <v>197</v>
      </c>
      <c r="I80" s="8" t="s">
        <v>198</v>
      </c>
    </row>
    <row r="81" customFormat="false" ht="17.15" hidden="false" customHeight="false" outlineLevel="0" collapsed="false">
      <c r="A81" s="0" t="s">
        <v>199</v>
      </c>
      <c r="B81" s="0" t="s">
        <v>200</v>
      </c>
      <c r="C81" s="0" t="s">
        <v>27</v>
      </c>
      <c r="E81" s="7" t="n">
        <v>143.9</v>
      </c>
      <c r="G81" s="8" t="s">
        <v>201</v>
      </c>
      <c r="H81" s="5" t="s">
        <v>33</v>
      </c>
      <c r="I81" s="5" t="s">
        <v>33</v>
      </c>
    </row>
    <row r="82" customFormat="false" ht="17.15" hidden="false" customHeight="false" outlineLevel="0" collapsed="false">
      <c r="A82" s="0" t="s">
        <v>202</v>
      </c>
      <c r="B82" s="0" t="s">
        <v>203</v>
      </c>
      <c r="C82" s="0" t="s">
        <v>27</v>
      </c>
      <c r="E82" s="7" t="n">
        <v>175.2702</v>
      </c>
      <c r="G82" s="8" t="s">
        <v>201</v>
      </c>
      <c r="H82" s="5" t="s">
        <v>33</v>
      </c>
      <c r="I82" s="5" t="s">
        <v>33</v>
      </c>
    </row>
    <row r="83" customFormat="false" ht="17.15" hidden="false" customHeight="false" outlineLevel="0" collapsed="false">
      <c r="A83" s="0" t="s">
        <v>204</v>
      </c>
      <c r="B83" s="0" t="s">
        <v>205</v>
      </c>
      <c r="C83" s="0" t="s">
        <v>27</v>
      </c>
      <c r="E83" s="7" t="n">
        <v>199.9832982</v>
      </c>
      <c r="G83" s="8" t="s">
        <v>201</v>
      </c>
      <c r="H83" s="5" t="s">
        <v>33</v>
      </c>
      <c r="I83" s="5" t="s">
        <v>33</v>
      </c>
    </row>
    <row r="84" customFormat="false" ht="17.15" hidden="false" customHeight="false" outlineLevel="0" collapsed="false">
      <c r="A84" s="0" t="s">
        <v>206</v>
      </c>
      <c r="B84" s="0" t="s">
        <v>207</v>
      </c>
      <c r="C84" s="0" t="s">
        <v>27</v>
      </c>
      <c r="E84" s="7" t="n">
        <v>215.981962056</v>
      </c>
      <c r="G84" s="8" t="s">
        <v>201</v>
      </c>
      <c r="H84" s="5" t="s">
        <v>33</v>
      </c>
      <c r="I84" s="5" t="s">
        <v>33</v>
      </c>
    </row>
    <row r="85" customFormat="false" ht="17.15" hidden="false" customHeight="false" outlineLevel="0" collapsed="false">
      <c r="A85" s="0" t="s">
        <v>208</v>
      </c>
      <c r="B85" s="5" t="s">
        <v>209</v>
      </c>
      <c r="C85" s="5" t="s">
        <v>210</v>
      </c>
      <c r="E85" s="7" t="n">
        <v>2029</v>
      </c>
      <c r="G85" s="8" t="s">
        <v>28</v>
      </c>
      <c r="H85" s="8" t="s">
        <v>211</v>
      </c>
      <c r="I85" s="5" t="s">
        <v>212</v>
      </c>
    </row>
    <row r="86" customFormat="false" ht="17.15" hidden="false" customHeight="false" outlineLevel="0" collapsed="false">
      <c r="A86" s="0" t="s">
        <v>213</v>
      </c>
      <c r="B86" s="5" t="s">
        <v>214</v>
      </c>
      <c r="C86" s="5" t="s">
        <v>210</v>
      </c>
      <c r="E86" s="7" t="n">
        <v>2028</v>
      </c>
      <c r="G86" s="8" t="s">
        <v>28</v>
      </c>
      <c r="H86" s="8" t="s">
        <v>215</v>
      </c>
      <c r="I86" s="5" t="s">
        <v>33</v>
      </c>
    </row>
    <row r="87" customFormat="false" ht="17.15" hidden="false" customHeight="false" outlineLevel="0" collapsed="false">
      <c r="A87" s="0" t="s">
        <v>216</v>
      </c>
      <c r="B87" s="5" t="s">
        <v>217</v>
      </c>
      <c r="C87" s="5" t="s">
        <v>210</v>
      </c>
      <c r="E87" s="7" t="n">
        <v>2027</v>
      </c>
      <c r="G87" s="8" t="s">
        <v>28</v>
      </c>
      <c r="H87" s="8" t="s">
        <v>218</v>
      </c>
      <c r="I87" s="5" t="s">
        <v>33</v>
      </c>
    </row>
    <row r="88" customFormat="false" ht="17.15" hidden="false" customHeight="false" outlineLevel="0" collapsed="false">
      <c r="A88" s="1" t="s">
        <v>219</v>
      </c>
    </row>
    <row r="89" customFormat="false" ht="17.15" hidden="false" customHeight="false" outlineLevel="0" collapsed="false">
      <c r="A89" s="0" t="s">
        <v>220</v>
      </c>
      <c r="B89" s="5" t="s">
        <v>221</v>
      </c>
      <c r="C89" s="0" t="s">
        <v>222</v>
      </c>
      <c r="D89" s="7" t="n">
        <v>14200</v>
      </c>
      <c r="E89" s="7" t="n">
        <v>14700</v>
      </c>
      <c r="F89" s="7" t="n">
        <v>15200</v>
      </c>
      <c r="G89" s="8" t="s">
        <v>201</v>
      </c>
      <c r="H89" s="8" t="s">
        <v>223</v>
      </c>
      <c r="I89" s="5" t="s">
        <v>224</v>
      </c>
    </row>
    <row r="90" customFormat="false" ht="17.15" hidden="false" customHeight="false" outlineLevel="0" collapsed="false">
      <c r="A90" s="0" t="s">
        <v>225</v>
      </c>
      <c r="B90" s="5" t="s">
        <v>226</v>
      </c>
      <c r="C90" s="0" t="s">
        <v>222</v>
      </c>
      <c r="E90" s="7" t="n">
        <v>3700</v>
      </c>
      <c r="G90" s="8" t="s">
        <v>201</v>
      </c>
      <c r="H90" s="8" t="s">
        <v>227</v>
      </c>
      <c r="I90" s="5" t="s">
        <v>228</v>
      </c>
    </row>
    <row r="91" customFormat="false" ht="17.15" hidden="false" customHeight="false" outlineLevel="0" collapsed="false">
      <c r="A91" s="0" t="s">
        <v>229</v>
      </c>
      <c r="B91" s="5" t="s">
        <v>230</v>
      </c>
      <c r="C91" s="0" t="s">
        <v>231</v>
      </c>
      <c r="D91" s="7" t="n">
        <v>0.56</v>
      </c>
      <c r="E91" s="7" t="n">
        <v>0.57</v>
      </c>
      <c r="F91" s="7" t="n">
        <v>0.58</v>
      </c>
      <c r="G91" s="8" t="s">
        <v>201</v>
      </c>
      <c r="H91" s="8" t="s">
        <v>232</v>
      </c>
      <c r="I91" s="8" t="s">
        <v>233</v>
      </c>
    </row>
    <row r="92" customFormat="false" ht="17.15" hidden="false" customHeight="false" outlineLevel="0" collapsed="false">
      <c r="A92" s="0" t="s">
        <v>234</v>
      </c>
      <c r="B92" s="5" t="s">
        <v>235</v>
      </c>
      <c r="C92" s="0" t="s">
        <v>222</v>
      </c>
      <c r="E92" s="7" t="n">
        <v>1200</v>
      </c>
      <c r="G92" s="8" t="s">
        <v>201</v>
      </c>
      <c r="H92" s="5" t="s">
        <v>236</v>
      </c>
      <c r="I92" s="5" t="s">
        <v>33</v>
      </c>
    </row>
    <row r="93" customFormat="false" ht="17.15" hidden="false" customHeight="false" outlineLevel="0" collapsed="false">
      <c r="A93" s="0" t="s">
        <v>237</v>
      </c>
      <c r="B93" s="5" t="s">
        <v>238</v>
      </c>
      <c r="C93" s="0" t="s">
        <v>222</v>
      </c>
      <c r="E93" s="7" t="n">
        <v>400</v>
      </c>
      <c r="G93" s="8" t="s">
        <v>201</v>
      </c>
      <c r="H93" s="5" t="s">
        <v>239</v>
      </c>
      <c r="I93" s="5" t="s">
        <v>33</v>
      </c>
    </row>
    <row r="94" customFormat="false" ht="17.15" hidden="false" customHeight="false" outlineLevel="0" collapsed="false">
      <c r="A94" s="0" t="s">
        <v>240</v>
      </c>
      <c r="B94" s="0" t="s">
        <v>241</v>
      </c>
      <c r="C94" s="0" t="s">
        <v>222</v>
      </c>
      <c r="D94" s="7" t="n">
        <v>44000</v>
      </c>
      <c r="E94" s="7" t="n">
        <v>44500</v>
      </c>
      <c r="F94" s="7" t="n">
        <v>45000</v>
      </c>
      <c r="G94" s="8" t="s">
        <v>201</v>
      </c>
      <c r="H94" s="8" t="s">
        <v>242</v>
      </c>
      <c r="I94" s="8" t="s">
        <v>243</v>
      </c>
    </row>
    <row r="95" customFormat="false" ht="17.15" hidden="false" customHeight="false" outlineLevel="0" collapsed="false">
      <c r="A95" s="0" t="s">
        <v>244</v>
      </c>
      <c r="B95" s="0" t="s">
        <v>245</v>
      </c>
      <c r="C95" s="0" t="s">
        <v>231</v>
      </c>
      <c r="E95" s="7" t="n">
        <v>0.56</v>
      </c>
      <c r="G95" s="8" t="s">
        <v>201</v>
      </c>
      <c r="H95" s="5" t="s">
        <v>246</v>
      </c>
      <c r="I95" s="5" t="s">
        <v>228</v>
      </c>
    </row>
    <row r="96" customFormat="false" ht="17.15" hidden="false" customHeight="false" outlineLevel="0" collapsed="false">
      <c r="A96" s="0" t="s">
        <v>247</v>
      </c>
      <c r="B96" s="0" t="s">
        <v>248</v>
      </c>
      <c r="C96" s="0" t="s">
        <v>231</v>
      </c>
      <c r="E96" s="7" t="n">
        <v>0.17</v>
      </c>
      <c r="G96" s="8" t="s">
        <v>201</v>
      </c>
      <c r="H96" s="8" t="s">
        <v>249</v>
      </c>
      <c r="I96" s="5" t="s">
        <v>250</v>
      </c>
    </row>
    <row r="97" customFormat="false" ht="17.15" hidden="false" customHeight="false" outlineLevel="0" collapsed="false">
      <c r="A97" s="0" t="s">
        <v>251</v>
      </c>
      <c r="B97" s="0" t="s">
        <v>252</v>
      </c>
      <c r="C97" s="0" t="s">
        <v>231</v>
      </c>
      <c r="E97" s="7" t="n">
        <v>0.45</v>
      </c>
      <c r="G97" s="8" t="s">
        <v>201</v>
      </c>
      <c r="H97" s="8" t="s">
        <v>253</v>
      </c>
      <c r="I97" s="8" t="s">
        <v>254</v>
      </c>
    </row>
    <row r="98" customFormat="false" ht="17.15" hidden="false" customHeight="false" outlineLevel="0" collapsed="false">
      <c r="A98" s="0" t="s">
        <v>255</v>
      </c>
      <c r="B98" s="0" t="s">
        <v>256</v>
      </c>
      <c r="C98" s="0" t="s">
        <v>231</v>
      </c>
      <c r="E98" s="7" t="n">
        <v>0.1</v>
      </c>
      <c r="G98" s="8" t="s">
        <v>201</v>
      </c>
      <c r="H98" s="8" t="s">
        <v>257</v>
      </c>
      <c r="I98" s="8" t="s">
        <v>258</v>
      </c>
    </row>
    <row r="99" customFormat="false" ht="17.15" hidden="false" customHeight="false" outlineLevel="0" collapsed="false">
      <c r="A99" s="0" t="s">
        <v>259</v>
      </c>
      <c r="B99" s="0" t="s">
        <v>260</v>
      </c>
      <c r="C99" s="0" t="s">
        <v>231</v>
      </c>
      <c r="E99" s="7" t="n">
        <v>0.75</v>
      </c>
      <c r="G99" s="8" t="s">
        <v>201</v>
      </c>
      <c r="H99" s="5" t="s">
        <v>33</v>
      </c>
      <c r="I99" s="5" t="s">
        <v>33</v>
      </c>
    </row>
    <row r="100" customFormat="false" ht="17.15" hidden="false" customHeight="false" outlineLevel="0" collapsed="false">
      <c r="A100" s="0" t="s">
        <v>261</v>
      </c>
      <c r="B100" s="0" t="s">
        <v>262</v>
      </c>
      <c r="C100" s="0" t="s">
        <v>231</v>
      </c>
      <c r="E100" s="7" t="n">
        <v>0.5</v>
      </c>
      <c r="G100" s="8" t="s">
        <v>201</v>
      </c>
      <c r="H100" s="8" t="s">
        <v>263</v>
      </c>
      <c r="I100" s="5" t="s">
        <v>264</v>
      </c>
    </row>
    <row r="101" customFormat="false" ht="17.15" hidden="false" customHeight="false" outlineLevel="0" collapsed="false">
      <c r="A101" s="0" t="s">
        <v>265</v>
      </c>
      <c r="B101" s="5" t="s">
        <v>266</v>
      </c>
      <c r="C101" s="5" t="s">
        <v>267</v>
      </c>
      <c r="D101" s="7" t="n">
        <v>380</v>
      </c>
      <c r="E101" s="7" t="n">
        <v>381.5</v>
      </c>
      <c r="F101" s="7" t="n">
        <v>383.1</v>
      </c>
      <c r="G101" s="8" t="s">
        <v>268</v>
      </c>
      <c r="H101" s="5" t="s">
        <v>269</v>
      </c>
      <c r="I101" s="5" t="s">
        <v>270</v>
      </c>
    </row>
    <row r="102" customFormat="false" ht="17.15" hidden="false" customHeight="false" outlineLevel="0" collapsed="false">
      <c r="A102" s="1" t="s">
        <v>271</v>
      </c>
    </row>
    <row r="103" customFormat="false" ht="17.15" hidden="false" customHeight="false" outlineLevel="0" collapsed="false">
      <c r="A103" s="0" t="s">
        <v>272</v>
      </c>
      <c r="B103" s="0" t="s">
        <v>273</v>
      </c>
      <c r="C103" s="0" t="s">
        <v>222</v>
      </c>
      <c r="E103" s="7" t="n">
        <v>16100</v>
      </c>
      <c r="G103" s="8" t="s">
        <v>196</v>
      </c>
      <c r="H103" s="8" t="s">
        <v>274</v>
      </c>
      <c r="I103" s="5" t="s">
        <v>275</v>
      </c>
    </row>
    <row r="104" customFormat="false" ht="17.15" hidden="false" customHeight="false" outlineLevel="0" collapsed="false">
      <c r="A104" s="0" t="s">
        <v>276</v>
      </c>
      <c r="B104" s="0" t="s">
        <v>277</v>
      </c>
      <c r="C104" s="0" t="s">
        <v>222</v>
      </c>
      <c r="E104" s="7" t="n">
        <v>8400</v>
      </c>
      <c r="G104" s="8" t="s">
        <v>196</v>
      </c>
      <c r="H104" s="5" t="s">
        <v>278</v>
      </c>
      <c r="I104" s="5" t="s">
        <v>33</v>
      </c>
    </row>
    <row r="105" customFormat="false" ht="17.15" hidden="false" customHeight="false" outlineLevel="0" collapsed="false">
      <c r="A105" s="0" t="s">
        <v>279</v>
      </c>
      <c r="B105" s="0" t="s">
        <v>280</v>
      </c>
      <c r="C105" s="0" t="s">
        <v>231</v>
      </c>
      <c r="E105" s="0" t="n">
        <f aca="false">a25_log*(1+g_log)/(a25_log*(1+g_log)+a25_mem*(1+g_mem))</f>
        <v>0.546436285097192</v>
      </c>
      <c r="G105" s="0" t="s">
        <v>28</v>
      </c>
      <c r="H105" s="0" t="s">
        <v>281</v>
      </c>
      <c r="I105" s="0" t="s">
        <v>282</v>
      </c>
    </row>
    <row r="106" customFormat="false" ht="17.15" hidden="false" customHeight="false" outlineLevel="0" collapsed="false">
      <c r="A106" s="0" t="s">
        <v>283</v>
      </c>
      <c r="B106" s="0" t="s">
        <v>284</v>
      </c>
      <c r="C106" s="0" t="s">
        <v>231</v>
      </c>
      <c r="D106" s="7" t="n">
        <v>0.17</v>
      </c>
      <c r="E106" s="7" t="n">
        <v>0.2</v>
      </c>
      <c r="F106" s="7" t="n">
        <v>0.23</v>
      </c>
      <c r="G106" s="8" t="s">
        <v>201</v>
      </c>
      <c r="H106" s="5" t="s">
        <v>285</v>
      </c>
      <c r="I106" s="8" t="s">
        <v>286</v>
      </c>
    </row>
    <row r="107" customFormat="false" ht="17.15" hidden="false" customHeight="false" outlineLevel="0" collapsed="false">
      <c r="A107" s="0" t="s">
        <v>287</v>
      </c>
      <c r="B107" s="0" t="s">
        <v>288</v>
      </c>
      <c r="C107" s="0" t="s">
        <v>231</v>
      </c>
      <c r="E107" s="7" t="n">
        <v>0.33</v>
      </c>
      <c r="G107" s="8" t="s">
        <v>201</v>
      </c>
      <c r="H107" s="8" t="s">
        <v>289</v>
      </c>
      <c r="I107" s="8" t="s">
        <v>290</v>
      </c>
    </row>
    <row r="108" customFormat="false" ht="17.15" hidden="false" customHeight="false" outlineLevel="0" collapsed="false">
      <c r="A108" s="1" t="s">
        <v>291</v>
      </c>
    </row>
    <row r="109" customFormat="false" ht="17.15" hidden="false" customHeight="false" outlineLevel="0" collapsed="false">
      <c r="A109" s="0" t="s">
        <v>292</v>
      </c>
      <c r="B109" s="5" t="s">
        <v>293</v>
      </c>
      <c r="C109" s="0" t="s">
        <v>294</v>
      </c>
      <c r="D109" s="7" t="n">
        <v>0</v>
      </c>
      <c r="E109" s="7" t="n">
        <v>0.03</v>
      </c>
      <c r="F109" s="7" t="n">
        <v>0.06</v>
      </c>
      <c r="G109" s="8" t="s">
        <v>268</v>
      </c>
      <c r="H109" s="5" t="s">
        <v>295</v>
      </c>
      <c r="I109" s="8" t="s">
        <v>296</v>
      </c>
    </row>
    <row r="110" customFormat="false" ht="17.15" hidden="false" customHeight="false" outlineLevel="0" collapsed="false">
      <c r="A110" s="0" t="s">
        <v>297</v>
      </c>
      <c r="B110" s="0" t="s">
        <v>298</v>
      </c>
      <c r="C110" s="0" t="s">
        <v>231</v>
      </c>
      <c r="D110" s="7" t="n">
        <v>0.2</v>
      </c>
      <c r="E110" s="7" t="n">
        <v>0.3</v>
      </c>
      <c r="F110" s="7" t="n">
        <v>0.35</v>
      </c>
      <c r="G110" s="8" t="s">
        <v>201</v>
      </c>
      <c r="H110" s="8" t="s">
        <v>299</v>
      </c>
      <c r="I110" s="8" t="s">
        <v>300</v>
      </c>
    </row>
    <row r="111" customFormat="false" ht="17.15" hidden="false" customHeight="false" outlineLevel="0" collapsed="false">
      <c r="A111" s="0" t="s">
        <v>301</v>
      </c>
      <c r="B111" s="0" t="s">
        <v>302</v>
      </c>
      <c r="C111" s="0" t="s">
        <v>231</v>
      </c>
      <c r="D111" s="7" t="n">
        <v>0</v>
      </c>
      <c r="E111" s="7" t="n">
        <v>0.15</v>
      </c>
      <c r="F111" s="7" t="n">
        <v>0.3</v>
      </c>
      <c r="G111" s="8" t="s">
        <v>268</v>
      </c>
      <c r="H111" s="5" t="s">
        <v>303</v>
      </c>
      <c r="I111" s="5" t="s">
        <v>304</v>
      </c>
    </row>
    <row r="112" customFormat="false" ht="17.15" hidden="false" customHeight="false" outlineLevel="0" collapsed="false">
      <c r="A112" s="0" t="s">
        <v>305</v>
      </c>
      <c r="B112" s="0" t="s">
        <v>306</v>
      </c>
      <c r="C112" s="0" t="s">
        <v>231</v>
      </c>
      <c r="D112" s="7" t="n">
        <v>0</v>
      </c>
      <c r="E112" s="7" t="n">
        <v>0.1</v>
      </c>
      <c r="F112" s="7" t="n">
        <v>0.2</v>
      </c>
      <c r="G112" s="8" t="s">
        <v>268</v>
      </c>
      <c r="H112" s="5" t="s">
        <v>307</v>
      </c>
      <c r="I112" s="8" t="s">
        <v>308</v>
      </c>
    </row>
    <row r="113" customFormat="false" ht="17.15" hidden="false" customHeight="false" outlineLevel="0" collapsed="false">
      <c r="A113" s="0" t="s">
        <v>309</v>
      </c>
      <c r="B113" s="5" t="s">
        <v>310</v>
      </c>
      <c r="C113" s="0" t="s">
        <v>231</v>
      </c>
      <c r="D113" s="7" t="n">
        <v>-0.1</v>
      </c>
      <c r="E113" s="7" t="n">
        <v>0</v>
      </c>
      <c r="F113" s="7" t="n">
        <v>0.1</v>
      </c>
      <c r="G113" s="8" t="s">
        <v>268</v>
      </c>
      <c r="H113" s="8" t="s">
        <v>311</v>
      </c>
      <c r="I113" s="5" t="s">
        <v>312</v>
      </c>
    </row>
    <row r="114" customFormat="false" ht="17.15" hidden="false" customHeight="false" outlineLevel="0" collapsed="false">
      <c r="A114" s="0" t="s">
        <v>313</v>
      </c>
      <c r="B114" s="5" t="s">
        <v>314</v>
      </c>
      <c r="C114" s="0" t="s">
        <v>231</v>
      </c>
      <c r="D114" s="7" t="n">
        <v>-0.2</v>
      </c>
      <c r="E114" s="7" t="n">
        <v>-0.1</v>
      </c>
      <c r="F114" s="7" t="n">
        <v>0</v>
      </c>
      <c r="G114" s="8" t="s">
        <v>268</v>
      </c>
      <c r="H114" s="5" t="s">
        <v>315</v>
      </c>
      <c r="I114" s="5" t="s">
        <v>312</v>
      </c>
    </row>
    <row r="115" customFormat="false" ht="17.15" hidden="false" customHeight="false" outlineLevel="0" collapsed="false">
      <c r="A115" s="0" t="s">
        <v>316</v>
      </c>
      <c r="B115" s="5" t="s">
        <v>317</v>
      </c>
      <c r="C115" s="0" t="s">
        <v>231</v>
      </c>
      <c r="D115" s="7" t="n">
        <v>-0.4</v>
      </c>
      <c r="E115" s="7" t="n">
        <v>-0.25</v>
      </c>
      <c r="F115" s="7" t="n">
        <v>-0.1</v>
      </c>
      <c r="G115" s="8" t="s">
        <v>268</v>
      </c>
      <c r="H115" s="5" t="s">
        <v>318</v>
      </c>
      <c r="I115" s="5" t="s">
        <v>312</v>
      </c>
    </row>
    <row r="116" customFormat="false" ht="17.15" hidden="false" customHeight="false" outlineLevel="0" collapsed="false">
      <c r="A116" s="0" t="s">
        <v>319</v>
      </c>
      <c r="B116" s="0" t="s">
        <v>320</v>
      </c>
      <c r="C116" s="0" t="s">
        <v>231</v>
      </c>
      <c r="D116" s="7" t="n">
        <v>0.08</v>
      </c>
      <c r="E116" s="7" t="n">
        <v>0.12</v>
      </c>
      <c r="F116" s="7" t="n">
        <v>0.16</v>
      </c>
      <c r="G116" s="8" t="s">
        <v>268</v>
      </c>
      <c r="H116" s="8" t="s">
        <v>321</v>
      </c>
      <c r="I116" s="5" t="s">
        <v>312</v>
      </c>
    </row>
    <row r="117" customFormat="false" ht="17.15" hidden="false" customHeight="false" outlineLevel="0" collapsed="false">
      <c r="A117" s="0" t="s">
        <v>322</v>
      </c>
      <c r="B117" s="0" t="s">
        <v>323</v>
      </c>
      <c r="C117" s="0" t="s">
        <v>231</v>
      </c>
      <c r="D117" s="7" t="n">
        <v>0.04</v>
      </c>
      <c r="E117" s="7" t="n">
        <v>0.08</v>
      </c>
      <c r="F117" s="7" t="n">
        <v>0.12</v>
      </c>
      <c r="G117" s="8" t="s">
        <v>268</v>
      </c>
      <c r="H117" s="5" t="s">
        <v>324</v>
      </c>
      <c r="I117" s="5" t="s">
        <v>312</v>
      </c>
    </row>
    <row r="118" customFormat="false" ht="17.15" hidden="false" customHeight="false" outlineLevel="0" collapsed="false">
      <c r="A118" s="0" t="s">
        <v>325</v>
      </c>
      <c r="B118" s="0" t="s">
        <v>326</v>
      </c>
      <c r="C118" s="0" t="s">
        <v>231</v>
      </c>
      <c r="D118" s="7" t="n">
        <v>-0.01</v>
      </c>
      <c r="E118" s="7" t="n">
        <v>0.03</v>
      </c>
      <c r="F118" s="7" t="n">
        <v>0.07</v>
      </c>
      <c r="G118" s="8" t="s">
        <v>268</v>
      </c>
      <c r="H118" s="5" t="s">
        <v>327</v>
      </c>
      <c r="I118" s="5" t="s">
        <v>312</v>
      </c>
    </row>
    <row r="119" customFormat="false" ht="17.15" hidden="false" customHeight="false" outlineLevel="0" collapsed="false">
      <c r="A119" s="1" t="s">
        <v>328</v>
      </c>
    </row>
    <row r="120" customFormat="false" ht="17.15" hidden="false" customHeight="false" outlineLevel="0" collapsed="false">
      <c r="A120" s="0" t="s">
        <v>329</v>
      </c>
      <c r="B120" s="5" t="s">
        <v>330</v>
      </c>
      <c r="C120" s="0" t="s">
        <v>331</v>
      </c>
      <c r="D120" s="0" t="n">
        <f aca="false">gm_b*0.5</f>
        <v>0.0464859934561895</v>
      </c>
      <c r="E120" s="0" t="n">
        <f aca="false">(a26_gp/a26_rev-a25_gp/a25_rev)/LN(a26_rev/a25_rev)</f>
        <v>0.0929719869123791</v>
      </c>
      <c r="F120" s="0" t="n">
        <f aca="false">gm_b*1.5</f>
        <v>0.139457980368569</v>
      </c>
      <c r="G120" s="0" t="s">
        <v>28</v>
      </c>
      <c r="H120" s="5" t="s">
        <v>332</v>
      </c>
      <c r="I120" s="5" t="s">
        <v>333</v>
      </c>
    </row>
    <row r="121" customFormat="false" ht="17.15" hidden="false" customHeight="false" outlineLevel="0" collapsed="false">
      <c r="A121" s="0" t="s">
        <v>334</v>
      </c>
      <c r="B121" s="5" t="s">
        <v>335</v>
      </c>
      <c r="C121" s="0" t="s">
        <v>222</v>
      </c>
      <c r="E121" s="0" t="n">
        <f aca="false">a25_rd+a25_sga</f>
        <v>5956.5</v>
      </c>
      <c r="G121" s="0" t="s">
        <v>28</v>
      </c>
      <c r="H121" s="0" t="s">
        <v>336</v>
      </c>
      <c r="I121" s="0" t="s">
        <v>308</v>
      </c>
    </row>
    <row r="122" customFormat="false" ht="17.15" hidden="false" customHeight="false" outlineLevel="0" collapsed="false">
      <c r="A122" s="0" t="s">
        <v>337</v>
      </c>
      <c r="B122" s="5" t="s">
        <v>338</v>
      </c>
      <c r="C122" s="0" t="s">
        <v>222</v>
      </c>
      <c r="E122" s="0" t="n">
        <f aca="false">a26_rd+a26_sga</f>
        <v>6193.5</v>
      </c>
      <c r="G122" s="0" t="s">
        <v>28</v>
      </c>
      <c r="H122" s="0" t="s">
        <v>336</v>
      </c>
      <c r="I122" s="0" t="s">
        <v>308</v>
      </c>
    </row>
    <row r="123" customFormat="false" ht="17.15" hidden="false" customHeight="false" outlineLevel="0" collapsed="false">
      <c r="A123" s="0" t="s">
        <v>339</v>
      </c>
      <c r="B123" s="5" t="s">
        <v>340</v>
      </c>
      <c r="C123" s="0" t="s">
        <v>231</v>
      </c>
      <c r="D123" s="7" t="n">
        <v>0</v>
      </c>
      <c r="E123" s="8" t="n">
        <f aca="false">(opex26-opex25)/(a26_rev-a25_rev)*a26_rev/opex26</f>
        <v>0.144308833118089</v>
      </c>
      <c r="F123" s="7" t="n">
        <v>0.4</v>
      </c>
      <c r="G123" s="8" t="s">
        <v>28</v>
      </c>
      <c r="H123" s="5" t="s">
        <v>341</v>
      </c>
      <c r="I123" s="8" t="s">
        <v>342</v>
      </c>
    </row>
    <row r="124" customFormat="false" ht="17.15" hidden="false" customHeight="false" outlineLevel="0" collapsed="false">
      <c r="A124" s="0" t="s">
        <v>343</v>
      </c>
      <c r="B124" s="5" t="s">
        <v>344</v>
      </c>
      <c r="C124" s="0" t="s">
        <v>345</v>
      </c>
      <c r="D124" s="7" t="n">
        <v>0.8</v>
      </c>
      <c r="E124" s="8" t="n">
        <f aca="false">a25_ni/a25_oi</f>
        <v>0.850268988461811</v>
      </c>
      <c r="F124" s="7" t="n">
        <v>0.87</v>
      </c>
      <c r="G124" s="8" t="s">
        <v>28</v>
      </c>
      <c r="H124" s="5" t="s">
        <v>346</v>
      </c>
      <c r="I124" s="8" t="s">
        <v>347</v>
      </c>
    </row>
    <row r="125" customFormat="false" ht="17.15" hidden="false" customHeight="false" outlineLevel="0" collapsed="false">
      <c r="A125" s="0" t="s">
        <v>348</v>
      </c>
      <c r="B125" s="5" t="s">
        <v>349</v>
      </c>
      <c r="C125" s="0" t="s">
        <v>294</v>
      </c>
      <c r="D125" s="7" t="n">
        <v>0</v>
      </c>
      <c r="E125" s="7" t="n">
        <v>0.01</v>
      </c>
      <c r="F125" s="7" t="n">
        <v>0.02</v>
      </c>
      <c r="G125" s="8" t="s">
        <v>268</v>
      </c>
      <c r="H125" s="5" t="s">
        <v>350</v>
      </c>
      <c r="I125" s="5" t="s">
        <v>351</v>
      </c>
    </row>
    <row r="126" customFormat="false" ht="17.15" hidden="false" customHeight="false" outlineLevel="0" collapsed="false">
      <c r="A126" s="1" t="s">
        <v>352</v>
      </c>
    </row>
    <row r="127" customFormat="false" ht="17.15" hidden="false" customHeight="false" outlineLevel="0" collapsed="false">
      <c r="A127" s="0" t="s">
        <v>353</v>
      </c>
      <c r="B127" s="0" t="s">
        <v>354</v>
      </c>
      <c r="C127" s="0" t="s">
        <v>231</v>
      </c>
      <c r="D127" s="7" t="n">
        <v>0.5</v>
      </c>
      <c r="E127" s="7" t="n">
        <v>0.55</v>
      </c>
      <c r="F127" s="7" t="n">
        <v>0.6</v>
      </c>
      <c r="G127" s="8" t="s">
        <v>268</v>
      </c>
      <c r="H127" s="8" t="s">
        <v>355</v>
      </c>
      <c r="I127" s="5" t="s">
        <v>312</v>
      </c>
    </row>
    <row r="128" customFormat="false" ht="17.15" hidden="false" customHeight="false" outlineLevel="0" collapsed="false">
      <c r="A128" s="0" t="s">
        <v>356</v>
      </c>
      <c r="B128" s="0" t="s">
        <v>357</v>
      </c>
      <c r="C128" s="0" t="s">
        <v>231</v>
      </c>
      <c r="D128" s="7" t="n">
        <v>0.52</v>
      </c>
      <c r="E128" s="7" t="n">
        <v>0.57</v>
      </c>
      <c r="F128" s="7" t="n">
        <v>0.62</v>
      </c>
      <c r="G128" s="8" t="s">
        <v>268</v>
      </c>
      <c r="H128" s="8" t="s">
        <v>355</v>
      </c>
      <c r="I128" s="5" t="s">
        <v>312</v>
      </c>
    </row>
    <row r="129" customFormat="false" ht="17.15" hidden="false" customHeight="false" outlineLevel="0" collapsed="false">
      <c r="A129" s="0" t="s">
        <v>358</v>
      </c>
      <c r="B129" s="0" t="s">
        <v>359</v>
      </c>
      <c r="C129" s="0" t="s">
        <v>231</v>
      </c>
      <c r="D129" s="7" t="n">
        <v>0.53</v>
      </c>
      <c r="E129" s="7" t="n">
        <v>0.58</v>
      </c>
      <c r="F129" s="7" t="n">
        <v>0.63</v>
      </c>
      <c r="G129" s="8" t="s">
        <v>268</v>
      </c>
      <c r="H129" s="8" t="s">
        <v>355</v>
      </c>
      <c r="I129" s="5" t="s">
        <v>312</v>
      </c>
    </row>
    <row r="130" customFormat="false" ht="17.15" hidden="false" customHeight="false" outlineLevel="0" collapsed="false">
      <c r="A130" s="0" t="s">
        <v>360</v>
      </c>
      <c r="B130" s="0" t="s">
        <v>361</v>
      </c>
      <c r="C130" s="5" t="s">
        <v>362</v>
      </c>
      <c r="D130" s="7" t="n">
        <v>4</v>
      </c>
      <c r="E130" s="7" t="n">
        <v>8</v>
      </c>
      <c r="F130" s="7" t="n">
        <v>13</v>
      </c>
      <c r="G130" s="8" t="s">
        <v>268</v>
      </c>
      <c r="H130" s="5" t="s">
        <v>363</v>
      </c>
      <c r="I130" s="5" t="s">
        <v>312</v>
      </c>
    </row>
    <row r="131" customFormat="false" ht="17.15" hidden="false" customHeight="false" outlineLevel="0" collapsed="false">
      <c r="A131" s="0" t="s">
        <v>364</v>
      </c>
      <c r="B131" s="0" t="s">
        <v>365</v>
      </c>
      <c r="C131" s="5" t="s">
        <v>362</v>
      </c>
      <c r="D131" s="7" t="n">
        <v>8</v>
      </c>
      <c r="E131" s="7" t="n">
        <v>12</v>
      </c>
      <c r="F131" s="7" t="n">
        <v>17</v>
      </c>
      <c r="G131" s="8" t="s">
        <v>268</v>
      </c>
      <c r="H131" s="5" t="s">
        <v>363</v>
      </c>
      <c r="I131" s="5" t="s">
        <v>312</v>
      </c>
    </row>
    <row r="132" customFormat="false" ht="17.15" hidden="false" customHeight="false" outlineLevel="0" collapsed="false">
      <c r="A132" s="0" t="s">
        <v>366</v>
      </c>
      <c r="B132" s="0" t="s">
        <v>367</v>
      </c>
      <c r="C132" s="5" t="s">
        <v>362</v>
      </c>
      <c r="D132" s="7" t="n">
        <v>11</v>
      </c>
      <c r="E132" s="7" t="n">
        <v>15</v>
      </c>
      <c r="F132" s="7" t="n">
        <v>20</v>
      </c>
      <c r="G132" s="8" t="s">
        <v>268</v>
      </c>
      <c r="H132" s="5" t="s">
        <v>363</v>
      </c>
      <c r="I132" s="5" t="s">
        <v>312</v>
      </c>
    </row>
    <row r="133" customFormat="false" ht="17.15" hidden="false" customHeight="false" outlineLevel="0" collapsed="false">
      <c r="A133" s="0" t="s">
        <v>368</v>
      </c>
      <c r="B133" s="0" t="s">
        <v>369</v>
      </c>
      <c r="C133" s="0" t="s">
        <v>370</v>
      </c>
      <c r="D133" s="7" t="n">
        <v>300</v>
      </c>
      <c r="E133" s="7" t="n">
        <v>350</v>
      </c>
      <c r="F133" s="7" t="n">
        <v>400</v>
      </c>
      <c r="G133" s="8" t="s">
        <v>201</v>
      </c>
      <c r="H133" s="5" t="s">
        <v>371</v>
      </c>
      <c r="I133" s="5" t="s">
        <v>372</v>
      </c>
    </row>
    <row r="134" customFormat="false" ht="17.15" hidden="false" customHeight="false" outlineLevel="0" collapsed="false">
      <c r="A134" s="0" t="s">
        <v>373</v>
      </c>
      <c r="B134" s="0" t="s">
        <v>374</v>
      </c>
      <c r="C134" s="0" t="s">
        <v>370</v>
      </c>
      <c r="D134" s="7" t="n">
        <v>200</v>
      </c>
      <c r="E134" s="7" t="n">
        <v>220</v>
      </c>
      <c r="F134" s="7" t="n">
        <v>250</v>
      </c>
      <c r="G134" s="8" t="s">
        <v>268</v>
      </c>
      <c r="H134" s="8" t="s">
        <v>375</v>
      </c>
      <c r="I134" s="5" t="s">
        <v>372</v>
      </c>
    </row>
    <row r="135" customFormat="false" ht="17.15" hidden="false" customHeight="false" outlineLevel="0" collapsed="false">
      <c r="A135" s="0" t="s">
        <v>376</v>
      </c>
      <c r="B135" s="0" t="s">
        <v>377</v>
      </c>
      <c r="C135" s="5" t="s">
        <v>362</v>
      </c>
      <c r="E135" s="7" t="n">
        <v>80</v>
      </c>
      <c r="G135" s="8" t="s">
        <v>201</v>
      </c>
      <c r="H135" s="8" t="s">
        <v>378</v>
      </c>
      <c r="I135" s="8" t="s">
        <v>379</v>
      </c>
    </row>
    <row r="136" customFormat="false" ht="17.15" hidden="false" customHeight="false" outlineLevel="0" collapsed="false">
      <c r="A136" s="1" t="s">
        <v>380</v>
      </c>
    </row>
    <row r="137" customFormat="false" ht="17.15" hidden="false" customHeight="false" outlineLevel="0" collapsed="false">
      <c r="A137" s="0" t="s">
        <v>381</v>
      </c>
      <c r="B137" s="5" t="s">
        <v>382</v>
      </c>
      <c r="C137" s="0" t="s">
        <v>383</v>
      </c>
      <c r="E137" s="7" t="n">
        <v>1.13</v>
      </c>
      <c r="G137" s="8" t="s">
        <v>196</v>
      </c>
      <c r="H137" s="5" t="s">
        <v>384</v>
      </c>
      <c r="I137" s="5" t="s">
        <v>385</v>
      </c>
    </row>
    <row r="138" customFormat="false" ht="17.15" hidden="false" customHeight="false" outlineLevel="0" collapsed="false">
      <c r="A138" s="0" t="s">
        <v>386</v>
      </c>
      <c r="B138" s="5" t="s">
        <v>387</v>
      </c>
      <c r="C138" s="0" t="s">
        <v>383</v>
      </c>
      <c r="D138" s="7" t="n">
        <v>1.05</v>
      </c>
      <c r="E138" s="7" t="n">
        <v>1.16</v>
      </c>
      <c r="F138" s="7" t="n">
        <v>1.25</v>
      </c>
      <c r="G138" s="8" t="s">
        <v>268</v>
      </c>
      <c r="H138" s="5" t="s">
        <v>388</v>
      </c>
      <c r="I138" s="8" t="s">
        <v>389</v>
      </c>
    </row>
    <row r="139" customFormat="false" ht="17.15" hidden="false" customHeight="false" outlineLevel="0" collapsed="false">
      <c r="A139" s="0" t="s">
        <v>390</v>
      </c>
      <c r="B139" s="5" t="s">
        <v>391</v>
      </c>
      <c r="C139" s="0" t="s">
        <v>392</v>
      </c>
      <c r="E139" s="7" t="n">
        <v>1407.2</v>
      </c>
      <c r="G139" s="8" t="s">
        <v>201</v>
      </c>
      <c r="H139" s="8" t="s">
        <v>393</v>
      </c>
      <c r="I139" s="8" t="s">
        <v>394</v>
      </c>
    </row>
    <row r="140" customFormat="false" ht="17.15" hidden="false" customHeight="false" outlineLevel="0" collapsed="false">
      <c r="A140" s="0" t="s">
        <v>395</v>
      </c>
      <c r="B140" s="5" t="s">
        <v>396</v>
      </c>
      <c r="C140" s="0" t="s">
        <v>345</v>
      </c>
      <c r="E140" s="7" t="n">
        <v>24.48</v>
      </c>
      <c r="G140" s="8" t="s">
        <v>201</v>
      </c>
      <c r="H140" s="8" t="s">
        <v>397</v>
      </c>
      <c r="I140" s="5" t="s">
        <v>398</v>
      </c>
    </row>
    <row r="141" customFormat="false" ht="17.15" hidden="false" customHeight="false" outlineLevel="0" collapsed="false">
      <c r="A141" s="0" t="s">
        <v>399</v>
      </c>
      <c r="B141" s="5" t="s">
        <v>400</v>
      </c>
      <c r="C141" s="0" t="s">
        <v>222</v>
      </c>
      <c r="E141" s="7" t="n">
        <v>44460</v>
      </c>
      <c r="G141" s="8" t="s">
        <v>201</v>
      </c>
      <c r="H141" s="8" t="s">
        <v>401</v>
      </c>
      <c r="I141" s="5" t="s">
        <v>402</v>
      </c>
    </row>
    <row r="142" customFormat="false" ht="17.15" hidden="false" customHeight="false" outlineLevel="0" collapsed="false">
      <c r="A142" s="0" t="s">
        <v>403</v>
      </c>
      <c r="B142" s="5" t="s">
        <v>404</v>
      </c>
      <c r="C142" s="0" t="s">
        <v>392</v>
      </c>
      <c r="E142" s="7" t="n">
        <v>41.21</v>
      </c>
      <c r="G142" s="8" t="s">
        <v>201</v>
      </c>
      <c r="H142" s="8" t="s">
        <v>405</v>
      </c>
      <c r="I142" s="8" t="s">
        <v>406</v>
      </c>
    </row>
    <row r="143" customFormat="false" ht="17.15" hidden="false" customHeight="false" outlineLevel="0" collapsed="false">
      <c r="A143" s="0" t="s">
        <v>407</v>
      </c>
      <c r="B143" s="5" t="s">
        <v>408</v>
      </c>
      <c r="C143" s="0" t="s">
        <v>222</v>
      </c>
      <c r="E143" s="7" t="n">
        <v>57210</v>
      </c>
      <c r="G143" s="8" t="s">
        <v>201</v>
      </c>
      <c r="H143" s="8" t="s">
        <v>409</v>
      </c>
      <c r="I143" s="5" t="s">
        <v>312</v>
      </c>
    </row>
    <row r="144" customFormat="false" ht="17.15" hidden="false" customHeight="false" outlineLevel="0" collapsed="false">
      <c r="A144" s="0" t="s">
        <v>410</v>
      </c>
      <c r="B144" s="5" t="s">
        <v>411</v>
      </c>
      <c r="C144" s="0" t="s">
        <v>392</v>
      </c>
      <c r="E144" s="7" t="n">
        <v>55.93</v>
      </c>
      <c r="G144" s="8" t="s">
        <v>201</v>
      </c>
      <c r="H144" s="8" t="s">
        <v>409</v>
      </c>
      <c r="I144" s="8" t="s">
        <v>412</v>
      </c>
    </row>
    <row r="145" customFormat="false" ht="17.15" hidden="false" customHeight="false" outlineLevel="0" collapsed="false">
      <c r="A145" s="0" t="s">
        <v>413</v>
      </c>
      <c r="B145" s="0" t="s">
        <v>414</v>
      </c>
      <c r="C145" s="0" t="s">
        <v>345</v>
      </c>
      <c r="E145" s="7" t="n">
        <v>18.8</v>
      </c>
      <c r="G145" s="8" t="s">
        <v>201</v>
      </c>
      <c r="H145" s="8" t="s">
        <v>415</v>
      </c>
      <c r="I145" s="5" t="s">
        <v>416</v>
      </c>
    </row>
    <row r="146" customFormat="false" ht="17.15" hidden="false" customHeight="false" outlineLevel="0" collapsed="false">
      <c r="A146" s="0" t="s">
        <v>417</v>
      </c>
      <c r="B146" s="5" t="s">
        <v>418</v>
      </c>
      <c r="C146" s="0" t="s">
        <v>231</v>
      </c>
      <c r="E146" s="7" t="n">
        <v>0.3</v>
      </c>
      <c r="G146" s="8" t="s">
        <v>268</v>
      </c>
      <c r="H146" s="8" t="s">
        <v>419</v>
      </c>
      <c r="I146" s="5" t="s">
        <v>420</v>
      </c>
    </row>
    <row r="147" customFormat="false" ht="17.15" hidden="false" customHeight="false" outlineLevel="0" collapsed="false">
      <c r="A147" s="0" t="s">
        <v>421</v>
      </c>
      <c r="B147" s="5" t="s">
        <v>422</v>
      </c>
      <c r="C147" s="0" t="s">
        <v>231</v>
      </c>
      <c r="E147" s="7" t="n">
        <v>0.5</v>
      </c>
      <c r="G147" s="8" t="s">
        <v>268</v>
      </c>
      <c r="H147" s="8" t="s">
        <v>419</v>
      </c>
      <c r="I147" s="5" t="s">
        <v>420</v>
      </c>
    </row>
    <row r="148" customFormat="false" ht="17.15" hidden="false" customHeight="false" outlineLevel="0" collapsed="false">
      <c r="A148" s="0" t="s">
        <v>423</v>
      </c>
      <c r="B148" s="5" t="s">
        <v>424</v>
      </c>
      <c r="C148" s="0" t="s">
        <v>231</v>
      </c>
      <c r="E148" s="7" t="n">
        <v>0.2</v>
      </c>
      <c r="G148" s="8" t="s">
        <v>268</v>
      </c>
      <c r="H148" s="8" t="s">
        <v>419</v>
      </c>
      <c r="I148" s="5" t="s">
        <v>420</v>
      </c>
    </row>
    <row r="149" customFormat="false" ht="17.15" hidden="false" customHeight="false" outlineLevel="0" collapsed="false">
      <c r="A149" s="0" t="s">
        <v>425</v>
      </c>
      <c r="B149" s="5" t="s">
        <v>426</v>
      </c>
      <c r="C149" s="0" t="s">
        <v>222</v>
      </c>
      <c r="E149" s="7" t="n">
        <v>44000</v>
      </c>
      <c r="G149" s="8" t="s">
        <v>201</v>
      </c>
      <c r="H149" s="8" t="s">
        <v>427</v>
      </c>
      <c r="I149" s="8" t="s">
        <v>308</v>
      </c>
    </row>
    <row r="150" customFormat="false" ht="17.15" hidden="false" customHeight="false" outlineLevel="0" collapsed="false">
      <c r="A150" s="0" t="s">
        <v>428</v>
      </c>
      <c r="B150" s="5" t="s">
        <v>429</v>
      </c>
      <c r="C150" s="0" t="s">
        <v>222</v>
      </c>
      <c r="E150" s="7" t="n">
        <v>60000</v>
      </c>
      <c r="G150" s="8" t="s">
        <v>201</v>
      </c>
      <c r="H150" s="5" t="s">
        <v>33</v>
      </c>
      <c r="I150" s="5" t="s">
        <v>430</v>
      </c>
    </row>
    <row r="151" customFormat="false" ht="17.15" hidden="false" customHeight="false" outlineLevel="0" collapsed="false">
      <c r="A151" s="0" t="s">
        <v>431</v>
      </c>
      <c r="B151" s="5" t="s">
        <v>432</v>
      </c>
      <c r="C151" s="0" t="s">
        <v>231</v>
      </c>
      <c r="E151" s="7" t="n">
        <v>0.56</v>
      </c>
      <c r="G151" s="8" t="s">
        <v>201</v>
      </c>
      <c r="H151" s="5" t="s">
        <v>433</v>
      </c>
      <c r="I151" s="8" t="s">
        <v>308</v>
      </c>
    </row>
    <row r="152" customFormat="false" ht="17.15" hidden="false" customHeight="false" outlineLevel="0" collapsed="false">
      <c r="A152" s="0" t="s">
        <v>434</v>
      </c>
      <c r="B152" s="5" t="s">
        <v>435</v>
      </c>
      <c r="C152" s="0" t="s">
        <v>231</v>
      </c>
      <c r="E152" s="7" t="n">
        <v>0.6</v>
      </c>
      <c r="G152" s="8" t="s">
        <v>201</v>
      </c>
      <c r="H152" s="5" t="s">
        <v>33</v>
      </c>
      <c r="I152" s="8" t="s">
        <v>308</v>
      </c>
    </row>
    <row r="154" customFormat="false" ht="17.15" hidden="false" customHeight="false" outlineLevel="0" collapsed="false">
      <c r="A154" s="1" t="s">
        <v>436</v>
      </c>
    </row>
    <row r="155" customFormat="false" ht="17.15" hidden="false" customHeight="false" outlineLevel="0" collapsed="false">
      <c r="A155" s="0" t="s">
        <v>437</v>
      </c>
      <c r="B155" s="5" t="s">
        <v>438</v>
      </c>
      <c r="C155" s="0" t="s">
        <v>231</v>
      </c>
      <c r="E155" s="9" t="n">
        <v>0.1</v>
      </c>
      <c r="G155" s="8" t="s">
        <v>268</v>
      </c>
      <c r="H155" s="8" t="s">
        <v>439</v>
      </c>
      <c r="I155" s="8" t="s">
        <v>308</v>
      </c>
    </row>
    <row r="156" customFormat="false" ht="17.15" hidden="false" customHeight="false" outlineLevel="0" collapsed="false">
      <c r="A156" s="0" t="s">
        <v>440</v>
      </c>
      <c r="B156" s="5" t="s">
        <v>441</v>
      </c>
      <c r="C156" s="0" t="s">
        <v>231</v>
      </c>
      <c r="E156" s="9" t="n">
        <v>0.04</v>
      </c>
      <c r="G156" s="8" t="s">
        <v>268</v>
      </c>
      <c r="H156" s="8" t="s">
        <v>442</v>
      </c>
      <c r="I156" s="5" t="s">
        <v>443</v>
      </c>
    </row>
    <row r="157" customFormat="false" ht="17.15" hidden="false" customHeight="false" outlineLevel="0" collapsed="false">
      <c r="A157" s="0" t="s">
        <v>444</v>
      </c>
      <c r="B157" s="0" t="s">
        <v>445</v>
      </c>
      <c r="C157" s="0" t="s">
        <v>231</v>
      </c>
      <c r="E157" s="10" t="n">
        <f aca="false">AVERAGE(0.7042,0.4743,0.5046)</f>
        <v>0.561033333333333</v>
      </c>
      <c r="G157" s="8" t="s">
        <v>28</v>
      </c>
      <c r="H157" s="8" t="s">
        <v>446</v>
      </c>
      <c r="I157" s="5" t="s">
        <v>447</v>
      </c>
    </row>
    <row r="158" customFormat="false" ht="17.15" hidden="false" customHeight="false" outlineLevel="0" collapsed="false">
      <c r="A158" s="0" t="s">
        <v>448</v>
      </c>
      <c r="B158" s="5" t="s">
        <v>449</v>
      </c>
      <c r="C158" s="0" t="s">
        <v>231</v>
      </c>
      <c r="E158" s="11" t="n">
        <v>0.5</v>
      </c>
      <c r="G158" s="8" t="s">
        <v>268</v>
      </c>
      <c r="H158" s="8" t="s">
        <v>450</v>
      </c>
      <c r="I158" s="8" t="s">
        <v>308</v>
      </c>
    </row>
    <row r="159" customFormat="false" ht="17.15" hidden="false" customHeight="false" outlineLevel="0" collapsed="false">
      <c r="A159" s="0" t="s">
        <v>451</v>
      </c>
      <c r="B159" s="5" t="s">
        <v>452</v>
      </c>
      <c r="C159" s="0" t="s">
        <v>231</v>
      </c>
      <c r="E159" s="10" t="n">
        <f aca="false">AVERAGE(1.56/6.88,2.07/8.96,2.59/10.94,2.59/11.82,3.55/13.98,5.88/18.61,5.62/21.17,7.84/27.56,7.57/28.26,9.61/32.67)</f>
        <v>0.259549403707922</v>
      </c>
      <c r="G159" s="8" t="s">
        <v>28</v>
      </c>
      <c r="H159" s="8" t="s">
        <v>453</v>
      </c>
      <c r="I159" s="5" t="s">
        <v>454</v>
      </c>
    </row>
    <row r="160" customFormat="false" ht="17.15" hidden="false" customHeight="false" outlineLevel="0" collapsed="false">
      <c r="A160" s="0" t="s">
        <v>455</v>
      </c>
      <c r="B160" s="5" t="s">
        <v>456</v>
      </c>
      <c r="C160" s="0" t="s">
        <v>392</v>
      </c>
      <c r="E160" s="12" t="n">
        <v>2108</v>
      </c>
      <c r="G160" s="8" t="s">
        <v>201</v>
      </c>
      <c r="H160" s="8" t="s">
        <v>457</v>
      </c>
      <c r="I160" s="5" t="s">
        <v>312</v>
      </c>
    </row>
    <row r="161" customFormat="false" ht="17.15" hidden="false" customHeight="false" outlineLevel="0" collapsed="false">
      <c r="A161" s="0" t="s">
        <v>458</v>
      </c>
      <c r="B161" s="5" t="s">
        <v>459</v>
      </c>
      <c r="C161" s="0" t="s">
        <v>392</v>
      </c>
      <c r="E161" s="13" t="n">
        <f aca="false">cons_eps27</f>
        <v>55.93</v>
      </c>
      <c r="G161" s="8" t="s">
        <v>201</v>
      </c>
      <c r="H161" s="5" t="s">
        <v>460</v>
      </c>
      <c r="I161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1" min="2" style="0" width="13"/>
    <col collapsed="false" customWidth="true" hidden="false" outlineLevel="0" max="12" min="12" style="0" width="20"/>
    <col collapsed="false" customWidth="true" hidden="false" outlineLevel="0" max="13" min="13" style="0" width="80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461</v>
      </c>
    </row>
    <row r="2" customFormat="false" ht="17.15" hidden="false" customHeight="false" outlineLevel="0" collapsed="false">
      <c r="A2" s="0" t="s">
        <v>462</v>
      </c>
    </row>
    <row r="3" customFormat="false" ht="17.15" hidden="false" customHeight="false" outlineLevel="0" collapsed="false">
      <c r="A3" s="6" t="s">
        <v>16</v>
      </c>
      <c r="B3" s="14" t="s">
        <v>463</v>
      </c>
      <c r="C3" s="14" t="s">
        <v>464</v>
      </c>
      <c r="D3" s="14" t="s">
        <v>465</v>
      </c>
      <c r="E3" s="14" t="s">
        <v>466</v>
      </c>
      <c r="F3" s="14" t="s">
        <v>467</v>
      </c>
      <c r="G3" s="14" t="s">
        <v>468</v>
      </c>
      <c r="H3" s="14" t="s">
        <v>469</v>
      </c>
      <c r="I3" s="14" t="s">
        <v>470</v>
      </c>
      <c r="J3" s="14" t="s">
        <v>471</v>
      </c>
      <c r="K3" s="14" t="s">
        <v>472</v>
      </c>
      <c r="L3" s="6" t="s">
        <v>21</v>
      </c>
      <c r="M3" s="6" t="s">
        <v>473</v>
      </c>
      <c r="N3" s="6" t="s">
        <v>23</v>
      </c>
    </row>
    <row r="4" customFormat="false" ht="17.15" hidden="false" customHeight="false" outlineLevel="0" collapsed="false">
      <c r="A4" s="5" t="s">
        <v>474</v>
      </c>
      <c r="B4" s="15" t="n">
        <v>16890.3</v>
      </c>
      <c r="C4" s="15" t="n">
        <v>5553.8</v>
      </c>
      <c r="D4" s="16" t="n">
        <f aca="false">B4-C4</f>
        <v>11336.5</v>
      </c>
      <c r="E4" s="15" t="n">
        <v>7584</v>
      </c>
      <c r="F4" s="16" t="n">
        <f aca="false">B4+E4</f>
        <v>24474.3</v>
      </c>
      <c r="G4" s="15" t="n">
        <v>6279.4</v>
      </c>
      <c r="H4" s="15" t="n">
        <v>6564.8</v>
      </c>
      <c r="I4" s="15" t="n">
        <v>8373.2</v>
      </c>
      <c r="J4" s="16" t="n">
        <f aca="false">J6-J5</f>
        <v>11000</v>
      </c>
      <c r="K4" s="16" t="n">
        <f aca="false">SUM(G4:J4)</f>
        <v>32217.4</v>
      </c>
      <c r="L4" s="8" t="s">
        <v>196</v>
      </c>
      <c r="M4" s="8" t="s">
        <v>475</v>
      </c>
      <c r="N4" s="8" t="s">
        <v>476</v>
      </c>
    </row>
    <row r="5" customFormat="false" ht="17.15" hidden="false" customHeight="false" outlineLevel="0" collapsed="false">
      <c r="A5" s="5" t="s">
        <v>477</v>
      </c>
      <c r="B5" s="15" t="n">
        <v>6058.9</v>
      </c>
      <c r="C5" s="15" t="n">
        <v>1962.2</v>
      </c>
      <c r="D5" s="16" t="n">
        <f aca="false">B5-C5</f>
        <v>4096.7</v>
      </c>
      <c r="E5" s="15" t="n">
        <v>2134.1</v>
      </c>
      <c r="F5" s="16" t="n">
        <f aca="false">B5+E5</f>
        <v>8193</v>
      </c>
      <c r="G5" s="15" t="n">
        <v>2487.5</v>
      </c>
      <c r="H5" s="15" t="n">
        <v>2761.7</v>
      </c>
      <c r="I5" s="15" t="n">
        <v>3288.8</v>
      </c>
      <c r="J5" s="16" t="n">
        <f aca="false">g_q4_ibm</f>
        <v>3700</v>
      </c>
      <c r="K5" s="16" t="n">
        <f aca="false">SUM(G5:J5)</f>
        <v>12238</v>
      </c>
      <c r="L5" s="8" t="s">
        <v>478</v>
      </c>
      <c r="M5" s="8" t="s">
        <v>479</v>
      </c>
      <c r="N5" s="8" t="s">
        <v>480</v>
      </c>
    </row>
    <row r="6" customFormat="false" ht="17.15" hidden="false" customHeight="false" outlineLevel="0" collapsed="false">
      <c r="A6" s="5" t="s">
        <v>481</v>
      </c>
      <c r="B6" s="16" t="n">
        <f aca="false">B4+B5</f>
        <v>22949.2</v>
      </c>
      <c r="C6" s="16" t="n">
        <f aca="false">C4+C5</f>
        <v>7516</v>
      </c>
      <c r="D6" s="16" t="n">
        <f aca="false">D4+D5</f>
        <v>15433.2</v>
      </c>
      <c r="E6" s="16" t="n">
        <f aca="false">E4+E5</f>
        <v>9718.1</v>
      </c>
      <c r="F6" s="16" t="n">
        <f aca="false">F4+F5</f>
        <v>32667.3</v>
      </c>
      <c r="G6" s="16" t="n">
        <f aca="false">G4+G5</f>
        <v>8766.9</v>
      </c>
      <c r="H6" s="16" t="n">
        <f aca="false">H4+H5</f>
        <v>9326.5</v>
      </c>
      <c r="I6" s="16" t="n">
        <f aca="false">I4+I5</f>
        <v>11662</v>
      </c>
      <c r="J6" s="16" t="n">
        <f aca="false">g_q4_rev</f>
        <v>14700</v>
      </c>
      <c r="K6" s="16" t="n">
        <f aca="false">SUM(G6:J6)</f>
        <v>44455.4</v>
      </c>
      <c r="L6" s="8" t="s">
        <v>28</v>
      </c>
      <c r="M6" s="5" t="s">
        <v>482</v>
      </c>
      <c r="N6" s="8" t="s">
        <v>483</v>
      </c>
    </row>
    <row r="7" customFormat="false" ht="17.15" hidden="false" customHeight="false" outlineLevel="0" collapsed="false">
      <c r="A7" s="5" t="s">
        <v>484</v>
      </c>
      <c r="B7" s="15" t="n">
        <v>12189.5</v>
      </c>
      <c r="C7" s="15" t="n">
        <v>3880.3</v>
      </c>
      <c r="D7" s="16" t="n">
        <f aca="false">B7-C7</f>
        <v>8309.2</v>
      </c>
      <c r="E7" s="15" t="n">
        <v>5068.6</v>
      </c>
      <c r="F7" s="16" t="n">
        <f aca="false">B7+E7</f>
        <v>17258.1</v>
      </c>
      <c r="G7" s="15" t="n">
        <v>4645</v>
      </c>
      <c r="H7" s="15" t="n">
        <v>5035.4</v>
      </c>
      <c r="I7" s="15" t="n">
        <v>6699.8</v>
      </c>
      <c r="J7" s="16" t="n">
        <f aca="false">J6*g_q4_gm</f>
        <v>8379</v>
      </c>
      <c r="K7" s="16" t="n">
        <f aca="false">SUM(G7:J7)</f>
        <v>24759.2</v>
      </c>
      <c r="L7" s="8" t="s">
        <v>196</v>
      </c>
      <c r="M7" s="8" t="s">
        <v>475</v>
      </c>
      <c r="N7" s="8" t="s">
        <v>485</v>
      </c>
    </row>
    <row r="8" customFormat="false" ht="17.15" hidden="false" customHeight="false" outlineLevel="0" collapsed="false">
      <c r="A8" s="5" t="s">
        <v>486</v>
      </c>
      <c r="B8" s="10" t="n">
        <f aca="false">B7/B6</f>
        <v>0.53115141268541</v>
      </c>
      <c r="C8" s="10" t="n">
        <f aca="false">C7/C6</f>
        <v>0.516271953166578</v>
      </c>
      <c r="D8" s="10" t="n">
        <f aca="false">D7/D6</f>
        <v>0.538397739937278</v>
      </c>
      <c r="E8" s="10" t="n">
        <f aca="false">E7/E6</f>
        <v>0.521562856937056</v>
      </c>
      <c r="F8" s="10" t="n">
        <f aca="false">F7/F6</f>
        <v>0.528298941142978</v>
      </c>
      <c r="G8" s="10" t="n">
        <f aca="false">G7/G6</f>
        <v>0.529833806704765</v>
      </c>
      <c r="H8" s="10" t="n">
        <f aca="false">H7/H6</f>
        <v>0.53990242856377</v>
      </c>
      <c r="I8" s="10" t="n">
        <f aca="false">I7/I6</f>
        <v>0.574498370776882</v>
      </c>
      <c r="J8" s="10" t="n">
        <f aca="false">J7/J6</f>
        <v>0.57</v>
      </c>
      <c r="K8" s="10" t="n">
        <f aca="false">K7/K6</f>
        <v>0.556944713128214</v>
      </c>
      <c r="L8" s="8" t="s">
        <v>28</v>
      </c>
      <c r="M8" s="8" t="s">
        <v>308</v>
      </c>
      <c r="N8" s="5" t="s">
        <v>487</v>
      </c>
    </row>
    <row r="9" customFormat="false" ht="17.15" hidden="false" customHeight="false" outlineLevel="0" collapsed="false">
      <c r="A9" s="5" t="s">
        <v>488</v>
      </c>
      <c r="B9" s="15" t="n">
        <v>3436.5</v>
      </c>
      <c r="C9" s="15" t="n">
        <v>1108.7</v>
      </c>
      <c r="D9" s="16" t="n">
        <f aca="false">B9-C9</f>
        <v>2327.8</v>
      </c>
      <c r="E9" s="15" t="n">
        <v>1262.3</v>
      </c>
      <c r="F9" s="16" t="n">
        <f aca="false">B9+E9</f>
        <v>4698.8</v>
      </c>
      <c r="G9" s="15" t="n">
        <v>1184.9</v>
      </c>
      <c r="H9" s="15" t="n">
        <v>1276.6</v>
      </c>
      <c r="I9" s="15" t="n">
        <v>1174.4</v>
      </c>
      <c r="J9" s="16" t="n">
        <f aca="false">g_q4_rd</f>
        <v>1200</v>
      </c>
      <c r="K9" s="16" t="n">
        <f aca="false">SUM(G9:J9)</f>
        <v>4835.9</v>
      </c>
      <c r="L9" s="8" t="s">
        <v>196</v>
      </c>
      <c r="M9" s="8" t="s">
        <v>475</v>
      </c>
      <c r="N9" s="8" t="s">
        <v>308</v>
      </c>
    </row>
    <row r="10" customFormat="false" ht="17.15" hidden="false" customHeight="false" outlineLevel="0" collapsed="false">
      <c r="A10" s="5" t="s">
        <v>489</v>
      </c>
      <c r="B10" s="15" t="n">
        <v>882.5</v>
      </c>
      <c r="C10" s="15" t="n">
        <v>303.2</v>
      </c>
      <c r="D10" s="16" t="n">
        <f aca="false">B10-C10</f>
        <v>579.3</v>
      </c>
      <c r="E10" s="15" t="n">
        <v>375.2</v>
      </c>
      <c r="F10" s="16" t="n">
        <f aca="false">B10+E10</f>
        <v>1257.7</v>
      </c>
      <c r="G10" s="15" t="n">
        <v>302.3</v>
      </c>
      <c r="H10" s="15" t="n">
        <v>302.7</v>
      </c>
      <c r="I10" s="15" t="n">
        <v>352.6</v>
      </c>
      <c r="J10" s="16" t="n">
        <f aca="false">g_q4_sga</f>
        <v>400</v>
      </c>
      <c r="K10" s="16" t="n">
        <f aca="false">SUM(G10:J10)</f>
        <v>1357.6</v>
      </c>
      <c r="L10" s="8" t="s">
        <v>196</v>
      </c>
      <c r="M10" s="8" t="s">
        <v>475</v>
      </c>
      <c r="N10" s="8" t="s">
        <v>308</v>
      </c>
    </row>
    <row r="11" customFormat="false" ht="17.15" hidden="false" customHeight="false" outlineLevel="0" collapsed="false">
      <c r="A11" s="5" t="s">
        <v>490</v>
      </c>
      <c r="B11" s="16" t="n">
        <f aca="false">B7-B9-B10</f>
        <v>7870.5</v>
      </c>
      <c r="C11" s="16" t="n">
        <f aca="false">C7-C9-C10</f>
        <v>2468.4</v>
      </c>
      <c r="D11" s="16" t="n">
        <f aca="false">D7-D9-D10</f>
        <v>5402.1</v>
      </c>
      <c r="E11" s="16" t="n">
        <f aca="false">E7-E9-E10</f>
        <v>3431.1</v>
      </c>
      <c r="F11" s="16" t="n">
        <f aca="false">F7-F9-F10</f>
        <v>11301.6</v>
      </c>
      <c r="G11" s="16" t="n">
        <f aca="false">G7-G9-G10</f>
        <v>3157.8</v>
      </c>
      <c r="H11" s="16" t="n">
        <f aca="false">H7-H9-H10</f>
        <v>3456.1</v>
      </c>
      <c r="I11" s="16" t="n">
        <f aca="false">I7-I9-I10</f>
        <v>5172.8</v>
      </c>
      <c r="J11" s="16" t="n">
        <f aca="false">J7-J9-J10</f>
        <v>6779</v>
      </c>
      <c r="K11" s="16" t="n">
        <f aca="false">K7-K9-K10</f>
        <v>18565.7</v>
      </c>
      <c r="L11" s="8" t="s">
        <v>28</v>
      </c>
      <c r="M11" s="5" t="s">
        <v>491</v>
      </c>
      <c r="N11" s="5" t="s">
        <v>492</v>
      </c>
    </row>
    <row r="12" customFormat="false" ht="17.15" hidden="false" customHeight="false" outlineLevel="0" collapsed="false">
      <c r="A12" s="5" t="s">
        <v>493</v>
      </c>
      <c r="B12" s="15" t="n">
        <v>7870.5</v>
      </c>
      <c r="C12" s="15" t="n">
        <v>2468.4</v>
      </c>
      <c r="D12" s="16" t="n">
        <f aca="false">B12-C12</f>
        <v>5402.1</v>
      </c>
      <c r="E12" s="15" t="n">
        <v>3431.1</v>
      </c>
      <c r="F12" s="16" t="n">
        <f aca="false">B12+E12</f>
        <v>11301.6</v>
      </c>
      <c r="G12" s="15" t="n">
        <v>3157.8</v>
      </c>
      <c r="H12" s="15" t="n">
        <v>3456.1</v>
      </c>
      <c r="I12" s="15" t="n">
        <v>5172.8</v>
      </c>
      <c r="L12" s="8" t="s">
        <v>196</v>
      </c>
      <c r="M12" s="8" t="s">
        <v>475</v>
      </c>
      <c r="N12" s="8" t="s">
        <v>494</v>
      </c>
    </row>
    <row r="13" customFormat="false" ht="17.15" hidden="false" customHeight="false" outlineLevel="0" collapsed="false">
      <c r="A13" s="5" t="s">
        <v>495</v>
      </c>
      <c r="B13" s="15" t="n">
        <v>0</v>
      </c>
      <c r="C13" s="15" t="n">
        <v>0</v>
      </c>
      <c r="D13" s="16" t="n">
        <f aca="false">B13-C13</f>
        <v>0</v>
      </c>
      <c r="E13" s="15" t="n">
        <v>0</v>
      </c>
      <c r="F13" s="16" t="n">
        <f aca="false">B13+E13</f>
        <v>0</v>
      </c>
      <c r="G13" s="15" t="n">
        <v>0</v>
      </c>
      <c r="H13" s="15" t="n">
        <v>0</v>
      </c>
      <c r="I13" s="15" t="n">
        <v>509.7</v>
      </c>
      <c r="J13" s="15" t="n">
        <v>0</v>
      </c>
      <c r="K13" s="16" t="n">
        <f aca="false">SUM(G13:J13)</f>
        <v>509.7</v>
      </c>
      <c r="L13" s="8" t="s">
        <v>196</v>
      </c>
      <c r="M13" s="8" t="s">
        <v>496</v>
      </c>
      <c r="N13" s="8" t="s">
        <v>497</v>
      </c>
    </row>
    <row r="14" customFormat="false" ht="17.15" hidden="false" customHeight="false" outlineLevel="0" collapsed="false">
      <c r="A14" s="5" t="s">
        <v>498</v>
      </c>
      <c r="B14" s="15" t="n">
        <v>6769.8</v>
      </c>
      <c r="C14" s="15" t="n">
        <v>2124.5</v>
      </c>
      <c r="D14" s="16" t="n">
        <f aca="false">B14-C14</f>
        <v>4645.3</v>
      </c>
      <c r="E14" s="15" t="n">
        <v>2839.6</v>
      </c>
      <c r="F14" s="16" t="n">
        <f aca="false">B14+E14</f>
        <v>9609.4</v>
      </c>
      <c r="G14" s="15" t="n">
        <v>2756.7</v>
      </c>
      <c r="H14" s="15" t="n">
        <v>2917.6</v>
      </c>
      <c r="I14" s="15" t="n">
        <v>4960.4</v>
      </c>
      <c r="J14" s="16" t="n">
        <f aca="false">J11*nioi</f>
        <v>5763.97347278262</v>
      </c>
      <c r="K14" s="16" t="n">
        <f aca="false">SUM(G14:J14)</f>
        <v>16398.6734727826</v>
      </c>
      <c r="L14" s="8" t="s">
        <v>499</v>
      </c>
      <c r="M14" s="8" t="s">
        <v>500</v>
      </c>
      <c r="N14" s="8" t="s">
        <v>501</v>
      </c>
    </row>
    <row r="15" customFormat="false" ht="17.15" hidden="false" customHeight="false" outlineLevel="0" collapsed="false">
      <c r="A15" s="5" t="s">
        <v>502</v>
      </c>
      <c r="B15" s="15" t="n">
        <v>389.2</v>
      </c>
      <c r="C15" s="15" t="n">
        <v>387.3</v>
      </c>
      <c r="E15" s="15" t="n">
        <v>386.5</v>
      </c>
      <c r="F15" s="16" t="n">
        <f aca="false">F14/F16</f>
        <v>388.572583906187</v>
      </c>
      <c r="G15" s="15" t="n">
        <v>385.4</v>
      </c>
      <c r="H15" s="15" t="n">
        <v>384.5</v>
      </c>
      <c r="I15" s="15" t="n">
        <v>383.1</v>
      </c>
      <c r="J15" s="16" t="n">
        <f aca="false">sh_q4</f>
        <v>381.5</v>
      </c>
      <c r="K15" s="16" t="n">
        <f aca="false">AVERAGE(G15:J15)</f>
        <v>383.625</v>
      </c>
      <c r="L15" s="8" t="s">
        <v>499</v>
      </c>
      <c r="M15" s="8" t="s">
        <v>503</v>
      </c>
      <c r="N15" s="8" t="s">
        <v>504</v>
      </c>
    </row>
    <row r="16" customFormat="false" ht="17.15" hidden="false" customHeight="false" outlineLevel="0" collapsed="false">
      <c r="A16" s="0" t="s">
        <v>505</v>
      </c>
      <c r="B16" s="17" t="n">
        <v>17.39</v>
      </c>
      <c r="C16" s="17" t="n">
        <v>5.49</v>
      </c>
      <c r="D16" s="18" t="n">
        <f aca="false">B16-C16</f>
        <v>11.9</v>
      </c>
      <c r="E16" s="17" t="n">
        <v>7.35</v>
      </c>
      <c r="F16" s="17" t="n">
        <v>24.73</v>
      </c>
      <c r="G16" s="17" t="n">
        <v>7.15</v>
      </c>
      <c r="H16" s="17" t="n">
        <v>7.59</v>
      </c>
      <c r="I16" s="17" t="n">
        <v>12.95</v>
      </c>
      <c r="J16" s="18" t="n">
        <f aca="false">J14/J15</f>
        <v>15.1087115931392</v>
      </c>
      <c r="K16" s="18" t="n">
        <f aca="false">K14/K15</f>
        <v>42.7466235849661</v>
      </c>
      <c r="L16" s="8" t="s">
        <v>499</v>
      </c>
      <c r="M16" s="8" t="s">
        <v>506</v>
      </c>
      <c r="N16" s="5" t="s">
        <v>507</v>
      </c>
    </row>
    <row r="17" customFormat="false" ht="17.15" hidden="false" customHeight="false" outlineLevel="0" collapsed="false">
      <c r="A17" s="5" t="s">
        <v>508</v>
      </c>
      <c r="B17" s="19" t="n">
        <v>225</v>
      </c>
      <c r="C17" s="19" t="n">
        <v>72</v>
      </c>
      <c r="D17" s="20" t="n">
        <f aca="false">B17-C17</f>
        <v>153</v>
      </c>
      <c r="E17" s="19" t="n">
        <v>102</v>
      </c>
      <c r="F17" s="20" t="n">
        <f aca="false">B17+E17</f>
        <v>327</v>
      </c>
      <c r="G17" s="19" t="n">
        <v>79</v>
      </c>
      <c r="H17" s="19" t="n">
        <v>91</v>
      </c>
      <c r="I17" s="19" t="n">
        <v>121</v>
      </c>
      <c r="L17" s="8" t="s">
        <v>196</v>
      </c>
      <c r="M17" s="8" t="s">
        <v>475</v>
      </c>
      <c r="N17" s="8" t="s">
        <v>509</v>
      </c>
    </row>
    <row r="18" customFormat="false" ht="17.15" hidden="false" customHeight="false" outlineLevel="0" collapsed="false">
      <c r="A18" s="5" t="s">
        <v>510</v>
      </c>
      <c r="B18" s="21" t="n">
        <f aca="false">B11-B12</f>
        <v>0</v>
      </c>
      <c r="C18" s="21" t="n">
        <f aca="false">C11-C12</f>
        <v>0</v>
      </c>
      <c r="D18" s="21" t="n">
        <f aca="false">D11-D12</f>
        <v>0</v>
      </c>
      <c r="E18" s="21" t="n">
        <f aca="false">E11-E12</f>
        <v>0</v>
      </c>
      <c r="F18" s="21" t="n">
        <f aca="false">F11-F12</f>
        <v>0</v>
      </c>
      <c r="G18" s="21" t="n">
        <f aca="false">G11-G12</f>
        <v>0</v>
      </c>
      <c r="H18" s="21" t="n">
        <f aca="false">H11-H12</f>
        <v>0</v>
      </c>
      <c r="I18" s="21" t="n">
        <f aca="false">I11-I12</f>
        <v>0</v>
      </c>
      <c r="L18" s="8" t="s">
        <v>308</v>
      </c>
      <c r="M18" s="8" t="s">
        <v>308</v>
      </c>
      <c r="N18" s="5" t="s">
        <v>511</v>
      </c>
    </row>
    <row r="21" customFormat="false" ht="17.15" hidden="false" customHeight="false" outlineLevel="0" collapsed="false">
      <c r="A21" s="3" t="s">
        <v>512</v>
      </c>
    </row>
    <row r="22" customFormat="false" ht="17.15" hidden="false" customHeight="false" outlineLevel="0" collapsed="false">
      <c r="A22" s="6" t="s">
        <v>16</v>
      </c>
      <c r="B22" s="14" t="s">
        <v>467</v>
      </c>
      <c r="C22" s="14" t="s">
        <v>468</v>
      </c>
      <c r="D22" s="14" t="s">
        <v>469</v>
      </c>
      <c r="E22" s="14" t="s">
        <v>470</v>
      </c>
      <c r="F22" s="14" t="s">
        <v>513</v>
      </c>
      <c r="G22" s="14" t="s">
        <v>472</v>
      </c>
      <c r="H22" s="14"/>
      <c r="I22" s="14"/>
      <c r="J22" s="14"/>
      <c r="K22" s="14"/>
      <c r="L22" s="6" t="s">
        <v>21</v>
      </c>
      <c r="M22" s="6" t="s">
        <v>473</v>
      </c>
      <c r="N22" s="6" t="s">
        <v>23</v>
      </c>
    </row>
    <row r="23" customFormat="false" ht="17.15" hidden="false" customHeight="false" outlineLevel="0" collapsed="false">
      <c r="A23" s="0" t="s">
        <v>514</v>
      </c>
      <c r="B23" s="22" t="n">
        <v>11600</v>
      </c>
      <c r="C23" s="22" t="n">
        <v>4100</v>
      </c>
      <c r="D23" s="22" t="n">
        <v>3800</v>
      </c>
      <c r="E23" s="22" t="n">
        <v>4100</v>
      </c>
      <c r="F23" s="23" t="n">
        <f aca="false">G23-SUM(C23:E23)</f>
        <v>4820</v>
      </c>
      <c r="G23" s="23" t="n">
        <f aca="false">B23*(1+g_euv)</f>
        <v>16820</v>
      </c>
      <c r="L23" s="8" t="s">
        <v>499</v>
      </c>
      <c r="M23" s="8" t="s">
        <v>515</v>
      </c>
      <c r="N23" s="8" t="s">
        <v>516</v>
      </c>
    </row>
    <row r="24" customFormat="false" ht="17.15" hidden="false" customHeight="false" outlineLevel="0" collapsed="false">
      <c r="A24" s="5" t="s">
        <v>517</v>
      </c>
      <c r="B24" s="23" t="n">
        <f aca="false">Q!F4-B23</f>
        <v>12874.3</v>
      </c>
      <c r="C24" s="23" t="n">
        <f aca="false">Q!G4-C23</f>
        <v>2179.4</v>
      </c>
      <c r="D24" s="23" t="n">
        <f aca="false">Q!H4-D23</f>
        <v>2764.8</v>
      </c>
      <c r="E24" s="23" t="n">
        <f aca="false">Q!I4-E23</f>
        <v>4273.2</v>
      </c>
      <c r="F24" s="23" t="n">
        <f aca="false">Q!J4-F23</f>
        <v>6180</v>
      </c>
      <c r="G24" s="23" t="n">
        <f aca="false">Q!K4-G23</f>
        <v>15397.4</v>
      </c>
      <c r="L24" s="8" t="s">
        <v>28</v>
      </c>
      <c r="M24" s="5" t="s">
        <v>518</v>
      </c>
      <c r="N24" s="5" t="s">
        <v>519</v>
      </c>
    </row>
    <row r="25" customFormat="false" ht="17.15" hidden="false" customHeight="false" outlineLevel="0" collapsed="false">
      <c r="A25" s="0" t="s">
        <v>520</v>
      </c>
      <c r="B25" s="10" t="n">
        <f aca="false">B23/Q!F4</f>
        <v>0.47396656901321</v>
      </c>
      <c r="C25" s="10" t="n">
        <f aca="false">C23/Q!G4</f>
        <v>0.652928623753862</v>
      </c>
      <c r="D25" s="10" t="n">
        <f aca="false">D23/Q!H4</f>
        <v>0.578844747745552</v>
      </c>
      <c r="E25" s="10" t="n">
        <f aca="false">E23/Q!I4</f>
        <v>0.489657478622271</v>
      </c>
      <c r="F25" s="10" t="n">
        <f aca="false">F23/Q!J4</f>
        <v>0.438181818181818</v>
      </c>
      <c r="G25" s="10" t="n">
        <f aca="false">G23/Q!K4</f>
        <v>0.522078131692812</v>
      </c>
      <c r="L25" s="8" t="s">
        <v>28</v>
      </c>
      <c r="M25" s="8" t="s">
        <v>308</v>
      </c>
      <c r="N25" s="8" t="s">
        <v>308</v>
      </c>
    </row>
    <row r="26" customFormat="false" ht="17.15" hidden="false" customHeight="false" outlineLevel="0" collapsed="false">
      <c r="A26" s="5" t="s">
        <v>521</v>
      </c>
      <c r="B26" s="10" t="n">
        <f aca="false">a25_log/Q!F4</f>
        <v>0.657832910440748</v>
      </c>
      <c r="C26" s="24" t="n">
        <v>0.49</v>
      </c>
      <c r="D26" s="24" t="n">
        <v>0.51</v>
      </c>
      <c r="E26" s="24" t="n">
        <v>0.54</v>
      </c>
      <c r="G26" s="10" t="n">
        <f aca="false">log_sh26</f>
        <v>0.546436285097192</v>
      </c>
      <c r="L26" s="8" t="s">
        <v>499</v>
      </c>
      <c r="M26" s="8" t="s">
        <v>522</v>
      </c>
      <c r="N26" s="8" t="s">
        <v>523</v>
      </c>
    </row>
    <row r="27" customFormat="false" ht="17.15" hidden="false" customHeight="false" outlineLevel="0" collapsed="false">
      <c r="A27" s="5" t="s">
        <v>524</v>
      </c>
      <c r="B27" s="10" t="n">
        <f aca="false">cn_tot25</f>
        <v>0.33</v>
      </c>
      <c r="D27" s="24" t="n">
        <v>0.14</v>
      </c>
      <c r="E27" s="24" t="n">
        <v>0.23</v>
      </c>
      <c r="G27" s="10" t="n">
        <f aca="false">cn_sh26</f>
        <v>0.2</v>
      </c>
      <c r="L27" s="8" t="s">
        <v>201</v>
      </c>
      <c r="M27" s="8" t="s">
        <v>525</v>
      </c>
      <c r="N27" s="8" t="s">
        <v>526</v>
      </c>
    </row>
    <row r="29" customFormat="false" ht="17.15" hidden="false" customHeight="false" outlineLevel="0" collapsed="false">
      <c r="A29" s="5" t="s">
        <v>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8"/>
    <col collapsed="false" customWidth="true" hidden="false" outlineLevel="0" max="7" min="3" style="0" width="11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528</v>
      </c>
    </row>
    <row r="3" customFormat="false" ht="15" hidden="false" customHeight="false" outlineLevel="0" collapsed="false">
      <c r="A3" s="6" t="s">
        <v>16</v>
      </c>
      <c r="B3" s="6" t="s">
        <v>17</v>
      </c>
      <c r="C3" s="14" t="s">
        <v>529</v>
      </c>
      <c r="D3" s="14" t="s">
        <v>530</v>
      </c>
      <c r="E3" s="14" t="s">
        <v>531</v>
      </c>
      <c r="F3" s="14" t="s">
        <v>532</v>
      </c>
      <c r="G3" s="14" t="s">
        <v>533</v>
      </c>
      <c r="H3" s="6" t="s">
        <v>534</v>
      </c>
    </row>
    <row r="4" customFormat="false" ht="17.15" hidden="false" customHeight="false" outlineLevel="0" collapsed="false">
      <c r="A4" s="3" t="s">
        <v>535</v>
      </c>
    </row>
    <row r="5" customFormat="false" ht="15" hidden="false" customHeight="false" outlineLevel="0" collapsed="false">
      <c r="A5" s="5" t="s">
        <v>536</v>
      </c>
      <c r="B5" s="0" t="s">
        <v>27</v>
      </c>
      <c r="C5" s="21" t="n">
        <f aca="false">laA_25+loA_25</f>
        <v>65.6013456686291</v>
      </c>
      <c r="D5" s="21" t="n">
        <f aca="false">laA_26+loA_26</f>
        <v>82.2593733221195</v>
      </c>
      <c r="E5" s="21" t="n">
        <f aca="false">laA_27+loA_27</f>
        <v>95.265723187889</v>
      </c>
      <c r="F5" s="21" t="n">
        <f aca="false">laA_28+loA_28</f>
        <v>107.26458104292</v>
      </c>
      <c r="G5" s="21" t="n">
        <f aca="false">laA_29+loA_29</f>
        <v>114.437747526354</v>
      </c>
    </row>
    <row r="6" customFormat="false" ht="17.15" hidden="false" customHeight="false" outlineLevel="0" collapsed="false">
      <c r="A6" s="5" t="s">
        <v>537</v>
      </c>
      <c r="B6" s="0" t="s">
        <v>27</v>
      </c>
      <c r="C6" s="21" t="n">
        <f aca="false">drA_25+naA_25</f>
        <v>38.5487111458499</v>
      </c>
      <c r="D6" s="21" t="n">
        <f aca="false">drA_26+naA_26</f>
        <v>56.8698522719522</v>
      </c>
      <c r="E6" s="21" t="n">
        <f aca="false">drA_27+naA_27</f>
        <v>76.5067600564696</v>
      </c>
      <c r="F6" s="21" t="n">
        <f aca="false">drA_28+naA_28</f>
        <v>85.7422214666976</v>
      </c>
      <c r="G6" s="21" t="n">
        <f aca="false">drA_29+naA_29</f>
        <v>89.5056058630233</v>
      </c>
    </row>
    <row r="7" customFormat="false" ht="15" hidden="false" customHeight="false" outlineLevel="0" collapsed="false">
      <c r="A7" s="5" t="s">
        <v>538</v>
      </c>
      <c r="B7" s="0" t="s">
        <v>27</v>
      </c>
      <c r="C7" s="21" t="n">
        <f aca="false">wfA_25</f>
        <v>116.896831844029</v>
      </c>
      <c r="D7" s="21" t="n">
        <f aca="false">wfA_26</f>
        <v>156.157050570127</v>
      </c>
      <c r="E7" s="21" t="n">
        <f aca="false">wfA_27</f>
        <v>192.795469377561</v>
      </c>
      <c r="F7" s="21" t="n">
        <f aca="false">wfA_28</f>
        <v>216.628626308958</v>
      </c>
      <c r="G7" s="21" t="n">
        <f aca="false">wfA_29</f>
        <v>228.903685855226</v>
      </c>
    </row>
    <row r="8" customFormat="false" ht="17.15" hidden="false" customHeight="false" outlineLevel="0" collapsed="false">
      <c r="A8" s="5" t="s">
        <v>539</v>
      </c>
      <c r="B8" s="0" t="s">
        <v>345</v>
      </c>
      <c r="C8" s="25" t="n">
        <f aca="false">C5/$D5</f>
        <v>0.797493866282457</v>
      </c>
      <c r="D8" s="25" t="n">
        <f aca="false">D5/$D5</f>
        <v>1</v>
      </c>
      <c r="E8" s="25" t="n">
        <f aca="false">E5/$D5</f>
        <v>1.1581138943867</v>
      </c>
      <c r="F8" s="25" t="n">
        <f aca="false">F5/$D5</f>
        <v>1.30398004155566</v>
      </c>
      <c r="G8" s="25" t="n">
        <f aca="false">G5/$D5</f>
        <v>1.39118185447666</v>
      </c>
    </row>
    <row r="9" customFormat="false" ht="17.15" hidden="false" customHeight="false" outlineLevel="0" collapsed="false">
      <c r="A9" s="5" t="s">
        <v>540</v>
      </c>
      <c r="B9" s="0" t="s">
        <v>345</v>
      </c>
      <c r="C9" s="25" t="n">
        <f aca="false">C6/$D6</f>
        <v>0.677840887672955</v>
      </c>
      <c r="D9" s="25" t="n">
        <f aca="false">D6/$D6</f>
        <v>1</v>
      </c>
      <c r="E9" s="25" t="n">
        <f aca="false">E6/$D6</f>
        <v>1.3452955652252</v>
      </c>
      <c r="F9" s="25" t="n">
        <f aca="false">F6/$D6</f>
        <v>1.50769200272716</v>
      </c>
      <c r="G9" s="25" t="n">
        <f aca="false">G6/$D6</f>
        <v>1.57386738820784</v>
      </c>
    </row>
    <row r="10" customFormat="false" ht="17.15" hidden="false" customHeight="false" outlineLevel="0" collapsed="false">
      <c r="A10" s="5" t="s">
        <v>541</v>
      </c>
      <c r="B10" s="0" t="s">
        <v>27</v>
      </c>
      <c r="C10" s="21" t="n">
        <f aca="false">C7-C5-C6</f>
        <v>12.74677502955</v>
      </c>
      <c r="D10" s="21" t="n">
        <f aca="false">D7-D5-D6</f>
        <v>17.0278249760553</v>
      </c>
      <c r="E10" s="21" t="n">
        <f aca="false">E7-E5-E6</f>
        <v>21.0229861332024</v>
      </c>
      <c r="F10" s="21" t="n">
        <f aca="false">F7-F5-F6</f>
        <v>23.6218237993403</v>
      </c>
      <c r="G10" s="21" t="n">
        <f aca="false">G7-G5-G6</f>
        <v>24.960332465849</v>
      </c>
      <c r="H10" s="5" t="s">
        <v>542</v>
      </c>
    </row>
    <row r="12" customFormat="false" ht="17.15" hidden="false" customHeight="false" outlineLevel="0" collapsed="false">
      <c r="A12" s="3" t="s">
        <v>543</v>
      </c>
    </row>
    <row r="13" customFormat="false" ht="15" hidden="false" customHeight="false" outlineLevel="0" collapsed="false">
      <c r="A13" s="5" t="s">
        <v>536</v>
      </c>
      <c r="B13" s="0" t="s">
        <v>27</v>
      </c>
      <c r="C13" s="21" t="n">
        <f aca="false">laB_25+loB_25</f>
        <v>65.6013456686291</v>
      </c>
      <c r="D13" s="21" t="n">
        <f aca="false">laB_26+loB_26</f>
        <v>82.2593733221195</v>
      </c>
      <c r="E13" s="21" t="n">
        <f aca="false">laB_27+loB_27</f>
        <v>95.265723187889</v>
      </c>
      <c r="F13" s="21" t="n">
        <f aca="false">laB_28+loB_28</f>
        <v>95.265723187889</v>
      </c>
      <c r="G13" s="21" t="n">
        <f aca="false">laB_29+loB_29</f>
        <v>90.5024370284945</v>
      </c>
    </row>
    <row r="14" customFormat="false" ht="17.15" hidden="false" customHeight="false" outlineLevel="0" collapsed="false">
      <c r="A14" s="5" t="s">
        <v>537</v>
      </c>
      <c r="B14" s="0" t="s">
        <v>27</v>
      </c>
      <c r="C14" s="21" t="n">
        <f aca="false">drB_25+naB_25</f>
        <v>38.5487111458499</v>
      </c>
      <c r="D14" s="21" t="n">
        <f aca="false">drB_26+naB_26</f>
        <v>56.8698522719522</v>
      </c>
      <c r="E14" s="21" t="n">
        <f aca="false">drB_27+naB_27</f>
        <v>76.5067600564696</v>
      </c>
      <c r="F14" s="21" t="n">
        <f aca="false">drB_28+naB_28</f>
        <v>76.5067600564696</v>
      </c>
      <c r="G14" s="21" t="n">
        <f aca="false">drB_29+naB_29</f>
        <v>72.6814220536462</v>
      </c>
    </row>
    <row r="15" customFormat="false" ht="15" hidden="false" customHeight="false" outlineLevel="0" collapsed="false">
      <c r="A15" s="5" t="s">
        <v>538</v>
      </c>
      <c r="B15" s="0" t="s">
        <v>27</v>
      </c>
      <c r="C15" s="21" t="n">
        <f aca="false">wfB_25</f>
        <v>116.896831844029</v>
      </c>
      <c r="D15" s="21" t="n">
        <f aca="false">wfB_26</f>
        <v>156.157050570127</v>
      </c>
      <c r="E15" s="21" t="n">
        <f aca="false">wfB_27</f>
        <v>192.795469377561</v>
      </c>
      <c r="F15" s="21" t="n">
        <f aca="false">wfB_28</f>
        <v>192.795469377561</v>
      </c>
      <c r="G15" s="21" t="n">
        <f aca="false">wfB_29</f>
        <v>183.155695908683</v>
      </c>
    </row>
    <row r="16" customFormat="false" ht="17.15" hidden="false" customHeight="false" outlineLevel="0" collapsed="false">
      <c r="A16" s="5" t="s">
        <v>539</v>
      </c>
      <c r="B16" s="0" t="s">
        <v>345</v>
      </c>
      <c r="C16" s="25" t="n">
        <f aca="false">C13/$D13</f>
        <v>0.797493866282457</v>
      </c>
      <c r="D16" s="25" t="n">
        <f aca="false">D13/$D13</f>
        <v>1</v>
      </c>
      <c r="E16" s="25" t="n">
        <f aca="false">E13/$D13</f>
        <v>1.1581138943867</v>
      </c>
      <c r="F16" s="25" t="n">
        <f aca="false">F13/$D13</f>
        <v>1.1581138943867</v>
      </c>
      <c r="G16" s="25" t="n">
        <f aca="false">G13/$D13</f>
        <v>1.10020819966736</v>
      </c>
    </row>
    <row r="17" customFormat="false" ht="17.15" hidden="false" customHeight="false" outlineLevel="0" collapsed="false">
      <c r="A17" s="5" t="s">
        <v>540</v>
      </c>
      <c r="B17" s="0" t="s">
        <v>345</v>
      </c>
      <c r="C17" s="25" t="n">
        <f aca="false">C14/$D14</f>
        <v>0.677840887672955</v>
      </c>
      <c r="D17" s="25" t="n">
        <f aca="false">D14/$D14</f>
        <v>1</v>
      </c>
      <c r="E17" s="25" t="n">
        <f aca="false">E14/$D14</f>
        <v>1.3452955652252</v>
      </c>
      <c r="F17" s="25" t="n">
        <f aca="false">F14/$D14</f>
        <v>1.3452955652252</v>
      </c>
      <c r="G17" s="25" t="n">
        <f aca="false">G14/$D14</f>
        <v>1.27803078696394</v>
      </c>
    </row>
    <row r="18" customFormat="false" ht="17.15" hidden="false" customHeight="false" outlineLevel="0" collapsed="false">
      <c r="A18" s="5" t="s">
        <v>541</v>
      </c>
      <c r="B18" s="0" t="s">
        <v>27</v>
      </c>
      <c r="C18" s="21" t="n">
        <f aca="false">C15-C13-C14</f>
        <v>12.74677502955</v>
      </c>
      <c r="D18" s="21" t="n">
        <f aca="false">D15-D13-D14</f>
        <v>17.0278249760553</v>
      </c>
      <c r="E18" s="21" t="n">
        <f aca="false">E15-E13-E14</f>
        <v>21.0229861332024</v>
      </c>
      <c r="F18" s="21" t="n">
        <f aca="false">F15-F13-F14</f>
        <v>21.0229861332024</v>
      </c>
      <c r="G18" s="21" t="n">
        <f aca="false">G15-G13-G14</f>
        <v>19.9718368265423</v>
      </c>
      <c r="H18" s="5" t="s">
        <v>542</v>
      </c>
    </row>
    <row r="20" customFormat="false" ht="17.15" hidden="false" customHeight="false" outlineLevel="0" collapsed="false">
      <c r="A20" s="3" t="s">
        <v>544</v>
      </c>
    </row>
    <row r="21" customFormat="false" ht="15" hidden="false" customHeight="false" outlineLevel="0" collapsed="false">
      <c r="A21" s="5" t="s">
        <v>536</v>
      </c>
      <c r="B21" s="0" t="s">
        <v>27</v>
      </c>
      <c r="C21" s="21" t="n">
        <f aca="false">laC_25+loC_25</f>
        <v>65.6013456686291</v>
      </c>
      <c r="D21" s="21" t="n">
        <f aca="false">laC_26+loC_26</f>
        <v>82.2593733221195</v>
      </c>
      <c r="E21" s="21" t="n">
        <f aca="false">laC_27+loC_27</f>
        <v>95.265723187889</v>
      </c>
      <c r="F21" s="21" t="n">
        <f aca="false">laC_28+loC_28</f>
        <v>76.2125785503112</v>
      </c>
      <c r="G21" s="21" t="n">
        <f aca="false">laC_29+loC_29</f>
        <v>76.2125785503112</v>
      </c>
    </row>
    <row r="22" customFormat="false" ht="17.15" hidden="false" customHeight="false" outlineLevel="0" collapsed="false">
      <c r="A22" s="5" t="s">
        <v>537</v>
      </c>
      <c r="B22" s="0" t="s">
        <v>27</v>
      </c>
      <c r="C22" s="21" t="n">
        <f aca="false">drC_25+naC_25</f>
        <v>38.5487111458499</v>
      </c>
      <c r="D22" s="21" t="n">
        <f aca="false">drC_26+naC_26</f>
        <v>56.8698522719522</v>
      </c>
      <c r="E22" s="21" t="n">
        <f aca="false">drC_27+naC_27</f>
        <v>76.5067600564696</v>
      </c>
      <c r="F22" s="21" t="n">
        <f aca="false">drC_28+naC_28</f>
        <v>61.2054080451757</v>
      </c>
      <c r="G22" s="21" t="n">
        <f aca="false">drC_29+naC_29</f>
        <v>61.2054080451757</v>
      </c>
    </row>
    <row r="23" customFormat="false" ht="15" hidden="false" customHeight="false" outlineLevel="0" collapsed="false">
      <c r="A23" s="5" t="s">
        <v>538</v>
      </c>
      <c r="B23" s="0" t="s">
        <v>27</v>
      </c>
      <c r="C23" s="21" t="n">
        <f aca="false">wfC_25</f>
        <v>116.896831844029</v>
      </c>
      <c r="D23" s="21" t="n">
        <f aca="false">wfC_26</f>
        <v>156.157050570127</v>
      </c>
      <c r="E23" s="21" t="n">
        <f aca="false">wfC_27</f>
        <v>192.795469377561</v>
      </c>
      <c r="F23" s="21" t="n">
        <f aca="false">wfC_28</f>
        <v>154.236375502049</v>
      </c>
      <c r="G23" s="21" t="n">
        <f aca="false">wfC_29</f>
        <v>154.236375502049</v>
      </c>
    </row>
    <row r="24" customFormat="false" ht="17.15" hidden="false" customHeight="false" outlineLevel="0" collapsed="false">
      <c r="A24" s="5" t="s">
        <v>539</v>
      </c>
      <c r="B24" s="0" t="s">
        <v>345</v>
      </c>
      <c r="C24" s="25" t="n">
        <f aca="false">C21/$D21</f>
        <v>0.797493866282457</v>
      </c>
      <c r="D24" s="25" t="n">
        <f aca="false">D21/$D21</f>
        <v>1</v>
      </c>
      <c r="E24" s="25" t="n">
        <f aca="false">E21/$D21</f>
        <v>1.1581138943867</v>
      </c>
      <c r="F24" s="25" t="n">
        <f aca="false">F21/$D21</f>
        <v>0.926491115509358</v>
      </c>
      <c r="G24" s="25" t="n">
        <f aca="false">G21/$D21</f>
        <v>0.926491115509358</v>
      </c>
    </row>
    <row r="25" customFormat="false" ht="17.15" hidden="false" customHeight="false" outlineLevel="0" collapsed="false">
      <c r="A25" s="5" t="s">
        <v>540</v>
      </c>
      <c r="B25" s="0" t="s">
        <v>345</v>
      </c>
      <c r="C25" s="25" t="n">
        <f aca="false">C22/$D22</f>
        <v>0.677840887672955</v>
      </c>
      <c r="D25" s="25" t="n">
        <f aca="false">D22/$D22</f>
        <v>1</v>
      </c>
      <c r="E25" s="25" t="n">
        <f aca="false">E22/$D22</f>
        <v>1.3452955652252</v>
      </c>
      <c r="F25" s="25" t="n">
        <f aca="false">F22/$D22</f>
        <v>1.07623645218016</v>
      </c>
      <c r="G25" s="25" t="n">
        <f aca="false">G22/$D22</f>
        <v>1.07623645218016</v>
      </c>
    </row>
    <row r="26" customFormat="false" ht="17.15" hidden="false" customHeight="false" outlineLevel="0" collapsed="false">
      <c r="A26" s="5" t="s">
        <v>541</v>
      </c>
      <c r="B26" s="0" t="s">
        <v>27</v>
      </c>
      <c r="C26" s="21" t="n">
        <f aca="false">C23-C21-C22</f>
        <v>12.74677502955</v>
      </c>
      <c r="D26" s="21" t="n">
        <f aca="false">D23-D21-D22</f>
        <v>17.0278249760553</v>
      </c>
      <c r="E26" s="21" t="n">
        <f aca="false">E23-E21-E22</f>
        <v>21.0229861332024</v>
      </c>
      <c r="F26" s="21" t="n">
        <f aca="false">F23-F21-F22</f>
        <v>16.8183889065621</v>
      </c>
      <c r="G26" s="21" t="n">
        <f aca="false">G23-G21-G22</f>
        <v>16.8183889065621</v>
      </c>
      <c r="H26" s="5" t="s">
        <v>542</v>
      </c>
    </row>
    <row r="28" customFormat="false" ht="17.15" hidden="false" customHeight="false" outlineLevel="0" collapsed="false">
      <c r="A28" s="5" t="s">
        <v>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7" min="3" style="0" width="14"/>
    <col collapsed="false" customWidth="true" hidden="false" outlineLevel="0" max="8" min="8" style="0" width="6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546</v>
      </c>
    </row>
    <row r="3" customFormat="false" ht="17.15" hidden="false" customHeight="false" outlineLevel="0" collapsed="false">
      <c r="A3" s="6" t="s">
        <v>547</v>
      </c>
      <c r="B3" s="6" t="s">
        <v>17</v>
      </c>
      <c r="C3" s="14" t="s">
        <v>548</v>
      </c>
      <c r="D3" s="14" t="s">
        <v>549</v>
      </c>
      <c r="E3" s="14" t="s">
        <v>550</v>
      </c>
      <c r="F3" s="14" t="s">
        <v>551</v>
      </c>
      <c r="G3" s="14" t="s">
        <v>552</v>
      </c>
      <c r="H3" s="6" t="s">
        <v>534</v>
      </c>
    </row>
    <row r="4" customFormat="false" ht="17.15" hidden="false" customHeight="false" outlineLevel="0" collapsed="false">
      <c r="A4" s="3" t="s">
        <v>535</v>
      </c>
    </row>
    <row r="5" customFormat="false" ht="15" hidden="false" customHeight="false" outlineLevel="0" collapsed="false">
      <c r="A5" s="5" t="s">
        <v>481</v>
      </c>
      <c r="B5" s="0" t="s">
        <v>553</v>
      </c>
      <c r="C5" s="16" t="n">
        <f aca="false">C66</f>
        <v>32.6673</v>
      </c>
      <c r="D5" s="16" t="n">
        <f aca="false">D66</f>
        <v>44.4554</v>
      </c>
      <c r="E5" s="16" t="n">
        <f aca="false">E66</f>
        <v>53.1484694077512</v>
      </c>
      <c r="F5" s="16" t="n">
        <f aca="false">F66</f>
        <v>59.9767174003281</v>
      </c>
      <c r="G5" s="16" t="n">
        <f aca="false">G66</f>
        <v>65.1516814963786</v>
      </c>
    </row>
    <row r="6" customFormat="false" ht="15" hidden="false" customHeight="false" outlineLevel="0" collapsed="false">
      <c r="A6" s="5" t="s">
        <v>554</v>
      </c>
      <c r="B6" s="0" t="s">
        <v>553</v>
      </c>
      <c r="C6" s="16" t="n">
        <f aca="false">C62</f>
        <v>24.4743</v>
      </c>
      <c r="D6" s="16" t="n">
        <f aca="false">D62</f>
        <v>32.2174</v>
      </c>
      <c r="E6" s="16" t="n">
        <f aca="false">E62</f>
        <v>39.4419094077512</v>
      </c>
      <c r="F6" s="16" t="n">
        <f aca="false">F62</f>
        <v>44.6253702003281</v>
      </c>
      <c r="G6" s="16" t="n">
        <f aca="false">G62</f>
        <v>47.9581726323786</v>
      </c>
    </row>
    <row r="7" customFormat="false" ht="17.15" hidden="false" customHeight="false" outlineLevel="0" collapsed="false">
      <c r="A7" s="5" t="s">
        <v>555</v>
      </c>
      <c r="B7" s="0" t="s">
        <v>553</v>
      </c>
      <c r="C7" s="16" t="n">
        <f aca="false">C65</f>
        <v>8.193</v>
      </c>
      <c r="D7" s="16" t="n">
        <f aca="false">D65</f>
        <v>12.238</v>
      </c>
      <c r="E7" s="16" t="n">
        <f aca="false">E65</f>
        <v>13.70656</v>
      </c>
      <c r="F7" s="16" t="n">
        <f aca="false">F65</f>
        <v>15.3513472</v>
      </c>
      <c r="G7" s="16" t="n">
        <f aca="false">G65</f>
        <v>17.193508864</v>
      </c>
    </row>
    <row r="8" customFormat="false" ht="15" hidden="false" customHeight="false" outlineLevel="0" collapsed="false">
      <c r="A8" s="5" t="s">
        <v>556</v>
      </c>
      <c r="B8" s="0" t="s">
        <v>231</v>
      </c>
      <c r="D8" s="10" t="n">
        <f aca="false">D64</f>
        <v>0.2</v>
      </c>
      <c r="E8" s="10" t="n">
        <f aca="false">E64</f>
        <v>0.163366330300777</v>
      </c>
      <c r="F8" s="10" t="n">
        <f aca="false">F64</f>
        <v>0.144390510847854</v>
      </c>
      <c r="G8" s="10" t="n">
        <f aca="false">G64</f>
        <v>0.134356245167893</v>
      </c>
    </row>
    <row r="9" customFormat="false" ht="15" hidden="false" customHeight="false" outlineLevel="0" collapsed="false">
      <c r="A9" s="5" t="s">
        <v>486</v>
      </c>
      <c r="B9" s="0" t="s">
        <v>231</v>
      </c>
      <c r="C9" s="10" t="n">
        <f aca="false">C69</f>
        <v>0.528298941142978</v>
      </c>
      <c r="D9" s="10" t="n">
        <f aca="false">D69</f>
        <v>0.556944713128214</v>
      </c>
      <c r="E9" s="10" t="n">
        <f aca="false">E69</f>
        <v>0.573549776576898</v>
      </c>
      <c r="F9" s="10" t="n">
        <f aca="false">F69</f>
        <v>0.584787034438446</v>
      </c>
      <c r="G9" s="10" t="n">
        <f aca="false">G69</f>
        <v>0.592481551270315</v>
      </c>
    </row>
    <row r="10" customFormat="false" ht="15" hidden="false" customHeight="false" outlineLevel="0" collapsed="false">
      <c r="A10" s="5" t="s">
        <v>490</v>
      </c>
      <c r="B10" s="0" t="s">
        <v>553</v>
      </c>
      <c r="C10" s="16" t="n">
        <f aca="false">C72</f>
        <v>11.3016</v>
      </c>
      <c r="D10" s="16" t="n">
        <f aca="false">D72</f>
        <v>18.5657</v>
      </c>
      <c r="E10" s="16" t="n">
        <f aca="false">E72</f>
        <v>24.1150184097846</v>
      </c>
      <c r="F10" s="16" t="n">
        <f aca="false">F72</f>
        <v>28.5680502890419</v>
      </c>
      <c r="G10" s="16" t="n">
        <f aca="false">G72</f>
        <v>31.9915701433138</v>
      </c>
    </row>
    <row r="11" customFormat="false" ht="15" hidden="false" customHeight="false" outlineLevel="0" collapsed="false">
      <c r="A11" s="5" t="s">
        <v>557</v>
      </c>
      <c r="B11" s="0" t="s">
        <v>231</v>
      </c>
      <c r="C11" s="10" t="n">
        <f aca="false">C73</f>
        <v>0.345960639538621</v>
      </c>
      <c r="D11" s="10" t="n">
        <f aca="false">D73</f>
        <v>0.417625305362228</v>
      </c>
      <c r="E11" s="10" t="n">
        <f aca="false">E73</f>
        <v>0.453729311088451</v>
      </c>
      <c r="F11" s="10" t="n">
        <f aca="false">F73</f>
        <v>0.476319003895429</v>
      </c>
      <c r="G11" s="10" t="n">
        <f aca="false">G73</f>
        <v>0.491032148496306</v>
      </c>
    </row>
    <row r="12" customFormat="false" ht="15" hidden="false" customHeight="false" outlineLevel="0" collapsed="false">
      <c r="A12" s="5" t="s">
        <v>498</v>
      </c>
      <c r="B12" s="0" t="s">
        <v>553</v>
      </c>
      <c r="C12" s="16" t="n">
        <f aca="false">C74</f>
        <v>9.6094</v>
      </c>
      <c r="D12" s="16" t="n">
        <f aca="false">D74</f>
        <v>16.3986734727826</v>
      </c>
      <c r="E12" s="16" t="n">
        <f aca="false">E74</f>
        <v>20.5042523100255</v>
      </c>
      <c r="F12" s="16" t="n">
        <f aca="false">F74</f>
        <v>24.2905272215898</v>
      </c>
      <c r="G12" s="16" t="n">
        <f aca="false">G74</f>
        <v>27.2014399850605</v>
      </c>
    </row>
    <row r="13" customFormat="false" ht="15" hidden="false" customHeight="false" outlineLevel="0" collapsed="false">
      <c r="A13" s="0" t="s">
        <v>558</v>
      </c>
      <c r="B13" s="0" t="s">
        <v>392</v>
      </c>
      <c r="C13" s="13" t="n">
        <f aca="false">C76</f>
        <v>24.73</v>
      </c>
      <c r="D13" s="13" t="n">
        <f aca="false">D76</f>
        <v>42.7466235849661</v>
      </c>
      <c r="E13" s="13" t="n">
        <f aca="false">E76</f>
        <v>54.2892948092339</v>
      </c>
      <c r="F13" s="13" t="n">
        <f aca="false">F76</f>
        <v>64.9638881142062</v>
      </c>
      <c r="G13" s="13" t="n">
        <f aca="false">G76</f>
        <v>73.4838275258553</v>
      </c>
    </row>
    <row r="15" customFormat="false" ht="17.15" hidden="false" customHeight="false" outlineLevel="0" collapsed="false">
      <c r="A15" s="3" t="s">
        <v>543</v>
      </c>
    </row>
    <row r="16" customFormat="false" ht="15" hidden="false" customHeight="false" outlineLevel="0" collapsed="false">
      <c r="A16" s="5" t="s">
        <v>481</v>
      </c>
      <c r="B16" s="0" t="s">
        <v>553</v>
      </c>
      <c r="C16" s="16" t="n">
        <f aca="false">C100</f>
        <v>32.6673</v>
      </c>
      <c r="D16" s="16" t="n">
        <f aca="false">D100</f>
        <v>44.4554</v>
      </c>
      <c r="E16" s="16" t="n">
        <f aca="false">E100</f>
        <v>52.0146014077512</v>
      </c>
      <c r="F16" s="16" t="n">
        <f aca="false">F100</f>
        <v>53.4820042899838</v>
      </c>
      <c r="G16" s="16" t="n">
        <f aca="false">G100</f>
        <v>53.3712844467491</v>
      </c>
    </row>
    <row r="17" customFormat="false" ht="15" hidden="false" customHeight="false" outlineLevel="0" collapsed="false">
      <c r="A17" s="5" t="s">
        <v>554</v>
      </c>
      <c r="B17" s="0" t="s">
        <v>553</v>
      </c>
      <c r="C17" s="16" t="n">
        <f aca="false">C96</f>
        <v>24.4743</v>
      </c>
      <c r="D17" s="16" t="n">
        <f aca="false">D96</f>
        <v>32.2174</v>
      </c>
      <c r="E17" s="16" t="n">
        <f aca="false">E96</f>
        <v>38.7975614077512</v>
      </c>
      <c r="F17" s="16" t="n">
        <f aca="false">F96</f>
        <v>39.2076010899838</v>
      </c>
      <c r="G17" s="16" t="n">
        <f aca="false">G96</f>
        <v>37.9549289907491</v>
      </c>
    </row>
    <row r="18" customFormat="false" ht="17.15" hidden="false" customHeight="false" outlineLevel="0" collapsed="false">
      <c r="A18" s="5" t="s">
        <v>555</v>
      </c>
      <c r="B18" s="0" t="s">
        <v>553</v>
      </c>
      <c r="C18" s="16" t="n">
        <f aca="false">C99</f>
        <v>8.193</v>
      </c>
      <c r="D18" s="16" t="n">
        <f aca="false">D99</f>
        <v>12.238</v>
      </c>
      <c r="E18" s="16" t="n">
        <f aca="false">E99</f>
        <v>13.21704</v>
      </c>
      <c r="F18" s="16" t="n">
        <f aca="false">F99</f>
        <v>14.2744032</v>
      </c>
      <c r="G18" s="16" t="n">
        <f aca="false">G99</f>
        <v>15.416355456</v>
      </c>
    </row>
    <row r="19" customFormat="false" ht="15" hidden="false" customHeight="false" outlineLevel="0" collapsed="false">
      <c r="A19" s="5" t="s">
        <v>556</v>
      </c>
      <c r="B19" s="0" t="s">
        <v>231</v>
      </c>
      <c r="D19" s="10" t="n">
        <f aca="false">D98</f>
        <v>0.2</v>
      </c>
      <c r="E19" s="10" t="n">
        <f aca="false">E98</f>
        <v>0.149471559283141</v>
      </c>
      <c r="F19" s="10" t="n">
        <f aca="false">F98</f>
        <v>0.133117524533612</v>
      </c>
      <c r="G19" s="10" t="n">
        <f aca="false">G98</f>
        <v>0.12375986584364</v>
      </c>
    </row>
    <row r="20" customFormat="false" ht="15" hidden="false" customHeight="false" outlineLevel="0" collapsed="false">
      <c r="A20" s="5" t="s">
        <v>486</v>
      </c>
      <c r="B20" s="0" t="s">
        <v>231</v>
      </c>
      <c r="C20" s="10" t="n">
        <f aca="false">C103</f>
        <v>0.528298941142978</v>
      </c>
      <c r="D20" s="10" t="n">
        <f aca="false">D103</f>
        <v>0.556944713128214</v>
      </c>
      <c r="E20" s="10" t="n">
        <f aca="false">E103</f>
        <v>0.57154485136272</v>
      </c>
      <c r="F20" s="10" t="n">
        <f aca="false">F103</f>
        <v>0.574131402087201</v>
      </c>
      <c r="G20" s="10" t="n">
        <f aca="false">G103</f>
        <v>0.573938729542969</v>
      </c>
    </row>
    <row r="21" customFormat="false" ht="15" hidden="false" customHeight="false" outlineLevel="0" collapsed="false">
      <c r="A21" s="5" t="s">
        <v>490</v>
      </c>
      <c r="B21" s="0" t="s">
        <v>553</v>
      </c>
      <c r="C21" s="16" t="n">
        <f aca="false">C106</f>
        <v>11.3016</v>
      </c>
      <c r="D21" s="16" t="n">
        <f aca="false">D106</f>
        <v>18.5657</v>
      </c>
      <c r="E21" s="16" t="n">
        <f aca="false">E106</f>
        <v>23.3831997259879</v>
      </c>
      <c r="F21" s="16" t="n">
        <f aca="false">F106</f>
        <v>24.3307180391401</v>
      </c>
      <c r="G21" s="16" t="n">
        <f aca="false">G106</f>
        <v>24.2590931439333</v>
      </c>
    </row>
    <row r="22" customFormat="false" ht="15" hidden="false" customHeight="false" outlineLevel="0" collapsed="false">
      <c r="A22" s="5" t="s">
        <v>557</v>
      </c>
      <c r="B22" s="0" t="s">
        <v>231</v>
      </c>
      <c r="C22" s="10" t="n">
        <f aca="false">C107</f>
        <v>0.345960639538621</v>
      </c>
      <c r="D22" s="10" t="n">
        <f aca="false">D107</f>
        <v>0.417625305362228</v>
      </c>
      <c r="E22" s="10" t="n">
        <f aca="false">E107</f>
        <v>0.449550685636962</v>
      </c>
      <c r="F22" s="10" t="n">
        <f aca="false">F107</f>
        <v>0.4549328014563</v>
      </c>
      <c r="G22" s="10" t="n">
        <f aca="false">G107</f>
        <v>0.454534557213771</v>
      </c>
    </row>
    <row r="23" customFormat="false" ht="15" hidden="false" customHeight="false" outlineLevel="0" collapsed="false">
      <c r="A23" s="5" t="s">
        <v>498</v>
      </c>
      <c r="B23" s="0" t="s">
        <v>553</v>
      </c>
      <c r="C23" s="16" t="n">
        <f aca="false">C108</f>
        <v>9.6094</v>
      </c>
      <c r="D23" s="16" t="n">
        <f aca="false">D108</f>
        <v>16.3986734727826</v>
      </c>
      <c r="E23" s="16" t="n">
        <f aca="false">E108</f>
        <v>19.8820095780162</v>
      </c>
      <c r="F23" s="16" t="n">
        <f aca="false">F108</f>
        <v>20.6876550156892</v>
      </c>
      <c r="G23" s="16" t="n">
        <f aca="false">G108</f>
        <v>20.626754588493</v>
      </c>
    </row>
    <row r="24" customFormat="false" ht="15" hidden="false" customHeight="false" outlineLevel="0" collapsed="false">
      <c r="A24" s="0" t="s">
        <v>558</v>
      </c>
      <c r="B24" s="0" t="s">
        <v>392</v>
      </c>
      <c r="C24" s="13" t="n">
        <f aca="false">C110</f>
        <v>24.73</v>
      </c>
      <c r="D24" s="13" t="n">
        <f aca="false">D110</f>
        <v>42.7466235849661</v>
      </c>
      <c r="E24" s="13" t="n">
        <f aca="false">E110</f>
        <v>52.6417770841209</v>
      </c>
      <c r="F24" s="13" t="n">
        <f aca="false">F110</f>
        <v>55.3281735519518</v>
      </c>
      <c r="G24" s="13" t="n">
        <f aca="false">G110</f>
        <v>55.7225234190334</v>
      </c>
    </row>
    <row r="26" customFormat="false" ht="17.15" hidden="false" customHeight="false" outlineLevel="0" collapsed="false">
      <c r="A26" s="3" t="s">
        <v>544</v>
      </c>
    </row>
    <row r="27" customFormat="false" ht="15" hidden="false" customHeight="false" outlineLevel="0" collapsed="false">
      <c r="A27" s="5" t="s">
        <v>481</v>
      </c>
      <c r="B27" s="0" t="s">
        <v>553</v>
      </c>
      <c r="C27" s="16" t="n">
        <f aca="false">C134</f>
        <v>32.6673</v>
      </c>
      <c r="D27" s="16" t="n">
        <f aca="false">D134</f>
        <v>44.4554</v>
      </c>
      <c r="E27" s="16" t="n">
        <f aca="false">E134</f>
        <v>50.4361794077512</v>
      </c>
      <c r="F27" s="16" t="n">
        <f aca="false">F134</f>
        <v>43.798457531987</v>
      </c>
      <c r="G27" s="16" t="n">
        <f aca="false">G134</f>
        <v>44.0975631579466</v>
      </c>
    </row>
    <row r="28" customFormat="false" ht="15" hidden="false" customHeight="false" outlineLevel="0" collapsed="false">
      <c r="A28" s="5" t="s">
        <v>554</v>
      </c>
      <c r="B28" s="0" t="s">
        <v>553</v>
      </c>
      <c r="C28" s="16" t="n">
        <f aca="false">C130</f>
        <v>24.4743</v>
      </c>
      <c r="D28" s="16" t="n">
        <f aca="false">D130</f>
        <v>32.2174</v>
      </c>
      <c r="E28" s="16" t="n">
        <f aca="false">E130</f>
        <v>37.8310394077512</v>
      </c>
      <c r="F28" s="16" t="n">
        <f aca="false">F130</f>
        <v>30.815163331987</v>
      </c>
      <c r="G28" s="16" t="n">
        <f aca="false">G130</f>
        <v>30.7247701319466</v>
      </c>
    </row>
    <row r="29" customFormat="false" ht="17.15" hidden="false" customHeight="false" outlineLevel="0" collapsed="false">
      <c r="A29" s="5" t="s">
        <v>555</v>
      </c>
      <c r="B29" s="0" t="s">
        <v>553</v>
      </c>
      <c r="C29" s="16" t="n">
        <f aca="false">C133</f>
        <v>8.193</v>
      </c>
      <c r="D29" s="16" t="n">
        <f aca="false">D133</f>
        <v>12.238</v>
      </c>
      <c r="E29" s="16" t="n">
        <f aca="false">E133</f>
        <v>12.60514</v>
      </c>
      <c r="F29" s="16" t="n">
        <f aca="false">F133</f>
        <v>12.9832942</v>
      </c>
      <c r="G29" s="16" t="n">
        <f aca="false">G133</f>
        <v>13.372793026</v>
      </c>
    </row>
    <row r="30" customFormat="false" ht="15" hidden="false" customHeight="false" outlineLevel="0" collapsed="false">
      <c r="A30" s="5" t="s">
        <v>556</v>
      </c>
      <c r="B30" s="0" t="s">
        <v>231</v>
      </c>
      <c r="D30" s="10" t="n">
        <f aca="false">D132</f>
        <v>0.2</v>
      </c>
      <c r="E30" s="10" t="n">
        <f aca="false">E132</f>
        <v>0.127741930321107</v>
      </c>
      <c r="F30" s="10" t="n">
        <f aca="false">F132</f>
        <v>0.117619285705285</v>
      </c>
      <c r="G30" s="10" t="n">
        <f aca="false">G132</f>
        <v>0.0884739938924248</v>
      </c>
    </row>
    <row r="31" customFormat="false" ht="15" hidden="false" customHeight="false" outlineLevel="0" collapsed="false">
      <c r="A31" s="5" t="s">
        <v>486</v>
      </c>
      <c r="B31" s="0" t="s">
        <v>231</v>
      </c>
      <c r="C31" s="10" t="n">
        <f aca="false">C137</f>
        <v>0.528298941142978</v>
      </c>
      <c r="D31" s="10" t="n">
        <f aca="false">D137</f>
        <v>0.556944713128214</v>
      </c>
      <c r="E31" s="10" t="n">
        <f aca="false">E137</f>
        <v>0.568679853340966</v>
      </c>
      <c r="F31" s="10" t="n">
        <f aca="false">F137</f>
        <v>0.555560561174332</v>
      </c>
      <c r="G31" s="10" t="n">
        <f aca="false">G137</f>
        <v>0.55619332137134</v>
      </c>
    </row>
    <row r="32" customFormat="false" ht="15" hidden="false" customHeight="false" outlineLevel="0" collapsed="false">
      <c r="A32" s="5" t="s">
        <v>490</v>
      </c>
      <c r="B32" s="0" t="s">
        <v>553</v>
      </c>
      <c r="C32" s="16" t="n">
        <f aca="false">C140</f>
        <v>11.3016</v>
      </c>
      <c r="D32" s="16" t="n">
        <f aca="false">D140</f>
        <v>18.5657</v>
      </c>
      <c r="E32" s="16" t="n">
        <f aca="false">E140</f>
        <v>22.3682954121001</v>
      </c>
      <c r="F32" s="16" t="n">
        <f aca="false">F140</f>
        <v>18.1524034872647</v>
      </c>
      <c r="G32" s="16" t="n">
        <f aca="false">G140</f>
        <v>18.340464434484</v>
      </c>
    </row>
    <row r="33" customFormat="false" ht="15" hidden="false" customHeight="false" outlineLevel="0" collapsed="false">
      <c r="A33" s="5" t="s">
        <v>557</v>
      </c>
      <c r="B33" s="0" t="s">
        <v>231</v>
      </c>
      <c r="C33" s="10" t="n">
        <f aca="false">C141</f>
        <v>0.345960639538621</v>
      </c>
      <c r="D33" s="10" t="n">
        <f aca="false">D141</f>
        <v>0.417625305362228</v>
      </c>
      <c r="E33" s="10" t="n">
        <f aca="false">E141</f>
        <v>0.443497022866535</v>
      </c>
      <c r="F33" s="10" t="n">
        <f aca="false">F141</f>
        <v>0.414453031228499</v>
      </c>
      <c r="G33" s="10" t="n">
        <f aca="false">G141</f>
        <v>0.41590652909307</v>
      </c>
    </row>
    <row r="34" customFormat="false" ht="15" hidden="false" customHeight="false" outlineLevel="0" collapsed="false">
      <c r="A34" s="5" t="s">
        <v>498</v>
      </c>
      <c r="B34" s="0" t="s">
        <v>553</v>
      </c>
      <c r="C34" s="16" t="n">
        <f aca="false">C142</f>
        <v>9.6094</v>
      </c>
      <c r="D34" s="16" t="n">
        <f aca="false">D142</f>
        <v>16.3986734727826</v>
      </c>
      <c r="E34" s="16" t="n">
        <f aca="false">E142</f>
        <v>19.0190679136613</v>
      </c>
      <c r="F34" s="16" t="n">
        <f aca="false">F142</f>
        <v>15.4344257512672</v>
      </c>
      <c r="G34" s="16" t="n">
        <f aca="false">G142</f>
        <v>15.5943281426285</v>
      </c>
    </row>
    <row r="35" customFormat="false" ht="15" hidden="false" customHeight="false" outlineLevel="0" collapsed="false">
      <c r="A35" s="0" t="s">
        <v>558</v>
      </c>
      <c r="B35" s="0" t="s">
        <v>392</v>
      </c>
      <c r="C35" s="13" t="n">
        <f aca="false">C144</f>
        <v>24.73</v>
      </c>
      <c r="D35" s="13" t="n">
        <f aca="false">D144</f>
        <v>42.7466235849661</v>
      </c>
      <c r="E35" s="13" t="n">
        <f aca="false">E144</f>
        <v>50.3569586127628</v>
      </c>
      <c r="F35" s="13" t="n">
        <f aca="false">F144</f>
        <v>41.2786556037016</v>
      </c>
      <c r="G35" s="13" t="n">
        <f aca="false">G144</f>
        <v>42.1275829604562</v>
      </c>
    </row>
    <row r="37" customFormat="false" ht="17.15" hidden="false" customHeight="false" outlineLevel="0" collapsed="false">
      <c r="A37" s="5" t="s">
        <v>559</v>
      </c>
      <c r="D37" s="26" t="n">
        <f aca="false">ABS(D13-a26_eps)+ABS(D24-a26_eps)+ABS(D35-a26_eps)</f>
        <v>0</v>
      </c>
    </row>
    <row r="50" customFormat="false" ht="17.15" hidden="false" customHeight="false" outlineLevel="0" collapsed="false">
      <c r="A50" s="3" t="s">
        <v>560</v>
      </c>
    </row>
    <row r="51" customFormat="false" ht="17.15" hidden="false" customHeight="false" outlineLevel="0" collapsed="false">
      <c r="A51" s="6" t="s">
        <v>16</v>
      </c>
      <c r="B51" s="6" t="s">
        <v>17</v>
      </c>
      <c r="C51" s="14" t="s">
        <v>548</v>
      </c>
      <c r="D51" s="14" t="s">
        <v>549</v>
      </c>
      <c r="E51" s="14" t="s">
        <v>550</v>
      </c>
      <c r="F51" s="14" t="s">
        <v>551</v>
      </c>
      <c r="G51" s="14" t="s">
        <v>552</v>
      </c>
      <c r="H51" s="6" t="s">
        <v>534</v>
      </c>
    </row>
    <row r="52" customFormat="false" ht="17.15" hidden="false" customHeight="false" outlineLevel="0" collapsed="false">
      <c r="A52" s="1" t="s">
        <v>561</v>
      </c>
    </row>
    <row r="53" customFormat="false" ht="17.15" hidden="false" customHeight="false" outlineLevel="0" collapsed="false">
      <c r="A53" s="5" t="s">
        <v>562</v>
      </c>
      <c r="B53" s="0" t="s">
        <v>345</v>
      </c>
      <c r="C53" s="25" t="n">
        <f aca="false">Units!C8</f>
        <v>0.797493866282457</v>
      </c>
      <c r="D53" s="25" t="n">
        <f aca="false">Units!D8</f>
        <v>1</v>
      </c>
      <c r="E53" s="25" t="n">
        <f aca="false">Units!E8</f>
        <v>1.1581138943867</v>
      </c>
      <c r="F53" s="25" t="n">
        <f aca="false">Units!F8</f>
        <v>1.30398004155566</v>
      </c>
      <c r="G53" s="25" t="n">
        <f aca="false">Units!G8</f>
        <v>1.39118185447666</v>
      </c>
    </row>
    <row r="54" customFormat="false" ht="17.15" hidden="false" customHeight="false" outlineLevel="0" collapsed="false">
      <c r="A54" s="5" t="s">
        <v>563</v>
      </c>
      <c r="B54" s="0" t="s">
        <v>345</v>
      </c>
      <c r="C54" s="25" t="n">
        <f aca="false">Units!C9</f>
        <v>0.677840887672955</v>
      </c>
      <c r="D54" s="25" t="n">
        <f aca="false">Units!D9</f>
        <v>1</v>
      </c>
      <c r="E54" s="25" t="n">
        <f aca="false">Units!E9</f>
        <v>1.3452955652252</v>
      </c>
      <c r="F54" s="25" t="n">
        <f aca="false">Units!F9</f>
        <v>1.50769200272716</v>
      </c>
      <c r="G54" s="25" t="n">
        <f aca="false">Units!G9</f>
        <v>1.57386738820784</v>
      </c>
    </row>
    <row r="55" customFormat="false" ht="17.15" hidden="false" customHeight="false" outlineLevel="0" collapsed="false">
      <c r="A55" s="5" t="s">
        <v>564</v>
      </c>
      <c r="B55" s="0" t="s">
        <v>345</v>
      </c>
      <c r="D55" s="25" t="n">
        <f aca="false">(1+g_int)^0</f>
        <v>1</v>
      </c>
      <c r="E55" s="25" t="n">
        <f aca="false">(1+g_int)^1</f>
        <v>1.03</v>
      </c>
      <c r="F55" s="25" t="n">
        <f aca="false">(1+g_int)^2</f>
        <v>1.0609</v>
      </c>
      <c r="G55" s="25" t="n">
        <f aca="false">(1+g_int)^3</f>
        <v>1.092727</v>
      </c>
      <c r="H55" s="8" t="s">
        <v>565</v>
      </c>
    </row>
    <row r="56" customFormat="false" ht="17.15" hidden="false" customHeight="false" outlineLevel="0" collapsed="false">
      <c r="A56" s="1" t="s">
        <v>566</v>
      </c>
    </row>
    <row r="57" customFormat="false" ht="17.15" hidden="false" customHeight="false" outlineLevel="0" collapsed="false">
      <c r="A57" s="5" t="s">
        <v>567</v>
      </c>
      <c r="B57" s="0" t="s">
        <v>553</v>
      </c>
      <c r="D57" s="13" t="n">
        <f aca="false">a26_sys/1000*(1-cn_sh26)*log_sh26</f>
        <v>14.0838050971922</v>
      </c>
      <c r="E57" s="13" t="n">
        <f aca="false">$D57*E53*E55</f>
        <v>16.7999698799593</v>
      </c>
      <c r="F57" s="13" t="n">
        <f aca="false">$D57*F53*F55</f>
        <v>19.4834293019328</v>
      </c>
      <c r="G57" s="13" t="n">
        <f aca="false">$D57*G53*G55</f>
        <v>21.4099466382598</v>
      </c>
      <c r="H57" s="8" t="s">
        <v>568</v>
      </c>
    </row>
    <row r="58" customFormat="false" ht="15" hidden="false" customHeight="false" outlineLevel="0" collapsed="false">
      <c r="A58" s="5" t="s">
        <v>569</v>
      </c>
      <c r="B58" s="0" t="s">
        <v>553</v>
      </c>
      <c r="D58" s="13" t="n">
        <f aca="false">a26_sys/1000*(1-cn_sh26)*(1-log_sh26)</f>
        <v>11.6901149028078</v>
      </c>
      <c r="E58" s="13" t="n">
        <f aca="false">$D58*E54*E55</f>
        <v>16.1984595277919</v>
      </c>
      <c r="F58" s="13" t="n">
        <f aca="false">$D58*F54*F55</f>
        <v>18.6984608983954</v>
      </c>
      <c r="G58" s="13" t="n">
        <f aca="false">$D58*G54*G55</f>
        <v>20.1047459941188</v>
      </c>
    </row>
    <row r="59" customFormat="false" ht="17.15" hidden="false" customHeight="false" outlineLevel="0" collapsed="false">
      <c r="A59" s="5" t="s">
        <v>570</v>
      </c>
      <c r="B59" s="0" t="s">
        <v>553</v>
      </c>
      <c r="D59" s="13" t="n">
        <f aca="false">a26_sys/1000*cn_sh26</f>
        <v>6.44348</v>
      </c>
      <c r="E59" s="13" t="n">
        <f aca="false">D59*(1+g_cn_A)</f>
        <v>6.44348</v>
      </c>
      <c r="F59" s="13" t="n">
        <f aca="false">E59*(1+g_cn_A)</f>
        <v>6.44348</v>
      </c>
      <c r="G59" s="13" t="n">
        <f aca="false">F59*(1+g_cn_A)</f>
        <v>6.44348</v>
      </c>
      <c r="H59" s="8" t="s">
        <v>571</v>
      </c>
    </row>
    <row r="60" customFormat="false" ht="15" hidden="false" customHeight="false" outlineLevel="0" collapsed="false">
      <c r="A60" s="5" t="s">
        <v>572</v>
      </c>
      <c r="B60" s="0" t="s">
        <v>553</v>
      </c>
      <c r="D60" s="13" t="n">
        <f aca="false">D57+D58+D59</f>
        <v>32.2174</v>
      </c>
      <c r="E60" s="13" t="n">
        <f aca="false">E57+E58+E59</f>
        <v>39.4419094077512</v>
      </c>
      <c r="F60" s="13" t="n">
        <f aca="false">F57+F58+F59</f>
        <v>44.6253702003281</v>
      </c>
      <c r="G60" s="13" t="n">
        <f aca="false">G57+G58+G59</f>
        <v>47.9581726323786</v>
      </c>
    </row>
    <row r="61" customFormat="false" ht="17.15" hidden="false" customHeight="false" outlineLevel="0" collapsed="false">
      <c r="A61" s="5" t="s">
        <v>573</v>
      </c>
      <c r="B61" s="0" t="s">
        <v>553</v>
      </c>
      <c r="D61" s="13" t="n">
        <f aca="false">a26_sys/1000</f>
        <v>32.2174</v>
      </c>
      <c r="E61" s="13" t="n">
        <f aca="false">$D61*(1+cap_27)*E55</f>
        <v>43.1390986</v>
      </c>
      <c r="F61" s="13" t="n">
        <f aca="false">$D61*(1+cap_27)*(1+cap_28)*F55</f>
        <v>51.0982622917</v>
      </c>
      <c r="G61" s="13" t="n">
        <f aca="false">$D61*(1+cap_27)*(1+cap_28)*(1+cap_29)*G55</f>
        <v>57.8943311764961</v>
      </c>
      <c r="H61" s="5" t="s">
        <v>574</v>
      </c>
    </row>
    <row r="62" customFormat="false" ht="17.15" hidden="false" customHeight="false" outlineLevel="0" collapsed="false">
      <c r="A62" s="5" t="s">
        <v>575</v>
      </c>
      <c r="B62" s="0" t="s">
        <v>553</v>
      </c>
      <c r="C62" s="13" t="n">
        <f aca="false">a25_sys/1000</f>
        <v>24.4743</v>
      </c>
      <c r="D62" s="13" t="n">
        <f aca="false">a26_sys/1000</f>
        <v>32.2174</v>
      </c>
      <c r="E62" s="13" t="n">
        <f aca="false">MIN(E60,E61)</f>
        <v>39.4419094077512</v>
      </c>
      <c r="F62" s="13" t="n">
        <f aca="false">MIN(F60,F61)</f>
        <v>44.6253702003281</v>
      </c>
      <c r="G62" s="13" t="n">
        <f aca="false">MIN(G60,G61)</f>
        <v>47.9581726323786</v>
      </c>
    </row>
    <row r="63" customFormat="false" ht="17.15" hidden="false" customHeight="false" outlineLevel="0" collapsed="false">
      <c r="A63" s="5" t="s">
        <v>576</v>
      </c>
      <c r="E63" s="20" t="n">
        <f aca="false">IF(E60&gt;E61,1,0)</f>
        <v>0</v>
      </c>
      <c r="F63" s="20" t="n">
        <f aca="false">IF(F60&gt;F61,1,0)</f>
        <v>0</v>
      </c>
      <c r="G63" s="20" t="n">
        <f aca="false">IF(G60&gt;G61,1,0)</f>
        <v>0</v>
      </c>
    </row>
    <row r="64" customFormat="false" ht="15" hidden="false" customHeight="false" outlineLevel="0" collapsed="false">
      <c r="A64" s="5" t="s">
        <v>577</v>
      </c>
      <c r="B64" s="0" t="s">
        <v>231</v>
      </c>
      <c r="D64" s="10" t="n">
        <f aca="false">D59/D60</f>
        <v>0.2</v>
      </c>
      <c r="E64" s="10" t="n">
        <f aca="false">E59/E60</f>
        <v>0.163366330300777</v>
      </c>
      <c r="F64" s="10" t="n">
        <f aca="false">F59/F60</f>
        <v>0.144390510847854</v>
      </c>
      <c r="G64" s="10" t="n">
        <f aca="false">G59/G60</f>
        <v>0.134356245167893</v>
      </c>
      <c r="H64" s="5" t="s">
        <v>578</v>
      </c>
    </row>
    <row r="65" customFormat="false" ht="17.15" hidden="false" customHeight="false" outlineLevel="0" collapsed="false">
      <c r="A65" s="5" t="s">
        <v>579</v>
      </c>
      <c r="B65" s="0" t="s">
        <v>553</v>
      </c>
      <c r="C65" s="13" t="n">
        <f aca="false">a25_ibm/1000</f>
        <v>8.193</v>
      </c>
      <c r="D65" s="13" t="n">
        <f aca="false">a26_ibm/1000</f>
        <v>12.238</v>
      </c>
      <c r="E65" s="13" t="n">
        <f aca="false">D65*(1+g_ibm_A)</f>
        <v>13.70656</v>
      </c>
      <c r="F65" s="13" t="n">
        <f aca="false">E65*(1+g_ibm_A)</f>
        <v>15.3513472</v>
      </c>
      <c r="G65" s="13" t="n">
        <f aca="false">F65*(1+g_ibm_A)</f>
        <v>17.193508864</v>
      </c>
    </row>
    <row r="66" customFormat="false" ht="15" hidden="false" customHeight="false" outlineLevel="0" collapsed="false">
      <c r="A66" s="5" t="s">
        <v>481</v>
      </c>
      <c r="B66" s="0" t="s">
        <v>553</v>
      </c>
      <c r="C66" s="13" t="n">
        <f aca="false">C62+C65</f>
        <v>32.6673</v>
      </c>
      <c r="D66" s="13" t="n">
        <f aca="false">D62+D65</f>
        <v>44.4554</v>
      </c>
      <c r="E66" s="13" t="n">
        <f aca="false">E62+E65</f>
        <v>53.1484694077512</v>
      </c>
      <c r="F66" s="13" t="n">
        <f aca="false">F62+F65</f>
        <v>59.9767174003281</v>
      </c>
      <c r="G66" s="13" t="n">
        <f aca="false">G62+G65</f>
        <v>65.1516814963786</v>
      </c>
    </row>
    <row r="67" customFormat="false" ht="15" hidden="false" customHeight="false" outlineLevel="0" collapsed="false">
      <c r="A67" s="5" t="s">
        <v>580</v>
      </c>
      <c r="B67" s="0" t="s">
        <v>231</v>
      </c>
      <c r="D67" s="10" t="n">
        <f aca="false">D66/C66-1</f>
        <v>0.360853207948009</v>
      </c>
      <c r="E67" s="10" t="n">
        <f aca="false">E66/D66-1</f>
        <v>0.195545859620006</v>
      </c>
      <c r="F67" s="10" t="n">
        <f aca="false">F66/E66-1</f>
        <v>0.128474969621253</v>
      </c>
      <c r="G67" s="10" t="n">
        <f aca="false">G66/F66-1</f>
        <v>0.0862828830979356</v>
      </c>
    </row>
    <row r="68" customFormat="false" ht="17.15" hidden="false" customHeight="false" outlineLevel="0" collapsed="false">
      <c r="A68" s="1" t="s">
        <v>581</v>
      </c>
    </row>
    <row r="69" customFormat="false" ht="17.15" hidden="false" customHeight="false" outlineLevel="0" collapsed="false">
      <c r="A69" s="5" t="s">
        <v>486</v>
      </c>
      <c r="B69" s="0" t="s">
        <v>231</v>
      </c>
      <c r="C69" s="10" t="n">
        <f aca="false">a25_gp/a25_rev</f>
        <v>0.528298941142978</v>
      </c>
      <c r="D69" s="10" t="n">
        <f aca="false">a26_gp/a26_rev</f>
        <v>0.556944713128214</v>
      </c>
      <c r="E69" s="10" t="n">
        <f aca="false">$D69+gm_b*LN(E66/$D66)</f>
        <v>0.573549776576898</v>
      </c>
      <c r="F69" s="10" t="n">
        <f aca="false">$D69+gm_b*LN(F66/$D66)</f>
        <v>0.584787034438446</v>
      </c>
      <c r="G69" s="10" t="n">
        <f aca="false">$D69+gm_b*LN(G66/$D66)</f>
        <v>0.592481551270315</v>
      </c>
      <c r="H69" s="8" t="s">
        <v>582</v>
      </c>
    </row>
    <row r="70" customFormat="false" ht="15" hidden="false" customHeight="false" outlineLevel="0" collapsed="false">
      <c r="A70" s="5" t="s">
        <v>484</v>
      </c>
      <c r="B70" s="0" t="s">
        <v>553</v>
      </c>
      <c r="C70" s="13" t="n">
        <f aca="false">C66*C69</f>
        <v>17.2581</v>
      </c>
      <c r="D70" s="13" t="n">
        <f aca="false">D66*D69</f>
        <v>24.7592</v>
      </c>
      <c r="E70" s="13" t="n">
        <f aca="false">E66*E69</f>
        <v>30.4832927542198</v>
      </c>
      <c r="F70" s="13" t="n">
        <f aca="false">F66*F69</f>
        <v>35.0736067038906</v>
      </c>
      <c r="G70" s="13" t="n">
        <f aca="false">G66*G69</f>
        <v>38.6011693208438</v>
      </c>
    </row>
    <row r="71" customFormat="false" ht="17.15" hidden="false" customHeight="false" outlineLevel="0" collapsed="false">
      <c r="A71" s="5" t="s">
        <v>583</v>
      </c>
      <c r="B71" s="0" t="s">
        <v>553</v>
      </c>
      <c r="C71" s="13" t="n">
        <f aca="false">opex25/1000</f>
        <v>5.9565</v>
      </c>
      <c r="D71" s="13" t="n">
        <f aca="false">opex26/1000</f>
        <v>6.1935</v>
      </c>
      <c r="E71" s="13" t="n">
        <f aca="false">$D71*((1-phi)+phi*E66/$D66)</f>
        <v>6.36827434443524</v>
      </c>
      <c r="F71" s="13" t="n">
        <f aca="false">$D71*((1-phi)+phi*F66/$D66)</f>
        <v>6.50555641484869</v>
      </c>
      <c r="G71" s="13" t="n">
        <f aca="false">$D71*((1-phi)+phi*G66/$D66)</f>
        <v>6.60959917753003</v>
      </c>
      <c r="H71" s="8" t="s">
        <v>584</v>
      </c>
    </row>
    <row r="72" customFormat="false" ht="15" hidden="false" customHeight="false" outlineLevel="0" collapsed="false">
      <c r="A72" s="5" t="s">
        <v>490</v>
      </c>
      <c r="B72" s="0" t="s">
        <v>553</v>
      </c>
      <c r="C72" s="13" t="n">
        <f aca="false">C70-C71</f>
        <v>11.3016</v>
      </c>
      <c r="D72" s="13" t="n">
        <f aca="false">D70-D71</f>
        <v>18.5657</v>
      </c>
      <c r="E72" s="13" t="n">
        <f aca="false">E70-E71</f>
        <v>24.1150184097846</v>
      </c>
      <c r="F72" s="13" t="n">
        <f aca="false">F70-F71</f>
        <v>28.5680502890419</v>
      </c>
      <c r="G72" s="13" t="n">
        <f aca="false">G70-G71</f>
        <v>31.9915701433138</v>
      </c>
    </row>
    <row r="73" customFormat="false" ht="15" hidden="false" customHeight="false" outlineLevel="0" collapsed="false">
      <c r="A73" s="5" t="s">
        <v>557</v>
      </c>
      <c r="B73" s="0" t="s">
        <v>231</v>
      </c>
      <c r="C73" s="10" t="n">
        <f aca="false">C72/C66</f>
        <v>0.345960639538621</v>
      </c>
      <c r="D73" s="10" t="n">
        <f aca="false">D72/D66</f>
        <v>0.417625305362228</v>
      </c>
      <c r="E73" s="10" t="n">
        <f aca="false">E72/E66</f>
        <v>0.453729311088451</v>
      </c>
      <c r="F73" s="10" t="n">
        <f aca="false">F72/F66</f>
        <v>0.476319003895429</v>
      </c>
      <c r="G73" s="10" t="n">
        <f aca="false">G72/G66</f>
        <v>0.491032148496306</v>
      </c>
    </row>
    <row r="74" customFormat="false" ht="17.15" hidden="false" customHeight="false" outlineLevel="0" collapsed="false">
      <c r="A74" s="5" t="s">
        <v>498</v>
      </c>
      <c r="B74" s="0" t="s">
        <v>553</v>
      </c>
      <c r="C74" s="13" t="n">
        <f aca="false">a25_ni/1000</f>
        <v>9.6094</v>
      </c>
      <c r="D74" s="13" t="n">
        <f aca="false">a26_ni/1000</f>
        <v>16.3986734727826</v>
      </c>
      <c r="E74" s="13" t="n">
        <f aca="false">E72*nioi</f>
        <v>20.5042523100255</v>
      </c>
      <c r="F74" s="13" t="n">
        <f aca="false">F72*nioi</f>
        <v>24.2905272215898</v>
      </c>
      <c r="G74" s="13" t="n">
        <f aca="false">G72*nioi</f>
        <v>27.2014399850605</v>
      </c>
      <c r="H74" s="8" t="s">
        <v>585</v>
      </c>
    </row>
    <row r="75" customFormat="false" ht="15" hidden="false" customHeight="false" outlineLevel="0" collapsed="false">
      <c r="A75" s="5" t="s">
        <v>586</v>
      </c>
      <c r="B75" s="5" t="s">
        <v>267</v>
      </c>
      <c r="C75" s="16" t="n">
        <f aca="false">a25_shr</f>
        <v>388.572583906187</v>
      </c>
      <c r="D75" s="16" t="n">
        <f aca="false">a26_shr</f>
        <v>383.625</v>
      </c>
      <c r="E75" s="16" t="n">
        <f aca="false">sh_q4*(1-bb)^1</f>
        <v>377.685</v>
      </c>
      <c r="F75" s="16" t="n">
        <f aca="false">sh_q4*(1-bb)^2</f>
        <v>373.90815</v>
      </c>
      <c r="G75" s="16" t="n">
        <f aca="false">sh_q4*(1-bb)^3</f>
        <v>370.1690685</v>
      </c>
    </row>
    <row r="76" customFormat="false" ht="17.15" hidden="false" customHeight="false" outlineLevel="0" collapsed="false">
      <c r="A76" s="0" t="s">
        <v>587</v>
      </c>
      <c r="B76" s="0" t="s">
        <v>392</v>
      </c>
      <c r="C76" s="13" t="n">
        <f aca="false">a25_eps</f>
        <v>24.73</v>
      </c>
      <c r="D76" s="13" t="n">
        <f aca="false">a26_eps</f>
        <v>42.7466235849661</v>
      </c>
      <c r="E76" s="13" t="n">
        <f aca="false">E74*1000/E75</f>
        <v>54.2892948092339</v>
      </c>
      <c r="F76" s="13" t="n">
        <f aca="false">F74*1000/F75</f>
        <v>64.9638881142062</v>
      </c>
      <c r="G76" s="13" t="n">
        <f aca="false">G74*1000/G75</f>
        <v>73.4838275258553</v>
      </c>
    </row>
    <row r="77" customFormat="false" ht="17.15" hidden="false" customHeight="false" outlineLevel="0" collapsed="false">
      <c r="A77" s="1" t="s">
        <v>588</v>
      </c>
    </row>
    <row r="78" customFormat="false" ht="17.15" hidden="false" customHeight="false" outlineLevel="0" collapsed="false">
      <c r="A78" s="0" t="s">
        <v>514</v>
      </c>
      <c r="B78" s="0" t="s">
        <v>553</v>
      </c>
      <c r="C78" s="13" t="n">
        <f aca="false">a25_euv/1000</f>
        <v>11.6</v>
      </c>
      <c r="D78" s="13" t="n">
        <f aca="false">a26_euv/1000</f>
        <v>16.82</v>
      </c>
      <c r="E78" s="13" t="n">
        <f aca="false">E62*euv_sh_27</f>
        <v>21.6930501742632</v>
      </c>
      <c r="F78" s="13" t="n">
        <f aca="false">F62*euv_sh_28</f>
        <v>25.436461014187</v>
      </c>
      <c r="G78" s="13" t="n">
        <f aca="false">G62*euv_sh_29</f>
        <v>27.8157401267796</v>
      </c>
    </row>
    <row r="79" customFormat="false" ht="17.15" hidden="false" customHeight="false" outlineLevel="0" collapsed="false">
      <c r="A79" s="5" t="s">
        <v>589</v>
      </c>
      <c r="B79" s="5" t="s">
        <v>362</v>
      </c>
      <c r="E79" s="20" t="n">
        <f aca="false">(E78*1000-hna_n_27*hna_asp)/lna_asp</f>
        <v>85.8775007921053</v>
      </c>
      <c r="F79" s="20" t="n">
        <f aca="false">(F78*1000-hna_n_28*hna_asp)/lna_asp</f>
        <v>96.5293682463047</v>
      </c>
      <c r="G79" s="20" t="n">
        <f aca="false">(G78*1000-hna_n_29*hna_asp)/lna_asp</f>
        <v>102.571546030816</v>
      </c>
    </row>
    <row r="80" customFormat="false" ht="15" hidden="false" customHeight="false" outlineLevel="0" collapsed="false">
      <c r="A80" s="5" t="s">
        <v>590</v>
      </c>
      <c r="B80" s="0" t="s">
        <v>27</v>
      </c>
      <c r="C80" s="21" t="n">
        <f aca="false">C62*fx_25</f>
        <v>27.655959</v>
      </c>
      <c r="D80" s="21" t="n">
        <f aca="false">D62*fx_f</f>
        <v>37.372184</v>
      </c>
      <c r="E80" s="21" t="n">
        <f aca="false">E62*fx_f</f>
        <v>45.7526149129914</v>
      </c>
      <c r="F80" s="21" t="n">
        <f aca="false">F62*fx_f</f>
        <v>51.7654294323806</v>
      </c>
      <c r="G80" s="21" t="n">
        <f aca="false">G62*fx_f</f>
        <v>55.6314802535591</v>
      </c>
    </row>
    <row r="81" customFormat="false" ht="17.15" hidden="false" customHeight="false" outlineLevel="0" collapsed="false">
      <c r="A81" s="0" t="s">
        <v>591</v>
      </c>
      <c r="B81" s="0" t="s">
        <v>231</v>
      </c>
      <c r="C81" s="10" t="n">
        <f aca="false">C80/Units!C7</f>
        <v>0.236584333071578</v>
      </c>
      <c r="D81" s="10" t="n">
        <f aca="false">D80/Units!D7</f>
        <v>0.239324345993695</v>
      </c>
      <c r="E81" s="10" t="n">
        <f aca="false">E80/Units!E7</f>
        <v>0.237311670552754</v>
      </c>
      <c r="F81" s="10" t="n">
        <f aca="false">F80/Units!F7</f>
        <v>0.238959320909658</v>
      </c>
      <c r="G81" s="10" t="n">
        <f aca="false">G80/Units!G7</f>
        <v>0.243034445014329</v>
      </c>
      <c r="H81" s="5" t="s">
        <v>592</v>
      </c>
    </row>
    <row r="84" customFormat="false" ht="17.15" hidden="false" customHeight="false" outlineLevel="0" collapsed="false">
      <c r="A84" s="3" t="s">
        <v>593</v>
      </c>
    </row>
    <row r="85" customFormat="false" ht="17.15" hidden="false" customHeight="false" outlineLevel="0" collapsed="false">
      <c r="A85" s="6" t="s">
        <v>16</v>
      </c>
      <c r="B85" s="6" t="s">
        <v>17</v>
      </c>
      <c r="C85" s="14" t="s">
        <v>548</v>
      </c>
      <c r="D85" s="14" t="s">
        <v>549</v>
      </c>
      <c r="E85" s="14" t="s">
        <v>550</v>
      </c>
      <c r="F85" s="14" t="s">
        <v>551</v>
      </c>
      <c r="G85" s="14" t="s">
        <v>552</v>
      </c>
      <c r="H85" s="6" t="s">
        <v>534</v>
      </c>
    </row>
    <row r="86" customFormat="false" ht="17.15" hidden="false" customHeight="false" outlineLevel="0" collapsed="false">
      <c r="A86" s="1" t="s">
        <v>561</v>
      </c>
    </row>
    <row r="87" customFormat="false" ht="17.15" hidden="false" customHeight="false" outlineLevel="0" collapsed="false">
      <c r="A87" s="5" t="s">
        <v>562</v>
      </c>
      <c r="B87" s="0" t="s">
        <v>345</v>
      </c>
      <c r="C87" s="25" t="n">
        <f aca="false">Units!C16</f>
        <v>0.797493866282457</v>
      </c>
      <c r="D87" s="25" t="n">
        <f aca="false">Units!D16</f>
        <v>1</v>
      </c>
      <c r="E87" s="25" t="n">
        <f aca="false">Units!E16</f>
        <v>1.1581138943867</v>
      </c>
      <c r="F87" s="25" t="n">
        <f aca="false">Units!F16</f>
        <v>1.1581138943867</v>
      </c>
      <c r="G87" s="25" t="n">
        <f aca="false">Units!G16</f>
        <v>1.10020819966736</v>
      </c>
    </row>
    <row r="88" customFormat="false" ht="17.15" hidden="false" customHeight="false" outlineLevel="0" collapsed="false">
      <c r="A88" s="5" t="s">
        <v>563</v>
      </c>
      <c r="B88" s="0" t="s">
        <v>345</v>
      </c>
      <c r="C88" s="25" t="n">
        <f aca="false">Units!C17</f>
        <v>0.677840887672955</v>
      </c>
      <c r="D88" s="25" t="n">
        <f aca="false">Units!D17</f>
        <v>1</v>
      </c>
      <c r="E88" s="25" t="n">
        <f aca="false">Units!E17</f>
        <v>1.3452955652252</v>
      </c>
      <c r="F88" s="25" t="n">
        <f aca="false">Units!F17</f>
        <v>1.3452955652252</v>
      </c>
      <c r="G88" s="25" t="n">
        <f aca="false">Units!G17</f>
        <v>1.27803078696394</v>
      </c>
    </row>
    <row r="89" customFormat="false" ht="17.15" hidden="false" customHeight="false" outlineLevel="0" collapsed="false">
      <c r="A89" s="5" t="s">
        <v>564</v>
      </c>
      <c r="B89" s="0" t="s">
        <v>345</v>
      </c>
      <c r="D89" s="25" t="n">
        <f aca="false">(1+g_int)^0</f>
        <v>1</v>
      </c>
      <c r="E89" s="25" t="n">
        <f aca="false">(1+g_int)^1</f>
        <v>1.03</v>
      </c>
      <c r="F89" s="25" t="n">
        <f aca="false">(1+g_int)^2</f>
        <v>1.0609</v>
      </c>
      <c r="G89" s="25" t="n">
        <f aca="false">(1+g_int)^3</f>
        <v>1.092727</v>
      </c>
      <c r="H89" s="8" t="s">
        <v>565</v>
      </c>
    </row>
    <row r="90" customFormat="false" ht="17.15" hidden="false" customHeight="false" outlineLevel="0" collapsed="false">
      <c r="A90" s="1" t="s">
        <v>566</v>
      </c>
    </row>
    <row r="91" customFormat="false" ht="17.15" hidden="false" customHeight="false" outlineLevel="0" collapsed="false">
      <c r="A91" s="5" t="s">
        <v>567</v>
      </c>
      <c r="B91" s="0" t="s">
        <v>553</v>
      </c>
      <c r="D91" s="13" t="n">
        <f aca="false">a26_sys/1000*(1-cn_sh26)*log_sh26</f>
        <v>14.0838050971922</v>
      </c>
      <c r="E91" s="13" t="n">
        <f aca="false">$D91*E87*E89</f>
        <v>16.7999698799593</v>
      </c>
      <c r="F91" s="13" t="n">
        <f aca="false">$D91*F87*F89</f>
        <v>17.3039689763581</v>
      </c>
      <c r="G91" s="13" t="n">
        <f aca="false">$D91*G87*G89</f>
        <v>16.9319336433664</v>
      </c>
      <c r="H91" s="8" t="s">
        <v>568</v>
      </c>
    </row>
    <row r="92" customFormat="false" ht="15" hidden="false" customHeight="false" outlineLevel="0" collapsed="false">
      <c r="A92" s="5" t="s">
        <v>569</v>
      </c>
      <c r="B92" s="0" t="s">
        <v>553</v>
      </c>
      <c r="D92" s="13" t="n">
        <f aca="false">a26_sys/1000*(1-cn_sh26)*(1-log_sh26)</f>
        <v>11.6901149028078</v>
      </c>
      <c r="E92" s="13" t="n">
        <f aca="false">$D92*E88*E89</f>
        <v>16.1984595277919</v>
      </c>
      <c r="F92" s="13" t="n">
        <f aca="false">$D92*F88*F89</f>
        <v>16.6844133136257</v>
      </c>
      <c r="G92" s="13" t="n">
        <f aca="false">$D92*G88*G89</f>
        <v>16.3256984273828</v>
      </c>
    </row>
    <row r="93" customFormat="false" ht="17.15" hidden="false" customHeight="false" outlineLevel="0" collapsed="false">
      <c r="A93" s="5" t="s">
        <v>570</v>
      </c>
      <c r="B93" s="0" t="s">
        <v>553</v>
      </c>
      <c r="D93" s="13" t="n">
        <f aca="false">a26_sys/1000*cn_sh26</f>
        <v>6.44348</v>
      </c>
      <c r="E93" s="13" t="n">
        <f aca="false">D93*(1+g_cn_B)</f>
        <v>5.799132</v>
      </c>
      <c r="F93" s="13" t="n">
        <f aca="false">E93*(1+g_cn_B)</f>
        <v>5.2192188</v>
      </c>
      <c r="G93" s="13" t="n">
        <f aca="false">F93*(1+g_cn_B)</f>
        <v>4.69729692</v>
      </c>
      <c r="H93" s="8" t="s">
        <v>571</v>
      </c>
    </row>
    <row r="94" customFormat="false" ht="15" hidden="false" customHeight="false" outlineLevel="0" collapsed="false">
      <c r="A94" s="5" t="s">
        <v>572</v>
      </c>
      <c r="B94" s="0" t="s">
        <v>553</v>
      </c>
      <c r="D94" s="13" t="n">
        <f aca="false">D91+D92+D93</f>
        <v>32.2174</v>
      </c>
      <c r="E94" s="13" t="n">
        <f aca="false">E91+E92+E93</f>
        <v>38.7975614077512</v>
      </c>
      <c r="F94" s="13" t="n">
        <f aca="false">F91+F92+F93</f>
        <v>39.2076010899838</v>
      </c>
      <c r="G94" s="13" t="n">
        <f aca="false">G91+G92+G93</f>
        <v>37.9549289907491</v>
      </c>
    </row>
    <row r="95" customFormat="false" ht="17.15" hidden="false" customHeight="false" outlineLevel="0" collapsed="false">
      <c r="A95" s="5" t="s">
        <v>573</v>
      </c>
      <c r="B95" s="0" t="s">
        <v>553</v>
      </c>
      <c r="D95" s="13" t="n">
        <f aca="false">a26_sys/1000</f>
        <v>32.2174</v>
      </c>
      <c r="E95" s="13" t="n">
        <f aca="false">$D95*(1+cap_27)*E89</f>
        <v>43.1390986</v>
      </c>
      <c r="F95" s="13" t="n">
        <f aca="false">$D95*(1+cap_27)*(1+cap_28)*F89</f>
        <v>51.0982622917</v>
      </c>
      <c r="G95" s="13" t="n">
        <f aca="false">$D95*(1+cap_27)*(1+cap_28)*(1+cap_29)*G89</f>
        <v>57.8943311764961</v>
      </c>
      <c r="H95" s="5" t="s">
        <v>574</v>
      </c>
    </row>
    <row r="96" customFormat="false" ht="17.15" hidden="false" customHeight="false" outlineLevel="0" collapsed="false">
      <c r="A96" s="5" t="s">
        <v>575</v>
      </c>
      <c r="B96" s="0" t="s">
        <v>553</v>
      </c>
      <c r="C96" s="13" t="n">
        <f aca="false">a25_sys/1000</f>
        <v>24.4743</v>
      </c>
      <c r="D96" s="13" t="n">
        <f aca="false">a26_sys/1000</f>
        <v>32.2174</v>
      </c>
      <c r="E96" s="13" t="n">
        <f aca="false">MIN(E94,E95)</f>
        <v>38.7975614077512</v>
      </c>
      <c r="F96" s="13" t="n">
        <f aca="false">MIN(F94,F95)</f>
        <v>39.2076010899838</v>
      </c>
      <c r="G96" s="13" t="n">
        <f aca="false">MIN(G94,G95)</f>
        <v>37.9549289907491</v>
      </c>
    </row>
    <row r="97" customFormat="false" ht="17.15" hidden="false" customHeight="false" outlineLevel="0" collapsed="false">
      <c r="A97" s="5" t="s">
        <v>576</v>
      </c>
      <c r="E97" s="20" t="n">
        <f aca="false">IF(E94&gt;E95,1,0)</f>
        <v>0</v>
      </c>
      <c r="F97" s="20" t="n">
        <f aca="false">IF(F94&gt;F95,1,0)</f>
        <v>0</v>
      </c>
      <c r="G97" s="20" t="n">
        <f aca="false">IF(G94&gt;G95,1,0)</f>
        <v>0</v>
      </c>
    </row>
    <row r="98" customFormat="false" ht="15" hidden="false" customHeight="false" outlineLevel="0" collapsed="false">
      <c r="A98" s="5" t="s">
        <v>577</v>
      </c>
      <c r="B98" s="0" t="s">
        <v>231</v>
      </c>
      <c r="D98" s="10" t="n">
        <f aca="false">D93/D94</f>
        <v>0.2</v>
      </c>
      <c r="E98" s="10" t="n">
        <f aca="false">E93/E94</f>
        <v>0.149471559283141</v>
      </c>
      <c r="F98" s="10" t="n">
        <f aca="false">F93/F94</f>
        <v>0.133117524533612</v>
      </c>
      <c r="G98" s="10" t="n">
        <f aca="false">G93/G94</f>
        <v>0.12375986584364</v>
      </c>
      <c r="H98" s="5" t="s">
        <v>578</v>
      </c>
    </row>
    <row r="99" customFormat="false" ht="17.15" hidden="false" customHeight="false" outlineLevel="0" collapsed="false">
      <c r="A99" s="5" t="s">
        <v>579</v>
      </c>
      <c r="B99" s="0" t="s">
        <v>553</v>
      </c>
      <c r="C99" s="13" t="n">
        <f aca="false">a25_ibm/1000</f>
        <v>8.193</v>
      </c>
      <c r="D99" s="13" t="n">
        <f aca="false">a26_ibm/1000</f>
        <v>12.238</v>
      </c>
      <c r="E99" s="13" t="n">
        <f aca="false">D99*(1+g_ibm_B)</f>
        <v>13.21704</v>
      </c>
      <c r="F99" s="13" t="n">
        <f aca="false">E99*(1+g_ibm_B)</f>
        <v>14.2744032</v>
      </c>
      <c r="G99" s="13" t="n">
        <f aca="false">F99*(1+g_ibm_B)</f>
        <v>15.416355456</v>
      </c>
    </row>
    <row r="100" customFormat="false" ht="15" hidden="false" customHeight="false" outlineLevel="0" collapsed="false">
      <c r="A100" s="5" t="s">
        <v>481</v>
      </c>
      <c r="B100" s="0" t="s">
        <v>553</v>
      </c>
      <c r="C100" s="13" t="n">
        <f aca="false">C96+C99</f>
        <v>32.6673</v>
      </c>
      <c r="D100" s="13" t="n">
        <f aca="false">D96+D99</f>
        <v>44.4554</v>
      </c>
      <c r="E100" s="13" t="n">
        <f aca="false">E96+E99</f>
        <v>52.0146014077512</v>
      </c>
      <c r="F100" s="13" t="n">
        <f aca="false">F96+F99</f>
        <v>53.4820042899838</v>
      </c>
      <c r="G100" s="13" t="n">
        <f aca="false">G96+G99</f>
        <v>53.3712844467491</v>
      </c>
    </row>
    <row r="101" customFormat="false" ht="15" hidden="false" customHeight="false" outlineLevel="0" collapsed="false">
      <c r="A101" s="5" t="s">
        <v>580</v>
      </c>
      <c r="B101" s="0" t="s">
        <v>231</v>
      </c>
      <c r="D101" s="10" t="n">
        <f aca="false">D100/C100-1</f>
        <v>0.360853207948009</v>
      </c>
      <c r="E101" s="10" t="n">
        <f aca="false">E100/D100-1</f>
        <v>0.170040116785614</v>
      </c>
      <c r="F101" s="10" t="n">
        <f aca="false">F100/E100-1</f>
        <v>0.0282113645499142</v>
      </c>
      <c r="G101" s="10" t="n">
        <f aca="false">G100/F100-1</f>
        <v>-0.00207022613876451</v>
      </c>
    </row>
    <row r="102" customFormat="false" ht="17.15" hidden="false" customHeight="false" outlineLevel="0" collapsed="false">
      <c r="A102" s="1" t="s">
        <v>581</v>
      </c>
    </row>
    <row r="103" customFormat="false" ht="17.15" hidden="false" customHeight="false" outlineLevel="0" collapsed="false">
      <c r="A103" s="5" t="s">
        <v>486</v>
      </c>
      <c r="B103" s="0" t="s">
        <v>231</v>
      </c>
      <c r="C103" s="10" t="n">
        <f aca="false">a25_gp/a25_rev</f>
        <v>0.528298941142978</v>
      </c>
      <c r="D103" s="10" t="n">
        <f aca="false">a26_gp/a26_rev</f>
        <v>0.556944713128214</v>
      </c>
      <c r="E103" s="10" t="n">
        <f aca="false">$D103+gm_b*LN(E100/$D100)</f>
        <v>0.57154485136272</v>
      </c>
      <c r="F103" s="10" t="n">
        <f aca="false">$D103+gm_b*LN(F100/$D100)</f>
        <v>0.574131402087201</v>
      </c>
      <c r="G103" s="10" t="n">
        <f aca="false">$D103+gm_b*LN(G100/$D100)</f>
        <v>0.573938729542969</v>
      </c>
      <c r="H103" s="8" t="s">
        <v>582</v>
      </c>
    </row>
    <row r="104" customFormat="false" ht="15" hidden="false" customHeight="false" outlineLevel="0" collapsed="false">
      <c r="A104" s="5" t="s">
        <v>484</v>
      </c>
      <c r="B104" s="0" t="s">
        <v>553</v>
      </c>
      <c r="C104" s="13" t="n">
        <f aca="false">C100*C103</f>
        <v>17.2581</v>
      </c>
      <c r="D104" s="13" t="n">
        <f aca="false">D100*D103</f>
        <v>24.7592</v>
      </c>
      <c r="E104" s="13" t="n">
        <f aca="false">E100*E103</f>
        <v>29.7286776302843</v>
      </c>
      <c r="F104" s="13" t="n">
        <f aca="false">F100*F103</f>
        <v>30.7056981094421</v>
      </c>
      <c r="G104" s="13" t="n">
        <f aca="false">G100*G103</f>
        <v>30.6318471894436</v>
      </c>
    </row>
    <row r="105" customFormat="false" ht="17.15" hidden="false" customHeight="false" outlineLevel="0" collapsed="false">
      <c r="A105" s="5" t="s">
        <v>583</v>
      </c>
      <c r="B105" s="0" t="s">
        <v>553</v>
      </c>
      <c r="C105" s="13" t="n">
        <f aca="false">opex25/1000</f>
        <v>5.9565</v>
      </c>
      <c r="D105" s="13" t="n">
        <f aca="false">opex26/1000</f>
        <v>6.1935</v>
      </c>
      <c r="E105" s="13" t="n">
        <f aca="false">$D105*((1-phi)+phi*E100/$D100)</f>
        <v>6.34547790429646</v>
      </c>
      <c r="F105" s="13" t="n">
        <f aca="false">$D105*((1-phi)+phi*F100/$D100)</f>
        <v>6.37498007030193</v>
      </c>
      <c r="G105" s="13" t="n">
        <f aca="false">$D105*((1-phi)+phi*G100/$D100)</f>
        <v>6.37275404551026</v>
      </c>
      <c r="H105" s="8" t="s">
        <v>584</v>
      </c>
    </row>
    <row r="106" customFormat="false" ht="15" hidden="false" customHeight="false" outlineLevel="0" collapsed="false">
      <c r="A106" s="5" t="s">
        <v>490</v>
      </c>
      <c r="B106" s="0" t="s">
        <v>553</v>
      </c>
      <c r="C106" s="13" t="n">
        <f aca="false">C104-C105</f>
        <v>11.3016</v>
      </c>
      <c r="D106" s="13" t="n">
        <f aca="false">D104-D105</f>
        <v>18.5657</v>
      </c>
      <c r="E106" s="13" t="n">
        <f aca="false">E104-E105</f>
        <v>23.3831997259879</v>
      </c>
      <c r="F106" s="13" t="n">
        <f aca="false">F104-F105</f>
        <v>24.3307180391401</v>
      </c>
      <c r="G106" s="13" t="n">
        <f aca="false">G104-G105</f>
        <v>24.2590931439333</v>
      </c>
    </row>
    <row r="107" customFormat="false" ht="15" hidden="false" customHeight="false" outlineLevel="0" collapsed="false">
      <c r="A107" s="5" t="s">
        <v>557</v>
      </c>
      <c r="B107" s="0" t="s">
        <v>231</v>
      </c>
      <c r="C107" s="10" t="n">
        <f aca="false">C106/C100</f>
        <v>0.345960639538621</v>
      </c>
      <c r="D107" s="10" t="n">
        <f aca="false">D106/D100</f>
        <v>0.417625305362228</v>
      </c>
      <c r="E107" s="10" t="n">
        <f aca="false">E106/E100</f>
        <v>0.449550685636962</v>
      </c>
      <c r="F107" s="10" t="n">
        <f aca="false">F106/F100</f>
        <v>0.4549328014563</v>
      </c>
      <c r="G107" s="10" t="n">
        <f aca="false">G106/G100</f>
        <v>0.454534557213771</v>
      </c>
    </row>
    <row r="108" customFormat="false" ht="17.15" hidden="false" customHeight="false" outlineLevel="0" collapsed="false">
      <c r="A108" s="5" t="s">
        <v>498</v>
      </c>
      <c r="B108" s="0" t="s">
        <v>553</v>
      </c>
      <c r="C108" s="13" t="n">
        <f aca="false">a25_ni/1000</f>
        <v>9.6094</v>
      </c>
      <c r="D108" s="13" t="n">
        <f aca="false">a26_ni/1000</f>
        <v>16.3986734727826</v>
      </c>
      <c r="E108" s="13" t="n">
        <f aca="false">E106*nioi</f>
        <v>19.8820095780162</v>
      </c>
      <c r="F108" s="13" t="n">
        <f aca="false">F106*nioi</f>
        <v>20.6876550156892</v>
      </c>
      <c r="G108" s="13" t="n">
        <f aca="false">G106*nioi</f>
        <v>20.626754588493</v>
      </c>
      <c r="H108" s="8" t="s">
        <v>585</v>
      </c>
    </row>
    <row r="109" customFormat="false" ht="15" hidden="false" customHeight="false" outlineLevel="0" collapsed="false">
      <c r="A109" s="5" t="s">
        <v>586</v>
      </c>
      <c r="B109" s="5" t="s">
        <v>267</v>
      </c>
      <c r="C109" s="16" t="n">
        <f aca="false">a25_shr</f>
        <v>388.572583906187</v>
      </c>
      <c r="D109" s="16" t="n">
        <f aca="false">a26_shr</f>
        <v>383.625</v>
      </c>
      <c r="E109" s="16" t="n">
        <f aca="false">sh_q4*(1-bb)^1</f>
        <v>377.685</v>
      </c>
      <c r="F109" s="16" t="n">
        <f aca="false">sh_q4*(1-bb)^2</f>
        <v>373.90815</v>
      </c>
      <c r="G109" s="16" t="n">
        <f aca="false">sh_q4*(1-bb)^3</f>
        <v>370.1690685</v>
      </c>
    </row>
    <row r="110" customFormat="false" ht="17.15" hidden="false" customHeight="false" outlineLevel="0" collapsed="false">
      <c r="A110" s="0" t="s">
        <v>587</v>
      </c>
      <c r="B110" s="0" t="s">
        <v>392</v>
      </c>
      <c r="C110" s="13" t="n">
        <f aca="false">a25_eps</f>
        <v>24.73</v>
      </c>
      <c r="D110" s="13" t="n">
        <f aca="false">a26_eps</f>
        <v>42.7466235849661</v>
      </c>
      <c r="E110" s="13" t="n">
        <f aca="false">E108*1000/E109</f>
        <v>52.6417770841209</v>
      </c>
      <c r="F110" s="13" t="n">
        <f aca="false">F108*1000/F109</f>
        <v>55.3281735519518</v>
      </c>
      <c r="G110" s="13" t="n">
        <f aca="false">G108*1000/G109</f>
        <v>55.7225234190334</v>
      </c>
    </row>
    <row r="111" customFormat="false" ht="17.15" hidden="false" customHeight="false" outlineLevel="0" collapsed="false">
      <c r="A111" s="1" t="s">
        <v>588</v>
      </c>
    </row>
    <row r="112" customFormat="false" ht="17.15" hidden="false" customHeight="false" outlineLevel="0" collapsed="false">
      <c r="A112" s="0" t="s">
        <v>514</v>
      </c>
      <c r="B112" s="0" t="s">
        <v>553</v>
      </c>
      <c r="C112" s="13" t="n">
        <f aca="false">a25_euv/1000</f>
        <v>11.6</v>
      </c>
      <c r="D112" s="13" t="n">
        <f aca="false">a26_euv/1000</f>
        <v>16.82</v>
      </c>
      <c r="E112" s="13" t="n">
        <f aca="false">E96*euv_sh_27</f>
        <v>21.3386587742632</v>
      </c>
      <c r="F112" s="13" t="n">
        <f aca="false">F96*euv_sh_28</f>
        <v>22.3483326212907</v>
      </c>
      <c r="G112" s="13" t="n">
        <f aca="false">G96*euv_sh_29</f>
        <v>22.0138588146345</v>
      </c>
    </row>
    <row r="113" customFormat="false" ht="17.15" hidden="false" customHeight="false" outlineLevel="0" collapsed="false">
      <c r="A113" s="5" t="s">
        <v>589</v>
      </c>
      <c r="B113" s="5" t="s">
        <v>362</v>
      </c>
      <c r="E113" s="20" t="n">
        <f aca="false">(E112*1000-hna_n_27*hna_asp)/lna_asp</f>
        <v>84.2666307921053</v>
      </c>
      <c r="F113" s="20" t="n">
        <f aca="false">(F112*1000-hna_n_28*hna_asp)/lna_asp</f>
        <v>82.492421005867</v>
      </c>
      <c r="G113" s="20" t="n">
        <f aca="false">(G112*1000-hna_n_29*hna_asp)/lna_asp</f>
        <v>76.1993582483386</v>
      </c>
    </row>
    <row r="114" customFormat="false" ht="15" hidden="false" customHeight="false" outlineLevel="0" collapsed="false">
      <c r="A114" s="5" t="s">
        <v>590</v>
      </c>
      <c r="B114" s="0" t="s">
        <v>27</v>
      </c>
      <c r="C114" s="21" t="n">
        <f aca="false">C96*fx_25</f>
        <v>27.655959</v>
      </c>
      <c r="D114" s="21" t="n">
        <f aca="false">D96*fx_f</f>
        <v>37.372184</v>
      </c>
      <c r="E114" s="21" t="n">
        <f aca="false">E96*fx_f</f>
        <v>45.0051712329914</v>
      </c>
      <c r="F114" s="21" t="n">
        <f aca="false">F96*fx_f</f>
        <v>45.4808172643812</v>
      </c>
      <c r="G114" s="21" t="n">
        <f aca="false">G96*fx_f</f>
        <v>44.027717629269</v>
      </c>
    </row>
    <row r="115" customFormat="false" ht="17.15" hidden="false" customHeight="false" outlineLevel="0" collapsed="false">
      <c r="A115" s="0" t="s">
        <v>591</v>
      </c>
      <c r="B115" s="0" t="s">
        <v>231</v>
      </c>
      <c r="C115" s="10" t="n">
        <f aca="false">C114/Units!C15</f>
        <v>0.236584333071578</v>
      </c>
      <c r="D115" s="10" t="n">
        <f aca="false">D114/Units!D15</f>
        <v>0.239324345993695</v>
      </c>
      <c r="E115" s="10" t="n">
        <f aca="false">E114/Units!E15</f>
        <v>0.233434796877179</v>
      </c>
      <c r="F115" s="10" t="n">
        <f aca="false">F114/Units!F15</f>
        <v>0.235901898583072</v>
      </c>
      <c r="G115" s="10" t="n">
        <f aca="false">G114/Units!G15</f>
        <v>0.240384102775707</v>
      </c>
      <c r="H115" s="5" t="s">
        <v>592</v>
      </c>
    </row>
    <row r="118" customFormat="false" ht="17.15" hidden="false" customHeight="false" outlineLevel="0" collapsed="false">
      <c r="A118" s="3" t="s">
        <v>594</v>
      </c>
    </row>
    <row r="119" customFormat="false" ht="17.15" hidden="false" customHeight="false" outlineLevel="0" collapsed="false">
      <c r="A119" s="6" t="s">
        <v>16</v>
      </c>
      <c r="B119" s="6" t="s">
        <v>17</v>
      </c>
      <c r="C119" s="14" t="s">
        <v>548</v>
      </c>
      <c r="D119" s="14" t="s">
        <v>549</v>
      </c>
      <c r="E119" s="14" t="s">
        <v>550</v>
      </c>
      <c r="F119" s="14" t="s">
        <v>551</v>
      </c>
      <c r="G119" s="14" t="s">
        <v>552</v>
      </c>
      <c r="H119" s="6" t="s">
        <v>534</v>
      </c>
    </row>
    <row r="120" customFormat="false" ht="17.15" hidden="false" customHeight="false" outlineLevel="0" collapsed="false">
      <c r="A120" s="1" t="s">
        <v>561</v>
      </c>
    </row>
    <row r="121" customFormat="false" ht="17.15" hidden="false" customHeight="false" outlineLevel="0" collapsed="false">
      <c r="A121" s="5" t="s">
        <v>562</v>
      </c>
      <c r="B121" s="0" t="s">
        <v>345</v>
      </c>
      <c r="C121" s="25" t="n">
        <f aca="false">Units!C24</f>
        <v>0.797493866282457</v>
      </c>
      <c r="D121" s="25" t="n">
        <f aca="false">Units!D24</f>
        <v>1</v>
      </c>
      <c r="E121" s="25" t="n">
        <f aca="false">Units!E24</f>
        <v>1.1581138943867</v>
      </c>
      <c r="F121" s="25" t="n">
        <f aca="false">Units!F24</f>
        <v>0.926491115509358</v>
      </c>
      <c r="G121" s="25" t="n">
        <f aca="false">Units!G24</f>
        <v>0.926491115509358</v>
      </c>
    </row>
    <row r="122" customFormat="false" ht="17.15" hidden="false" customHeight="false" outlineLevel="0" collapsed="false">
      <c r="A122" s="5" t="s">
        <v>563</v>
      </c>
      <c r="B122" s="0" t="s">
        <v>345</v>
      </c>
      <c r="C122" s="25" t="n">
        <f aca="false">Units!C25</f>
        <v>0.677840887672955</v>
      </c>
      <c r="D122" s="25" t="n">
        <f aca="false">Units!D25</f>
        <v>1</v>
      </c>
      <c r="E122" s="25" t="n">
        <f aca="false">Units!E25</f>
        <v>1.3452955652252</v>
      </c>
      <c r="F122" s="25" t="n">
        <f aca="false">Units!F25</f>
        <v>1.07623645218016</v>
      </c>
      <c r="G122" s="25" t="n">
        <f aca="false">Units!G25</f>
        <v>1.07623645218016</v>
      </c>
    </row>
    <row r="123" customFormat="false" ht="17.15" hidden="false" customHeight="false" outlineLevel="0" collapsed="false">
      <c r="A123" s="5" t="s">
        <v>564</v>
      </c>
      <c r="B123" s="0" t="s">
        <v>345</v>
      </c>
      <c r="D123" s="25" t="n">
        <f aca="false">(1+g_int)^0</f>
        <v>1</v>
      </c>
      <c r="E123" s="25" t="n">
        <f aca="false">(1+g_int)^1</f>
        <v>1.03</v>
      </c>
      <c r="F123" s="25" t="n">
        <f aca="false">(1+g_int)^2</f>
        <v>1.0609</v>
      </c>
      <c r="G123" s="25" t="n">
        <f aca="false">(1+g_int)^3</f>
        <v>1.092727</v>
      </c>
      <c r="H123" s="8" t="s">
        <v>565</v>
      </c>
    </row>
    <row r="124" customFormat="false" ht="17.15" hidden="false" customHeight="false" outlineLevel="0" collapsed="false">
      <c r="A124" s="1" t="s">
        <v>566</v>
      </c>
    </row>
    <row r="125" customFormat="false" ht="17.15" hidden="false" customHeight="false" outlineLevel="0" collapsed="false">
      <c r="A125" s="5" t="s">
        <v>567</v>
      </c>
      <c r="B125" s="0" t="s">
        <v>553</v>
      </c>
      <c r="D125" s="13" t="n">
        <f aca="false">a26_sys/1000*(1-cn_sh26)*log_sh26</f>
        <v>14.0838050971922</v>
      </c>
      <c r="E125" s="13" t="n">
        <f aca="false">$D125*E121*E123</f>
        <v>16.7999698799593</v>
      </c>
      <c r="F125" s="13" t="n">
        <f aca="false">$D125*F121*F123</f>
        <v>13.8431751810864</v>
      </c>
      <c r="G125" s="13" t="n">
        <f aca="false">$D125*G121*G123</f>
        <v>14.258470436519</v>
      </c>
      <c r="H125" s="8" t="s">
        <v>568</v>
      </c>
    </row>
    <row r="126" customFormat="false" ht="15" hidden="false" customHeight="false" outlineLevel="0" collapsed="false">
      <c r="A126" s="5" t="s">
        <v>569</v>
      </c>
      <c r="B126" s="0" t="s">
        <v>553</v>
      </c>
      <c r="D126" s="13" t="n">
        <f aca="false">a26_sys/1000*(1-cn_sh26)*(1-log_sh26)</f>
        <v>11.6901149028078</v>
      </c>
      <c r="E126" s="13" t="n">
        <f aca="false">$D126*E122*E123</f>
        <v>16.1984595277919</v>
      </c>
      <c r="F126" s="13" t="n">
        <f aca="false">$D126*F122*F123</f>
        <v>13.3475306509006</v>
      </c>
      <c r="G126" s="13" t="n">
        <f aca="false">$D126*G122*G123</f>
        <v>13.7479565704276</v>
      </c>
    </row>
    <row r="127" customFormat="false" ht="17.15" hidden="false" customHeight="false" outlineLevel="0" collapsed="false">
      <c r="A127" s="5" t="s">
        <v>570</v>
      </c>
      <c r="B127" s="0" t="s">
        <v>553</v>
      </c>
      <c r="D127" s="13" t="n">
        <f aca="false">a26_sys/1000*cn_sh26</f>
        <v>6.44348</v>
      </c>
      <c r="E127" s="13" t="n">
        <f aca="false">D127*(1+g_cn_C)</f>
        <v>4.83261</v>
      </c>
      <c r="F127" s="13" t="n">
        <f aca="false">E127*(1+g_cn_C)</f>
        <v>3.6244575</v>
      </c>
      <c r="G127" s="13" t="n">
        <f aca="false">F127*(1+g_cn_C)</f>
        <v>2.718343125</v>
      </c>
      <c r="H127" s="8" t="s">
        <v>571</v>
      </c>
    </row>
    <row r="128" customFormat="false" ht="15" hidden="false" customHeight="false" outlineLevel="0" collapsed="false">
      <c r="A128" s="5" t="s">
        <v>572</v>
      </c>
      <c r="B128" s="0" t="s">
        <v>553</v>
      </c>
      <c r="D128" s="13" t="n">
        <f aca="false">D125+D126+D127</f>
        <v>32.2174</v>
      </c>
      <c r="E128" s="13" t="n">
        <f aca="false">E125+E126+E127</f>
        <v>37.8310394077512</v>
      </c>
      <c r="F128" s="13" t="n">
        <f aca="false">F125+F126+F127</f>
        <v>30.815163331987</v>
      </c>
      <c r="G128" s="13" t="n">
        <f aca="false">G125+G126+G127</f>
        <v>30.7247701319466</v>
      </c>
    </row>
    <row r="129" customFormat="false" ht="17.15" hidden="false" customHeight="false" outlineLevel="0" collapsed="false">
      <c r="A129" s="5" t="s">
        <v>573</v>
      </c>
      <c r="B129" s="0" t="s">
        <v>553</v>
      </c>
      <c r="D129" s="13" t="n">
        <f aca="false">a26_sys/1000</f>
        <v>32.2174</v>
      </c>
      <c r="E129" s="13" t="n">
        <f aca="false">$D129*(1+cap_27)*E123</f>
        <v>43.1390986</v>
      </c>
      <c r="F129" s="13" t="n">
        <f aca="false">$D129*(1+cap_27)*(1+cap_28)*F123</f>
        <v>51.0982622917</v>
      </c>
      <c r="G129" s="13" t="n">
        <f aca="false">$D129*(1+cap_27)*(1+cap_28)*(1+cap_29)*G123</f>
        <v>57.8943311764961</v>
      </c>
      <c r="H129" s="5" t="s">
        <v>574</v>
      </c>
    </row>
    <row r="130" customFormat="false" ht="17.15" hidden="false" customHeight="false" outlineLevel="0" collapsed="false">
      <c r="A130" s="5" t="s">
        <v>575</v>
      </c>
      <c r="B130" s="0" t="s">
        <v>553</v>
      </c>
      <c r="C130" s="13" t="n">
        <f aca="false">a25_sys/1000</f>
        <v>24.4743</v>
      </c>
      <c r="D130" s="13" t="n">
        <f aca="false">a26_sys/1000</f>
        <v>32.2174</v>
      </c>
      <c r="E130" s="13" t="n">
        <f aca="false">MIN(E128,E129)</f>
        <v>37.8310394077512</v>
      </c>
      <c r="F130" s="13" t="n">
        <f aca="false">MIN(F128,F129)</f>
        <v>30.815163331987</v>
      </c>
      <c r="G130" s="13" t="n">
        <f aca="false">MIN(G128,G129)</f>
        <v>30.7247701319466</v>
      </c>
    </row>
    <row r="131" customFormat="false" ht="17.15" hidden="false" customHeight="false" outlineLevel="0" collapsed="false">
      <c r="A131" s="5" t="s">
        <v>576</v>
      </c>
      <c r="E131" s="20" t="n">
        <f aca="false">IF(E128&gt;E129,1,0)</f>
        <v>0</v>
      </c>
      <c r="F131" s="20" t="n">
        <f aca="false">IF(F128&gt;F129,1,0)</f>
        <v>0</v>
      </c>
      <c r="G131" s="20" t="n">
        <f aca="false">IF(G128&gt;G129,1,0)</f>
        <v>0</v>
      </c>
    </row>
    <row r="132" customFormat="false" ht="15" hidden="false" customHeight="false" outlineLevel="0" collapsed="false">
      <c r="A132" s="5" t="s">
        <v>577</v>
      </c>
      <c r="B132" s="0" t="s">
        <v>231</v>
      </c>
      <c r="D132" s="10" t="n">
        <f aca="false">D127/D128</f>
        <v>0.2</v>
      </c>
      <c r="E132" s="10" t="n">
        <f aca="false">E127/E128</f>
        <v>0.127741930321107</v>
      </c>
      <c r="F132" s="10" t="n">
        <f aca="false">F127/F128</f>
        <v>0.117619285705285</v>
      </c>
      <c r="G132" s="10" t="n">
        <f aca="false">G127/G128</f>
        <v>0.0884739938924248</v>
      </c>
      <c r="H132" s="5" t="s">
        <v>578</v>
      </c>
    </row>
    <row r="133" customFormat="false" ht="17.15" hidden="false" customHeight="false" outlineLevel="0" collapsed="false">
      <c r="A133" s="5" t="s">
        <v>579</v>
      </c>
      <c r="B133" s="0" t="s">
        <v>553</v>
      </c>
      <c r="C133" s="13" t="n">
        <f aca="false">a25_ibm/1000</f>
        <v>8.193</v>
      </c>
      <c r="D133" s="13" t="n">
        <f aca="false">a26_ibm/1000</f>
        <v>12.238</v>
      </c>
      <c r="E133" s="13" t="n">
        <f aca="false">D133*(1+g_ibm_C)</f>
        <v>12.60514</v>
      </c>
      <c r="F133" s="13" t="n">
        <f aca="false">E133*(1+g_ibm_C)</f>
        <v>12.9832942</v>
      </c>
      <c r="G133" s="13" t="n">
        <f aca="false">F133*(1+g_ibm_C)</f>
        <v>13.372793026</v>
      </c>
    </row>
    <row r="134" customFormat="false" ht="15" hidden="false" customHeight="false" outlineLevel="0" collapsed="false">
      <c r="A134" s="5" t="s">
        <v>481</v>
      </c>
      <c r="B134" s="0" t="s">
        <v>553</v>
      </c>
      <c r="C134" s="13" t="n">
        <f aca="false">C130+C133</f>
        <v>32.6673</v>
      </c>
      <c r="D134" s="13" t="n">
        <f aca="false">D130+D133</f>
        <v>44.4554</v>
      </c>
      <c r="E134" s="13" t="n">
        <f aca="false">E130+E133</f>
        <v>50.4361794077512</v>
      </c>
      <c r="F134" s="13" t="n">
        <f aca="false">F130+F133</f>
        <v>43.798457531987</v>
      </c>
      <c r="G134" s="13" t="n">
        <f aca="false">G130+G133</f>
        <v>44.0975631579466</v>
      </c>
    </row>
    <row r="135" customFormat="false" ht="15" hidden="false" customHeight="false" outlineLevel="0" collapsed="false">
      <c r="A135" s="5" t="s">
        <v>580</v>
      </c>
      <c r="B135" s="0" t="s">
        <v>231</v>
      </c>
      <c r="D135" s="10" t="n">
        <f aca="false">D134/C134-1</f>
        <v>0.360853207948009</v>
      </c>
      <c r="E135" s="10" t="n">
        <f aca="false">E134/D134-1</f>
        <v>0.134534373951223</v>
      </c>
      <c r="F135" s="10" t="n">
        <f aca="false">F134/E134-1</f>
        <v>-0.131606357850811</v>
      </c>
      <c r="G135" s="10" t="n">
        <f aca="false">G134/F134-1</f>
        <v>0.00682913606583457</v>
      </c>
    </row>
    <row r="136" customFormat="false" ht="17.15" hidden="false" customHeight="false" outlineLevel="0" collapsed="false">
      <c r="A136" s="1" t="s">
        <v>581</v>
      </c>
    </row>
    <row r="137" customFormat="false" ht="17.15" hidden="false" customHeight="false" outlineLevel="0" collapsed="false">
      <c r="A137" s="5" t="s">
        <v>486</v>
      </c>
      <c r="B137" s="0" t="s">
        <v>231</v>
      </c>
      <c r="C137" s="10" t="n">
        <f aca="false">a25_gp/a25_rev</f>
        <v>0.528298941142978</v>
      </c>
      <c r="D137" s="10" t="n">
        <f aca="false">a26_gp/a26_rev</f>
        <v>0.556944713128214</v>
      </c>
      <c r="E137" s="10" t="n">
        <f aca="false">$D137+gm_b*LN(E134/$D134)</f>
        <v>0.568679853340966</v>
      </c>
      <c r="F137" s="10" t="n">
        <f aca="false">$D137+gm_b*LN(F134/$D134)</f>
        <v>0.555560561174332</v>
      </c>
      <c r="G137" s="10" t="n">
        <f aca="false">$D137+gm_b*LN(G134/$D134)</f>
        <v>0.55619332137134</v>
      </c>
      <c r="H137" s="8" t="s">
        <v>582</v>
      </c>
    </row>
    <row r="138" customFormat="false" ht="15" hidden="false" customHeight="false" outlineLevel="0" collapsed="false">
      <c r="A138" s="5" t="s">
        <v>484</v>
      </c>
      <c r="B138" s="0" t="s">
        <v>553</v>
      </c>
      <c r="C138" s="13" t="n">
        <f aca="false">C134*C137</f>
        <v>17.2581</v>
      </c>
      <c r="D138" s="13" t="n">
        <f aca="false">D134*D137</f>
        <v>24.7592</v>
      </c>
      <c r="E138" s="13" t="n">
        <f aca="false">E134*E137</f>
        <v>28.6820391086786</v>
      </c>
      <c r="F138" s="13" t="n">
        <f aca="false">F134*F137</f>
        <v>24.3326956450408</v>
      </c>
      <c r="G138" s="13" t="n">
        <f aca="false">G134*G137</f>
        <v>24.5267701172008</v>
      </c>
    </row>
    <row r="139" customFormat="false" ht="17.15" hidden="false" customHeight="false" outlineLevel="0" collapsed="false">
      <c r="A139" s="5" t="s">
        <v>583</v>
      </c>
      <c r="B139" s="0" t="s">
        <v>553</v>
      </c>
      <c r="C139" s="13" t="n">
        <f aca="false">opex25/1000</f>
        <v>5.9565</v>
      </c>
      <c r="D139" s="13" t="n">
        <f aca="false">opex26/1000</f>
        <v>6.1935</v>
      </c>
      <c r="E139" s="13" t="n">
        <f aca="false">$D139*((1-phi)+phi*E134/$D134)</f>
        <v>6.3137436965785</v>
      </c>
      <c r="F139" s="13" t="n">
        <f aca="false">$D139*((1-phi)+phi*F134/$D134)</f>
        <v>6.18029215777614</v>
      </c>
      <c r="G139" s="13" t="n">
        <f aca="false">$D139*((1-phi)+phi*G134/$D134)</f>
        <v>6.18630568271675</v>
      </c>
      <c r="H139" s="8" t="s">
        <v>584</v>
      </c>
    </row>
    <row r="140" customFormat="false" ht="15" hidden="false" customHeight="false" outlineLevel="0" collapsed="false">
      <c r="A140" s="5" t="s">
        <v>490</v>
      </c>
      <c r="B140" s="0" t="s">
        <v>553</v>
      </c>
      <c r="C140" s="13" t="n">
        <f aca="false">C138-C139</f>
        <v>11.3016</v>
      </c>
      <c r="D140" s="13" t="n">
        <f aca="false">D138-D139</f>
        <v>18.5657</v>
      </c>
      <c r="E140" s="13" t="n">
        <f aca="false">E138-E139</f>
        <v>22.3682954121001</v>
      </c>
      <c r="F140" s="13" t="n">
        <f aca="false">F138-F139</f>
        <v>18.1524034872647</v>
      </c>
      <c r="G140" s="13" t="n">
        <f aca="false">G138-G139</f>
        <v>18.340464434484</v>
      </c>
    </row>
    <row r="141" customFormat="false" ht="15" hidden="false" customHeight="false" outlineLevel="0" collapsed="false">
      <c r="A141" s="5" t="s">
        <v>557</v>
      </c>
      <c r="B141" s="0" t="s">
        <v>231</v>
      </c>
      <c r="C141" s="10" t="n">
        <f aca="false">C140/C134</f>
        <v>0.345960639538621</v>
      </c>
      <c r="D141" s="10" t="n">
        <f aca="false">D140/D134</f>
        <v>0.417625305362228</v>
      </c>
      <c r="E141" s="10" t="n">
        <f aca="false">E140/E134</f>
        <v>0.443497022866535</v>
      </c>
      <c r="F141" s="10" t="n">
        <f aca="false">F140/F134</f>
        <v>0.414453031228499</v>
      </c>
      <c r="G141" s="10" t="n">
        <f aca="false">G140/G134</f>
        <v>0.41590652909307</v>
      </c>
    </row>
    <row r="142" customFormat="false" ht="17.15" hidden="false" customHeight="false" outlineLevel="0" collapsed="false">
      <c r="A142" s="5" t="s">
        <v>498</v>
      </c>
      <c r="B142" s="0" t="s">
        <v>553</v>
      </c>
      <c r="C142" s="13" t="n">
        <f aca="false">a25_ni/1000</f>
        <v>9.6094</v>
      </c>
      <c r="D142" s="13" t="n">
        <f aca="false">a26_ni/1000</f>
        <v>16.3986734727826</v>
      </c>
      <c r="E142" s="13" t="n">
        <f aca="false">E140*nioi</f>
        <v>19.0190679136613</v>
      </c>
      <c r="F142" s="13" t="n">
        <f aca="false">F140*nioi</f>
        <v>15.4344257512672</v>
      </c>
      <c r="G142" s="13" t="n">
        <f aca="false">G140*nioi</f>
        <v>15.5943281426285</v>
      </c>
      <c r="H142" s="8" t="s">
        <v>585</v>
      </c>
    </row>
    <row r="143" customFormat="false" ht="15" hidden="false" customHeight="false" outlineLevel="0" collapsed="false">
      <c r="A143" s="5" t="s">
        <v>586</v>
      </c>
      <c r="B143" s="5" t="s">
        <v>267</v>
      </c>
      <c r="C143" s="16" t="n">
        <f aca="false">a25_shr</f>
        <v>388.572583906187</v>
      </c>
      <c r="D143" s="16" t="n">
        <f aca="false">a26_shr</f>
        <v>383.625</v>
      </c>
      <c r="E143" s="16" t="n">
        <f aca="false">sh_q4*(1-bb)^1</f>
        <v>377.685</v>
      </c>
      <c r="F143" s="16" t="n">
        <f aca="false">sh_q4*(1-bb)^2</f>
        <v>373.90815</v>
      </c>
      <c r="G143" s="16" t="n">
        <f aca="false">sh_q4*(1-bb)^3</f>
        <v>370.1690685</v>
      </c>
    </row>
    <row r="144" customFormat="false" ht="17.15" hidden="false" customHeight="false" outlineLevel="0" collapsed="false">
      <c r="A144" s="0" t="s">
        <v>587</v>
      </c>
      <c r="B144" s="0" t="s">
        <v>392</v>
      </c>
      <c r="C144" s="13" t="n">
        <f aca="false">a25_eps</f>
        <v>24.73</v>
      </c>
      <c r="D144" s="13" t="n">
        <f aca="false">a26_eps</f>
        <v>42.7466235849661</v>
      </c>
      <c r="E144" s="13" t="n">
        <f aca="false">E142*1000/E143</f>
        <v>50.3569586127628</v>
      </c>
      <c r="F144" s="13" t="n">
        <f aca="false">F142*1000/F143</f>
        <v>41.2786556037016</v>
      </c>
      <c r="G144" s="13" t="n">
        <f aca="false">G142*1000/G143</f>
        <v>42.1275829604562</v>
      </c>
    </row>
    <row r="145" customFormat="false" ht="17.15" hidden="false" customHeight="false" outlineLevel="0" collapsed="false">
      <c r="A145" s="1" t="s">
        <v>588</v>
      </c>
    </row>
    <row r="146" customFormat="false" ht="17.15" hidden="false" customHeight="false" outlineLevel="0" collapsed="false">
      <c r="A146" s="0" t="s">
        <v>514</v>
      </c>
      <c r="B146" s="0" t="s">
        <v>553</v>
      </c>
      <c r="C146" s="13" t="n">
        <f aca="false">a25_euv/1000</f>
        <v>11.6</v>
      </c>
      <c r="D146" s="13" t="n">
        <f aca="false">a26_euv/1000</f>
        <v>16.82</v>
      </c>
      <c r="E146" s="13" t="n">
        <f aca="false">E130*euv_sh_27</f>
        <v>20.8070716742632</v>
      </c>
      <c r="F146" s="13" t="n">
        <f aca="false">F130*euv_sh_28</f>
        <v>17.5646430992326</v>
      </c>
      <c r="G146" s="13" t="n">
        <f aca="false">G130*euv_sh_29</f>
        <v>17.820366676529</v>
      </c>
    </row>
    <row r="147" customFormat="false" ht="17.15" hidden="false" customHeight="false" outlineLevel="0" collapsed="false">
      <c r="A147" s="5" t="s">
        <v>589</v>
      </c>
      <c r="B147" s="5" t="s">
        <v>362</v>
      </c>
      <c r="E147" s="20" t="n">
        <f aca="false">(E146*1000-hna_n_27*hna_asp)/lna_asp</f>
        <v>81.8503257921053</v>
      </c>
      <c r="F147" s="20" t="n">
        <f aca="false">(F146*1000-hna_n_28*hna_asp)/lna_asp</f>
        <v>60.7483777237845</v>
      </c>
      <c r="G147" s="20" t="n">
        <f aca="false">(G146*1000-hna_n_29*hna_asp)/lna_asp</f>
        <v>57.1380303478593</v>
      </c>
    </row>
    <row r="148" customFormat="false" ht="15" hidden="false" customHeight="false" outlineLevel="0" collapsed="false">
      <c r="A148" s="5" t="s">
        <v>590</v>
      </c>
      <c r="B148" s="0" t="s">
        <v>27</v>
      </c>
      <c r="C148" s="21" t="n">
        <f aca="false">C130*fx_25</f>
        <v>27.655959</v>
      </c>
      <c r="D148" s="21" t="n">
        <f aca="false">D130*fx_f</f>
        <v>37.372184</v>
      </c>
      <c r="E148" s="21" t="n">
        <f aca="false">E130*fx_f</f>
        <v>43.8840057129914</v>
      </c>
      <c r="F148" s="21" t="n">
        <f aca="false">F130*fx_f</f>
        <v>35.7455894651049</v>
      </c>
      <c r="G148" s="21" t="n">
        <f aca="false">G130*fx_f</f>
        <v>35.6407333530581</v>
      </c>
    </row>
    <row r="149" customFormat="false" ht="17.15" hidden="false" customHeight="false" outlineLevel="0" collapsed="false">
      <c r="A149" s="0" t="s">
        <v>591</v>
      </c>
      <c r="B149" s="0" t="s">
        <v>231</v>
      </c>
      <c r="C149" s="10" t="n">
        <f aca="false">C148/Units!C23</f>
        <v>0.236584333071578</v>
      </c>
      <c r="D149" s="10" t="n">
        <f aca="false">D148/Units!D23</f>
        <v>0.239324345993695</v>
      </c>
      <c r="E149" s="10" t="n">
        <f aca="false">E148/Units!E23</f>
        <v>0.227619486363817</v>
      </c>
      <c r="F149" s="10" t="n">
        <f aca="false">F148/Units!F23</f>
        <v>0.231758489842301</v>
      </c>
      <c r="G149" s="10" t="n">
        <f aca="false">G148/Units!G23</f>
        <v>0.231078649488782</v>
      </c>
      <c r="H149" s="5" t="s">
        <v>592</v>
      </c>
    </row>
    <row r="152" customFormat="false" ht="17.15" hidden="false" customHeight="false" outlineLevel="0" collapsed="false">
      <c r="A152" s="3" t="s">
        <v>595</v>
      </c>
    </row>
    <row r="153" customFormat="false" ht="17.15" hidden="false" customHeight="false" outlineLevel="0" collapsed="false">
      <c r="A153" s="5" t="s">
        <v>596</v>
      </c>
    </row>
    <row r="154" customFormat="false" ht="17.15" hidden="false" customHeight="false" outlineLevel="0" collapsed="false">
      <c r="A154" s="6" t="s">
        <v>597</v>
      </c>
      <c r="B154" s="6" t="s">
        <v>17</v>
      </c>
      <c r="C154" s="14" t="s">
        <v>548</v>
      </c>
      <c r="D154" s="14" t="s">
        <v>549</v>
      </c>
      <c r="E154" s="14" t="s">
        <v>550</v>
      </c>
      <c r="F154" s="14" t="s">
        <v>551</v>
      </c>
      <c r="G154" s="14" t="s">
        <v>552</v>
      </c>
      <c r="H154" s="14" t="s">
        <v>598</v>
      </c>
      <c r="I154" s="14" t="s">
        <v>599</v>
      </c>
      <c r="J154" s="14" t="s">
        <v>600</v>
      </c>
      <c r="K154" s="6" t="s">
        <v>534</v>
      </c>
    </row>
    <row r="155" customFormat="false" ht="17.15" hidden="false" customHeight="false" outlineLevel="0" collapsed="false">
      <c r="A155" s="3" t="s">
        <v>601</v>
      </c>
    </row>
    <row r="156" customFormat="false" ht="17.15" hidden="false" customHeight="false" outlineLevel="0" collapsed="false">
      <c r="A156" s="5" t="s">
        <v>481</v>
      </c>
      <c r="B156" s="0" t="s">
        <v>553</v>
      </c>
      <c r="C156" s="16" t="n">
        <f aca="false">C5</f>
        <v>32.6673</v>
      </c>
      <c r="D156" s="16" t="n">
        <f aca="false">D5</f>
        <v>44.4554</v>
      </c>
      <c r="E156" s="16" t="n">
        <f aca="false">E5</f>
        <v>53.1484694077512</v>
      </c>
      <c r="F156" s="16" t="n">
        <f aca="false">F5</f>
        <v>59.9767174003281</v>
      </c>
      <c r="G156" s="16" t="n">
        <f aca="false">G5</f>
        <v>65.1516814963786</v>
      </c>
      <c r="H156" s="27" t="n">
        <f aca="false">G156*(1+H157)</f>
        <v>70.2023650717635</v>
      </c>
      <c r="I156" s="27" t="n">
        <f aca="false">H156*(1+I157)</f>
        <v>75.0295471608625</v>
      </c>
      <c r="J156" s="27" t="n">
        <f aca="false">I156*(1+J157)</f>
        <v>79.5313199905143</v>
      </c>
      <c r="K156" s="8" t="s">
        <v>602</v>
      </c>
    </row>
    <row r="157" customFormat="false" ht="15" hidden="false" customHeight="false" outlineLevel="0" collapsed="false">
      <c r="A157" s="5" t="s">
        <v>603</v>
      </c>
      <c r="B157" s="0" t="s">
        <v>231</v>
      </c>
      <c r="D157" s="10" t="n">
        <f aca="false">D156/C156-1</f>
        <v>0.360853207948009</v>
      </c>
      <c r="E157" s="10" t="n">
        <f aca="false">E156/D156-1</f>
        <v>0.195545859620006</v>
      </c>
      <c r="F157" s="10" t="n">
        <f aca="false">F156/E156-1</f>
        <v>0.128474969621253</v>
      </c>
      <c r="G157" s="10" t="n">
        <f aca="false">G156/F156-1</f>
        <v>0.0862828830979356</v>
      </c>
      <c r="H157" s="28" t="n">
        <f aca="false">$G157+((tp_g+0.02)-$G157)*1/3</f>
        <v>0.0775219220652904</v>
      </c>
      <c r="I157" s="28" t="n">
        <f aca="false">$G157+((tp_g+0.02)-$G157)*2/3</f>
        <v>0.0687609610326452</v>
      </c>
      <c r="J157" s="28" t="n">
        <f aca="false">$G157+((tp_g+0.02)-$G157)*3/3</f>
        <v>0.06</v>
      </c>
    </row>
    <row r="158" customFormat="false" ht="17.15" hidden="false" customHeight="false" outlineLevel="0" collapsed="false">
      <c r="A158" s="5" t="s">
        <v>604</v>
      </c>
      <c r="B158" s="0" t="s">
        <v>231</v>
      </c>
      <c r="C158" s="10" t="n">
        <f aca="false">C159/C156</f>
        <v>0.294159603028105</v>
      </c>
      <c r="D158" s="10" t="n">
        <f aca="false">D159/D156</f>
        <v>0.368879224408792</v>
      </c>
      <c r="E158" s="10" t="n">
        <f aca="false">E159/E156</f>
        <v>0.385791962374652</v>
      </c>
      <c r="F158" s="10" t="n">
        <f aca="false">F159/F156</f>
        <v>0.404999277627304</v>
      </c>
      <c r="G158" s="10" t="n">
        <f aca="false">G159/G156</f>
        <v>0.417509408204184</v>
      </c>
      <c r="H158" s="28" t="n">
        <f aca="false">$G158+($G158-$G158)*1/3</f>
        <v>0.417509408204184</v>
      </c>
      <c r="I158" s="28" t="n">
        <f aca="false">$G158+($G158-$G158)*2/3</f>
        <v>0.417509408204184</v>
      </c>
      <c r="J158" s="28" t="n">
        <f aca="false">$G158+($G158-$G158)*3/3</f>
        <v>0.417509408204184</v>
      </c>
    </row>
    <row r="159" customFormat="false" ht="15" hidden="false" customHeight="false" outlineLevel="0" collapsed="false">
      <c r="A159" s="5" t="s">
        <v>605</v>
      </c>
      <c r="B159" s="0" t="s">
        <v>553</v>
      </c>
      <c r="C159" s="16" t="n">
        <f aca="false">C12</f>
        <v>9.6094</v>
      </c>
      <c r="D159" s="16" t="n">
        <f aca="false">D12</f>
        <v>16.3986734727826</v>
      </c>
      <c r="E159" s="16" t="n">
        <f aca="false">E12</f>
        <v>20.5042523100255</v>
      </c>
      <c r="F159" s="16" t="n">
        <f aca="false">F12</f>
        <v>24.2905272215898</v>
      </c>
      <c r="G159" s="16" t="n">
        <f aca="false">G12</f>
        <v>27.2014399850605</v>
      </c>
      <c r="H159" s="27" t="n">
        <f aca="false">H156*H158</f>
        <v>29.310147895646</v>
      </c>
      <c r="I159" s="27" t="n">
        <f aca="false">I156*I158</f>
        <v>31.3255418329596</v>
      </c>
      <c r="J159" s="27" t="n">
        <f aca="false">J156*J158</f>
        <v>33.2050743429372</v>
      </c>
    </row>
    <row r="160" customFormat="false" ht="17.15" hidden="false" customHeight="false" outlineLevel="0" collapsed="false">
      <c r="A160" s="0" t="s">
        <v>606</v>
      </c>
      <c r="B160" s="0" t="s">
        <v>392</v>
      </c>
      <c r="C160" s="13" t="n">
        <f aca="false">C13</f>
        <v>24.73</v>
      </c>
      <c r="D160" s="13" t="n">
        <f aca="false">D13</f>
        <v>42.7466235849661</v>
      </c>
      <c r="E160" s="13" t="n">
        <f aca="false">E13</f>
        <v>54.2892948092339</v>
      </c>
      <c r="F160" s="13" t="n">
        <f aca="false">F13</f>
        <v>64.9638881142062</v>
      </c>
      <c r="G160" s="13" t="n">
        <f aca="false">G13</f>
        <v>73.4838275258553</v>
      </c>
      <c r="H160" s="29" t="n">
        <f aca="false">$G160*H159/$G159</f>
        <v>79.1804350763739</v>
      </c>
      <c r="I160" s="29" t="n">
        <f aca="false">$G160*I159/$G159</f>
        <v>84.6249578872083</v>
      </c>
      <c r="J160" s="29" t="n">
        <f aca="false">$G160*J159/$G159</f>
        <v>89.7024553604408</v>
      </c>
    </row>
    <row r="162" customFormat="false" ht="17.15" hidden="false" customHeight="false" outlineLevel="0" collapsed="false">
      <c r="A162" s="3" t="s">
        <v>607</v>
      </c>
    </row>
    <row r="163" customFormat="false" ht="17.15" hidden="false" customHeight="false" outlineLevel="0" collapsed="false">
      <c r="A163" s="5" t="s">
        <v>481</v>
      </c>
      <c r="B163" s="0" t="s">
        <v>553</v>
      </c>
      <c r="C163" s="16" t="n">
        <f aca="false">C16</f>
        <v>32.6673</v>
      </c>
      <c r="D163" s="16" t="n">
        <f aca="false">D16</f>
        <v>44.4554</v>
      </c>
      <c r="E163" s="16" t="n">
        <f aca="false">E16</f>
        <v>52.0146014077512</v>
      </c>
      <c r="F163" s="16" t="n">
        <f aca="false">F16</f>
        <v>53.4820042899838</v>
      </c>
      <c r="G163" s="16" t="n">
        <f aca="false">G16</f>
        <v>53.3712844467491</v>
      </c>
      <c r="H163" s="27" t="n">
        <f aca="false">G163*(1+H164)</f>
        <v>54.0092411539584</v>
      </c>
      <c r="I163" s="27" t="n">
        <f aca="false">H163*(1+I164)</f>
        <v>55.41221713714</v>
      </c>
      <c r="J163" s="27" t="n">
        <f aca="false">I163*(1+J164)</f>
        <v>57.6287058226256</v>
      </c>
      <c r="K163" s="8" t="s">
        <v>602</v>
      </c>
    </row>
    <row r="164" customFormat="false" ht="15" hidden="false" customHeight="false" outlineLevel="0" collapsed="false">
      <c r="A164" s="5" t="s">
        <v>603</v>
      </c>
      <c r="B164" s="0" t="s">
        <v>231</v>
      </c>
      <c r="D164" s="10" t="n">
        <f aca="false">D163/C163-1</f>
        <v>0.360853207948009</v>
      </c>
      <c r="E164" s="10" t="n">
        <f aca="false">E163/D163-1</f>
        <v>0.170040116785614</v>
      </c>
      <c r="F164" s="10" t="n">
        <f aca="false">F163/E163-1</f>
        <v>0.0282113645499142</v>
      </c>
      <c r="G164" s="10" t="n">
        <f aca="false">G163/F163-1</f>
        <v>-0.00207022613876451</v>
      </c>
      <c r="H164" s="28" t="n">
        <f aca="false">$G164+((tp_g)-$G164)*1/3</f>
        <v>0.011953182574157</v>
      </c>
      <c r="I164" s="28" t="n">
        <f aca="false">$G164+((tp_g)-$G164)*2/3</f>
        <v>0.0259765912870785</v>
      </c>
      <c r="J164" s="28" t="n">
        <f aca="false">$G164+((tp_g)-$G164)*3/3</f>
        <v>0.04</v>
      </c>
    </row>
    <row r="165" customFormat="false" ht="17.15" hidden="false" customHeight="false" outlineLevel="0" collapsed="false">
      <c r="A165" s="5" t="s">
        <v>604</v>
      </c>
      <c r="B165" s="0" t="s">
        <v>231</v>
      </c>
      <c r="C165" s="10" t="n">
        <f aca="false">C166/C163</f>
        <v>0.294159603028105</v>
      </c>
      <c r="D165" s="10" t="n">
        <f aca="false">D166/D163</f>
        <v>0.368879224408792</v>
      </c>
      <c r="E165" s="10" t="n">
        <f aca="false">E166/E163</f>
        <v>0.382239006738853</v>
      </c>
      <c r="F165" s="10" t="n">
        <f aca="false">F166/F163</f>
        <v>0.386815252912346</v>
      </c>
      <c r="G165" s="10" t="n">
        <f aca="false">G166/G163</f>
        <v>0.38647663818309</v>
      </c>
      <c r="H165" s="28" t="n">
        <f aca="false">$G165+(($G165+nim10)/2-$G165)*1/3</f>
        <v>0.365322099103895</v>
      </c>
      <c r="I165" s="28" t="n">
        <f aca="false">$G165+(($G165+nim10)/2-$G165)*2/3</f>
        <v>0.344167560024701</v>
      </c>
      <c r="J165" s="28" t="n">
        <f aca="false">$G165+(($G165+nim10)/2-$G165)*3/3</f>
        <v>0.323013020945506</v>
      </c>
    </row>
    <row r="166" customFormat="false" ht="15" hidden="false" customHeight="false" outlineLevel="0" collapsed="false">
      <c r="A166" s="5" t="s">
        <v>605</v>
      </c>
      <c r="B166" s="0" t="s">
        <v>553</v>
      </c>
      <c r="C166" s="16" t="n">
        <f aca="false">C23</f>
        <v>9.6094</v>
      </c>
      <c r="D166" s="16" t="n">
        <f aca="false">D23</f>
        <v>16.3986734727826</v>
      </c>
      <c r="E166" s="16" t="n">
        <f aca="false">E23</f>
        <v>19.8820095780162</v>
      </c>
      <c r="F166" s="16" t="n">
        <f aca="false">F23</f>
        <v>20.6876550156892</v>
      </c>
      <c r="G166" s="16" t="n">
        <f aca="false">G23</f>
        <v>20.626754588493</v>
      </c>
      <c r="H166" s="27" t="n">
        <f aca="false">H163*H165</f>
        <v>19.7307693493726</v>
      </c>
      <c r="I166" s="27" t="n">
        <f aca="false">I163*I165</f>
        <v>19.0710875676484</v>
      </c>
      <c r="J166" s="27" t="n">
        <f aca="false">J163*J165</f>
        <v>18.6148223609462</v>
      </c>
    </row>
    <row r="167" customFormat="false" ht="17.15" hidden="false" customHeight="false" outlineLevel="0" collapsed="false">
      <c r="A167" s="0" t="s">
        <v>606</v>
      </c>
      <c r="B167" s="0" t="s">
        <v>392</v>
      </c>
      <c r="C167" s="13" t="n">
        <f aca="false">C24</f>
        <v>24.73</v>
      </c>
      <c r="D167" s="13" t="n">
        <f aca="false">D24</f>
        <v>42.7466235849661</v>
      </c>
      <c r="E167" s="13" t="n">
        <f aca="false">E24</f>
        <v>52.6417770841209</v>
      </c>
      <c r="F167" s="13" t="n">
        <f aca="false">F24</f>
        <v>55.3281735519518</v>
      </c>
      <c r="G167" s="13" t="n">
        <f aca="false">G24</f>
        <v>55.7225234190334</v>
      </c>
      <c r="H167" s="29" t="n">
        <f aca="false">$G167*H166/$G166</f>
        <v>53.3020477084313</v>
      </c>
      <c r="I167" s="29" t="n">
        <f aca="false">$G167*I166/$G166</f>
        <v>51.5199382944887</v>
      </c>
      <c r="J167" s="29" t="n">
        <f aca="false">$G167*J166/$G166</f>
        <v>50.2873523073583</v>
      </c>
    </row>
    <row r="169" customFormat="false" ht="17.15" hidden="false" customHeight="false" outlineLevel="0" collapsed="false">
      <c r="A169" s="3" t="s">
        <v>608</v>
      </c>
    </row>
    <row r="170" customFormat="false" ht="17.15" hidden="false" customHeight="false" outlineLevel="0" collapsed="false">
      <c r="A170" s="5" t="s">
        <v>481</v>
      </c>
      <c r="B170" s="0" t="s">
        <v>553</v>
      </c>
      <c r="C170" s="16" t="n">
        <f aca="false">C27</f>
        <v>32.6673</v>
      </c>
      <c r="D170" s="16" t="n">
        <f aca="false">D27</f>
        <v>44.4554</v>
      </c>
      <c r="E170" s="16" t="n">
        <f aca="false">E27</f>
        <v>50.4361794077512</v>
      </c>
      <c r="F170" s="16" t="n">
        <f aca="false">F27</f>
        <v>43.798457531987</v>
      </c>
      <c r="G170" s="16" t="n">
        <f aca="false">G27</f>
        <v>44.0975631579466</v>
      </c>
      <c r="H170" s="27" t="n">
        <f aca="false">G170*(1+H171)</f>
        <v>44.5923124183178</v>
      </c>
      <c r="I170" s="27" t="n">
        <f aca="false">H170*(1+I171)</f>
        <v>45.2883855735604</v>
      </c>
      <c r="J170" s="27" t="n">
        <f aca="false">I170*(1+J171)</f>
        <v>46.1941532850316</v>
      </c>
      <c r="K170" s="8" t="s">
        <v>602</v>
      </c>
    </row>
    <row r="171" customFormat="false" ht="15" hidden="false" customHeight="false" outlineLevel="0" collapsed="false">
      <c r="A171" s="5" t="s">
        <v>603</v>
      </c>
      <c r="B171" s="0" t="s">
        <v>231</v>
      </c>
      <c r="D171" s="10" t="n">
        <f aca="false">D170/C170-1</f>
        <v>0.360853207948009</v>
      </c>
      <c r="E171" s="10" t="n">
        <f aca="false">E170/D170-1</f>
        <v>0.134534373951223</v>
      </c>
      <c r="F171" s="10" t="n">
        <f aca="false">F170/E170-1</f>
        <v>-0.131606357850811</v>
      </c>
      <c r="G171" s="10" t="n">
        <f aca="false">G170/F170-1</f>
        <v>0.00682913606583457</v>
      </c>
      <c r="H171" s="28" t="n">
        <f aca="false">$G171+((tp_g-0.02)-$G171)*1/3</f>
        <v>0.0112194240438897</v>
      </c>
      <c r="I171" s="28" t="n">
        <f aca="false">$G171+((tp_g-0.02)-$G171)*2/3</f>
        <v>0.0156097120219449</v>
      </c>
      <c r="J171" s="28" t="n">
        <f aca="false">$G171+((tp_g-0.02)-$G171)*3/3</f>
        <v>0.02</v>
      </c>
    </row>
    <row r="172" customFormat="false" ht="17.15" hidden="false" customHeight="false" outlineLevel="0" collapsed="false">
      <c r="A172" s="5" t="s">
        <v>604</v>
      </c>
      <c r="B172" s="0" t="s">
        <v>231</v>
      </c>
      <c r="C172" s="10" t="n">
        <f aca="false">C173/C170</f>
        <v>0.294159603028105</v>
      </c>
      <c r="D172" s="10" t="n">
        <f aca="false">D173/D170</f>
        <v>0.368879224408792</v>
      </c>
      <c r="E172" s="10" t="n">
        <f aca="false">E173/E170</f>
        <v>0.377091765018553</v>
      </c>
      <c r="F172" s="10" t="n">
        <f aca="false">F173/F170</f>
        <v>0.352396559627587</v>
      </c>
      <c r="G172" s="10" t="n">
        <f aca="false">G173/G170</f>
        <v>0.353632423786627</v>
      </c>
      <c r="H172" s="28" t="n">
        <f aca="false">$G172+(nim10-$G172)*1/3</f>
        <v>0.322271417093725</v>
      </c>
      <c r="I172" s="28" t="n">
        <f aca="false">$G172+(nim10-$G172)*2/3</f>
        <v>0.290910410400824</v>
      </c>
      <c r="J172" s="28" t="n">
        <f aca="false">$G172+(nim10-$G172)*3/3</f>
        <v>0.259549403707922</v>
      </c>
    </row>
    <row r="173" customFormat="false" ht="15" hidden="false" customHeight="false" outlineLevel="0" collapsed="false">
      <c r="A173" s="5" t="s">
        <v>605</v>
      </c>
      <c r="B173" s="0" t="s">
        <v>553</v>
      </c>
      <c r="C173" s="16" t="n">
        <f aca="false">C34</f>
        <v>9.6094</v>
      </c>
      <c r="D173" s="16" t="n">
        <f aca="false">D34</f>
        <v>16.3986734727826</v>
      </c>
      <c r="E173" s="16" t="n">
        <f aca="false">E34</f>
        <v>19.0190679136613</v>
      </c>
      <c r="F173" s="16" t="n">
        <f aca="false">F34</f>
        <v>15.4344257512672</v>
      </c>
      <c r="G173" s="16" t="n">
        <f aca="false">G34</f>
        <v>15.5943281426285</v>
      </c>
      <c r="H173" s="27" t="n">
        <f aca="false">H170*H172</f>
        <v>14.3708277145374</v>
      </c>
      <c r="I173" s="27" t="n">
        <f aca="false">I170*I172</f>
        <v>13.1748628335952</v>
      </c>
      <c r="J173" s="27" t="n">
        <f aca="false">J170*J172</f>
        <v>11.9896649399223</v>
      </c>
    </row>
    <row r="174" customFormat="false" ht="17.15" hidden="false" customHeight="false" outlineLevel="0" collapsed="false">
      <c r="A174" s="0" t="s">
        <v>606</v>
      </c>
      <c r="B174" s="0" t="s">
        <v>392</v>
      </c>
      <c r="C174" s="13" t="n">
        <f aca="false">C35</f>
        <v>24.73</v>
      </c>
      <c r="D174" s="13" t="n">
        <f aca="false">D35</f>
        <v>42.7466235849661</v>
      </c>
      <c r="E174" s="13" t="n">
        <f aca="false">E35</f>
        <v>50.3569586127628</v>
      </c>
      <c r="F174" s="13" t="n">
        <f aca="false">F35</f>
        <v>41.2786556037016</v>
      </c>
      <c r="G174" s="13" t="n">
        <f aca="false">G35</f>
        <v>42.1275829604562</v>
      </c>
      <c r="H174" s="29" t="n">
        <f aca="false">$G174*H173/$G173</f>
        <v>38.8223353527914</v>
      </c>
      <c r="I174" s="29" t="n">
        <f aca="false">$G174*I173/$G173</f>
        <v>35.5914741525606</v>
      </c>
      <c r="J174" s="29" t="n">
        <f aca="false">$G174*J173/$G173</f>
        <v>32.3896996270024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5"/>
    <col collapsed="false" customWidth="true" hidden="false" outlineLevel="0" max="10" min="10" style="0" width="90"/>
  </cols>
  <sheetData>
    <row r="1" customFormat="false" ht="17.15" hidden="false" customHeight="false" outlineLevel="0" collapsed="false">
      <c r="A1" s="0" t="s">
        <v>609</v>
      </c>
    </row>
    <row r="2" customFormat="false" ht="17.15" hidden="false" customHeight="false" outlineLevel="0" collapsed="false">
      <c r="A2" s="0" t="s">
        <v>610</v>
      </c>
    </row>
    <row r="3" customFormat="false" ht="17.15" hidden="false" customHeight="false" outlineLevel="0" collapsed="false">
      <c r="A3" s="5" t="s">
        <v>611</v>
      </c>
    </row>
    <row r="4" customFormat="false" ht="15" hidden="false" customHeight="false" outlineLevel="0" collapsed="false">
      <c r="A4" s="3" t="s">
        <v>612</v>
      </c>
    </row>
    <row r="5" customFormat="false" ht="15" hidden="false" customHeight="false" outlineLevel="0" collapsed="false">
      <c r="A5" s="6" t="s">
        <v>16</v>
      </c>
      <c r="B5" s="6" t="s">
        <v>613</v>
      </c>
      <c r="C5" s="14"/>
      <c r="D5" s="14"/>
      <c r="E5" s="6" t="s">
        <v>534</v>
      </c>
    </row>
    <row r="6" customFormat="false" ht="17.15" hidden="false" customHeight="false" outlineLevel="0" collapsed="false">
      <c r="A6" s="5" t="s">
        <v>614</v>
      </c>
      <c r="B6" s="23" t="n">
        <f aca="false">tp_wA*F55+tp_wB*F62+tp_wC*F69</f>
        <v>1829.12787571104</v>
      </c>
      <c r="E6" s="5" t="s">
        <v>615</v>
      </c>
    </row>
    <row r="7" customFormat="false" ht="17.15" hidden="false" customHeight="false" outlineLevel="0" collapsed="false">
      <c r="A7" s="5" t="s">
        <v>616</v>
      </c>
      <c r="B7" s="10" t="n">
        <f aca="false">B6/px-1</f>
        <v>0.299835045275042</v>
      </c>
      <c r="E7" s="5" t="s">
        <v>617</v>
      </c>
    </row>
    <row r="8" customFormat="false" ht="17.15" hidden="false" customHeight="false" outlineLevel="0" collapsed="false">
      <c r="A8" s="5" t="s">
        <v>618</v>
      </c>
      <c r="B8" s="23" t="n">
        <f aca="false">F55</f>
        <v>1924.15690710669</v>
      </c>
      <c r="E8" s="0" t="str">
        <f aca="false">"FY2027 EPS × "&amp;D49&amp;" 倍數（第 5 節）"</f>
        <v>FY2027 EPS × 中段 倍數（第 5 節）</v>
      </c>
    </row>
    <row r="9" customFormat="false" ht="17.15" hidden="false" customHeight="false" outlineLevel="0" collapsed="false">
      <c r="A9" s="5" t="s">
        <v>619</v>
      </c>
      <c r="B9" s="23" t="n">
        <f aca="false">F62</f>
        <v>1865.76449988357</v>
      </c>
      <c r="E9" s="0" t="str">
        <f aca="false">"FY2027 EPS × "&amp;D50&amp;" 倍數（第 5 節）"</f>
        <v>FY2027 EPS × 中段 倍數（第 5 節）</v>
      </c>
    </row>
    <row r="10" customFormat="false" ht="17.15" hidden="false" customHeight="false" outlineLevel="0" collapsed="false">
      <c r="A10" s="5" t="s">
        <v>620</v>
      </c>
      <c r="B10" s="23" t="n">
        <f aca="false">F69</f>
        <v>1594.99276818623</v>
      </c>
      <c r="E10" s="0" t="str">
        <f aca="false">"FY2027 EPS × "&amp;D51&amp;" 倍數（第 5 節）"</f>
        <v>FY2027 EPS × 見頂 倍數（第 5 節）</v>
      </c>
    </row>
    <row r="11" customFormat="false" ht="17.15" hidden="false" customHeight="false" outlineLevel="0" collapsed="false">
      <c r="A11" s="5" t="s">
        <v>621</v>
      </c>
      <c r="B11" s="30" t="n">
        <f aca="false">tp_wA</f>
        <v>0.3</v>
      </c>
      <c r="C11" s="30" t="n">
        <f aca="false">tp_wB</f>
        <v>0.5</v>
      </c>
      <c r="D11" s="30" t="n">
        <f aca="false">tp_wC</f>
        <v>0.2</v>
      </c>
      <c r="E11" s="0" t="str">
        <f aca="false">"合計 "&amp;TEXT(B11+C11+D11,"0%")&amp;"；In 頁 tp_wA／tp_wB／tp_wC（Assumed，Andy 可改）"</f>
        <v>合計 100%；In 頁 tp_wA／tp_wB／tp_wC（Assumed，Andy 可改）</v>
      </c>
    </row>
    <row r="12" customFormat="false" ht="17.15" hidden="false" customHeight="false" outlineLevel="0" collapsed="false">
      <c r="A12" s="5" t="s">
        <v>622</v>
      </c>
      <c r="B12" s="0" t="s">
        <v>623</v>
      </c>
    </row>
    <row r="14" customFormat="false" ht="17.15" hidden="false" customHeight="false" outlineLevel="0" collapsed="false">
      <c r="A14" s="1" t="s">
        <v>624</v>
      </c>
    </row>
    <row r="15" customFormat="false" ht="15" hidden="false" customHeight="false" outlineLevel="0" collapsed="false">
      <c r="A15" s="6" t="s">
        <v>16</v>
      </c>
      <c r="B15" s="14" t="s">
        <v>625</v>
      </c>
      <c r="C15" s="14" t="s">
        <v>626</v>
      </c>
      <c r="D15" s="14" t="s">
        <v>627</v>
      </c>
      <c r="E15" s="6" t="s">
        <v>534</v>
      </c>
    </row>
    <row r="16" customFormat="false" ht="17.15" hidden="false" customHeight="false" outlineLevel="0" collapsed="false">
      <c r="A16" s="5" t="s">
        <v>628</v>
      </c>
      <c r="B16" s="13" t="n">
        <f aca="false">px</f>
        <v>1407.2</v>
      </c>
    </row>
    <row r="17" customFormat="false" ht="17.15" hidden="false" customHeight="false" outlineLevel="0" collapsed="false">
      <c r="A17" s="5" t="s">
        <v>629</v>
      </c>
      <c r="B17" s="21" t="n">
        <f aca="false">px/PL!D13</f>
        <v>32.9195590665296</v>
      </c>
      <c r="C17" s="21" t="n">
        <f aca="false">px/PL!D24</f>
        <v>32.9195590665296</v>
      </c>
      <c r="D17" s="21" t="n">
        <f aca="false">px/PL!D35</f>
        <v>32.9195590665296</v>
      </c>
      <c r="E17" s="8" t="s">
        <v>630</v>
      </c>
    </row>
    <row r="18" customFormat="false" ht="17.15" hidden="false" customHeight="false" outlineLevel="0" collapsed="false">
      <c r="A18" s="5" t="s">
        <v>631</v>
      </c>
      <c r="B18" s="21" t="n">
        <f aca="false">px/PL!E13</f>
        <v>25.9203956313069</v>
      </c>
      <c r="C18" s="21" t="n">
        <f aca="false">px/PL!E24</f>
        <v>26.7316203583195</v>
      </c>
      <c r="D18" s="21" t="n">
        <f aca="false">px/PL!E35</f>
        <v>27.9444994051597</v>
      </c>
    </row>
    <row r="19" customFormat="false" ht="17.15" hidden="false" customHeight="false" outlineLevel="0" collapsed="false">
      <c r="A19" s="5" t="s">
        <v>632</v>
      </c>
      <c r="B19" s="21" t="n">
        <f aca="false">px/PL!F13</f>
        <v>21.6612650635404</v>
      </c>
      <c r="C19" s="21" t="n">
        <f aca="false">px/PL!F24</f>
        <v>25.4336969695678</v>
      </c>
      <c r="D19" s="21" t="n">
        <f aca="false">px/PL!F35</f>
        <v>34.0902575294582</v>
      </c>
    </row>
    <row r="20" customFormat="false" ht="17.15" hidden="false" customHeight="false" outlineLevel="0" collapsed="false">
      <c r="A20" s="5" t="s">
        <v>633</v>
      </c>
      <c r="B20" s="21" t="n">
        <f aca="false">px/PL!G13</f>
        <v>19.1497918301122</v>
      </c>
      <c r="C20" s="21" t="n">
        <f aca="false">px/PL!G24</f>
        <v>25.2537019800388</v>
      </c>
      <c r="D20" s="21" t="n">
        <f aca="false">px/PL!G35</f>
        <v>33.4032930709766</v>
      </c>
    </row>
    <row r="21" customFormat="false" ht="17.15" hidden="false" customHeight="false" outlineLevel="0" collapsed="false">
      <c r="A21" s="5" t="s">
        <v>396</v>
      </c>
      <c r="B21" s="21" t="n">
        <f aca="false">sa_fpe</f>
        <v>24.48</v>
      </c>
      <c r="E21" s="5" t="s">
        <v>634</v>
      </c>
    </row>
    <row r="22" customFormat="false" ht="17.15" hidden="false" customHeight="false" outlineLevel="0" collapsed="false">
      <c r="A22" s="5" t="s">
        <v>635</v>
      </c>
      <c r="B22" s="21" t="n">
        <f aca="false">px/cons_eps27</f>
        <v>25.1600214553907</v>
      </c>
    </row>
    <row r="24" customFormat="false" ht="17.15" hidden="false" customHeight="false" outlineLevel="0" collapsed="false">
      <c r="A24" s="1" t="s">
        <v>636</v>
      </c>
    </row>
    <row r="25" customFormat="false" ht="17.15" hidden="false" customHeight="false" outlineLevel="0" collapsed="false">
      <c r="A25" s="6" t="s">
        <v>637</v>
      </c>
      <c r="B25" s="14" t="s">
        <v>638</v>
      </c>
      <c r="C25" s="6" t="s">
        <v>639</v>
      </c>
      <c r="D25" s="14" t="s">
        <v>640</v>
      </c>
      <c r="E25" s="14" t="s">
        <v>641</v>
      </c>
      <c r="F25" s="14" t="s">
        <v>642</v>
      </c>
      <c r="G25" s="14" t="s">
        <v>643</v>
      </c>
      <c r="H25" s="6" t="s">
        <v>644</v>
      </c>
      <c r="I25" s="6" t="s">
        <v>21</v>
      </c>
      <c r="J25" s="6" t="s">
        <v>645</v>
      </c>
    </row>
    <row r="26" customFormat="false" ht="17.15" hidden="false" customHeight="false" outlineLevel="0" collapsed="false">
      <c r="A26" s="0" t="s">
        <v>646</v>
      </c>
      <c r="B26" s="12" t="n">
        <v>112.2</v>
      </c>
      <c r="C26" s="17" t="n">
        <v>3.46</v>
      </c>
      <c r="D26" s="31" t="n">
        <v>1.0541</v>
      </c>
      <c r="E26" s="18" t="n">
        <f aca="false">C26*D26</f>
        <v>3.647186</v>
      </c>
      <c r="F26" s="21" t="n">
        <f aca="false">B26/E26</f>
        <v>30.7634433779906</v>
      </c>
      <c r="G26" s="32" t="n">
        <v>27.3</v>
      </c>
      <c r="H26" s="21" t="n">
        <f aca="false">F26-G26</f>
        <v>3.46344337799059</v>
      </c>
      <c r="I26" s="8" t="s">
        <v>478</v>
      </c>
      <c r="J26" s="5" t="s">
        <v>647</v>
      </c>
    </row>
    <row r="27" customFormat="false" ht="17.15" hidden="false" customHeight="false" outlineLevel="0" collapsed="false">
      <c r="A27" s="0" t="s">
        <v>648</v>
      </c>
      <c r="B27" s="12" t="n">
        <v>173.82</v>
      </c>
      <c r="C27" s="17" t="n">
        <v>4.93</v>
      </c>
      <c r="D27" s="31" t="n">
        <v>1.1993</v>
      </c>
      <c r="E27" s="18" t="n">
        <f aca="false">C27*D27</f>
        <v>5.912549</v>
      </c>
      <c r="F27" s="21" t="n">
        <f aca="false">B27/E27</f>
        <v>29.398487860312</v>
      </c>
      <c r="G27" s="32" t="n">
        <v>28.4</v>
      </c>
      <c r="H27" s="21" t="n">
        <f aca="false">F27-G27</f>
        <v>0.998487860312029</v>
      </c>
      <c r="I27" s="8" t="s">
        <v>478</v>
      </c>
      <c r="J27" s="5" t="s">
        <v>649</v>
      </c>
    </row>
    <row r="28" customFormat="false" ht="17.15" hidden="false" customHeight="false" outlineLevel="0" collapsed="false">
      <c r="A28" s="0" t="s">
        <v>650</v>
      </c>
      <c r="B28" s="12" t="n">
        <v>155.62</v>
      </c>
      <c r="C28" s="17" t="n">
        <v>6.1</v>
      </c>
      <c r="D28" s="31" t="n">
        <v>1.145</v>
      </c>
      <c r="E28" s="18" t="n">
        <f aca="false">C28*D28</f>
        <v>6.9845</v>
      </c>
      <c r="F28" s="21" t="n">
        <f aca="false">B28/E28</f>
        <v>22.2807645500752</v>
      </c>
      <c r="G28" s="32" t="n">
        <v>20.4</v>
      </c>
      <c r="H28" s="21" t="n">
        <f aca="false">F28-G28</f>
        <v>1.88076455007517</v>
      </c>
      <c r="I28" s="8" t="s">
        <v>478</v>
      </c>
      <c r="J28" s="5" t="s">
        <v>651</v>
      </c>
    </row>
    <row r="29" customFormat="false" ht="17.15" hidden="false" customHeight="false" outlineLevel="0" collapsed="false">
      <c r="A29" s="0" t="s">
        <v>652</v>
      </c>
      <c r="B29" s="12" t="n">
        <v>295.94</v>
      </c>
      <c r="C29" s="17" t="n">
        <v>6.16</v>
      </c>
      <c r="D29" s="31" t="n">
        <v>1.1234</v>
      </c>
      <c r="E29" s="18" t="n">
        <f aca="false">C29*D29</f>
        <v>6.920144</v>
      </c>
      <c r="F29" s="21" t="n">
        <f aca="false">B29/E29</f>
        <v>42.765006046117</v>
      </c>
      <c r="G29" s="32" t="n">
        <v>41</v>
      </c>
      <c r="H29" s="21" t="n">
        <f aca="false">F29-G29</f>
        <v>1.76500604611696</v>
      </c>
      <c r="I29" s="8" t="s">
        <v>478</v>
      </c>
      <c r="J29" s="5" t="s">
        <v>653</v>
      </c>
    </row>
    <row r="30" customFormat="false" ht="17.15" hidden="false" customHeight="false" outlineLevel="0" collapsed="false">
      <c r="A30" s="0" t="s">
        <v>654</v>
      </c>
      <c r="B30" s="12" t="n">
        <v>487.72</v>
      </c>
      <c r="C30" s="17" t="n">
        <v>8.49</v>
      </c>
      <c r="D30" s="31" t="n">
        <v>1.2271</v>
      </c>
      <c r="E30" s="18" t="n">
        <f aca="false">C30*D30</f>
        <v>10.418079</v>
      </c>
      <c r="F30" s="21" t="n">
        <f aca="false">B30/E30</f>
        <v>46.8147726658629</v>
      </c>
      <c r="G30" s="32" t="n">
        <v>46.9</v>
      </c>
      <c r="H30" s="21" t="n">
        <f aca="false">F30-G30</f>
        <v>-0.0852273341371301</v>
      </c>
      <c r="I30" s="8" t="s">
        <v>478</v>
      </c>
      <c r="J30" s="5" t="s">
        <v>655</v>
      </c>
    </row>
    <row r="31" customFormat="false" ht="17.15" hidden="false" customHeight="false" outlineLevel="0" collapsed="false">
      <c r="A31" s="0" t="s">
        <v>656</v>
      </c>
      <c r="B31" s="12" t="n">
        <v>796.14</v>
      </c>
      <c r="C31" s="17" t="n">
        <v>14.36</v>
      </c>
      <c r="D31" s="31" t="n">
        <v>1.1326</v>
      </c>
      <c r="E31" s="18" t="n">
        <f aca="false">C31*D31</f>
        <v>16.264136</v>
      </c>
      <c r="F31" s="21" t="n">
        <f aca="false">B31/E31</f>
        <v>48.9506482237974</v>
      </c>
      <c r="G31" s="32" t="n">
        <v>46.1</v>
      </c>
      <c r="H31" s="21" t="n">
        <f aca="false">F31-G31</f>
        <v>2.85064822379744</v>
      </c>
      <c r="I31" s="8" t="s">
        <v>478</v>
      </c>
      <c r="J31" s="5" t="s">
        <v>657</v>
      </c>
    </row>
    <row r="32" customFormat="false" ht="17.15" hidden="false" customHeight="false" outlineLevel="0" collapsed="false">
      <c r="A32" s="0" t="s">
        <v>658</v>
      </c>
      <c r="B32" s="12" t="n">
        <v>546.4</v>
      </c>
      <c r="C32" s="17" t="n">
        <v>14.14</v>
      </c>
      <c r="D32" s="31" t="n">
        <v>1.0666</v>
      </c>
      <c r="E32" s="18" t="n">
        <f aca="false">C32*D32</f>
        <v>15.081724</v>
      </c>
      <c r="F32" s="21" t="n">
        <f aca="false">B32/E32</f>
        <v>36.2292798886918</v>
      </c>
      <c r="G32" s="32" t="n">
        <v>36.2</v>
      </c>
      <c r="H32" s="21" t="n">
        <f aca="false">F32-G32</f>
        <v>0.0292798886917609</v>
      </c>
      <c r="I32" s="8" t="s">
        <v>478</v>
      </c>
      <c r="J32" s="5" t="s">
        <v>659</v>
      </c>
    </row>
    <row r="33" customFormat="false" ht="17.15" hidden="false" customHeight="false" outlineLevel="0" collapsed="false">
      <c r="A33" s="0" t="s">
        <v>660</v>
      </c>
      <c r="B33" s="12" t="n">
        <v>756.92</v>
      </c>
      <c r="C33" s="17" t="n">
        <v>19.91</v>
      </c>
      <c r="D33" s="31" t="n">
        <v>1.105</v>
      </c>
      <c r="E33" s="18" t="n">
        <f aca="false">C33*D33</f>
        <v>22.00055</v>
      </c>
      <c r="F33" s="21" t="n">
        <f aca="false">B33/E33</f>
        <v>34.4045944305938</v>
      </c>
      <c r="G33" s="32" t="n">
        <v>34.6</v>
      </c>
      <c r="H33" s="21" t="n">
        <f aca="false">F33-G33</f>
        <v>-0.195405569406226</v>
      </c>
      <c r="I33" s="8" t="s">
        <v>478</v>
      </c>
      <c r="J33" s="5" t="s">
        <v>661</v>
      </c>
    </row>
    <row r="34" customFormat="false" ht="17.15" hidden="false" customHeight="false" outlineLevel="0" collapsed="false">
      <c r="A34" s="0" t="s">
        <v>662</v>
      </c>
      <c r="B34" s="12" t="n">
        <v>693.08</v>
      </c>
      <c r="C34" s="17" t="n">
        <v>19.25</v>
      </c>
      <c r="D34" s="31" t="n">
        <v>1.0389</v>
      </c>
      <c r="E34" s="18" t="n">
        <f aca="false">C34*D34</f>
        <v>19.998825</v>
      </c>
      <c r="F34" s="21" t="n">
        <f aca="false">B34/E34</f>
        <v>34.6560360421175</v>
      </c>
      <c r="G34" s="32" t="n">
        <v>33.4</v>
      </c>
      <c r="H34" s="21" t="n">
        <f aca="false">F34-G34</f>
        <v>1.25603604211748</v>
      </c>
      <c r="I34" s="8" t="s">
        <v>478</v>
      </c>
      <c r="J34" s="5" t="s">
        <v>663</v>
      </c>
    </row>
    <row r="35" customFormat="false" ht="17.15" hidden="false" customHeight="false" outlineLevel="0" collapsed="false">
      <c r="A35" s="0" t="s">
        <v>664</v>
      </c>
      <c r="B35" s="12" t="n">
        <v>1069.86</v>
      </c>
      <c r="C35" s="17" t="n">
        <v>24.73</v>
      </c>
      <c r="D35" s="31" t="n">
        <v>1.175</v>
      </c>
      <c r="E35" s="18" t="n">
        <f aca="false">C35*D35</f>
        <v>29.05775</v>
      </c>
      <c r="F35" s="21" t="n">
        <f aca="false">B35/E35</f>
        <v>36.8184047285148</v>
      </c>
      <c r="G35" s="32" t="n">
        <v>37.5</v>
      </c>
      <c r="H35" s="21" t="n">
        <f aca="false">F35-G35</f>
        <v>-0.681595271485236</v>
      </c>
      <c r="I35" s="8" t="s">
        <v>478</v>
      </c>
      <c r="J35" s="5" t="s">
        <v>665</v>
      </c>
    </row>
    <row r="36" customFormat="false" ht="17.15" hidden="false" customHeight="false" outlineLevel="0" collapsed="false">
      <c r="A36" s="5" t="s">
        <v>666</v>
      </c>
    </row>
    <row r="38" customFormat="false" ht="17.15" hidden="false" customHeight="false" outlineLevel="0" collapsed="false">
      <c r="A38" s="1" t="s">
        <v>667</v>
      </c>
    </row>
    <row r="39" customFormat="false" ht="17.15" hidden="false" customHeight="false" outlineLevel="0" collapsed="false">
      <c r="A39" s="6" t="s">
        <v>668</v>
      </c>
      <c r="B39" s="14" t="s">
        <v>642</v>
      </c>
      <c r="C39" s="14" t="s">
        <v>669</v>
      </c>
      <c r="D39" s="6" t="s">
        <v>670</v>
      </c>
    </row>
    <row r="40" customFormat="false" ht="17.15" hidden="false" customHeight="false" outlineLevel="0" collapsed="false">
      <c r="A40" s="0" t="s">
        <v>671</v>
      </c>
      <c r="B40" s="21" t="n">
        <f aca="false">PERCENTILE(F26:F35,0.25)</f>
        <v>31.6737311411414</v>
      </c>
      <c r="C40" s="21" t="n">
        <f aca="false">PERCENTILE(G26:G35,0.25)</f>
        <v>29.65</v>
      </c>
      <c r="D40" s="5" t="s">
        <v>672</v>
      </c>
    </row>
    <row r="41" customFormat="false" ht="15" hidden="false" customHeight="false" outlineLevel="0" collapsed="false">
      <c r="A41" s="5" t="s">
        <v>673</v>
      </c>
      <c r="B41" s="21" t="n">
        <f aca="false">PERCENTILE(F26:F35,0.5)</f>
        <v>35.4426579654046</v>
      </c>
      <c r="C41" s="21" t="n">
        <f aca="false">PERCENTILE(G26:G35,0.5)</f>
        <v>35.4</v>
      </c>
      <c r="D41" s="5" t="s">
        <v>674</v>
      </c>
    </row>
    <row r="42" customFormat="false" ht="17.15" hidden="false" customHeight="false" outlineLevel="0" collapsed="false">
      <c r="A42" s="0" t="s">
        <v>675</v>
      </c>
      <c r="B42" s="21" t="n">
        <f aca="false">PERCENTILE(F26:F35,0.75)</f>
        <v>41.2783557167164</v>
      </c>
      <c r="C42" s="21" t="n">
        <f aca="false">PERCENTILE(G26:G35,0.75)</f>
        <v>40.125</v>
      </c>
      <c r="D42" s="5" t="s">
        <v>676</v>
      </c>
    </row>
    <row r="43" customFormat="false" ht="15" hidden="false" customHeight="false" outlineLevel="0" collapsed="false">
      <c r="A43" s="5" t="s">
        <v>677</v>
      </c>
      <c r="B43" s="0" t="n">
        <f aca="false">COUNT(F26:F35)</f>
        <v>10</v>
      </c>
      <c r="C43" s="0" t="n">
        <f aca="false">COUNT(G26:G35)</f>
        <v>10</v>
      </c>
    </row>
    <row r="44" customFormat="false" ht="17.15" hidden="false" customHeight="false" outlineLevel="0" collapsed="false">
      <c r="A44" s="5" t="s">
        <v>678</v>
      </c>
    </row>
    <row r="46" customFormat="false" ht="17.15" hidden="false" customHeight="false" outlineLevel="0" collapsed="false">
      <c r="A46" s="1" t="s">
        <v>679</v>
      </c>
    </row>
    <row r="47" customFormat="false" ht="17.15" hidden="false" customHeight="false" outlineLevel="0" collapsed="false">
      <c r="A47" s="5" t="s">
        <v>680</v>
      </c>
    </row>
    <row r="48" customFormat="false" ht="17.15" hidden="false" customHeight="false" outlineLevel="0" collapsed="false">
      <c r="A48" s="6" t="s">
        <v>681</v>
      </c>
      <c r="B48" s="6" t="s">
        <v>682</v>
      </c>
      <c r="C48" s="14" t="s">
        <v>683</v>
      </c>
      <c r="D48" s="6" t="s">
        <v>684</v>
      </c>
      <c r="E48" s="6" t="s">
        <v>685</v>
      </c>
      <c r="F48" s="6" t="s">
        <v>686</v>
      </c>
    </row>
    <row r="49" customFormat="false" ht="15" hidden="false" customHeight="false" outlineLevel="0" collapsed="false">
      <c r="A49" s="0" t="s">
        <v>625</v>
      </c>
      <c r="B49" s="0" t="n">
        <f aca="false">pk_A</f>
        <v>2029</v>
      </c>
      <c r="C49" s="7" t="n">
        <v>2027</v>
      </c>
      <c r="D49" s="0" t="str">
        <f aca="false">IF(C49&lt;pk_A,"中段",IF(C49=pk_A,"見頂","谷底"))</f>
        <v>中段</v>
      </c>
      <c r="E49" s="21" t="n">
        <f aca="false">IF(D49="見頂",pe_peak,IF(D49="谷底",pe_trough,pe_mid))</f>
        <v>35.4426579654046</v>
      </c>
      <c r="F49" s="8" t="s">
        <v>687</v>
      </c>
    </row>
    <row r="50" customFormat="false" ht="15" hidden="false" customHeight="false" outlineLevel="0" collapsed="false">
      <c r="A50" s="0" t="s">
        <v>626</v>
      </c>
      <c r="B50" s="0" t="n">
        <f aca="false">pk_B</f>
        <v>2028</v>
      </c>
      <c r="C50" s="7" t="n">
        <v>2027</v>
      </c>
      <c r="D50" s="0" t="str">
        <f aca="false">IF(C50&lt;pk_B,"中段",IF(C50=pk_B,"見頂","谷底"))</f>
        <v>中段</v>
      </c>
      <c r="E50" s="21" t="n">
        <f aca="false">IF(D50="見頂",pe_peak,IF(D50="谷底",pe_trough,pe_mid))</f>
        <v>35.4426579654046</v>
      </c>
      <c r="F50" s="8" t="s">
        <v>687</v>
      </c>
    </row>
    <row r="51" customFormat="false" ht="15" hidden="false" customHeight="false" outlineLevel="0" collapsed="false">
      <c r="A51" s="0" t="s">
        <v>627</v>
      </c>
      <c r="B51" s="0" t="n">
        <f aca="false">pk_C</f>
        <v>2027</v>
      </c>
      <c r="C51" s="7" t="n">
        <v>2027</v>
      </c>
      <c r="D51" s="0" t="str">
        <f aca="false">IF(C51&lt;pk_C,"中段",IF(C51=pk_C,"見頂","谷底"))</f>
        <v>見頂</v>
      </c>
      <c r="E51" s="21" t="n">
        <f aca="false">IF(D51="見頂",pe_peak,IF(D51="谷底",pe_trough,pe_mid))</f>
        <v>31.6737311411414</v>
      </c>
      <c r="F51" s="8" t="s">
        <v>687</v>
      </c>
    </row>
    <row r="53" customFormat="false" ht="17.15" hidden="false" customHeight="false" outlineLevel="0" collapsed="false">
      <c r="A53" s="1" t="s">
        <v>688</v>
      </c>
    </row>
    <row r="54" customFormat="false" ht="17.15" hidden="false" customHeight="false" outlineLevel="0" collapsed="false">
      <c r="A54" s="6" t="s">
        <v>681</v>
      </c>
      <c r="B54" s="14" t="s">
        <v>689</v>
      </c>
      <c r="C54" s="14" t="s">
        <v>558</v>
      </c>
      <c r="D54" s="6" t="s">
        <v>690</v>
      </c>
      <c r="E54" s="6" t="s">
        <v>685</v>
      </c>
      <c r="F54" s="6" t="s">
        <v>691</v>
      </c>
      <c r="G54" s="6" t="s">
        <v>692</v>
      </c>
      <c r="H54" s="6" t="s">
        <v>693</v>
      </c>
    </row>
    <row r="55" customFormat="false" ht="17.15" hidden="false" customHeight="false" outlineLevel="0" collapsed="false">
      <c r="A55" s="33" t="s">
        <v>625</v>
      </c>
      <c r="B55" s="33" t="s">
        <v>550</v>
      </c>
      <c r="C55" s="34" t="n">
        <f aca="false">PL!E13</f>
        <v>54.2892948092339</v>
      </c>
      <c r="D55" s="33" t="str">
        <f aca="false">"規則值："&amp;D49</f>
        <v>規則值：中段</v>
      </c>
      <c r="E55" s="35" t="n">
        <f aca="false">E49</f>
        <v>35.4426579654046</v>
      </c>
      <c r="F55" s="36" t="n">
        <f aca="false">C55*E55</f>
        <v>1924.15690710669</v>
      </c>
      <c r="G55" s="37" t="n">
        <f aca="false">F55/px-1</f>
        <v>0.367365624720503</v>
      </c>
      <c r="H55" s="38" t="s">
        <v>694</v>
      </c>
    </row>
    <row r="56" customFormat="false" ht="17.15" hidden="false" customHeight="false" outlineLevel="0" collapsed="false">
      <c r="A56" s="0" t="s">
        <v>625</v>
      </c>
      <c r="B56" s="0" t="s">
        <v>550</v>
      </c>
      <c r="C56" s="13" t="n">
        <f aca="false">PL!E13</f>
        <v>54.2892948092339</v>
      </c>
      <c r="D56" s="5" t="s">
        <v>695</v>
      </c>
      <c r="E56" s="21" t="n">
        <f aca="false">pe_peak</f>
        <v>31.6737311411414</v>
      </c>
      <c r="F56" s="23" t="n">
        <f aca="false">C56*E56</f>
        <v>1719.54452762984</v>
      </c>
      <c r="G56" s="30" t="n">
        <f aca="false">F56/px-1</f>
        <v>0.221961716621544</v>
      </c>
    </row>
    <row r="57" customFormat="false" ht="15" hidden="false" customHeight="false" outlineLevel="0" collapsed="false">
      <c r="A57" s="0" t="s">
        <v>625</v>
      </c>
      <c r="B57" s="0" t="s">
        <v>550</v>
      </c>
      <c r="C57" s="13" t="n">
        <f aca="false">PL!E13</f>
        <v>54.2892948092339</v>
      </c>
      <c r="D57" s="5" t="s">
        <v>696</v>
      </c>
      <c r="E57" s="21" t="n">
        <f aca="false">pe_mid</f>
        <v>35.4426579654046</v>
      </c>
      <c r="F57" s="23" t="n">
        <f aca="false">C57*E57</f>
        <v>1924.15690710669</v>
      </c>
      <c r="G57" s="30" t="n">
        <f aca="false">F57/px-1</f>
        <v>0.367365624720503</v>
      </c>
    </row>
    <row r="58" customFormat="false" ht="17.15" hidden="false" customHeight="false" outlineLevel="0" collapsed="false">
      <c r="A58" s="0" t="s">
        <v>625</v>
      </c>
      <c r="B58" s="0" t="s">
        <v>550</v>
      </c>
      <c r="C58" s="13" t="n">
        <f aca="false">PL!E13</f>
        <v>54.2892948092339</v>
      </c>
      <c r="D58" s="5" t="s">
        <v>697</v>
      </c>
      <c r="E58" s="21" t="n">
        <f aca="false">pe_trough</f>
        <v>41.2783557167164</v>
      </c>
      <c r="F58" s="23" t="n">
        <f aca="false">C58*E58</f>
        <v>2240.97282274524</v>
      </c>
      <c r="G58" s="30" t="n">
        <f aca="false">F58/px-1</f>
        <v>0.592504848454549</v>
      </c>
    </row>
    <row r="59" customFormat="false" ht="17.15" hidden="false" customHeight="false" outlineLevel="0" collapsed="false">
      <c r="A59" s="0" t="s">
        <v>625</v>
      </c>
      <c r="B59" s="0" t="s">
        <v>551</v>
      </c>
      <c r="C59" s="13" t="n">
        <f aca="false">PL!F13</f>
        <v>64.9638881142062</v>
      </c>
      <c r="D59" s="5" t="s">
        <v>695</v>
      </c>
      <c r="E59" s="21" t="n">
        <f aca="false">pe_peak</f>
        <v>31.6737311411414</v>
      </c>
      <c r="F59" s="23" t="n">
        <f aca="false">C59*E59</f>
        <v>2057.64872601256</v>
      </c>
      <c r="G59" s="30" t="n">
        <f aca="false">F59/px-1</f>
        <v>0.46222905486964</v>
      </c>
    </row>
    <row r="60" customFormat="false" ht="15" hidden="false" customHeight="false" outlineLevel="0" collapsed="false">
      <c r="A60" s="0" t="s">
        <v>625</v>
      </c>
      <c r="B60" s="0" t="s">
        <v>551</v>
      </c>
      <c r="C60" s="13" t="n">
        <f aca="false">PL!F13</f>
        <v>64.9638881142062</v>
      </c>
      <c r="D60" s="5" t="s">
        <v>696</v>
      </c>
      <c r="E60" s="21" t="n">
        <f aca="false">pe_mid</f>
        <v>35.4426579654046</v>
      </c>
      <c r="F60" s="23" t="n">
        <f aca="false">C60*E60</f>
        <v>2302.49286653462</v>
      </c>
      <c r="G60" s="30" t="n">
        <f aca="false">F60/px-1</f>
        <v>0.636222901175828</v>
      </c>
    </row>
    <row r="61" customFormat="false" ht="17.15" hidden="false" customHeight="false" outlineLevel="0" collapsed="false">
      <c r="A61" s="0" t="s">
        <v>625</v>
      </c>
      <c r="B61" s="0" t="s">
        <v>551</v>
      </c>
      <c r="C61" s="13" t="n">
        <f aca="false">PL!F13</f>
        <v>64.9638881142062</v>
      </c>
      <c r="D61" s="5" t="s">
        <v>697</v>
      </c>
      <c r="E61" s="21" t="n">
        <f aca="false">pe_trough</f>
        <v>41.2783557167164</v>
      </c>
      <c r="F61" s="23" t="n">
        <f aca="false">C61*E61</f>
        <v>2681.60248231917</v>
      </c>
      <c r="G61" s="30" t="n">
        <f aca="false">F61/px-1</f>
        <v>0.905629961852735</v>
      </c>
    </row>
    <row r="62" customFormat="false" ht="17.15" hidden="false" customHeight="false" outlineLevel="0" collapsed="false">
      <c r="A62" s="33" t="s">
        <v>626</v>
      </c>
      <c r="B62" s="33" t="s">
        <v>550</v>
      </c>
      <c r="C62" s="34" t="n">
        <f aca="false">PL!E24</f>
        <v>52.6417770841209</v>
      </c>
      <c r="D62" s="33" t="str">
        <f aca="false">"規則值："&amp;D50</f>
        <v>規則值：中段</v>
      </c>
      <c r="E62" s="35" t="n">
        <f aca="false">E50</f>
        <v>35.4426579654046</v>
      </c>
      <c r="F62" s="36" t="n">
        <f aca="false">C62*E62</f>
        <v>1865.76449988357</v>
      </c>
      <c r="G62" s="37" t="n">
        <f aca="false">F62/px-1</f>
        <v>0.325870167626187</v>
      </c>
      <c r="H62" s="38" t="s">
        <v>694</v>
      </c>
    </row>
    <row r="63" customFormat="false" ht="17.15" hidden="false" customHeight="false" outlineLevel="0" collapsed="false">
      <c r="A63" s="0" t="s">
        <v>626</v>
      </c>
      <c r="B63" s="0" t="s">
        <v>550</v>
      </c>
      <c r="C63" s="13" t="n">
        <f aca="false">PL!E24</f>
        <v>52.6417770841209</v>
      </c>
      <c r="D63" s="5" t="s">
        <v>695</v>
      </c>
      <c r="E63" s="21" t="n">
        <f aca="false">pe_peak</f>
        <v>31.6737311411414</v>
      </c>
      <c r="F63" s="23" t="n">
        <f aca="false">C63*E63</f>
        <v>1667.36149415434</v>
      </c>
      <c r="G63" s="30" t="n">
        <f aca="false">F63/px-1</f>
        <v>0.184878833253512</v>
      </c>
    </row>
    <row r="64" customFormat="false" ht="15" hidden="false" customHeight="false" outlineLevel="0" collapsed="false">
      <c r="A64" s="0" t="s">
        <v>626</v>
      </c>
      <c r="B64" s="0" t="s">
        <v>550</v>
      </c>
      <c r="C64" s="13" t="n">
        <f aca="false">PL!E24</f>
        <v>52.6417770841209</v>
      </c>
      <c r="D64" s="5" t="s">
        <v>696</v>
      </c>
      <c r="E64" s="21" t="n">
        <f aca="false">pe_mid</f>
        <v>35.4426579654046</v>
      </c>
      <c r="F64" s="23" t="n">
        <f aca="false">C64*E64</f>
        <v>1865.76449988357</v>
      </c>
      <c r="G64" s="30" t="n">
        <f aca="false">F64/px-1</f>
        <v>0.325870167626187</v>
      </c>
    </row>
    <row r="65" customFormat="false" ht="17.15" hidden="false" customHeight="false" outlineLevel="0" collapsed="false">
      <c r="A65" s="0" t="s">
        <v>626</v>
      </c>
      <c r="B65" s="0" t="s">
        <v>550</v>
      </c>
      <c r="C65" s="13" t="n">
        <f aca="false">PL!E24</f>
        <v>52.6417770841209</v>
      </c>
      <c r="D65" s="5" t="s">
        <v>697</v>
      </c>
      <c r="E65" s="21" t="n">
        <f aca="false">pe_trough</f>
        <v>41.2783557167164</v>
      </c>
      <c r="F65" s="23" t="n">
        <f aca="false">C65*E65</f>
        <v>2172.96600003843</v>
      </c>
      <c r="G65" s="30" t="n">
        <f aca="false">F65/px-1</f>
        <v>0.544177089282569</v>
      </c>
    </row>
    <row r="66" customFormat="false" ht="17.15" hidden="false" customHeight="false" outlineLevel="0" collapsed="false">
      <c r="A66" s="0" t="s">
        <v>626</v>
      </c>
      <c r="B66" s="0" t="s">
        <v>551</v>
      </c>
      <c r="C66" s="13" t="n">
        <f aca="false">PL!F24</f>
        <v>55.3281735519518</v>
      </c>
      <c r="D66" s="5" t="s">
        <v>695</v>
      </c>
      <c r="E66" s="21" t="n">
        <f aca="false">pe_peak</f>
        <v>31.6737311411414</v>
      </c>
      <c r="F66" s="23" t="n">
        <f aca="false">C66*E66</f>
        <v>1752.44969361493</v>
      </c>
      <c r="G66" s="30" t="n">
        <f aca="false">F66/px-1</f>
        <v>0.245345148958876</v>
      </c>
    </row>
    <row r="67" customFormat="false" ht="15" hidden="false" customHeight="false" outlineLevel="0" collapsed="false">
      <c r="A67" s="0" t="s">
        <v>626</v>
      </c>
      <c r="B67" s="0" t="s">
        <v>551</v>
      </c>
      <c r="C67" s="13" t="n">
        <f aca="false">PL!F24</f>
        <v>55.3281735519518</v>
      </c>
      <c r="D67" s="5" t="s">
        <v>696</v>
      </c>
      <c r="E67" s="21" t="n">
        <f aca="false">pe_mid</f>
        <v>35.4426579654046</v>
      </c>
      <c r="F67" s="23" t="n">
        <f aca="false">C67*E67</f>
        <v>1960.97753105237</v>
      </c>
      <c r="G67" s="30" t="n">
        <f aca="false">F67/px-1</f>
        <v>0.393531503021868</v>
      </c>
    </row>
    <row r="68" customFormat="false" ht="17.15" hidden="false" customHeight="false" outlineLevel="0" collapsed="false">
      <c r="A68" s="0" t="s">
        <v>626</v>
      </c>
      <c r="B68" s="0" t="s">
        <v>551</v>
      </c>
      <c r="C68" s="13" t="n">
        <f aca="false">PL!F24</f>
        <v>55.3281735519518</v>
      </c>
      <c r="D68" s="5" t="s">
        <v>697</v>
      </c>
      <c r="E68" s="21" t="n">
        <f aca="false">pe_trough</f>
        <v>41.2783557167164</v>
      </c>
      <c r="F68" s="23" t="n">
        <f aca="false">C68*E68</f>
        <v>2283.85602903369</v>
      </c>
      <c r="G68" s="30" t="n">
        <f aca="false">F68/px-1</f>
        <v>0.622978985953445</v>
      </c>
    </row>
    <row r="69" customFormat="false" ht="17.15" hidden="false" customHeight="false" outlineLevel="0" collapsed="false">
      <c r="A69" s="33" t="s">
        <v>627</v>
      </c>
      <c r="B69" s="33" t="s">
        <v>550</v>
      </c>
      <c r="C69" s="34" t="n">
        <f aca="false">PL!E35</f>
        <v>50.3569586127628</v>
      </c>
      <c r="D69" s="33" t="str">
        <f aca="false">"規則值："&amp;D51</f>
        <v>規則值：見頂</v>
      </c>
      <c r="E69" s="35" t="n">
        <f aca="false">E51</f>
        <v>31.6737311411414</v>
      </c>
      <c r="F69" s="36" t="n">
        <f aca="false">C69*E69</f>
        <v>1594.99276818623</v>
      </c>
      <c r="G69" s="37" t="n">
        <f aca="false">F69/px-1</f>
        <v>0.133451370228988</v>
      </c>
      <c r="H69" s="38" t="s">
        <v>694</v>
      </c>
    </row>
    <row r="70" customFormat="false" ht="17.15" hidden="false" customHeight="false" outlineLevel="0" collapsed="false">
      <c r="A70" s="0" t="s">
        <v>627</v>
      </c>
      <c r="B70" s="0" t="s">
        <v>550</v>
      </c>
      <c r="C70" s="13" t="n">
        <f aca="false">PL!E35</f>
        <v>50.3569586127628</v>
      </c>
      <c r="D70" s="5" t="s">
        <v>695</v>
      </c>
      <c r="E70" s="21" t="n">
        <f aca="false">pe_peak</f>
        <v>31.6737311411414</v>
      </c>
      <c r="F70" s="23" t="n">
        <f aca="false">C70*E70</f>
        <v>1594.99276818623</v>
      </c>
      <c r="G70" s="30" t="n">
        <f aca="false">F70/px-1</f>
        <v>0.133451370228988</v>
      </c>
    </row>
    <row r="71" customFormat="false" ht="15" hidden="false" customHeight="false" outlineLevel="0" collapsed="false">
      <c r="A71" s="0" t="s">
        <v>627</v>
      </c>
      <c r="B71" s="0" t="s">
        <v>550</v>
      </c>
      <c r="C71" s="13" t="n">
        <f aca="false">PL!E35</f>
        <v>50.3569586127628</v>
      </c>
      <c r="D71" s="5" t="s">
        <v>696</v>
      </c>
      <c r="E71" s="21" t="n">
        <f aca="false">pe_mid</f>
        <v>35.4426579654046</v>
      </c>
      <c r="F71" s="23" t="n">
        <f aca="false">C71*E71</f>
        <v>1784.78446029019</v>
      </c>
      <c r="G71" s="30" t="n">
        <f aca="false">F71/px-1</f>
        <v>0.268323237841236</v>
      </c>
    </row>
    <row r="72" customFormat="false" ht="17.15" hidden="false" customHeight="false" outlineLevel="0" collapsed="false">
      <c r="A72" s="0" t="s">
        <v>627</v>
      </c>
      <c r="B72" s="0" t="s">
        <v>550</v>
      </c>
      <c r="C72" s="13" t="n">
        <f aca="false">PL!E35</f>
        <v>50.3569586127628</v>
      </c>
      <c r="D72" s="5" t="s">
        <v>697</v>
      </c>
      <c r="E72" s="21" t="n">
        <f aca="false">pe_trough</f>
        <v>41.2783557167164</v>
      </c>
      <c r="F72" s="23" t="n">
        <f aca="false">C72*E72</f>
        <v>2078.65245042959</v>
      </c>
      <c r="G72" s="30" t="n">
        <f aca="false">F72/px-1</f>
        <v>0.477154953403629</v>
      </c>
    </row>
    <row r="73" customFormat="false" ht="17.15" hidden="false" customHeight="false" outlineLevel="0" collapsed="false">
      <c r="A73" s="0" t="s">
        <v>627</v>
      </c>
      <c r="B73" s="0" t="s">
        <v>551</v>
      </c>
      <c r="C73" s="13" t="n">
        <f aca="false">PL!F35</f>
        <v>41.2786556037016</v>
      </c>
      <c r="D73" s="5" t="s">
        <v>695</v>
      </c>
      <c r="E73" s="21" t="n">
        <f aca="false">pe_peak</f>
        <v>31.6737311411414</v>
      </c>
      <c r="F73" s="23" t="n">
        <f aca="false">C73*E73</f>
        <v>1307.44903945941</v>
      </c>
      <c r="G73" s="30" t="n">
        <f aca="false">F73/px-1</f>
        <v>-0.0708861288662498</v>
      </c>
    </row>
    <row r="74" customFormat="false" ht="15" hidden="false" customHeight="false" outlineLevel="0" collapsed="false">
      <c r="A74" s="0" t="s">
        <v>627</v>
      </c>
      <c r="B74" s="0" t="s">
        <v>551</v>
      </c>
      <c r="C74" s="13" t="n">
        <f aca="false">PL!F35</f>
        <v>41.2786556037016</v>
      </c>
      <c r="D74" s="5" t="s">
        <v>696</v>
      </c>
      <c r="E74" s="21" t="n">
        <f aca="false">pe_mid</f>
        <v>35.4426579654046</v>
      </c>
      <c r="F74" s="23" t="n">
        <f aca="false">C74*E74</f>
        <v>1463.02527183373</v>
      </c>
      <c r="G74" s="30" t="n">
        <f aca="false">F74/px-1</f>
        <v>0.0396711710017965</v>
      </c>
    </row>
    <row r="75" customFormat="false" ht="17.15" hidden="false" customHeight="false" outlineLevel="0" collapsed="false">
      <c r="A75" s="0" t="s">
        <v>627</v>
      </c>
      <c r="B75" s="0" t="s">
        <v>551</v>
      </c>
      <c r="C75" s="13" t="n">
        <f aca="false">PL!F35</f>
        <v>41.2786556037016</v>
      </c>
      <c r="D75" s="5" t="s">
        <v>697</v>
      </c>
      <c r="E75" s="21" t="n">
        <f aca="false">pe_trough</f>
        <v>41.2783557167164</v>
      </c>
      <c r="F75" s="23" t="n">
        <f aca="false">C75*E75</f>
        <v>1703.91502951742</v>
      </c>
      <c r="G75" s="30" t="n">
        <f aca="false">F75/px-1</f>
        <v>0.210854910117555</v>
      </c>
    </row>
    <row r="77" customFormat="false" ht="17.15" hidden="false" customHeight="false" outlineLevel="0" collapsed="false">
      <c r="A77" s="5" t="s">
        <v>698</v>
      </c>
    </row>
    <row r="80" customFormat="false" ht="17.15" hidden="false" customHeight="false" outlineLevel="0" collapsed="false">
      <c r="A80" s="1" t="s">
        <v>699</v>
      </c>
    </row>
    <row r="81" customFormat="false" ht="17.15" hidden="false" customHeight="false" outlineLevel="0" collapsed="false">
      <c r="A81" s="1" t="s">
        <v>700</v>
      </c>
    </row>
    <row r="82" customFormat="false" ht="17.15" hidden="false" customHeight="false" outlineLevel="0" collapsed="false">
      <c r="A82" s="6" t="s">
        <v>16</v>
      </c>
      <c r="B82" s="14" t="s">
        <v>701</v>
      </c>
      <c r="C82" s="14" t="s">
        <v>702</v>
      </c>
      <c r="D82" s="14" t="s">
        <v>703</v>
      </c>
      <c r="E82" s="6" t="s">
        <v>534</v>
      </c>
    </row>
    <row r="83" customFormat="false" ht="17.15" hidden="false" customHeight="false" outlineLevel="0" collapsed="false">
      <c r="A83" s="5" t="s">
        <v>704</v>
      </c>
      <c r="E83" s="0" t="s">
        <v>705</v>
      </c>
    </row>
    <row r="84" customFormat="false" ht="15" hidden="false" customHeight="false" outlineLevel="0" collapsed="false">
      <c r="A84" s="0" t="s">
        <v>706</v>
      </c>
      <c r="B84" s="13" t="n">
        <f aca="false">PL!E160</f>
        <v>54.2892948092339</v>
      </c>
      <c r="C84" s="13" t="n">
        <f aca="false">PL!E167</f>
        <v>52.6417770841209</v>
      </c>
      <c r="D84" s="13" t="n">
        <f aca="false">PL!E174</f>
        <v>50.3569586127628</v>
      </c>
    </row>
    <row r="85" customFormat="false" ht="15" hidden="false" customHeight="false" outlineLevel="0" collapsed="false">
      <c r="A85" s="0" t="s">
        <v>707</v>
      </c>
      <c r="B85" s="13" t="n">
        <f aca="false">PL!F160</f>
        <v>64.9638881142062</v>
      </c>
      <c r="C85" s="13" t="n">
        <f aca="false">PL!F167</f>
        <v>55.3281735519518</v>
      </c>
      <c r="D85" s="13" t="n">
        <f aca="false">PL!F174</f>
        <v>41.2786556037016</v>
      </c>
    </row>
    <row r="86" customFormat="false" ht="15" hidden="false" customHeight="false" outlineLevel="0" collapsed="false">
      <c r="A86" s="0" t="s">
        <v>708</v>
      </c>
      <c r="B86" s="13" t="n">
        <f aca="false">PL!G160</f>
        <v>73.4838275258553</v>
      </c>
      <c r="C86" s="13" t="n">
        <f aca="false">PL!G167</f>
        <v>55.7225234190334</v>
      </c>
      <c r="D86" s="13" t="n">
        <f aca="false">PL!G174</f>
        <v>42.1275829604562</v>
      </c>
    </row>
    <row r="87" customFormat="false" ht="15" hidden="false" customHeight="false" outlineLevel="0" collapsed="false">
      <c r="A87" s="0" t="s">
        <v>709</v>
      </c>
      <c r="B87" s="13" t="n">
        <f aca="false">PL!H160</f>
        <v>79.1804350763739</v>
      </c>
      <c r="C87" s="13" t="n">
        <f aca="false">PL!H167</f>
        <v>53.3020477084313</v>
      </c>
      <c r="D87" s="13" t="n">
        <f aca="false">PL!H174</f>
        <v>38.8223353527914</v>
      </c>
    </row>
    <row r="88" customFormat="false" ht="15" hidden="false" customHeight="false" outlineLevel="0" collapsed="false">
      <c r="A88" s="0" t="s">
        <v>710</v>
      </c>
      <c r="B88" s="13" t="n">
        <f aca="false">PL!I160</f>
        <v>84.6249578872083</v>
      </c>
      <c r="C88" s="13" t="n">
        <f aca="false">PL!I167</f>
        <v>51.5199382944887</v>
      </c>
      <c r="D88" s="13" t="n">
        <f aca="false">PL!I174</f>
        <v>35.5914741525606</v>
      </c>
    </row>
    <row r="89" customFormat="false" ht="15" hidden="false" customHeight="false" outlineLevel="0" collapsed="false">
      <c r="A89" s="0" t="s">
        <v>711</v>
      </c>
      <c r="B89" s="13" t="n">
        <f aca="false">PL!J160</f>
        <v>89.7024553604408</v>
      </c>
      <c r="C89" s="13" t="n">
        <f aca="false">PL!J167</f>
        <v>50.2873523073583</v>
      </c>
      <c r="D89" s="13" t="n">
        <f aca="false">PL!J174</f>
        <v>32.3896996270024</v>
      </c>
    </row>
    <row r="90" customFormat="false" ht="17.15" hidden="false" customHeight="false" outlineLevel="0" collapsed="false">
      <c r="A90" s="5" t="s">
        <v>712</v>
      </c>
      <c r="E90" s="5" t="s">
        <v>713</v>
      </c>
    </row>
    <row r="91" customFormat="false" ht="17.15" hidden="false" customHeight="false" outlineLevel="0" collapsed="false">
      <c r="A91" s="5" t="s">
        <v>714</v>
      </c>
      <c r="B91" s="10" t="n">
        <f aca="false">MIN(tp_g/tp_roe,0.8)</f>
        <v>0.071297011466936</v>
      </c>
      <c r="E91" s="8" t="s">
        <v>715</v>
      </c>
    </row>
    <row r="92" customFormat="false" ht="15" hidden="false" customHeight="false" outlineLevel="0" collapsed="false">
      <c r="A92" s="0" t="s">
        <v>706</v>
      </c>
      <c r="B92" s="13" t="n">
        <f aca="false">B84*(1-$B$91)</f>
        <v>50.418630334688</v>
      </c>
      <c r="C92" s="13" t="n">
        <f aca="false">C84*(1-$B$91)</f>
        <v>48.8885756997144</v>
      </c>
      <c r="D92" s="13" t="n">
        <f aca="false">D84*(1-$B$91)</f>
        <v>46.7666579571086</v>
      </c>
    </row>
    <row r="93" customFormat="false" ht="15" hidden="false" customHeight="false" outlineLevel="0" collapsed="false">
      <c r="A93" s="0" t="s">
        <v>707</v>
      </c>
      <c r="B93" s="13" t="n">
        <f aca="false">B85*(1-$B$91)</f>
        <v>60.3321570383909</v>
      </c>
      <c r="C93" s="13" t="n">
        <f aca="false">C85*(1-$B$91)</f>
        <v>51.3834401277737</v>
      </c>
      <c r="D93" s="13" t="n">
        <f aca="false">D85*(1-$B$91)</f>
        <v>38.3356108217848</v>
      </c>
    </row>
    <row r="94" customFormat="false" ht="15" hidden="false" customHeight="false" outlineLevel="0" collapsed="false">
      <c r="A94" s="0" t="s">
        <v>708</v>
      </c>
      <c r="B94" s="13" t="n">
        <f aca="false">B86*(1-$B$91)</f>
        <v>68.24465023211</v>
      </c>
      <c r="C94" s="13" t="n">
        <f aca="false">C86*(1-$B$91)</f>
        <v>51.74967402786</v>
      </c>
      <c r="D94" s="13" t="n">
        <f aca="false">D86*(1-$B$91)</f>
        <v>39.1240121950503</v>
      </c>
    </row>
    <row r="95" customFormat="false" ht="15" hidden="false" customHeight="false" outlineLevel="0" collapsed="false">
      <c r="A95" s="0" t="s">
        <v>709</v>
      </c>
      <c r="B95" s="13" t="n">
        <f aca="false">B87*(1-$B$91)</f>
        <v>73.5351066887767</v>
      </c>
      <c r="C95" s="13" t="n">
        <f aca="false">C87*(1-$B$91)</f>
        <v>49.5017710017521</v>
      </c>
      <c r="D95" s="13" t="n">
        <f aca="false">D87*(1-$B$91)</f>
        <v>36.0544188639702</v>
      </c>
    </row>
    <row r="96" customFormat="false" ht="15" hidden="false" customHeight="false" outlineLevel="0" collapsed="false">
      <c r="A96" s="0" t="s">
        <v>710</v>
      </c>
      <c r="B96" s="13" t="n">
        <f aca="false">B88*(1-$B$91)</f>
        <v>78.591451294335</v>
      </c>
      <c r="C96" s="13" t="n">
        <f aca="false">C88*(1-$B$91)</f>
        <v>47.8467206631307</v>
      </c>
      <c r="D96" s="13" t="n">
        <f aca="false">D88*(1-$B$91)</f>
        <v>33.0539084117803</v>
      </c>
    </row>
    <row r="97" customFormat="false" ht="15" hidden="false" customHeight="false" outlineLevel="0" collapsed="false">
      <c r="A97" s="0" t="s">
        <v>711</v>
      </c>
      <c r="B97" s="13" t="n">
        <f aca="false">B89*(1-$B$91)</f>
        <v>83.3069383719951</v>
      </c>
      <c r="C97" s="13" t="n">
        <f aca="false">C89*(1-$B$91)</f>
        <v>46.7020143732588</v>
      </c>
      <c r="D97" s="13" t="n">
        <f aca="false">D89*(1-$B$91)</f>
        <v>30.0804108412854</v>
      </c>
    </row>
    <row r="98" customFormat="false" ht="17.15" hidden="false" customHeight="false" outlineLevel="0" collapsed="false">
      <c r="A98" s="0" t="s">
        <v>716</v>
      </c>
      <c r="B98" s="13" t="n">
        <f aca="false">SUMPRODUCT(B92:B97,1/(1+tp_r)^{1;2;3;4;5;6})+B97*(1+tp_g)/(tp_r-tp_g)/(1+tp_r)^6</f>
        <v>1108.11176955781</v>
      </c>
      <c r="C98" s="13" t="n">
        <f aca="false">SUMPRODUCT(C92:C97,1/(1+tp_r)^{1;2;3;4;5;6})+C97*(1+tp_g)/(tp_r-tp_g)/(1+tp_r)^6</f>
        <v>672.614142757118</v>
      </c>
      <c r="D98" s="13" t="n">
        <f aca="false">SUMPRODUCT(D92:D97,1/(1+tp_r)^{1;2;3;4;5;6})+D97*(1+tp_g)/(tp_r-tp_g)/(1+tp_r)^6</f>
        <v>460.03425407172</v>
      </c>
      <c r="E98" s="8" t="s">
        <v>717</v>
      </c>
    </row>
    <row r="99" customFormat="false" ht="17.15" hidden="false" customHeight="false" outlineLevel="0" collapsed="false">
      <c r="A99" s="0" t="s">
        <v>718</v>
      </c>
      <c r="B99" s="13" t="n">
        <f aca="false">B98*(1+tp_r)</f>
        <v>1218.92294651359</v>
      </c>
      <c r="C99" s="13" t="n">
        <f aca="false">C98*(1+tp_r)</f>
        <v>739.87555703283</v>
      </c>
      <c r="D99" s="13" t="n">
        <f aca="false">D98*(1+tp_r)</f>
        <v>506.037679478892</v>
      </c>
    </row>
    <row r="100" customFormat="false" ht="17.15" hidden="false" customHeight="false" outlineLevel="0" collapsed="false">
      <c r="A100" s="0" t="s">
        <v>719</v>
      </c>
      <c r="B100" s="34" t="n">
        <f aca="false">tp_wA*B99+tp_wB*C99+tp_wC*D99</f>
        <v>836.822198366269</v>
      </c>
      <c r="E100" s="8" t="s">
        <v>720</v>
      </c>
    </row>
    <row r="102" customFormat="false" ht="17.15" hidden="false" customHeight="false" outlineLevel="0" collapsed="false">
      <c r="A102" s="1" t="s">
        <v>721</v>
      </c>
    </row>
    <row r="103" customFormat="false" ht="17.15" hidden="false" customHeight="false" outlineLevel="0" collapsed="false">
      <c r="A103" s="6" t="s">
        <v>722</v>
      </c>
      <c r="B103" s="6" t="s">
        <v>723</v>
      </c>
      <c r="C103" s="6" t="s">
        <v>724</v>
      </c>
      <c r="D103" s="6" t="s">
        <v>725</v>
      </c>
      <c r="E103" s="6" t="s">
        <v>726</v>
      </c>
      <c r="F103" s="6" t="s">
        <v>21</v>
      </c>
    </row>
    <row r="104" customFormat="false" ht="17.15" hidden="false" customHeight="false" outlineLevel="0" collapsed="false">
      <c r="A104" s="5" t="s">
        <v>727</v>
      </c>
      <c r="B104" s="0" t="s">
        <v>728</v>
      </c>
      <c r="C104" s="32" t="n">
        <v>21.39</v>
      </c>
      <c r="D104" s="8" t="s">
        <v>729</v>
      </c>
      <c r="E104" s="8" t="s">
        <v>730</v>
      </c>
      <c r="F104" s="8" t="s">
        <v>201</v>
      </c>
    </row>
    <row r="105" customFormat="false" ht="17.15" hidden="false" customHeight="false" outlineLevel="0" collapsed="false">
      <c r="A105" s="5" t="s">
        <v>731</v>
      </c>
      <c r="B105" s="0" t="s">
        <v>732</v>
      </c>
      <c r="C105" s="32" t="n">
        <v>22.39</v>
      </c>
      <c r="D105" s="8" t="s">
        <v>729</v>
      </c>
      <c r="E105" s="8" t="s">
        <v>730</v>
      </c>
      <c r="F105" s="8" t="s">
        <v>201</v>
      </c>
    </row>
    <row r="106" customFormat="false" ht="17.15" hidden="false" customHeight="false" outlineLevel="0" collapsed="false">
      <c r="A106" s="5" t="s">
        <v>733</v>
      </c>
      <c r="B106" s="0" t="s">
        <v>734</v>
      </c>
      <c r="C106" s="32" t="n">
        <v>26.65</v>
      </c>
      <c r="D106" s="8" t="s">
        <v>729</v>
      </c>
      <c r="E106" s="8" t="s">
        <v>730</v>
      </c>
      <c r="F106" s="8" t="s">
        <v>201</v>
      </c>
    </row>
    <row r="107" customFormat="false" ht="17.15" hidden="false" customHeight="false" outlineLevel="0" collapsed="false">
      <c r="A107" s="5" t="s">
        <v>735</v>
      </c>
      <c r="B107" s="0" t="s">
        <v>736</v>
      </c>
      <c r="C107" s="32" t="n">
        <v>27.09</v>
      </c>
      <c r="D107" s="8" t="s">
        <v>737</v>
      </c>
      <c r="E107" s="8" t="s">
        <v>730</v>
      </c>
      <c r="F107" s="8" t="s">
        <v>201</v>
      </c>
    </row>
    <row r="108" customFormat="false" ht="17.15" hidden="false" customHeight="false" outlineLevel="0" collapsed="false">
      <c r="A108" s="0" t="s">
        <v>738</v>
      </c>
      <c r="B108" s="0" t="s">
        <v>739</v>
      </c>
      <c r="C108" s="32" t="n">
        <v>25.77</v>
      </c>
      <c r="D108" s="8" t="s">
        <v>729</v>
      </c>
      <c r="E108" s="8" t="s">
        <v>730</v>
      </c>
      <c r="F108" s="8" t="s">
        <v>201</v>
      </c>
    </row>
    <row r="109" customFormat="false" ht="17.15" hidden="false" customHeight="false" outlineLevel="0" collapsed="false">
      <c r="A109" s="5" t="s">
        <v>740</v>
      </c>
      <c r="B109" s="21" t="n">
        <f aca="false">MEDIAN(C104:C108)</f>
        <v>25.77</v>
      </c>
      <c r="E109" s="5" t="s">
        <v>741</v>
      </c>
    </row>
    <row r="110" customFormat="false" ht="17.15" hidden="false" customHeight="false" outlineLevel="0" collapsed="false">
      <c r="A110" s="0" t="s">
        <v>742</v>
      </c>
      <c r="B110" s="13" t="n">
        <f aca="false">tp_wA*(2/12*B84+10/12*B85)+tp_wB*(2/12*C84+10/12*C85)+tp_wC*(2/12*D84+10/12*D85)</f>
        <v>54.9539983937123</v>
      </c>
      <c r="E110" s="5" t="s">
        <v>743</v>
      </c>
    </row>
    <row r="111" customFormat="false" ht="17.15" hidden="false" customHeight="false" outlineLevel="0" collapsed="false">
      <c r="A111" s="0" t="s">
        <v>744</v>
      </c>
      <c r="B111" s="34" t="n">
        <f aca="false">B109*B110</f>
        <v>1416.16453860596</v>
      </c>
      <c r="E111" s="5" t="s">
        <v>745</v>
      </c>
    </row>
    <row r="113" customFormat="false" ht="17.15" hidden="false" customHeight="false" outlineLevel="0" collapsed="false">
      <c r="A113" s="1" t="s">
        <v>746</v>
      </c>
    </row>
    <row r="114" customFormat="false" ht="15" hidden="false" customHeight="false" outlineLevel="0" collapsed="false">
      <c r="A114" s="6" t="s">
        <v>16</v>
      </c>
      <c r="B114" s="6" t="s">
        <v>613</v>
      </c>
      <c r="C114" s="14"/>
      <c r="D114" s="14"/>
      <c r="E114" s="6" t="s">
        <v>534</v>
      </c>
    </row>
    <row r="115" customFormat="false" ht="17.15" hidden="false" customHeight="false" outlineLevel="0" collapsed="false">
      <c r="A115" s="5" t="s">
        <v>747</v>
      </c>
      <c r="B115" s="34" t="n">
        <f aca="false">tp_w_dcf*B100+(1-tp_w_dcf)*B111</f>
        <v>1126.49336848612</v>
      </c>
      <c r="E115" s="8" t="s">
        <v>748</v>
      </c>
    </row>
    <row r="116" customFormat="false" ht="17.15" hidden="false" customHeight="false" outlineLevel="0" collapsed="false">
      <c r="A116" s="0" t="s">
        <v>749</v>
      </c>
      <c r="B116" s="13" t="n">
        <f aca="false">B111</f>
        <v>1416.16453860596</v>
      </c>
      <c r="E116" s="5" t="s">
        <v>750</v>
      </c>
    </row>
    <row r="117" customFormat="false" ht="17.15" hidden="false" customHeight="false" outlineLevel="0" collapsed="false">
      <c r="A117" s="5" t="s">
        <v>751</v>
      </c>
      <c r="B117" s="13" t="n">
        <f aca="false">cons_tp</f>
        <v>2108</v>
      </c>
      <c r="E117" s="8" t="s">
        <v>457</v>
      </c>
    </row>
    <row r="118" customFormat="false" ht="17.15" hidden="false" customHeight="false" outlineLevel="0" collapsed="false">
      <c r="A118" s="5" t="s">
        <v>752</v>
      </c>
      <c r="B118" s="10" t="n">
        <f aca="false">B115/px-1</f>
        <v>-0.199478845589741</v>
      </c>
      <c r="E118" s="5" t="s">
        <v>753</v>
      </c>
    </row>
    <row r="119" customFormat="false" ht="17.15" hidden="false" customHeight="false" outlineLevel="0" collapsed="false">
      <c r="A119" s="5" t="s">
        <v>754</v>
      </c>
      <c r="B119" s="10" t="n">
        <f aca="false">B116/px-1</f>
        <v>0.00637047939593849</v>
      </c>
    </row>
    <row r="120" customFormat="false" ht="17.15" hidden="false" customHeight="false" outlineLevel="0" collapsed="false">
      <c r="A120" s="5" t="s">
        <v>755</v>
      </c>
      <c r="B120" s="10" t="n">
        <f aca="false">B110/cons_feps-1</f>
        <v>-0.017450413128692</v>
      </c>
      <c r="E120" s="5" t="s">
        <v>756</v>
      </c>
    </row>
    <row r="121" customFormat="false" ht="17.15" hidden="false" customHeight="false" outlineLevel="0" collapsed="false">
      <c r="A121" s="5" t="s">
        <v>757</v>
      </c>
      <c r="B121" s="10" t="n">
        <f aca="false">(cons_tp/cons_feps)/B109-1</f>
        <v>0.462552177138658</v>
      </c>
      <c r="E121" s="0" t="str">
        <f aca="false">"共識目標價 ÷ 共識前瞻 EPS 隱含 "&amp;TEXT(cons_tp/cons_feps,"0.0")&amp;"x，同業中位數 "&amp;TEXT(B109,"0.0")&amp;"x"</f>
        <v>共識目標價 ÷ 共識前瞻 EPS 隱含 37.7x，同業中位數 25.8x</v>
      </c>
    </row>
    <row r="122" customFormat="false" ht="17.15" hidden="false" customHeight="false" outlineLevel="0" collapsed="false">
      <c r="A122" s="5" t="s">
        <v>758</v>
      </c>
      <c r="B122" s="39" t="str">
        <f aca="false">TEXT(D99,"#,##0")&amp;"～"&amp;TEXT(B99,"#,##0")</f>
        <v>506～1,219</v>
      </c>
      <c r="E122" s="8" t="s">
        <v>759</v>
      </c>
    </row>
    <row r="123" customFormat="false" ht="17.15" hidden="false" customHeight="false" outlineLevel="0" collapsed="false">
      <c r="A123" s="5" t="s">
        <v>760</v>
      </c>
      <c r="B123" s="30" t="n">
        <f aca="false">IF(px/B85&lt;MIN(F26:F35),0,IF(px/B85&gt;MAX(F26:F35),1,PERCENTRANK(F26:F35,px/B85)))</f>
        <v>0</v>
      </c>
      <c r="C123" s="30" t="n">
        <f aca="false">IF(px/C85&lt;MIN(F26:F35),0,IF(px/C85&gt;MAX(F26:F35),1,PERCENTRANK(F26:F35,px/C85)))</f>
        <v>0.0492</v>
      </c>
      <c r="D123" s="30" t="n">
        <f aca="false">IF(px/D85&lt;MIN(F26:F35),0,IF(px/D85&gt;MAX(F26:F35),1,PERCENTRANK(F26:F35,px/D85)))</f>
        <v>0.324</v>
      </c>
      <c r="E123" s="5" t="s">
        <v>761</v>
      </c>
    </row>
    <row r="124" customFormat="false" ht="17.15" hidden="false" customHeight="false" outlineLevel="0" collapsed="false">
      <c r="A124" s="5" t="s">
        <v>762</v>
      </c>
      <c r="B124" s="0" t="s">
        <v>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8" min="2" style="0" width="11"/>
    <col collapsed="false" customWidth="true" hidden="false" outlineLevel="0" max="9" min="9" style="0" width="38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764</v>
      </c>
    </row>
    <row r="3" customFormat="false" ht="17.15" hidden="false" customHeight="false" outlineLevel="0" collapsed="false">
      <c r="A3" s="6" t="s">
        <v>16</v>
      </c>
      <c r="B3" s="6" t="s">
        <v>765</v>
      </c>
      <c r="C3" s="6" t="s">
        <v>766</v>
      </c>
      <c r="D3" s="6" t="s">
        <v>767</v>
      </c>
      <c r="E3" s="6" t="s">
        <v>768</v>
      </c>
      <c r="F3" s="6" t="s">
        <v>769</v>
      </c>
      <c r="G3" s="6" t="s">
        <v>770</v>
      </c>
      <c r="H3" s="6" t="s">
        <v>771</v>
      </c>
      <c r="I3" s="6" t="s">
        <v>772</v>
      </c>
      <c r="J3" s="6" t="s">
        <v>534</v>
      </c>
    </row>
    <row r="4" customFormat="false" ht="17.15" hidden="false" customHeight="false" outlineLevel="0" collapsed="false">
      <c r="A4" s="1" t="s">
        <v>773</v>
      </c>
    </row>
    <row r="5" customFormat="false" ht="17.15" hidden="false" customHeight="false" outlineLevel="0" collapsed="false">
      <c r="A5" s="5" t="s">
        <v>774</v>
      </c>
      <c r="B5" s="16" t="n">
        <f aca="false">g_fy_rev/1000</f>
        <v>44.5</v>
      </c>
      <c r="C5" s="16" t="n">
        <f aca="false">PL!D5</f>
        <v>44.4554</v>
      </c>
      <c r="D5" s="10" t="n">
        <f aca="false">C5/B5-1</f>
        <v>-0.00100224719101116</v>
      </c>
      <c r="E5" s="16" t="n">
        <f aca="false">PL!D16</f>
        <v>44.4554</v>
      </c>
      <c r="F5" s="10" t="n">
        <f aca="false">E5/B5-1</f>
        <v>-0.00100224719101116</v>
      </c>
      <c r="G5" s="16" t="n">
        <f aca="false">PL!D27</f>
        <v>44.4554</v>
      </c>
      <c r="H5" s="10" t="n">
        <f aca="false">G5/B5-1</f>
        <v>-0.00100224719101116</v>
      </c>
      <c r="I5" s="8" t="s">
        <v>775</v>
      </c>
    </row>
    <row r="6" customFormat="false" ht="17.15" hidden="false" customHeight="false" outlineLevel="0" collapsed="false">
      <c r="A6" s="5" t="s">
        <v>776</v>
      </c>
      <c r="B6" s="10" t="n">
        <f aca="false">g_fy_gm</f>
        <v>0.56</v>
      </c>
      <c r="C6" s="10" t="n">
        <f aca="false">PL!D9</f>
        <v>0.556944713128214</v>
      </c>
      <c r="D6" s="10" t="n">
        <f aca="false">C6-B6</f>
        <v>-0.00305528687178613</v>
      </c>
      <c r="E6" s="10" t="n">
        <f aca="false">PL!D20</f>
        <v>0.556944713128214</v>
      </c>
      <c r="F6" s="10" t="n">
        <f aca="false">E6-B6</f>
        <v>-0.00305528687178613</v>
      </c>
      <c r="G6" s="10" t="n">
        <f aca="false">PL!D31</f>
        <v>0.556944713128214</v>
      </c>
      <c r="H6" s="10" t="n">
        <f aca="false">G6-B6</f>
        <v>-0.00305528687178613</v>
      </c>
      <c r="I6" s="5" t="s">
        <v>777</v>
      </c>
    </row>
    <row r="7" customFormat="false" ht="17.15" hidden="false" customHeight="false" outlineLevel="0" collapsed="false">
      <c r="A7" s="0" t="s">
        <v>778</v>
      </c>
      <c r="B7" s="10" t="n">
        <f aca="false">g_ibm26</f>
        <v>0.5</v>
      </c>
      <c r="C7" s="10" t="n">
        <f aca="false">PL!D65/PL!C65-1</f>
        <v>0.493714146222385</v>
      </c>
      <c r="D7" s="10" t="n">
        <f aca="false">C7-B7</f>
        <v>-0.00628585377761493</v>
      </c>
      <c r="E7" s="10" t="n">
        <f aca="false">PL!D99/PL!C99-1</f>
        <v>0.493714146222385</v>
      </c>
      <c r="F7" s="10" t="n">
        <f aca="false">E7-B7</f>
        <v>-0.00628585377761493</v>
      </c>
      <c r="G7" s="10" t="n">
        <f aca="false">PL!D133/PL!C133-1</f>
        <v>0.493714146222385</v>
      </c>
      <c r="H7" s="10" t="n">
        <f aca="false">G7-B7</f>
        <v>-0.00628585377761493</v>
      </c>
      <c r="I7" s="8" t="s">
        <v>779</v>
      </c>
    </row>
    <row r="8" customFormat="false" ht="17.15" hidden="false" customHeight="false" outlineLevel="0" collapsed="false">
      <c r="A8" s="5" t="s">
        <v>780</v>
      </c>
      <c r="B8" s="16" t="n">
        <f aca="false">(a25_log*(1+g_log)+a25_mem*(1+g_mem))/1000</f>
        <v>32.41</v>
      </c>
      <c r="C8" s="16" t="n">
        <f aca="false">PL!D6</f>
        <v>32.2174</v>
      </c>
      <c r="D8" s="10" t="n">
        <f aca="false">C8/B8-1</f>
        <v>-0.00594261030546106</v>
      </c>
      <c r="E8" s="16" t="n">
        <f aca="false">PL!D17</f>
        <v>32.2174</v>
      </c>
      <c r="F8" s="10" t="n">
        <f aca="false">E8/B8-1</f>
        <v>-0.00594261030546106</v>
      </c>
      <c r="G8" s="16" t="n">
        <f aca="false">PL!D28</f>
        <v>32.2174</v>
      </c>
      <c r="H8" s="10" t="n">
        <f aca="false">G8/B8-1</f>
        <v>-0.00594261030546106</v>
      </c>
      <c r="I8" s="8" t="s">
        <v>781</v>
      </c>
      <c r="J8" s="5" t="s">
        <v>782</v>
      </c>
    </row>
    <row r="9" customFormat="false" ht="17.15" hidden="false" customHeight="false" outlineLevel="0" collapsed="false">
      <c r="A9" s="1" t="s">
        <v>783</v>
      </c>
    </row>
    <row r="10" customFormat="false" ht="17.15" hidden="false" customHeight="false" outlineLevel="0" collapsed="false">
      <c r="A10" s="0" t="s">
        <v>784</v>
      </c>
      <c r="B10" s="16" t="n">
        <f aca="false">cons_rev26/1000</f>
        <v>44.46</v>
      </c>
      <c r="C10" s="16" t="n">
        <f aca="false">PL!D5</f>
        <v>44.4554</v>
      </c>
      <c r="D10" s="10" t="n">
        <f aca="false">C10/B10-1</f>
        <v>-0.000103463787674229</v>
      </c>
      <c r="E10" s="16" t="n">
        <f aca="false">PL!D16</f>
        <v>44.4554</v>
      </c>
      <c r="F10" s="10" t="n">
        <f aca="false">E10/B10-1</f>
        <v>-0.000103463787674229</v>
      </c>
      <c r="G10" s="16" t="n">
        <f aca="false">PL!D27</f>
        <v>44.4554</v>
      </c>
      <c r="H10" s="10" t="n">
        <f aca="false">G10/B10-1</f>
        <v>-0.000103463787674229</v>
      </c>
      <c r="I10" s="8" t="s">
        <v>785</v>
      </c>
    </row>
    <row r="11" customFormat="false" ht="17.15" hidden="false" customHeight="false" outlineLevel="0" collapsed="false">
      <c r="A11" s="0" t="s">
        <v>786</v>
      </c>
      <c r="B11" s="18" t="n">
        <f aca="false">cons_eps26</f>
        <v>41.21</v>
      </c>
      <c r="C11" s="18" t="n">
        <f aca="false">PL!D13</f>
        <v>42.7466235849661</v>
      </c>
      <c r="D11" s="10" t="n">
        <f aca="false">C11/B11-1</f>
        <v>0.0372876385577794</v>
      </c>
      <c r="E11" s="18" t="n">
        <f aca="false">PL!D24</f>
        <v>42.7466235849661</v>
      </c>
      <c r="F11" s="10" t="n">
        <f aca="false">E11/B11-1</f>
        <v>0.0372876385577794</v>
      </c>
      <c r="G11" s="18" t="n">
        <f aca="false">PL!D35</f>
        <v>42.7466235849661</v>
      </c>
      <c r="H11" s="10" t="n">
        <f aca="false">G11/B11-1</f>
        <v>0.0372876385577794</v>
      </c>
      <c r="I11" s="8" t="s">
        <v>787</v>
      </c>
      <c r="J11" s="5" t="s">
        <v>788</v>
      </c>
    </row>
    <row r="12" customFormat="false" ht="17.15" hidden="false" customHeight="false" outlineLevel="0" collapsed="false">
      <c r="A12" s="0" t="s">
        <v>789</v>
      </c>
      <c r="B12" s="16" t="n">
        <f aca="false">cons_rev27/1000</f>
        <v>57.21</v>
      </c>
      <c r="C12" s="16" t="n">
        <f aca="false">PL!E5</f>
        <v>53.1484694077512</v>
      </c>
      <c r="D12" s="10" t="n">
        <f aca="false">C12/B12-1</f>
        <v>-0.0709933681567694</v>
      </c>
      <c r="E12" s="16" t="n">
        <f aca="false">PL!E16</f>
        <v>52.0146014077512</v>
      </c>
      <c r="F12" s="10" t="n">
        <f aca="false">E12/B12-1</f>
        <v>-0.0908127703591817</v>
      </c>
      <c r="G12" s="16" t="n">
        <f aca="false">PL!E27</f>
        <v>50.4361794077512</v>
      </c>
      <c r="H12" s="10" t="n">
        <f aca="false">G12/B12-1</f>
        <v>-0.118402737148205</v>
      </c>
      <c r="I12" s="8" t="s">
        <v>790</v>
      </c>
    </row>
    <row r="13" customFormat="false" ht="17.15" hidden="false" customHeight="false" outlineLevel="0" collapsed="false">
      <c r="A13" s="0" t="s">
        <v>791</v>
      </c>
      <c r="B13" s="18" t="n">
        <f aca="false">cons_eps27</f>
        <v>55.93</v>
      </c>
      <c r="C13" s="18" t="n">
        <f aca="false">PL!E13</f>
        <v>54.2892948092339</v>
      </c>
      <c r="D13" s="10" t="n">
        <f aca="false">C13/B13-1</f>
        <v>-0.0293349756975888</v>
      </c>
      <c r="E13" s="18" t="n">
        <f aca="false">PL!E24</f>
        <v>52.6417770841209</v>
      </c>
      <c r="F13" s="10" t="n">
        <f aca="false">E13/B13-1</f>
        <v>-0.0587917560500474</v>
      </c>
      <c r="G13" s="18" t="n">
        <f aca="false">PL!E35</f>
        <v>50.3569586127628</v>
      </c>
      <c r="H13" s="10" t="n">
        <f aca="false">G13/B13-1</f>
        <v>-0.0996431501383379</v>
      </c>
      <c r="I13" s="8" t="s">
        <v>792</v>
      </c>
    </row>
    <row r="14" customFormat="false" ht="17.15" hidden="false" customHeight="false" outlineLevel="0" collapsed="false">
      <c r="A14" s="0" t="s">
        <v>793</v>
      </c>
      <c r="B14" s="18" t="n">
        <f aca="false">px/eul_pe28</f>
        <v>74.8510638297872</v>
      </c>
      <c r="C14" s="18" t="n">
        <f aca="false">PL!F13</f>
        <v>64.9638881142062</v>
      </c>
      <c r="D14" s="10" t="n">
        <f aca="false">C14/B14-1</f>
        <v>-0.132091318542441</v>
      </c>
      <c r="E14" s="18" t="n">
        <f aca="false">PL!F24</f>
        <v>55.3281735519518</v>
      </c>
      <c r="F14" s="10" t="n">
        <f aca="false">E14/B14-1</f>
        <v>-0.26082315038609</v>
      </c>
      <c r="G14" s="18" t="n">
        <f aca="false">PL!F35</f>
        <v>41.2786556037016</v>
      </c>
      <c r="H14" s="10" t="n">
        <f aca="false">G14/B14-1</f>
        <v>-0.44852279324219</v>
      </c>
      <c r="I14" s="8" t="s">
        <v>794</v>
      </c>
    </row>
    <row r="15" customFormat="false" ht="17.15" hidden="false" customHeight="false" outlineLevel="0" collapsed="false">
      <c r="A15" s="1" t="s">
        <v>795</v>
      </c>
    </row>
    <row r="16" customFormat="false" ht="17.15" hidden="false" customHeight="false" outlineLevel="0" collapsed="false">
      <c r="A16" s="5" t="s">
        <v>796</v>
      </c>
      <c r="B16" s="16" t="n">
        <f aca="false">t30_rev_lo/1000</f>
        <v>44</v>
      </c>
      <c r="C16" s="16" t="n">
        <f aca="false">PL!G5</f>
        <v>65.1516814963786</v>
      </c>
      <c r="D16" s="10" t="n">
        <f aca="false">C16/B16-1</f>
        <v>0.480720034008604</v>
      </c>
      <c r="E16" s="16" t="n">
        <f aca="false">PL!G16</f>
        <v>53.3712844467491</v>
      </c>
      <c r="F16" s="10" t="n">
        <f aca="false">E16/B16-1</f>
        <v>0.212983737426116</v>
      </c>
      <c r="G16" s="16" t="n">
        <f aca="false">PL!G27</f>
        <v>44.0975631579466</v>
      </c>
      <c r="H16" s="10" t="n">
        <f aca="false">G16/B16-1</f>
        <v>0.00221734449878697</v>
      </c>
      <c r="I16" s="5" t="s">
        <v>797</v>
      </c>
    </row>
    <row r="17" customFormat="false" ht="17.15" hidden="false" customHeight="false" outlineLevel="0" collapsed="false">
      <c r="A17" s="5" t="s">
        <v>798</v>
      </c>
      <c r="B17" s="16" t="n">
        <f aca="false">t30_rev_hi/1000</f>
        <v>60</v>
      </c>
      <c r="C17" s="16" t="n">
        <f aca="false">PL!G5</f>
        <v>65.1516814963786</v>
      </c>
      <c r="D17" s="10" t="n">
        <f aca="false">C17/B17-1</f>
        <v>0.0858613582729761</v>
      </c>
      <c r="E17" s="16" t="n">
        <f aca="false">PL!G16</f>
        <v>53.3712844467491</v>
      </c>
      <c r="F17" s="10" t="n">
        <f aca="false">E17/B17-1</f>
        <v>-0.110478592554181</v>
      </c>
      <c r="G17" s="16" t="n">
        <f aca="false">PL!G27</f>
        <v>44.0975631579466</v>
      </c>
      <c r="H17" s="10" t="n">
        <f aca="false">G17/B17-1</f>
        <v>-0.265040614034223</v>
      </c>
      <c r="I17" s="5" t="s">
        <v>33</v>
      </c>
    </row>
    <row r="18" customFormat="false" ht="17.15" hidden="false" customHeight="false" outlineLevel="0" collapsed="false">
      <c r="A18" s="5" t="s">
        <v>799</v>
      </c>
      <c r="B18" s="10" t="n">
        <f aca="false">(t30_gm_lo+t30_gm_hi)/2</f>
        <v>0.58</v>
      </c>
      <c r="C18" s="10" t="n">
        <f aca="false">PL!G9</f>
        <v>0.592481551270315</v>
      </c>
      <c r="D18" s="10" t="n">
        <f aca="false">C18-B18</f>
        <v>0.0124815512703147</v>
      </c>
      <c r="E18" s="10" t="n">
        <f aca="false">PL!G20</f>
        <v>0.573938729542969</v>
      </c>
      <c r="F18" s="10" t="n">
        <f aca="false">E18-B18</f>
        <v>-0.00606127045703153</v>
      </c>
      <c r="G18" s="10" t="n">
        <f aca="false">PL!G31</f>
        <v>0.55619332137134</v>
      </c>
      <c r="H18" s="10" t="n">
        <f aca="false">G18-B18</f>
        <v>-0.02380667862866</v>
      </c>
      <c r="I18" s="5" t="s">
        <v>800</v>
      </c>
    </row>
    <row r="19" customFormat="false" ht="17.15" hidden="false" customHeight="false" outlineLevel="0" collapsed="false">
      <c r="A19" s="1" t="s">
        <v>801</v>
      </c>
    </row>
    <row r="20" customFormat="false" ht="17.15" hidden="false" customHeight="false" outlineLevel="0" collapsed="false">
      <c r="A20" s="0" t="s">
        <v>802</v>
      </c>
      <c r="B20" s="10" t="n">
        <f aca="false">a25_sys/1000*fx_25/semi_wfe_25</f>
        <v>0.236584333071578</v>
      </c>
      <c r="C20" s="10" t="n">
        <f aca="false">PL!C81</f>
        <v>0.236584333071578</v>
      </c>
      <c r="D20" s="10" t="n">
        <f aca="false">C20-B20</f>
        <v>0</v>
      </c>
      <c r="E20" s="10" t="n">
        <f aca="false">PL!C115</f>
        <v>0.236584333071578</v>
      </c>
      <c r="F20" s="10" t="n">
        <f aca="false">E20-B20</f>
        <v>0</v>
      </c>
      <c r="G20" s="10" t="n">
        <f aca="false">PL!C149</f>
        <v>0.236584333071578</v>
      </c>
      <c r="H20" s="10" t="n">
        <f aca="false">G20-B20</f>
        <v>0</v>
      </c>
      <c r="I20" s="8" t="s">
        <v>803</v>
      </c>
      <c r="J20" s="5" t="s">
        <v>804</v>
      </c>
    </row>
    <row r="21" customFormat="false" ht="17.15" hidden="false" customHeight="false" outlineLevel="0" collapsed="false">
      <c r="A21" s="0" t="s">
        <v>805</v>
      </c>
      <c r="B21" s="10" t="n">
        <f aca="false">PL!C81</f>
        <v>0.236584333071578</v>
      </c>
      <c r="C21" s="10" t="n">
        <f aca="false">PL!D81</f>
        <v>0.239324345993695</v>
      </c>
      <c r="D21" s="10" t="n">
        <f aca="false">C21-B21</f>
        <v>0.00274001292211706</v>
      </c>
      <c r="E21" s="10" t="n">
        <f aca="false">PL!D115</f>
        <v>0.239324345993695</v>
      </c>
      <c r="F21" s="10" t="n">
        <f aca="false">E21-B21</f>
        <v>0.00274001292211706</v>
      </c>
      <c r="G21" s="10" t="n">
        <f aca="false">PL!D149</f>
        <v>0.239324345993695</v>
      </c>
      <c r="H21" s="10" t="n">
        <f aca="false">G21-B21</f>
        <v>0.00274001292211706</v>
      </c>
      <c r="I21" s="5" t="s">
        <v>806</v>
      </c>
      <c r="J21" s="5" t="s">
        <v>807</v>
      </c>
    </row>
    <row r="22" customFormat="false" ht="17.15" hidden="false" customHeight="false" outlineLevel="0" collapsed="false">
      <c r="A22" s="0" t="s">
        <v>808</v>
      </c>
      <c r="B22" s="10" t="n">
        <f aca="false">PL!C81</f>
        <v>0.236584333071578</v>
      </c>
      <c r="C22" s="10" t="n">
        <f aca="false">PL!E81</f>
        <v>0.237311670552754</v>
      </c>
      <c r="D22" s="10" t="n">
        <f aca="false">C22-B22</f>
        <v>0.000727337481176482</v>
      </c>
      <c r="E22" s="10" t="n">
        <f aca="false">PL!E115</f>
        <v>0.233434796877179</v>
      </c>
      <c r="F22" s="10" t="n">
        <f aca="false">E22-B22</f>
        <v>-0.00314953619439859</v>
      </c>
      <c r="G22" s="10" t="n">
        <f aca="false">PL!E149</f>
        <v>0.227619486363817</v>
      </c>
      <c r="H22" s="10" t="n">
        <f aca="false">G22-B22</f>
        <v>-0.00896484670776113</v>
      </c>
      <c r="I22" s="5" t="s">
        <v>806</v>
      </c>
      <c r="J22" s="5" t="s">
        <v>807</v>
      </c>
    </row>
    <row r="23" customFormat="false" ht="17.15" hidden="false" customHeight="false" outlineLevel="0" collapsed="false">
      <c r="A23" s="0" t="s">
        <v>809</v>
      </c>
      <c r="B23" s="10" t="n">
        <f aca="false">PL!C81</f>
        <v>0.236584333071578</v>
      </c>
      <c r="C23" s="10" t="n">
        <f aca="false">PL!F81</f>
        <v>0.238959320909658</v>
      </c>
      <c r="D23" s="10" t="n">
        <f aca="false">C23-B23</f>
        <v>0.00237498783807991</v>
      </c>
      <c r="E23" s="10" t="n">
        <f aca="false">PL!F115</f>
        <v>0.235901898583072</v>
      </c>
      <c r="F23" s="10" t="n">
        <f aca="false">E23-B23</f>
        <v>-0.00068243448850594</v>
      </c>
      <c r="G23" s="10" t="n">
        <f aca="false">PL!F149</f>
        <v>0.231758489842301</v>
      </c>
      <c r="H23" s="10" t="n">
        <f aca="false">G23-B23</f>
        <v>-0.00482584322927701</v>
      </c>
      <c r="I23" s="5" t="s">
        <v>806</v>
      </c>
      <c r="J23" s="5" t="s">
        <v>807</v>
      </c>
    </row>
    <row r="24" customFormat="false" ht="17.15" hidden="false" customHeight="false" outlineLevel="0" collapsed="false">
      <c r="A24" s="0" t="s">
        <v>810</v>
      </c>
      <c r="B24" s="10" t="n">
        <f aca="false">PL!C81</f>
        <v>0.236584333071578</v>
      </c>
      <c r="C24" s="10" t="n">
        <f aca="false">PL!G81</f>
        <v>0.243034445014329</v>
      </c>
      <c r="D24" s="10" t="n">
        <f aca="false">C24-B24</f>
        <v>0.00645011194275094</v>
      </c>
      <c r="E24" s="10" t="n">
        <f aca="false">PL!G115</f>
        <v>0.240384102775707</v>
      </c>
      <c r="F24" s="10" t="n">
        <f aca="false">E24-B24</f>
        <v>0.00379976970412896</v>
      </c>
      <c r="G24" s="10" t="n">
        <f aca="false">PL!G149</f>
        <v>0.231078649488782</v>
      </c>
      <c r="H24" s="10" t="n">
        <f aca="false">G24-B24</f>
        <v>-0.00550568358279632</v>
      </c>
      <c r="I24" s="5" t="s">
        <v>806</v>
      </c>
      <c r="J24" s="5" t="s">
        <v>807</v>
      </c>
    </row>
    <row r="25" customFormat="false" ht="17.15" hidden="false" customHeight="false" outlineLevel="0" collapsed="false">
      <c r="A25" s="1" t="s">
        <v>811</v>
      </c>
    </row>
    <row r="26" customFormat="false" ht="17.15" hidden="false" customHeight="false" outlineLevel="0" collapsed="false">
      <c r="A26" s="0" t="s">
        <v>812</v>
      </c>
      <c r="B26" s="20" t="n">
        <f aca="false">euv_cap27</f>
        <v>80</v>
      </c>
      <c r="C26" s="20" t="n">
        <f aca="false">PL!E79</f>
        <v>85.8775007921053</v>
      </c>
      <c r="D26" s="10" t="n">
        <f aca="false">C26/B26-1</f>
        <v>0.0734687599013166</v>
      </c>
      <c r="E26" s="20" t="n">
        <f aca="false">PL!E113</f>
        <v>84.2666307921053</v>
      </c>
      <c r="F26" s="10" t="n">
        <f aca="false">E26/B26-1</f>
        <v>0.0533328849013164</v>
      </c>
      <c r="G26" s="20" t="n">
        <f aca="false">PL!E147</f>
        <v>81.8503257921053</v>
      </c>
      <c r="H26" s="10" t="n">
        <f aca="false">G26/B26-1</f>
        <v>0.0231290724013167</v>
      </c>
      <c r="I26" s="8" t="s">
        <v>813</v>
      </c>
      <c r="J26" s="5" t="s">
        <v>814</v>
      </c>
    </row>
    <row r="27" customFormat="false" ht="17.15" hidden="false" customHeight="false" outlineLevel="0" collapsed="false">
      <c r="A27" s="0" t="s">
        <v>815</v>
      </c>
      <c r="B27" s="10" t="n">
        <f aca="false">1</f>
        <v>1</v>
      </c>
      <c r="C27" s="10" t="n">
        <f aca="false">PL!E60/PL!E61</f>
        <v>0.914296095369763</v>
      </c>
      <c r="D27" s="10" t="n">
        <f aca="false">C27-B27</f>
        <v>-0.085703904630237</v>
      </c>
      <c r="E27" s="10" t="n">
        <f aca="false">PL!E94/PL!E95</f>
        <v>0.899359575578874</v>
      </c>
      <c r="F27" s="10" t="n">
        <f aca="false">E27-B27</f>
        <v>-0.100640424421126</v>
      </c>
      <c r="G27" s="10" t="n">
        <f aca="false">PL!E128/PL!E129</f>
        <v>0.876954795892541</v>
      </c>
      <c r="H27" s="10" t="n">
        <f aca="false">G27-B27</f>
        <v>-0.123045204107459</v>
      </c>
      <c r="I27" s="5" t="s">
        <v>816</v>
      </c>
      <c r="J27" s="8" t="s">
        <v>817</v>
      </c>
    </row>
    <row r="28" customFormat="false" ht="17.15" hidden="false" customHeight="false" outlineLevel="0" collapsed="false">
      <c r="A28" s="0" t="s">
        <v>818</v>
      </c>
      <c r="B28" s="10" t="n">
        <f aca="false">1</f>
        <v>1</v>
      </c>
      <c r="C28" s="10" t="n">
        <f aca="false">PL!F60/PL!F61</f>
        <v>0.873324614163577</v>
      </c>
      <c r="D28" s="10" t="n">
        <f aca="false">C28-B28</f>
        <v>-0.126675385836423</v>
      </c>
      <c r="E28" s="10" t="n">
        <f aca="false">PL!F94/PL!F95</f>
        <v>0.76729812975171</v>
      </c>
      <c r="F28" s="10" t="n">
        <f aca="false">E28-B28</f>
        <v>-0.23270187024829</v>
      </c>
      <c r="G28" s="10" t="n">
        <f aca="false">PL!F128/PL!F129</f>
        <v>0.603056971997899</v>
      </c>
      <c r="H28" s="10" t="n">
        <f aca="false">G28-B28</f>
        <v>-0.396943028002101</v>
      </c>
      <c r="I28" s="5" t="s">
        <v>816</v>
      </c>
      <c r="J28" s="8" t="s">
        <v>817</v>
      </c>
    </row>
    <row r="29" customFormat="false" ht="17.15" hidden="false" customHeight="false" outlineLevel="0" collapsed="false">
      <c r="A29" s="0" t="s">
        <v>819</v>
      </c>
      <c r="B29" s="10" t="n">
        <f aca="false">1</f>
        <v>1</v>
      </c>
      <c r="C29" s="10" t="n">
        <f aca="false">PL!G60/PL!G61</f>
        <v>0.82837424075552</v>
      </c>
      <c r="D29" s="10" t="n">
        <f aca="false">C29-B29</f>
        <v>-0.171625759244481</v>
      </c>
      <c r="E29" s="10" t="n">
        <f aca="false">PL!G94/PL!G95</f>
        <v>0.655589730798342</v>
      </c>
      <c r="F29" s="10" t="n">
        <f aca="false">E29-B29</f>
        <v>-0.344410269201659</v>
      </c>
      <c r="G29" s="10" t="n">
        <f aca="false">PL!G128/PL!G129</f>
        <v>0.53070429362556</v>
      </c>
      <c r="H29" s="10" t="n">
        <f aca="false">G29-B29</f>
        <v>-0.46929570637444</v>
      </c>
      <c r="I29" s="5" t="s">
        <v>816</v>
      </c>
      <c r="J29" s="8" t="s">
        <v>817</v>
      </c>
    </row>
    <row r="30" customFormat="false" ht="17.15" hidden="false" customHeight="false" outlineLevel="0" collapsed="false">
      <c r="A30" s="1" t="s">
        <v>820</v>
      </c>
    </row>
    <row r="31" customFormat="false" ht="17.15" hidden="false" customHeight="false" outlineLevel="0" collapsed="false">
      <c r="A31" s="0" t="s">
        <v>821</v>
      </c>
      <c r="B31" s="10" t="n">
        <f aca="false">cn_tot25</f>
        <v>0.33</v>
      </c>
      <c r="C31" s="10" t="n">
        <f aca="false">PL!G8</f>
        <v>0.134356245167893</v>
      </c>
      <c r="D31" s="10" t="n">
        <f aca="false">C31-B31</f>
        <v>-0.195643754832107</v>
      </c>
      <c r="E31" s="10" t="n">
        <f aca="false">PL!G19</f>
        <v>0.12375986584364</v>
      </c>
      <c r="F31" s="10" t="n">
        <f aca="false">E31-B31</f>
        <v>-0.20624013415636</v>
      </c>
      <c r="G31" s="10" t="n">
        <f aca="false">PL!G30</f>
        <v>0.0884739938924248</v>
      </c>
      <c r="H31" s="10" t="n">
        <f aca="false">G31-B31</f>
        <v>-0.241526006107575</v>
      </c>
      <c r="I31" s="8" t="s">
        <v>822</v>
      </c>
      <c r="J31" s="5" t="s">
        <v>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"/>
    <col collapsed="false" customWidth="true" hidden="false" outlineLevel="0" max="8" min="3" style="0" width="14"/>
  </cols>
  <sheetData>
    <row r="1" customFormat="false" ht="17.15" hidden="false" customHeight="false" outlineLevel="0" collapsed="false">
      <c r="A1" s="0" t="s">
        <v>824</v>
      </c>
    </row>
    <row r="3" customFormat="false" ht="17.15" hidden="false" customHeight="false" outlineLevel="0" collapsed="false">
      <c r="A3" s="6" t="s">
        <v>825</v>
      </c>
      <c r="B3" s="6" t="s">
        <v>826</v>
      </c>
      <c r="C3" s="14" t="s">
        <v>827</v>
      </c>
      <c r="D3" s="14" t="s">
        <v>828</v>
      </c>
      <c r="E3" s="6" t="s">
        <v>829</v>
      </c>
      <c r="F3" s="14" t="s">
        <v>830</v>
      </c>
      <c r="G3" s="14" t="s">
        <v>831</v>
      </c>
      <c r="H3" s="6" t="s">
        <v>829</v>
      </c>
    </row>
    <row r="4" customFormat="false" ht="17.15" hidden="false" customHeight="false" outlineLevel="0" collapsed="false">
      <c r="A4" s="5" t="s">
        <v>832</v>
      </c>
      <c r="B4" s="0" t="s">
        <v>833</v>
      </c>
      <c r="C4" s="16" t="n">
        <f aca="false">PL!E66</f>
        <v>53.1484694077512</v>
      </c>
      <c r="D4" s="13" t="n">
        <f aca="false">PL!E76</f>
        <v>54.2892948092339</v>
      </c>
      <c r="E4" s="10" t="n">
        <f aca="false">D4/D$4-1</f>
        <v>0</v>
      </c>
      <c r="F4" s="16" t="n">
        <f aca="false">PL!F66</f>
        <v>59.9767174003281</v>
      </c>
      <c r="G4" s="13" t="n">
        <f aca="false">PL!F76</f>
        <v>64.9638881142062</v>
      </c>
      <c r="H4" s="10" t="n">
        <f aca="false">G4/G$4-1</f>
        <v>0</v>
      </c>
    </row>
    <row r="5" customFormat="false" ht="17.15" hidden="false" customHeight="false" outlineLevel="0" collapsed="false">
      <c r="A5" s="5" t="s">
        <v>834</v>
      </c>
      <c r="B5" s="0" t="s">
        <v>835</v>
      </c>
      <c r="C5" s="16" t="n">
        <f aca="false">E66</f>
        <v>52.1873501046128</v>
      </c>
      <c r="D5" s="13" t="n">
        <f aca="false">E76</f>
        <v>52.8924507998742</v>
      </c>
      <c r="E5" s="10" t="n">
        <f aca="false">D5/D$4-1</f>
        <v>-0.0257296399643429</v>
      </c>
      <c r="F5" s="16" t="n">
        <f aca="false">F66</f>
        <v>57.7849207058235</v>
      </c>
      <c r="G5" s="13" t="n">
        <f aca="false">F76</f>
        <v>61.6946097178303</v>
      </c>
      <c r="H5" s="10" t="n">
        <f aca="false">G5/G$4-1</f>
        <v>-0.0503245493962515</v>
      </c>
    </row>
    <row r="6" customFormat="false" ht="17.15" hidden="false" customHeight="false" outlineLevel="0" collapsed="false">
      <c r="A6" s="5" t="s">
        <v>836</v>
      </c>
      <c r="B6" s="0" t="s">
        <v>837</v>
      </c>
      <c r="C6" s="16" t="n">
        <f aca="false">E106</f>
        <v>54.1095887108896</v>
      </c>
      <c r="D6" s="13" t="n">
        <f aca="false">E116</f>
        <v>55.6897768481685</v>
      </c>
      <c r="E6" s="10" t="n">
        <f aca="false">D6/D$4-1</f>
        <v>0.0257966518787138</v>
      </c>
      <c r="F6" s="16" t="n">
        <f aca="false">F106</f>
        <v>62.2332962631433</v>
      </c>
      <c r="G6" s="13" t="n">
        <f aca="false">F116</f>
        <v>68.3474853523473</v>
      </c>
      <c r="H6" s="10" t="n">
        <f aca="false">G6/G$4-1</f>
        <v>0.0520842784562512</v>
      </c>
    </row>
    <row r="7" customFormat="false" ht="17.15" hidden="false" customHeight="false" outlineLevel="0" collapsed="false">
      <c r="A7" s="5" t="s">
        <v>838</v>
      </c>
      <c r="B7" s="5" t="s">
        <v>839</v>
      </c>
      <c r="C7" s="16" t="n">
        <f aca="false">E146</f>
        <v>53.4193885105419</v>
      </c>
      <c r="D7" s="13" t="n">
        <f aca="false">E156</f>
        <v>54.6836955559327</v>
      </c>
      <c r="E7" s="10" t="n">
        <f aca="false">D7/D$4-1</f>
        <v>0.00726479774852007</v>
      </c>
      <c r="F7" s="16" t="n">
        <f aca="false">F146</f>
        <v>60.4420162828404</v>
      </c>
      <c r="G7" s="13" t="n">
        <f aca="false">F156</f>
        <v>65.6601271344662</v>
      </c>
      <c r="H7" s="10" t="n">
        <f aca="false">G7/G$4-1</f>
        <v>0.0107173237389357</v>
      </c>
    </row>
    <row r="8" customFormat="false" ht="17.15" hidden="false" customHeight="false" outlineLevel="0" collapsed="false">
      <c r="A8" s="5" t="s">
        <v>840</v>
      </c>
      <c r="B8" s="5" t="s">
        <v>841</v>
      </c>
      <c r="C8" s="16" t="n">
        <f aca="false">E186</f>
        <v>52.8775503049606</v>
      </c>
      <c r="D8" s="13" t="n">
        <f aca="false">E196</f>
        <v>53.8951831099509</v>
      </c>
      <c r="E8" s="10" t="n">
        <f aca="false">D8/D$4-1</f>
        <v>-0.00725947354202772</v>
      </c>
      <c r="F8" s="16" t="n">
        <f aca="false">F186</f>
        <v>59.5114185178158</v>
      </c>
      <c r="G8" s="13" t="n">
        <f aca="false">F196</f>
        <v>64.2684122778522</v>
      </c>
      <c r="H8" s="10" t="n">
        <f aca="false">G8/G$4-1</f>
        <v>-0.01070557592137</v>
      </c>
    </row>
    <row r="9" customFormat="false" ht="17.15" hidden="false" customHeight="false" outlineLevel="0" collapsed="false">
      <c r="A9" s="5" t="s">
        <v>842</v>
      </c>
      <c r="B9" s="5" t="s">
        <v>843</v>
      </c>
      <c r="C9" s="16" t="n">
        <f aca="false">E226</f>
        <v>52.5041214077512</v>
      </c>
      <c r="D9" s="13" t="n">
        <f aca="false">E236</f>
        <v>53.3524247922744</v>
      </c>
      <c r="E9" s="10" t="n">
        <f aca="false">D9/D$4-1</f>
        <v>-0.0172569936716173</v>
      </c>
      <c r="F9" s="16" t="n">
        <f aca="false">F226</f>
        <v>58.7524562003281</v>
      </c>
      <c r="G9" s="13" t="n">
        <f aca="false">F236</f>
        <v>63.1356549652399</v>
      </c>
      <c r="H9" s="10" t="n">
        <f aca="false">G9/G$4-1</f>
        <v>-0.0281422987760867</v>
      </c>
    </row>
    <row r="10" customFormat="false" ht="17.15" hidden="false" customHeight="false" outlineLevel="0" collapsed="false">
      <c r="A10" s="5" t="s">
        <v>844</v>
      </c>
      <c r="C10" s="16" t="n">
        <f aca="false">E266</f>
        <v>53.7928174077512</v>
      </c>
      <c r="D10" s="13" t="n">
        <f aca="false">E276</f>
        <v>55.2277999082852</v>
      </c>
      <c r="E10" s="10" t="n">
        <f aca="false">D10/D$4-1</f>
        <v>0.0172871116183975</v>
      </c>
      <c r="F10" s="16" t="n">
        <f aca="false">F266</f>
        <v>61.3298482003281</v>
      </c>
      <c r="G10" s="13" t="n">
        <f aca="false">F276</f>
        <v>66.9907097590863</v>
      </c>
      <c r="H10" s="10" t="n">
        <f aca="false">G10/G$4-1</f>
        <v>0.0311992047230447</v>
      </c>
    </row>
    <row r="11" customFormat="false" ht="17.15" hidden="false" customHeight="false" outlineLevel="0" collapsed="false">
      <c r="A11" s="0" t="s">
        <v>845</v>
      </c>
      <c r="B11" s="5" t="s">
        <v>846</v>
      </c>
      <c r="C11" s="16" t="n">
        <f aca="false">E306</f>
        <v>52.6589494077512</v>
      </c>
      <c r="D11" s="13" t="n">
        <f aca="false">E316</f>
        <v>53.5773915194643</v>
      </c>
      <c r="E11" s="10" t="n">
        <f aca="false">D11/D$4-1</f>
        <v>-0.0131131430657025</v>
      </c>
      <c r="F11" s="16" t="n">
        <f aca="false">F306</f>
        <v>58.8997734003281</v>
      </c>
      <c r="G11" s="13" t="n">
        <f aca="false">F316</f>
        <v>63.3553657679352</v>
      </c>
      <c r="H11" s="10" t="n">
        <f aca="false">G11/G$4-1</f>
        <v>-0.0247602536264958</v>
      </c>
    </row>
    <row r="12" customFormat="false" ht="17.15" hidden="false" customHeight="false" outlineLevel="0" collapsed="false">
      <c r="A12" s="0" t="s">
        <v>847</v>
      </c>
      <c r="C12" s="16" t="n">
        <f aca="false">E346</f>
        <v>53.6379894077512</v>
      </c>
      <c r="D12" s="13" t="n">
        <f aca="false">E356</f>
        <v>55.0021418012173</v>
      </c>
      <c r="E12" s="10" t="n">
        <f aca="false">D12/D$4-1</f>
        <v>0.013130525907332</v>
      </c>
      <c r="F12" s="16" t="n">
        <f aca="false">F346</f>
        <v>61.0928230003281</v>
      </c>
      <c r="G12" s="13" t="n">
        <f aca="false">F356</f>
        <v>66.6352155276474</v>
      </c>
      <c r="H12" s="10" t="n">
        <f aca="false">G12/G$4-1</f>
        <v>0.025727022534473</v>
      </c>
    </row>
    <row r="13" customFormat="false" ht="17.15" hidden="false" customHeight="false" outlineLevel="0" collapsed="false">
      <c r="A13" s="5" t="s">
        <v>848</v>
      </c>
      <c r="B13" s="5" t="s">
        <v>849</v>
      </c>
      <c r="C13" s="16" t="n">
        <f aca="false">E386</f>
        <v>53.1484694077512</v>
      </c>
      <c r="D13" s="13" t="n">
        <f aca="false">E396</f>
        <v>53.2958862252379</v>
      </c>
      <c r="E13" s="10" t="n">
        <f aca="false">D13/D$4-1</f>
        <v>-0.0182984249010171</v>
      </c>
      <c r="F13" s="16" t="n">
        <f aca="false">F386</f>
        <v>59.9767174003281</v>
      </c>
      <c r="G13" s="13" t="n">
        <f aca="false">F396</f>
        <v>63.0652178620796</v>
      </c>
      <c r="H13" s="10" t="n">
        <f aca="false">G13/G$4-1</f>
        <v>-0.0292265488911125</v>
      </c>
    </row>
    <row r="14" customFormat="false" ht="17.15" hidden="false" customHeight="false" outlineLevel="0" collapsed="false">
      <c r="A14" s="5" t="s">
        <v>850</v>
      </c>
      <c r="C14" s="16" t="n">
        <f aca="false">E426</f>
        <v>53.1484694077512</v>
      </c>
      <c r="D14" s="13" t="n">
        <f aca="false">E436</f>
        <v>55.2827033932298</v>
      </c>
      <c r="E14" s="10" t="n">
        <f aca="false">D14/D$4-1</f>
        <v>0.0182984249010172</v>
      </c>
      <c r="F14" s="16" t="n">
        <f aca="false">F426</f>
        <v>59.9767174003281</v>
      </c>
      <c r="G14" s="13" t="n">
        <f aca="false">F436</f>
        <v>66.8625583663328</v>
      </c>
      <c r="H14" s="10" t="n">
        <f aca="false">G14/G$4-1</f>
        <v>0.0292265488911128</v>
      </c>
    </row>
    <row r="15" customFormat="false" ht="17.15" hidden="false" customHeight="false" outlineLevel="0" collapsed="false">
      <c r="A15" s="5" t="s">
        <v>851</v>
      </c>
      <c r="C15" s="16" t="n">
        <f aca="false">E466</f>
        <v>53.1484694077512</v>
      </c>
      <c r="D15" s="13" t="n">
        <f aca="false">E476</f>
        <v>54.6827581584588</v>
      </c>
      <c r="E15" s="10" t="n">
        <f aca="false">D15/D$4-1</f>
        <v>0.0072475310391773</v>
      </c>
      <c r="F15" s="16" t="n">
        <f aca="false">F466</f>
        <v>59.9767174003281</v>
      </c>
      <c r="G15" s="13" t="n">
        <f aca="false">F476</f>
        <v>65.6735059500207</v>
      </c>
      <c r="H15" s="10" t="n">
        <f aca="false">G15/G$4-1</f>
        <v>0.0109232660854137</v>
      </c>
    </row>
    <row r="16" customFormat="false" ht="17.15" hidden="false" customHeight="false" outlineLevel="0" collapsed="false">
      <c r="A16" s="5" t="s">
        <v>852</v>
      </c>
      <c r="B16" s="5" t="s">
        <v>853</v>
      </c>
      <c r="C16" s="16" t="n">
        <f aca="false">E506</f>
        <v>53.1484694077512</v>
      </c>
      <c r="D16" s="13" t="n">
        <f aca="false">E516</f>
        <v>53.5921434241467</v>
      </c>
      <c r="E16" s="10" t="n">
        <f aca="false">D16/D$4-1</f>
        <v>-0.0128414153754787</v>
      </c>
      <c r="F16" s="16" t="n">
        <f aca="false">F506</f>
        <v>59.9767174003281</v>
      </c>
      <c r="G16" s="13" t="n">
        <f aca="false">F516</f>
        <v>63.7065637456337</v>
      </c>
      <c r="H16" s="10" t="n">
        <f aca="false">G16/G$4-1</f>
        <v>-0.0193542043906315</v>
      </c>
    </row>
    <row r="17" customFormat="false" ht="17.15" hidden="false" customHeight="false" outlineLevel="0" collapsed="false">
      <c r="A17" s="0" t="s">
        <v>854</v>
      </c>
      <c r="B17" s="0" t="s">
        <v>855</v>
      </c>
      <c r="C17" s="16" t="n">
        <f aca="false">E546</f>
        <v>53.1484694077512</v>
      </c>
      <c r="D17" s="13" t="n">
        <f aca="false">E556</f>
        <v>54.2892948092339</v>
      </c>
      <c r="E17" s="10" t="n">
        <f aca="false">D17/D$4-1</f>
        <v>0</v>
      </c>
      <c r="F17" s="16" t="n">
        <f aca="false">F546</f>
        <v>59.9767174003281</v>
      </c>
      <c r="G17" s="13" t="n">
        <f aca="false">F556</f>
        <v>64.9638881142062</v>
      </c>
      <c r="H17" s="10" t="n">
        <f aca="false">G17/G$4-1</f>
        <v>0</v>
      </c>
    </row>
    <row r="18" customFormat="false" ht="17.15" hidden="false" customHeight="false" outlineLevel="0" collapsed="false">
      <c r="A18" s="0" t="s">
        <v>856</v>
      </c>
      <c r="C18" s="16" t="n">
        <f aca="false">E586</f>
        <v>53.1484694077512</v>
      </c>
      <c r="D18" s="13" t="n">
        <f aca="false">E596</f>
        <v>54.2892948092339</v>
      </c>
      <c r="E18" s="10" t="n">
        <f aca="false">D18/D$4-1</f>
        <v>0</v>
      </c>
      <c r="F18" s="16" t="n">
        <f aca="false">F586</f>
        <v>59.784618758</v>
      </c>
      <c r="G18" s="13" t="n">
        <f aca="false">F596</f>
        <v>64.6766680788811</v>
      </c>
      <c r="H18" s="10" t="n">
        <f aca="false">G18/G$4-1</f>
        <v>-0.00442122606362705</v>
      </c>
    </row>
    <row r="19" customFormat="false" ht="17.15" hidden="false" customHeight="false" outlineLevel="0" collapsed="false">
      <c r="A19" s="5" t="s">
        <v>857</v>
      </c>
      <c r="C19" s="16" t="n">
        <f aca="false">E626</f>
        <v>53.1484694077512</v>
      </c>
      <c r="D19" s="13" t="n">
        <f aca="false">E636</f>
        <v>51.0796423681843</v>
      </c>
      <c r="E19" s="10" t="n">
        <f aca="false">D19/D$4-1</f>
        <v>-0.0591212770828563</v>
      </c>
      <c r="F19" s="16" t="n">
        <f aca="false">F626</f>
        <v>59.9767174003281</v>
      </c>
      <c r="G19" s="13" t="n">
        <f aca="false">F636</f>
        <v>61.1231400846265</v>
      </c>
      <c r="H19" s="10" t="n">
        <f aca="false">G19/G$4-1</f>
        <v>-0.0591212770828563</v>
      </c>
    </row>
    <row r="20" customFormat="false" ht="17.15" hidden="false" customHeight="false" outlineLevel="0" collapsed="false">
      <c r="A20" s="5" t="s">
        <v>858</v>
      </c>
      <c r="C20" s="16" t="n">
        <f aca="false">E666</f>
        <v>53.1484694077512</v>
      </c>
      <c r="D20" s="13" t="n">
        <f aca="false">E676</f>
        <v>55.5491110754004</v>
      </c>
      <c r="E20" s="10" t="n">
        <f aca="false">D20/D$4-1</f>
        <v>0.0232056111723937</v>
      </c>
      <c r="F20" s="16" t="n">
        <f aca="false">F666</f>
        <v>59.9767174003281</v>
      </c>
      <c r="G20" s="13" t="n">
        <f aca="false">F676</f>
        <v>66.4714148420314</v>
      </c>
      <c r="H20" s="10" t="n">
        <f aca="false">G20/G$4-1</f>
        <v>0.0232056111723935</v>
      </c>
    </row>
    <row r="21" customFormat="false" ht="17.15" hidden="false" customHeight="false" outlineLevel="0" collapsed="false">
      <c r="A21" s="5" t="s">
        <v>859</v>
      </c>
      <c r="C21" s="16" t="n">
        <f aca="false">E706</f>
        <v>53.1484694077512</v>
      </c>
      <c r="D21" s="13" t="n">
        <f aca="false">E716</f>
        <v>53.7464018611415</v>
      </c>
      <c r="E21" s="10" t="n">
        <f aca="false">D21/D$4-1</f>
        <v>-0.01</v>
      </c>
      <c r="F21" s="16" t="n">
        <f aca="false">F706</f>
        <v>59.9767174003281</v>
      </c>
      <c r="G21" s="13" t="n">
        <f aca="false">F716</f>
        <v>63.6711067407335</v>
      </c>
      <c r="H21" s="10" t="n">
        <f aca="false">G21/G$4-1</f>
        <v>-0.0199000000000001</v>
      </c>
    </row>
    <row r="22" customFormat="false" ht="17.15" hidden="false" customHeight="false" outlineLevel="0" collapsed="false">
      <c r="A22" s="5" t="s">
        <v>860</v>
      </c>
      <c r="C22" s="16" t="n">
        <f aca="false">E746</f>
        <v>53.1484694077512</v>
      </c>
      <c r="D22" s="13" t="n">
        <f aca="false">E756</f>
        <v>54.8432672052465</v>
      </c>
      <c r="E22" s="10" t="n">
        <f aca="false">D22/D$4-1</f>
        <v>0.010204081632653</v>
      </c>
      <c r="F22" s="16" t="n">
        <f aca="false">F746</f>
        <v>59.9767174003281</v>
      </c>
      <c r="G22" s="13" t="n">
        <f aca="false">F756</f>
        <v>66.2964460024297</v>
      </c>
      <c r="H22" s="10" t="n">
        <f aca="false">G22/G$4-1</f>
        <v>0.020512286547272</v>
      </c>
    </row>
    <row r="23" customFormat="false" ht="17.15" hidden="false" customHeight="false" outlineLevel="0" collapsed="false">
      <c r="A23" s="5" t="s">
        <v>861</v>
      </c>
      <c r="B23" s="5" t="s">
        <v>862</v>
      </c>
      <c r="C23" s="16" t="n">
        <f aca="false">PL!E100</f>
        <v>52.0146014077512</v>
      </c>
      <c r="D23" s="13" t="n">
        <f aca="false">PL!E110</f>
        <v>52.6417770841209</v>
      </c>
      <c r="E23" s="10" t="n">
        <f aca="false">D23/D$4-1</f>
        <v>-0.0303470091277147</v>
      </c>
      <c r="F23" s="16" t="n">
        <f aca="false">PL!F100</f>
        <v>53.4820042899838</v>
      </c>
      <c r="G23" s="13" t="n">
        <f aca="false">PL!F110</f>
        <v>55.3281735519518</v>
      </c>
      <c r="H23" s="10" t="n">
        <f aca="false">G23/G$4-1</f>
        <v>-0.148324166578744</v>
      </c>
    </row>
    <row r="24" customFormat="false" ht="17.15" hidden="false" customHeight="false" outlineLevel="0" collapsed="false">
      <c r="A24" s="5" t="s">
        <v>863</v>
      </c>
      <c r="B24" s="5" t="s">
        <v>864</v>
      </c>
      <c r="C24" s="16" t="n">
        <f aca="false">PL!E134</f>
        <v>50.4361794077512</v>
      </c>
      <c r="D24" s="13" t="n">
        <f aca="false">PL!E144</f>
        <v>50.3569586127628</v>
      </c>
      <c r="E24" s="10" t="n">
        <f aca="false">D24/D$4-1</f>
        <v>-0.0724329945763499</v>
      </c>
      <c r="F24" s="16" t="n">
        <f aca="false">PL!F134</f>
        <v>43.798457531987</v>
      </c>
      <c r="G24" s="13" t="n">
        <f aca="false">PL!F144</f>
        <v>41.2786556037016</v>
      </c>
      <c r="H24" s="10" t="n">
        <f aca="false">G24/G$4-1</f>
        <v>-0.364590747229693</v>
      </c>
    </row>
    <row r="26" customFormat="false" ht="17.15" hidden="false" customHeight="false" outlineLevel="0" collapsed="false">
      <c r="A26" s="5" t="s">
        <v>865</v>
      </c>
    </row>
    <row r="50" customFormat="false" ht="17.15" hidden="false" customHeight="false" outlineLevel="0" collapsed="false">
      <c r="A50" s="3" t="s">
        <v>866</v>
      </c>
    </row>
    <row r="51" customFormat="false" ht="17.15" hidden="false" customHeight="false" outlineLevel="0" collapsed="false">
      <c r="A51" s="6" t="s">
        <v>16</v>
      </c>
      <c r="B51" s="6" t="s">
        <v>17</v>
      </c>
      <c r="C51" s="14" t="s">
        <v>548</v>
      </c>
      <c r="D51" s="14" t="s">
        <v>549</v>
      </c>
      <c r="E51" s="14" t="s">
        <v>550</v>
      </c>
      <c r="F51" s="14" t="s">
        <v>551</v>
      </c>
      <c r="G51" s="14" t="s">
        <v>552</v>
      </c>
      <c r="H51" s="6" t="s">
        <v>534</v>
      </c>
    </row>
    <row r="52" customFormat="false" ht="17.15" hidden="false" customHeight="false" outlineLevel="0" collapsed="false">
      <c r="A52" s="1" t="s">
        <v>561</v>
      </c>
    </row>
    <row r="53" customFormat="false" ht="17.15" hidden="false" customHeight="false" outlineLevel="0" collapsed="false">
      <c r="A53" s="5" t="s">
        <v>562</v>
      </c>
      <c r="B53" s="0" t="s">
        <v>345</v>
      </c>
      <c r="C53" s="25" t="n">
        <f aca="false">Units!C8</f>
        <v>0.797493866282457</v>
      </c>
      <c r="D53" s="25" t="n">
        <f aca="false">Units!D8</f>
        <v>1</v>
      </c>
      <c r="E53" s="25" t="n">
        <f aca="false">Units!E8</f>
        <v>1.1581138943867</v>
      </c>
      <c r="F53" s="25" t="n">
        <f aca="false">Units!F8</f>
        <v>1.30398004155566</v>
      </c>
      <c r="G53" s="25" t="n">
        <f aca="false">Units!G8</f>
        <v>1.39118185447666</v>
      </c>
    </row>
    <row r="54" customFormat="false" ht="17.15" hidden="false" customHeight="false" outlineLevel="0" collapsed="false">
      <c r="A54" s="5" t="s">
        <v>563</v>
      </c>
      <c r="B54" s="0" t="s">
        <v>345</v>
      </c>
      <c r="C54" s="25" t="n">
        <f aca="false">Units!C9</f>
        <v>0.677840887672955</v>
      </c>
      <c r="D54" s="25" t="n">
        <f aca="false">Units!D9</f>
        <v>1</v>
      </c>
      <c r="E54" s="25" t="n">
        <f aca="false">Units!E9</f>
        <v>1.3452955652252</v>
      </c>
      <c r="F54" s="25" t="n">
        <f aca="false">Units!F9</f>
        <v>1.50769200272716</v>
      </c>
      <c r="G54" s="25" t="n">
        <f aca="false">Units!G9</f>
        <v>1.57386738820784</v>
      </c>
    </row>
    <row r="55" customFormat="false" ht="17.15" hidden="false" customHeight="false" outlineLevel="0" collapsed="false">
      <c r="A55" s="5" t="s">
        <v>564</v>
      </c>
      <c r="B55" s="0" t="s">
        <v>345</v>
      </c>
      <c r="D55" s="25" t="n">
        <f aca="false">(1+g_int_lo)^0</f>
        <v>1</v>
      </c>
      <c r="E55" s="25" t="n">
        <f aca="false">(1+g_int_lo)^1</f>
        <v>1</v>
      </c>
      <c r="F55" s="25" t="n">
        <f aca="false">(1+g_int_lo)^2</f>
        <v>1</v>
      </c>
      <c r="G55" s="25" t="n">
        <f aca="false">(1+g_int_lo)^3</f>
        <v>1</v>
      </c>
      <c r="H55" s="8" t="s">
        <v>565</v>
      </c>
    </row>
    <row r="56" customFormat="false" ht="17.15" hidden="false" customHeight="false" outlineLevel="0" collapsed="false">
      <c r="A56" s="1" t="s">
        <v>566</v>
      </c>
    </row>
    <row r="57" customFormat="false" ht="17.15" hidden="false" customHeight="false" outlineLevel="0" collapsed="false">
      <c r="A57" s="5" t="s">
        <v>567</v>
      </c>
      <c r="B57" s="0" t="s">
        <v>553</v>
      </c>
      <c r="D57" s="13" t="n">
        <f aca="false">a26_sys/1000*(1-cn_sh26)*log_sh26</f>
        <v>14.0838050971922</v>
      </c>
      <c r="E57" s="13" t="n">
        <f aca="false">$D57*E53*E55</f>
        <v>16.3106503688925</v>
      </c>
      <c r="F57" s="13" t="n">
        <f aca="false">$D57*F53*F55</f>
        <v>18.3650007558986</v>
      </c>
      <c r="G57" s="13" t="n">
        <f aca="false">$D57*G53*G55</f>
        <v>19.5931340931997</v>
      </c>
      <c r="H57" s="8" t="s">
        <v>568</v>
      </c>
    </row>
    <row r="58" customFormat="false" ht="15" hidden="false" customHeight="false" outlineLevel="0" collapsed="false">
      <c r="A58" s="5" t="s">
        <v>569</v>
      </c>
      <c r="B58" s="0" t="s">
        <v>553</v>
      </c>
      <c r="D58" s="13" t="n">
        <f aca="false">a26_sys/1000*(1-cn_sh26)*(1-log_sh26)</f>
        <v>11.6901149028078</v>
      </c>
      <c r="E58" s="13" t="n">
        <f aca="false">$D58*E54*E55</f>
        <v>15.7266597357203</v>
      </c>
      <c r="F58" s="13" t="n">
        <f aca="false">$D58*F54*F55</f>
        <v>17.6250927499249</v>
      </c>
      <c r="G58" s="13" t="n">
        <f aca="false">$D58*G54*G55</f>
        <v>18.3986906099317</v>
      </c>
    </row>
    <row r="59" customFormat="false" ht="17.15" hidden="false" customHeight="false" outlineLevel="0" collapsed="false">
      <c r="A59" s="5" t="s">
        <v>570</v>
      </c>
      <c r="B59" s="0" t="s">
        <v>553</v>
      </c>
      <c r="D59" s="13" t="n">
        <f aca="false">a26_sys/1000*cn_sh26</f>
        <v>6.44348</v>
      </c>
      <c r="E59" s="13" t="n">
        <f aca="false">D59*(1+g_cn_A)</f>
        <v>6.44348</v>
      </c>
      <c r="F59" s="13" t="n">
        <f aca="false">E59*(1+g_cn_A)</f>
        <v>6.44348</v>
      </c>
      <c r="G59" s="13" t="n">
        <f aca="false">F59*(1+g_cn_A)</f>
        <v>6.44348</v>
      </c>
      <c r="H59" s="8" t="s">
        <v>571</v>
      </c>
    </row>
    <row r="60" customFormat="false" ht="15" hidden="false" customHeight="false" outlineLevel="0" collapsed="false">
      <c r="A60" s="5" t="s">
        <v>572</v>
      </c>
      <c r="B60" s="0" t="s">
        <v>553</v>
      </c>
      <c r="D60" s="13" t="n">
        <f aca="false">D57+D58+D59</f>
        <v>32.2174</v>
      </c>
      <c r="E60" s="13" t="n">
        <f aca="false">E57+E58+E59</f>
        <v>38.4807901046128</v>
      </c>
      <c r="F60" s="13" t="n">
        <f aca="false">F57+F58+F59</f>
        <v>42.4335735058235</v>
      </c>
      <c r="G60" s="13" t="n">
        <f aca="false">G57+G58+G59</f>
        <v>44.4353047031313</v>
      </c>
    </row>
    <row r="61" customFormat="false" ht="17.15" hidden="false" customHeight="false" outlineLevel="0" collapsed="false">
      <c r="A61" s="5" t="s">
        <v>573</v>
      </c>
      <c r="B61" s="0" t="s">
        <v>553</v>
      </c>
      <c r="D61" s="13" t="n">
        <f aca="false">a26_sys/1000</f>
        <v>32.2174</v>
      </c>
      <c r="E61" s="13" t="n">
        <f aca="false">$D61*(1+cap_27)*E55</f>
        <v>41.88262</v>
      </c>
      <c r="F61" s="13" t="n">
        <f aca="false">$D61*(1+cap_27)*(1+cap_28)*F55</f>
        <v>48.165013</v>
      </c>
      <c r="G61" s="13" t="n">
        <f aca="false">$D61*(1+cap_27)*(1+cap_28)*(1+cap_29)*G55</f>
        <v>52.9815143</v>
      </c>
      <c r="H61" s="5" t="s">
        <v>574</v>
      </c>
    </row>
    <row r="62" customFormat="false" ht="17.15" hidden="false" customHeight="false" outlineLevel="0" collapsed="false">
      <c r="A62" s="5" t="s">
        <v>575</v>
      </c>
      <c r="B62" s="0" t="s">
        <v>553</v>
      </c>
      <c r="C62" s="13" t="n">
        <f aca="false">a25_sys/1000</f>
        <v>24.4743</v>
      </c>
      <c r="D62" s="13" t="n">
        <f aca="false">a26_sys/1000</f>
        <v>32.2174</v>
      </c>
      <c r="E62" s="13" t="n">
        <f aca="false">MIN(E60,E61)</f>
        <v>38.4807901046128</v>
      </c>
      <c r="F62" s="13" t="n">
        <f aca="false">MIN(F60,F61)</f>
        <v>42.4335735058235</v>
      </c>
      <c r="G62" s="13" t="n">
        <f aca="false">MIN(G60,G61)</f>
        <v>44.4353047031313</v>
      </c>
    </row>
    <row r="63" customFormat="false" ht="17.15" hidden="false" customHeight="false" outlineLevel="0" collapsed="false">
      <c r="A63" s="5" t="s">
        <v>576</v>
      </c>
      <c r="E63" s="20" t="n">
        <f aca="false">IF(E60&gt;E61,1,0)</f>
        <v>0</v>
      </c>
      <c r="F63" s="20" t="n">
        <f aca="false">IF(F60&gt;F61,1,0)</f>
        <v>0</v>
      </c>
      <c r="G63" s="20" t="n">
        <f aca="false">IF(G60&gt;G61,1,0)</f>
        <v>0</v>
      </c>
    </row>
    <row r="64" customFormat="false" ht="15" hidden="false" customHeight="false" outlineLevel="0" collapsed="false">
      <c r="A64" s="5" t="s">
        <v>577</v>
      </c>
      <c r="B64" s="0" t="s">
        <v>231</v>
      </c>
      <c r="D64" s="10" t="n">
        <f aca="false">D59/D60</f>
        <v>0.2</v>
      </c>
      <c r="E64" s="10" t="n">
        <f aca="false">E59/E60</f>
        <v>0.167446665790461</v>
      </c>
      <c r="F64" s="10" t="n">
        <f aca="false">F59/F60</f>
        <v>0.151848629932516</v>
      </c>
      <c r="G64" s="10" t="n">
        <f aca="false">G59/G60</f>
        <v>0.14500812007588</v>
      </c>
      <c r="H64" s="5" t="s">
        <v>578</v>
      </c>
    </row>
    <row r="65" customFormat="false" ht="17.15" hidden="false" customHeight="false" outlineLevel="0" collapsed="false">
      <c r="A65" s="5" t="s">
        <v>579</v>
      </c>
      <c r="B65" s="0" t="s">
        <v>553</v>
      </c>
      <c r="C65" s="13" t="n">
        <f aca="false">a25_ibm/1000</f>
        <v>8.193</v>
      </c>
      <c r="D65" s="13" t="n">
        <f aca="false">a26_ibm/1000</f>
        <v>12.238</v>
      </c>
      <c r="E65" s="13" t="n">
        <f aca="false">D65*(1+g_ibm_A)</f>
        <v>13.70656</v>
      </c>
      <c r="F65" s="13" t="n">
        <f aca="false">E65*(1+g_ibm_A)</f>
        <v>15.3513472</v>
      </c>
      <c r="G65" s="13" t="n">
        <f aca="false">F65*(1+g_ibm_A)</f>
        <v>17.193508864</v>
      </c>
    </row>
    <row r="66" customFormat="false" ht="15" hidden="false" customHeight="false" outlineLevel="0" collapsed="false">
      <c r="A66" s="5" t="s">
        <v>481</v>
      </c>
      <c r="B66" s="0" t="s">
        <v>553</v>
      </c>
      <c r="C66" s="13" t="n">
        <f aca="false">C62+C65</f>
        <v>32.6673</v>
      </c>
      <c r="D66" s="13" t="n">
        <f aca="false">D62+D65</f>
        <v>44.4554</v>
      </c>
      <c r="E66" s="13" t="n">
        <f aca="false">E62+E65</f>
        <v>52.1873501046128</v>
      </c>
      <c r="F66" s="13" t="n">
        <f aca="false">F62+F65</f>
        <v>57.7849207058235</v>
      </c>
      <c r="G66" s="13" t="n">
        <f aca="false">G62+G65</f>
        <v>61.6288135671313</v>
      </c>
    </row>
    <row r="67" customFormat="false" ht="15" hidden="false" customHeight="false" outlineLevel="0" collapsed="false">
      <c r="A67" s="5" t="s">
        <v>580</v>
      </c>
      <c r="B67" s="0" t="s">
        <v>231</v>
      </c>
      <c r="D67" s="10" t="n">
        <f aca="false">D66/C66-1</f>
        <v>0.360853207948009</v>
      </c>
      <c r="E67" s="10" t="n">
        <f aca="false">E66/D66-1</f>
        <v>0.173926004593656</v>
      </c>
      <c r="F67" s="10" t="n">
        <f aca="false">F66/E66-1</f>
        <v>0.107259145942263</v>
      </c>
      <c r="G67" s="10" t="n">
        <f aca="false">G66/F66-1</f>
        <v>0.0665206911138054</v>
      </c>
    </row>
    <row r="68" customFormat="false" ht="17.15" hidden="false" customHeight="false" outlineLevel="0" collapsed="false">
      <c r="A68" s="1" t="s">
        <v>581</v>
      </c>
    </row>
    <row r="69" customFormat="false" ht="17.15" hidden="false" customHeight="false" outlineLevel="0" collapsed="false">
      <c r="A69" s="5" t="s">
        <v>486</v>
      </c>
      <c r="B69" s="0" t="s">
        <v>231</v>
      </c>
      <c r="C69" s="10" t="n">
        <f aca="false">a25_gp/a25_rev</f>
        <v>0.528298941142978</v>
      </c>
      <c r="D69" s="10" t="n">
        <f aca="false">a26_gp/a26_rev</f>
        <v>0.556944713128214</v>
      </c>
      <c r="E69" s="10" t="n">
        <f aca="false">$D69+gm_b*LN(E66/$D66)</f>
        <v>0.571853114385906</v>
      </c>
      <c r="F69" s="10" t="n">
        <f aca="false">$D69+gm_b*LN(F66/$D66)</f>
        <v>0.581325818513176</v>
      </c>
      <c r="G69" s="10" t="n">
        <f aca="false">$D69+gm_b*LN(G66/$D66)</f>
        <v>0.587313368775165</v>
      </c>
      <c r="H69" s="8" t="s">
        <v>582</v>
      </c>
    </row>
    <row r="70" customFormat="false" ht="15" hidden="false" customHeight="false" outlineLevel="0" collapsed="false">
      <c r="A70" s="5" t="s">
        <v>484</v>
      </c>
      <c r="B70" s="0" t="s">
        <v>553</v>
      </c>
      <c r="C70" s="13" t="n">
        <f aca="false">C66*C69</f>
        <v>17.2581</v>
      </c>
      <c r="D70" s="13" t="n">
        <f aca="false">D66*D69</f>
        <v>24.7592</v>
      </c>
      <c r="E70" s="13" t="n">
        <f aca="false">E66*E69</f>
        <v>29.8434986888705</v>
      </c>
      <c r="F70" s="13" t="n">
        <f aca="false">F66*F69</f>
        <v>33.5918663270318</v>
      </c>
      <c r="G70" s="13" t="n">
        <f aca="false">G66*G69</f>
        <v>36.1954261097285</v>
      </c>
    </row>
    <row r="71" customFormat="false" ht="17.15" hidden="false" customHeight="false" outlineLevel="0" collapsed="false">
      <c r="A71" s="5" t="s">
        <v>583</v>
      </c>
      <c r="B71" s="0" t="s">
        <v>553</v>
      </c>
      <c r="C71" s="13" t="n">
        <f aca="false">opex25/1000</f>
        <v>5.9565</v>
      </c>
      <c r="D71" s="13" t="n">
        <f aca="false">opex26/1000</f>
        <v>6.1935</v>
      </c>
      <c r="E71" s="13" t="n">
        <f aca="false">$D71*((1-phi)+phi*E66/$D66)</f>
        <v>6.34895102050316</v>
      </c>
      <c r="F71" s="13" t="n">
        <f aca="false">$D71*((1-phi)+phi*F66/$D66)</f>
        <v>6.46149029591539</v>
      </c>
      <c r="G71" s="13" t="n">
        <f aca="false">$D71*((1-phi)+phi*G66/$D66)</f>
        <v>6.53877184324956</v>
      </c>
      <c r="H71" s="8" t="s">
        <v>584</v>
      </c>
    </row>
    <row r="72" customFormat="false" ht="15" hidden="false" customHeight="false" outlineLevel="0" collapsed="false">
      <c r="A72" s="5" t="s">
        <v>490</v>
      </c>
      <c r="B72" s="0" t="s">
        <v>553</v>
      </c>
      <c r="C72" s="13" t="n">
        <f aca="false">C70-C71</f>
        <v>11.3016</v>
      </c>
      <c r="D72" s="13" t="n">
        <f aca="false">D70-D71</f>
        <v>18.5657</v>
      </c>
      <c r="E72" s="13" t="n">
        <f aca="false">E70-E71</f>
        <v>23.4945476683673</v>
      </c>
      <c r="F72" s="13" t="n">
        <f aca="false">F70-F71</f>
        <v>27.1303760311165</v>
      </c>
      <c r="G72" s="13" t="n">
        <f aca="false">G70-G71</f>
        <v>29.6566542664789</v>
      </c>
    </row>
    <row r="73" customFormat="false" ht="15" hidden="false" customHeight="false" outlineLevel="0" collapsed="false">
      <c r="A73" s="5" t="s">
        <v>557</v>
      </c>
      <c r="B73" s="0" t="s">
        <v>231</v>
      </c>
      <c r="C73" s="10" t="n">
        <f aca="false">C72/C66</f>
        <v>0.345960639538621</v>
      </c>
      <c r="D73" s="10" t="n">
        <f aca="false">D72/D66</f>
        <v>0.417625305362228</v>
      </c>
      <c r="E73" s="10" t="n">
        <f aca="false">E72/E66</f>
        <v>0.4501962184566</v>
      </c>
      <c r="F73" s="10" t="n">
        <f aca="false">F72/F66</f>
        <v>0.469506156618855</v>
      </c>
      <c r="G73" s="10" t="n">
        <f aca="false">G72/G66</f>
        <v>0.481214103435147</v>
      </c>
    </row>
    <row r="74" customFormat="false" ht="17.15" hidden="false" customHeight="false" outlineLevel="0" collapsed="false">
      <c r="A74" s="5" t="s">
        <v>498</v>
      </c>
      <c r="B74" s="0" t="s">
        <v>553</v>
      </c>
      <c r="C74" s="13" t="n">
        <f aca="false">a25_ni/1000</f>
        <v>9.6094</v>
      </c>
      <c r="D74" s="13" t="n">
        <f aca="false">a26_ni/1000</f>
        <v>16.3986734727826</v>
      </c>
      <c r="E74" s="13" t="n">
        <f aca="false">E72*nioi</f>
        <v>19.9766852803505</v>
      </c>
      <c r="F74" s="13" t="n">
        <f aca="false">F72*nioi</f>
        <v>23.0681173845659</v>
      </c>
      <c r="G74" s="13" t="n">
        <f aca="false">G72*nioi</f>
        <v>25.2161334243207</v>
      </c>
      <c r="H74" s="8" t="s">
        <v>585</v>
      </c>
    </row>
    <row r="75" customFormat="false" ht="15" hidden="false" customHeight="false" outlineLevel="0" collapsed="false">
      <c r="A75" s="5" t="s">
        <v>586</v>
      </c>
      <c r="B75" s="5" t="s">
        <v>267</v>
      </c>
      <c r="C75" s="16" t="n">
        <f aca="false">a25_shr</f>
        <v>388.572583906187</v>
      </c>
      <c r="D75" s="16" t="n">
        <f aca="false">a26_shr</f>
        <v>383.625</v>
      </c>
      <c r="E75" s="16" t="n">
        <f aca="false">sh_q4*(1-bb)^1</f>
        <v>377.685</v>
      </c>
      <c r="F75" s="16" t="n">
        <f aca="false">sh_q4*(1-bb)^2</f>
        <v>373.90815</v>
      </c>
      <c r="G75" s="16" t="n">
        <f aca="false">sh_q4*(1-bb)^3</f>
        <v>370.1690685</v>
      </c>
    </row>
    <row r="76" customFormat="false" ht="17.15" hidden="false" customHeight="false" outlineLevel="0" collapsed="false">
      <c r="A76" s="0" t="s">
        <v>587</v>
      </c>
      <c r="B76" s="0" t="s">
        <v>392</v>
      </c>
      <c r="C76" s="13" t="n">
        <f aca="false">a25_eps</f>
        <v>24.73</v>
      </c>
      <c r="D76" s="13" t="n">
        <f aca="false">a26_eps</f>
        <v>42.7466235849661</v>
      </c>
      <c r="E76" s="13" t="n">
        <f aca="false">E74*1000/E75</f>
        <v>52.8924507998742</v>
      </c>
      <c r="F76" s="13" t="n">
        <f aca="false">F74*1000/F75</f>
        <v>61.6946097178303</v>
      </c>
      <c r="G76" s="13" t="n">
        <f aca="false">G74*1000/G75</f>
        <v>68.1205848087242</v>
      </c>
    </row>
    <row r="77" customFormat="false" ht="17.15" hidden="false" customHeight="false" outlineLevel="0" collapsed="false">
      <c r="A77" s="1" t="s">
        <v>588</v>
      </c>
    </row>
    <row r="78" customFormat="false" ht="17.15" hidden="false" customHeight="false" outlineLevel="0" collapsed="false">
      <c r="A78" s="0" t="s">
        <v>514</v>
      </c>
      <c r="B78" s="0" t="s">
        <v>553</v>
      </c>
      <c r="C78" s="13" t="n">
        <f aca="false">a25_euv/1000</f>
        <v>11.6</v>
      </c>
      <c r="D78" s="13" t="n">
        <f aca="false">a26_euv/1000</f>
        <v>16.82</v>
      </c>
      <c r="E78" s="13" t="n">
        <f aca="false">E62*euv_sh_27</f>
        <v>21.1644345575371</v>
      </c>
      <c r="F78" s="13" t="n">
        <f aca="false">F62*euv_sh_28</f>
        <v>24.1871368983194</v>
      </c>
      <c r="G78" s="13" t="n">
        <f aca="false">G62*euv_sh_29</f>
        <v>25.7724767278162</v>
      </c>
    </row>
    <row r="79" customFormat="false" ht="17.15" hidden="false" customHeight="false" outlineLevel="0" collapsed="false">
      <c r="A79" s="5" t="s">
        <v>589</v>
      </c>
      <c r="B79" s="5" t="s">
        <v>362</v>
      </c>
      <c r="E79" s="20" t="n">
        <f aca="false">(E78*1000-hna_n_27*hna_asp)/lna_asp</f>
        <v>83.4747025342594</v>
      </c>
      <c r="F79" s="20" t="n">
        <f aca="false">(F78*1000-hna_n_28*hna_asp)/lna_asp</f>
        <v>90.8506222650881</v>
      </c>
      <c r="G79" s="20" t="n">
        <f aca="false">(G78*1000-hna_n_29*hna_asp)/lna_asp</f>
        <v>93.2839851264371</v>
      </c>
    </row>
    <row r="80" customFormat="false" ht="15" hidden="false" customHeight="false" outlineLevel="0" collapsed="false">
      <c r="A80" s="5" t="s">
        <v>590</v>
      </c>
      <c r="B80" s="0" t="s">
        <v>27</v>
      </c>
      <c r="C80" s="21" t="n">
        <f aca="false">C62*fx_25</f>
        <v>27.655959</v>
      </c>
      <c r="D80" s="21" t="n">
        <f aca="false">D62*fx_f</f>
        <v>37.372184</v>
      </c>
      <c r="E80" s="21" t="n">
        <f aca="false">E62*fx_f</f>
        <v>44.6377165213509</v>
      </c>
      <c r="F80" s="21" t="n">
        <f aca="false">F62*fx_f</f>
        <v>49.2229452667553</v>
      </c>
      <c r="G80" s="21" t="n">
        <f aca="false">G62*fx_f</f>
        <v>51.5449534556323</v>
      </c>
    </row>
    <row r="81" customFormat="false" ht="17.15" hidden="false" customHeight="false" outlineLevel="0" collapsed="false">
      <c r="A81" s="0" t="s">
        <v>591</v>
      </c>
      <c r="B81" s="0" t="s">
        <v>231</v>
      </c>
      <c r="C81" s="10" t="n">
        <f aca="false">C80/Units!C7</f>
        <v>0.236584333071578</v>
      </c>
      <c r="D81" s="10" t="n">
        <f aca="false">D80/Units!D7</f>
        <v>0.239324345993695</v>
      </c>
      <c r="E81" s="10" t="n">
        <f aca="false">E80/Units!E7</f>
        <v>0.231528866655754</v>
      </c>
      <c r="F81" s="10" t="n">
        <f aca="false">F80/Units!F7</f>
        <v>0.22722271800105</v>
      </c>
      <c r="G81" s="10" t="n">
        <f aca="false">G80/Units!G7</f>
        <v>0.225181841275517</v>
      </c>
      <c r="H81" s="5" t="s">
        <v>592</v>
      </c>
    </row>
    <row r="90" customFormat="false" ht="17.15" hidden="false" customHeight="false" outlineLevel="0" collapsed="false">
      <c r="A90" s="3" t="s">
        <v>867</v>
      </c>
    </row>
    <row r="91" customFormat="false" ht="17.15" hidden="false" customHeight="false" outlineLevel="0" collapsed="false">
      <c r="A91" s="6" t="s">
        <v>16</v>
      </c>
      <c r="B91" s="6" t="s">
        <v>17</v>
      </c>
      <c r="C91" s="14" t="s">
        <v>548</v>
      </c>
      <c r="D91" s="14" t="s">
        <v>549</v>
      </c>
      <c r="E91" s="14" t="s">
        <v>550</v>
      </c>
      <c r="F91" s="14" t="s">
        <v>551</v>
      </c>
      <c r="G91" s="14" t="s">
        <v>552</v>
      </c>
      <c r="H91" s="6" t="s">
        <v>534</v>
      </c>
    </row>
    <row r="92" customFormat="false" ht="17.15" hidden="false" customHeight="false" outlineLevel="0" collapsed="false">
      <c r="A92" s="1" t="s">
        <v>561</v>
      </c>
    </row>
    <row r="93" customFormat="false" ht="17.15" hidden="false" customHeight="false" outlineLevel="0" collapsed="false">
      <c r="A93" s="5" t="s">
        <v>562</v>
      </c>
      <c r="B93" s="0" t="s">
        <v>345</v>
      </c>
      <c r="C93" s="25" t="n">
        <f aca="false">Units!C8</f>
        <v>0.797493866282457</v>
      </c>
      <c r="D93" s="25" t="n">
        <f aca="false">Units!D8</f>
        <v>1</v>
      </c>
      <c r="E93" s="25" t="n">
        <f aca="false">Units!E8</f>
        <v>1.1581138943867</v>
      </c>
      <c r="F93" s="25" t="n">
        <f aca="false">Units!F8</f>
        <v>1.30398004155566</v>
      </c>
      <c r="G93" s="25" t="n">
        <f aca="false">Units!G8</f>
        <v>1.39118185447666</v>
      </c>
    </row>
    <row r="94" customFormat="false" ht="17.15" hidden="false" customHeight="false" outlineLevel="0" collapsed="false">
      <c r="A94" s="5" t="s">
        <v>563</v>
      </c>
      <c r="B94" s="0" t="s">
        <v>345</v>
      </c>
      <c r="C94" s="25" t="n">
        <f aca="false">Units!C9</f>
        <v>0.677840887672955</v>
      </c>
      <c r="D94" s="25" t="n">
        <f aca="false">Units!D9</f>
        <v>1</v>
      </c>
      <c r="E94" s="25" t="n">
        <f aca="false">Units!E9</f>
        <v>1.3452955652252</v>
      </c>
      <c r="F94" s="25" t="n">
        <f aca="false">Units!F9</f>
        <v>1.50769200272716</v>
      </c>
      <c r="G94" s="25" t="n">
        <f aca="false">Units!G9</f>
        <v>1.57386738820784</v>
      </c>
    </row>
    <row r="95" customFormat="false" ht="17.15" hidden="false" customHeight="false" outlineLevel="0" collapsed="false">
      <c r="A95" s="5" t="s">
        <v>564</v>
      </c>
      <c r="B95" s="0" t="s">
        <v>345</v>
      </c>
      <c r="D95" s="25" t="n">
        <f aca="false">(1+g_int_hi)^0</f>
        <v>1</v>
      </c>
      <c r="E95" s="25" t="n">
        <f aca="false">(1+g_int_hi)^1</f>
        <v>1.06</v>
      </c>
      <c r="F95" s="25" t="n">
        <f aca="false">(1+g_int_hi)^2</f>
        <v>1.1236</v>
      </c>
      <c r="G95" s="25" t="n">
        <f aca="false">(1+g_int_hi)^3</f>
        <v>1.191016</v>
      </c>
      <c r="H95" s="8" t="s">
        <v>565</v>
      </c>
    </row>
    <row r="96" customFormat="false" ht="17.15" hidden="false" customHeight="false" outlineLevel="0" collapsed="false">
      <c r="A96" s="1" t="s">
        <v>566</v>
      </c>
    </row>
    <row r="97" customFormat="false" ht="17.15" hidden="false" customHeight="false" outlineLevel="0" collapsed="false">
      <c r="A97" s="5" t="s">
        <v>567</v>
      </c>
      <c r="B97" s="0" t="s">
        <v>553</v>
      </c>
      <c r="D97" s="13" t="n">
        <f aca="false">a26_sys/1000*(1-cn_sh26)*log_sh26</f>
        <v>14.0838050971922</v>
      </c>
      <c r="E97" s="13" t="n">
        <f aca="false">$D97*E93*E95</f>
        <v>17.2892893910261</v>
      </c>
      <c r="F97" s="13" t="n">
        <f aca="false">$D97*F93*F95</f>
        <v>20.6349148493276</v>
      </c>
      <c r="G97" s="13" t="n">
        <f aca="false">$D97*G93*G95</f>
        <v>23.3357361951463</v>
      </c>
      <c r="H97" s="8" t="s">
        <v>568</v>
      </c>
    </row>
    <row r="98" customFormat="false" ht="15" hidden="false" customHeight="false" outlineLevel="0" collapsed="false">
      <c r="A98" s="5" t="s">
        <v>569</v>
      </c>
      <c r="B98" s="0" t="s">
        <v>553</v>
      </c>
      <c r="D98" s="13" t="n">
        <f aca="false">a26_sys/1000*(1-cn_sh26)*(1-log_sh26)</f>
        <v>11.6901149028078</v>
      </c>
      <c r="E98" s="13" t="n">
        <f aca="false">$D98*E94*E95</f>
        <v>16.6702593198636</v>
      </c>
      <c r="F98" s="13" t="n">
        <f aca="false">$D98*F94*F95</f>
        <v>19.8035542138157</v>
      </c>
      <c r="G98" s="13" t="n">
        <f aca="false">$D98*G94*G95</f>
        <v>21.9131348954784</v>
      </c>
    </row>
    <row r="99" customFormat="false" ht="17.15" hidden="false" customHeight="false" outlineLevel="0" collapsed="false">
      <c r="A99" s="5" t="s">
        <v>570</v>
      </c>
      <c r="B99" s="0" t="s">
        <v>553</v>
      </c>
      <c r="D99" s="13" t="n">
        <f aca="false">a26_sys/1000*cn_sh26</f>
        <v>6.44348</v>
      </c>
      <c r="E99" s="13" t="n">
        <f aca="false">D99*(1+g_cn_A)</f>
        <v>6.44348</v>
      </c>
      <c r="F99" s="13" t="n">
        <f aca="false">E99*(1+g_cn_A)</f>
        <v>6.44348</v>
      </c>
      <c r="G99" s="13" t="n">
        <f aca="false">F99*(1+g_cn_A)</f>
        <v>6.44348</v>
      </c>
      <c r="H99" s="8" t="s">
        <v>571</v>
      </c>
    </row>
    <row r="100" customFormat="false" ht="15" hidden="false" customHeight="false" outlineLevel="0" collapsed="false">
      <c r="A100" s="5" t="s">
        <v>572</v>
      </c>
      <c r="B100" s="0" t="s">
        <v>553</v>
      </c>
      <c r="D100" s="13" t="n">
        <f aca="false">D97+D98+D99</f>
        <v>32.2174</v>
      </c>
      <c r="E100" s="13" t="n">
        <f aca="false">E97+E98+E99</f>
        <v>40.4030287108896</v>
      </c>
      <c r="F100" s="13" t="n">
        <f aca="false">F97+F98+F99</f>
        <v>46.8819490631433</v>
      </c>
      <c r="G100" s="13" t="n">
        <f aca="false">G97+G98+G99</f>
        <v>51.6923510906247</v>
      </c>
    </row>
    <row r="101" customFormat="false" ht="17.15" hidden="false" customHeight="false" outlineLevel="0" collapsed="false">
      <c r="A101" s="5" t="s">
        <v>573</v>
      </c>
      <c r="B101" s="0" t="s">
        <v>553</v>
      </c>
      <c r="D101" s="13" t="n">
        <f aca="false">a26_sys/1000</f>
        <v>32.2174</v>
      </c>
      <c r="E101" s="13" t="n">
        <f aca="false">$D101*(1+cap_27)*E95</f>
        <v>44.3955772</v>
      </c>
      <c r="F101" s="13" t="n">
        <f aca="false">$D101*(1+cap_27)*(1+cap_28)*F95</f>
        <v>54.1182086068</v>
      </c>
      <c r="G101" s="13" t="n">
        <f aca="false">$D101*(1+cap_27)*(1+cap_28)*(1+cap_29)*G95</f>
        <v>63.1018312355288</v>
      </c>
      <c r="H101" s="5" t="s">
        <v>574</v>
      </c>
    </row>
    <row r="102" customFormat="false" ht="17.15" hidden="false" customHeight="false" outlineLevel="0" collapsed="false">
      <c r="A102" s="5" t="s">
        <v>575</v>
      </c>
      <c r="B102" s="0" t="s">
        <v>553</v>
      </c>
      <c r="C102" s="13" t="n">
        <f aca="false">a25_sys/1000</f>
        <v>24.4743</v>
      </c>
      <c r="D102" s="13" t="n">
        <f aca="false">a26_sys/1000</f>
        <v>32.2174</v>
      </c>
      <c r="E102" s="13" t="n">
        <f aca="false">MIN(E100,E101)</f>
        <v>40.4030287108896</v>
      </c>
      <c r="F102" s="13" t="n">
        <f aca="false">MIN(F100,F101)</f>
        <v>46.8819490631433</v>
      </c>
      <c r="G102" s="13" t="n">
        <f aca="false">MIN(G100,G101)</f>
        <v>51.6923510906247</v>
      </c>
    </row>
    <row r="103" customFormat="false" ht="17.15" hidden="false" customHeight="false" outlineLevel="0" collapsed="false">
      <c r="A103" s="5" t="s">
        <v>576</v>
      </c>
      <c r="E103" s="20" t="n">
        <f aca="false">IF(E100&gt;E101,1,0)</f>
        <v>0</v>
      </c>
      <c r="F103" s="20" t="n">
        <f aca="false">IF(F100&gt;F101,1,0)</f>
        <v>0</v>
      </c>
      <c r="G103" s="20" t="n">
        <f aca="false">IF(G100&gt;G101,1,0)</f>
        <v>0</v>
      </c>
    </row>
    <row r="104" customFormat="false" ht="15" hidden="false" customHeight="false" outlineLevel="0" collapsed="false">
      <c r="A104" s="5" t="s">
        <v>577</v>
      </c>
      <c r="B104" s="0" t="s">
        <v>231</v>
      </c>
      <c r="D104" s="10" t="n">
        <f aca="false">D99/D100</f>
        <v>0.2</v>
      </c>
      <c r="E104" s="10" t="n">
        <f aca="false">E99/E100</f>
        <v>0.159480123287473</v>
      </c>
      <c r="F104" s="10" t="n">
        <f aca="false">F99/F100</f>
        <v>0.137440531564111</v>
      </c>
      <c r="G104" s="10" t="n">
        <f aca="false">G99/G100</f>
        <v>0.124650550111439</v>
      </c>
      <c r="H104" s="5" t="s">
        <v>578</v>
      </c>
    </row>
    <row r="105" customFormat="false" ht="17.15" hidden="false" customHeight="false" outlineLevel="0" collapsed="false">
      <c r="A105" s="5" t="s">
        <v>579</v>
      </c>
      <c r="B105" s="0" t="s">
        <v>553</v>
      </c>
      <c r="C105" s="13" t="n">
        <f aca="false">a25_ibm/1000</f>
        <v>8.193</v>
      </c>
      <c r="D105" s="13" t="n">
        <f aca="false">a26_ibm/1000</f>
        <v>12.238</v>
      </c>
      <c r="E105" s="13" t="n">
        <f aca="false">D105*(1+g_ibm_A)</f>
        <v>13.70656</v>
      </c>
      <c r="F105" s="13" t="n">
        <f aca="false">E105*(1+g_ibm_A)</f>
        <v>15.3513472</v>
      </c>
      <c r="G105" s="13" t="n">
        <f aca="false">F105*(1+g_ibm_A)</f>
        <v>17.193508864</v>
      </c>
    </row>
    <row r="106" customFormat="false" ht="15" hidden="false" customHeight="false" outlineLevel="0" collapsed="false">
      <c r="A106" s="5" t="s">
        <v>481</v>
      </c>
      <c r="B106" s="0" t="s">
        <v>553</v>
      </c>
      <c r="C106" s="13" t="n">
        <f aca="false">C102+C105</f>
        <v>32.6673</v>
      </c>
      <c r="D106" s="13" t="n">
        <f aca="false">D102+D105</f>
        <v>44.4554</v>
      </c>
      <c r="E106" s="13" t="n">
        <f aca="false">E102+E105</f>
        <v>54.1095887108896</v>
      </c>
      <c r="F106" s="13" t="n">
        <f aca="false">F102+F105</f>
        <v>62.2332962631433</v>
      </c>
      <c r="G106" s="13" t="n">
        <f aca="false">G102+G105</f>
        <v>68.8858599546247</v>
      </c>
    </row>
    <row r="107" customFormat="false" ht="15" hidden="false" customHeight="false" outlineLevel="0" collapsed="false">
      <c r="A107" s="5" t="s">
        <v>580</v>
      </c>
      <c r="B107" s="0" t="s">
        <v>231</v>
      </c>
      <c r="D107" s="10" t="n">
        <f aca="false">D106/C106-1</f>
        <v>0.360853207948009</v>
      </c>
      <c r="E107" s="10" t="n">
        <f aca="false">E106/D106-1</f>
        <v>0.217165714646356</v>
      </c>
      <c r="F107" s="10" t="n">
        <f aca="false">F106/E106-1</f>
        <v>0.150134343021143</v>
      </c>
      <c r="G107" s="10" t="n">
        <f aca="false">G106/F106-1</f>
        <v>0.106897177089127</v>
      </c>
    </row>
    <row r="108" customFormat="false" ht="17.15" hidden="false" customHeight="false" outlineLevel="0" collapsed="false">
      <c r="A108" s="1" t="s">
        <v>581</v>
      </c>
    </row>
    <row r="109" customFormat="false" ht="17.15" hidden="false" customHeight="false" outlineLevel="0" collapsed="false">
      <c r="A109" s="5" t="s">
        <v>486</v>
      </c>
      <c r="B109" s="0" t="s">
        <v>231</v>
      </c>
      <c r="C109" s="10" t="n">
        <f aca="false">a25_gp/a25_rev</f>
        <v>0.528298941142978</v>
      </c>
      <c r="D109" s="10" t="n">
        <f aca="false">a26_gp/a26_rev</f>
        <v>0.556944713128214</v>
      </c>
      <c r="E109" s="10" t="n">
        <f aca="false">$D109+gm_b*LN(E106/$D106)</f>
        <v>0.575216030183094</v>
      </c>
      <c r="F109" s="10" t="n">
        <f aca="false">$D109+gm_b*LN(F106/$D106)</f>
        <v>0.588220836015326</v>
      </c>
      <c r="G109" s="10" t="n">
        <f aca="false">$D109+gm_b*LN(G106/$D106)</f>
        <v>0.59766314214095</v>
      </c>
      <c r="H109" s="8" t="s">
        <v>582</v>
      </c>
    </row>
    <row r="110" customFormat="false" ht="15" hidden="false" customHeight="false" outlineLevel="0" collapsed="false">
      <c r="A110" s="5" t="s">
        <v>484</v>
      </c>
      <c r="B110" s="0" t="s">
        <v>553</v>
      </c>
      <c r="C110" s="13" t="n">
        <f aca="false">C106*C109</f>
        <v>17.2581</v>
      </c>
      <c r="D110" s="13" t="n">
        <f aca="false">D106*D109</f>
        <v>24.7592</v>
      </c>
      <c r="E110" s="13" t="n">
        <f aca="false">E106*E109</f>
        <v>31.1247028131179</v>
      </c>
      <c r="F110" s="13" t="n">
        <f aca="false">F106*F109</f>
        <v>36.6069215558956</v>
      </c>
      <c r="G110" s="13" t="n">
        <f aca="false">G106*G109</f>
        <v>41.1705395095624</v>
      </c>
    </row>
    <row r="111" customFormat="false" ht="17.15" hidden="false" customHeight="false" outlineLevel="0" collapsed="false">
      <c r="A111" s="5" t="s">
        <v>583</v>
      </c>
      <c r="B111" s="0" t="s">
        <v>553</v>
      </c>
      <c r="C111" s="13" t="n">
        <f aca="false">opex25/1000</f>
        <v>5.9565</v>
      </c>
      <c r="D111" s="13" t="n">
        <f aca="false">opex26/1000</f>
        <v>6.1935</v>
      </c>
      <c r="E111" s="13" t="n">
        <f aca="false">$D111*((1-phi)+phi*E106/$D106)</f>
        <v>6.38759766836732</v>
      </c>
      <c r="F111" s="13" t="n">
        <f aca="false">$D111*((1-phi)+phi*F106/$D106)</f>
        <v>6.55092498064701</v>
      </c>
      <c r="G111" s="13" t="n">
        <f aca="false">$D111*((1-phi)+phi*G106/$D106)</f>
        <v>6.68467491446849</v>
      </c>
      <c r="H111" s="8" t="s">
        <v>584</v>
      </c>
    </row>
    <row r="112" customFormat="false" ht="15" hidden="false" customHeight="false" outlineLevel="0" collapsed="false">
      <c r="A112" s="5" t="s">
        <v>490</v>
      </c>
      <c r="B112" s="0" t="s">
        <v>553</v>
      </c>
      <c r="C112" s="13" t="n">
        <f aca="false">C110-C111</f>
        <v>11.3016</v>
      </c>
      <c r="D112" s="13" t="n">
        <f aca="false">D110-D111</f>
        <v>18.5657</v>
      </c>
      <c r="E112" s="13" t="n">
        <f aca="false">E110-E111</f>
        <v>24.7371051447506</v>
      </c>
      <c r="F112" s="13" t="n">
        <f aca="false">F110-F111</f>
        <v>30.0559965752486</v>
      </c>
      <c r="G112" s="13" t="n">
        <f aca="false">G110-G111</f>
        <v>34.4858645950939</v>
      </c>
    </row>
    <row r="113" customFormat="false" ht="15" hidden="false" customHeight="false" outlineLevel="0" collapsed="false">
      <c r="A113" s="5" t="s">
        <v>557</v>
      </c>
      <c r="B113" s="0" t="s">
        <v>231</v>
      </c>
      <c r="C113" s="10" t="n">
        <f aca="false">C112/C106</f>
        <v>0.345960639538621</v>
      </c>
      <c r="D113" s="10" t="n">
        <f aca="false">D112/D106</f>
        <v>0.417625305362228</v>
      </c>
      <c r="E113" s="10" t="n">
        <f aca="false">E112/E106</f>
        <v>0.45716675609793</v>
      </c>
      <c r="F113" s="10" t="n">
        <f aca="false">F112/F106</f>
        <v>0.482956847539647</v>
      </c>
      <c r="G113" s="10" t="n">
        <f aca="false">G112/G106</f>
        <v>0.500623271855935</v>
      </c>
    </row>
    <row r="114" customFormat="false" ht="17.15" hidden="false" customHeight="false" outlineLevel="0" collapsed="false">
      <c r="A114" s="5" t="s">
        <v>498</v>
      </c>
      <c r="B114" s="0" t="s">
        <v>553</v>
      </c>
      <c r="C114" s="13" t="n">
        <f aca="false">a25_ni/1000</f>
        <v>9.6094</v>
      </c>
      <c r="D114" s="13" t="n">
        <f aca="false">a26_ni/1000</f>
        <v>16.3986734727826</v>
      </c>
      <c r="E114" s="13" t="n">
        <f aca="false">E112*nioi</f>
        <v>21.0331933689005</v>
      </c>
      <c r="F114" s="13" t="n">
        <f aca="false">F112*nioi</f>
        <v>25.5556818052483</v>
      </c>
      <c r="G114" s="13" t="n">
        <f aca="false">G112*nioi</f>
        <v>29.3222612055015</v>
      </c>
      <c r="H114" s="8" t="s">
        <v>585</v>
      </c>
    </row>
    <row r="115" customFormat="false" ht="15" hidden="false" customHeight="false" outlineLevel="0" collapsed="false">
      <c r="A115" s="5" t="s">
        <v>586</v>
      </c>
      <c r="B115" s="5" t="s">
        <v>267</v>
      </c>
      <c r="C115" s="16" t="n">
        <f aca="false">a25_shr</f>
        <v>388.572583906187</v>
      </c>
      <c r="D115" s="16" t="n">
        <f aca="false">a26_shr</f>
        <v>383.625</v>
      </c>
      <c r="E115" s="16" t="n">
        <f aca="false">sh_q4*(1-bb)^1</f>
        <v>377.685</v>
      </c>
      <c r="F115" s="16" t="n">
        <f aca="false">sh_q4*(1-bb)^2</f>
        <v>373.90815</v>
      </c>
      <c r="G115" s="16" t="n">
        <f aca="false">sh_q4*(1-bb)^3</f>
        <v>370.1690685</v>
      </c>
    </row>
    <row r="116" customFormat="false" ht="17.15" hidden="false" customHeight="false" outlineLevel="0" collapsed="false">
      <c r="A116" s="0" t="s">
        <v>587</v>
      </c>
      <c r="B116" s="0" t="s">
        <v>392</v>
      </c>
      <c r="C116" s="13" t="n">
        <f aca="false">a25_eps</f>
        <v>24.73</v>
      </c>
      <c r="D116" s="13" t="n">
        <f aca="false">a26_eps</f>
        <v>42.7466235849661</v>
      </c>
      <c r="E116" s="13" t="n">
        <f aca="false">E114*1000/E115</f>
        <v>55.6897768481685</v>
      </c>
      <c r="F116" s="13" t="n">
        <f aca="false">F114*1000/F115</f>
        <v>68.3474853523473</v>
      </c>
      <c r="G116" s="13" t="n">
        <f aca="false">G114*1000/G115</f>
        <v>79.2131587988192</v>
      </c>
    </row>
    <row r="117" customFormat="false" ht="17.15" hidden="false" customHeight="false" outlineLevel="0" collapsed="false">
      <c r="A117" s="1" t="s">
        <v>588</v>
      </c>
    </row>
    <row r="118" customFormat="false" ht="17.15" hidden="false" customHeight="false" outlineLevel="0" collapsed="false">
      <c r="A118" s="0" t="s">
        <v>514</v>
      </c>
      <c r="B118" s="0" t="s">
        <v>553</v>
      </c>
      <c r="C118" s="13" t="n">
        <f aca="false">a25_euv/1000</f>
        <v>11.6</v>
      </c>
      <c r="D118" s="13" t="n">
        <f aca="false">a26_euv/1000</f>
        <v>16.82</v>
      </c>
      <c r="E118" s="13" t="n">
        <f aca="false">E102*euv_sh_27</f>
        <v>22.2216657909893</v>
      </c>
      <c r="F118" s="13" t="n">
        <f aca="false">F102*euv_sh_28</f>
        <v>26.7227109659917</v>
      </c>
      <c r="G118" s="13" t="n">
        <f aca="false">G102*euv_sh_29</f>
        <v>29.9815636325623</v>
      </c>
    </row>
    <row r="119" customFormat="false" ht="17.15" hidden="false" customHeight="false" outlineLevel="0" collapsed="false">
      <c r="A119" s="5" t="s">
        <v>589</v>
      </c>
      <c r="B119" s="5" t="s">
        <v>362</v>
      </c>
      <c r="E119" s="20" t="n">
        <f aca="false">(E118*1000-hna_n_27*hna_asp)/lna_asp</f>
        <v>88.2802990499513</v>
      </c>
      <c r="F119" s="20" t="n">
        <f aca="false">(F118*1000-hna_n_28*hna_asp)/lna_asp</f>
        <v>102.375958936326</v>
      </c>
      <c r="G119" s="20" t="n">
        <f aca="false">(G118*1000-hna_n_29*hna_asp)/lna_asp</f>
        <v>112.416198329829</v>
      </c>
    </row>
    <row r="120" customFormat="false" ht="15" hidden="false" customHeight="false" outlineLevel="0" collapsed="false">
      <c r="A120" s="5" t="s">
        <v>590</v>
      </c>
      <c r="B120" s="0" t="s">
        <v>27</v>
      </c>
      <c r="C120" s="21" t="n">
        <f aca="false">C102*fx_25</f>
        <v>27.655959</v>
      </c>
      <c r="D120" s="21" t="n">
        <f aca="false">D102*fx_f</f>
        <v>37.372184</v>
      </c>
      <c r="E120" s="21" t="n">
        <f aca="false">E102*fx_f</f>
        <v>46.8675133046319</v>
      </c>
      <c r="F120" s="21" t="n">
        <f aca="false">F102*fx_f</f>
        <v>54.3830609132462</v>
      </c>
      <c r="G120" s="21" t="n">
        <f aca="false">G102*fx_f</f>
        <v>59.9631272651246</v>
      </c>
    </row>
    <row r="121" customFormat="false" ht="17.15" hidden="false" customHeight="false" outlineLevel="0" collapsed="false">
      <c r="A121" s="0" t="s">
        <v>591</v>
      </c>
      <c r="B121" s="0" t="s">
        <v>231</v>
      </c>
      <c r="C121" s="10" t="n">
        <f aca="false">C120/Units!C7</f>
        <v>0.236584333071578</v>
      </c>
      <c r="D121" s="10" t="n">
        <f aca="false">D120/Units!D7</f>
        <v>0.239324345993695</v>
      </c>
      <c r="E121" s="10" t="n">
        <f aca="false">E120/Units!E7</f>
        <v>0.243094474449755</v>
      </c>
      <c r="F121" s="10" t="n">
        <f aca="false">F120/Units!F7</f>
        <v>0.251042818485515</v>
      </c>
      <c r="G121" s="10" t="n">
        <f aca="false">G120/Units!G7</f>
        <v>0.261957893081063</v>
      </c>
      <c r="H121" s="5" t="s">
        <v>592</v>
      </c>
    </row>
    <row r="130" customFormat="false" ht="17.15" hidden="false" customHeight="false" outlineLevel="0" collapsed="false">
      <c r="A130" s="3" t="s">
        <v>868</v>
      </c>
    </row>
    <row r="131" customFormat="false" ht="17.15" hidden="false" customHeight="false" outlineLevel="0" collapsed="false">
      <c r="A131" s="6" t="s">
        <v>16</v>
      </c>
      <c r="B131" s="6" t="s">
        <v>17</v>
      </c>
      <c r="C131" s="14" t="s">
        <v>548</v>
      </c>
      <c r="D131" s="14" t="s">
        <v>549</v>
      </c>
      <c r="E131" s="14" t="s">
        <v>550</v>
      </c>
      <c r="F131" s="14" t="s">
        <v>551</v>
      </c>
      <c r="G131" s="14" t="s">
        <v>552</v>
      </c>
      <c r="H131" s="6" t="s">
        <v>534</v>
      </c>
    </row>
    <row r="132" customFormat="false" ht="17.15" hidden="false" customHeight="false" outlineLevel="0" collapsed="false">
      <c r="A132" s="1" t="s">
        <v>561</v>
      </c>
    </row>
    <row r="133" customFormat="false" ht="17.15" hidden="false" customHeight="false" outlineLevel="0" collapsed="false">
      <c r="A133" s="5" t="s">
        <v>562</v>
      </c>
      <c r="B133" s="0" t="s">
        <v>345</v>
      </c>
      <c r="C133" s="25" t="n">
        <f aca="false">Units!C8</f>
        <v>0.797493866282457</v>
      </c>
      <c r="D133" s="25" t="n">
        <f aca="false">Units!D8</f>
        <v>1</v>
      </c>
      <c r="E133" s="25" t="n">
        <f aca="false">Units!E8</f>
        <v>1.1581138943867</v>
      </c>
      <c r="F133" s="25" t="n">
        <f aca="false">Units!F8</f>
        <v>1.30398004155566</v>
      </c>
      <c r="G133" s="25" t="n">
        <f aca="false">Units!G8</f>
        <v>1.39118185447666</v>
      </c>
    </row>
    <row r="134" customFormat="false" ht="17.15" hidden="false" customHeight="false" outlineLevel="0" collapsed="false">
      <c r="A134" s="5" t="s">
        <v>563</v>
      </c>
      <c r="B134" s="0" t="s">
        <v>345</v>
      </c>
      <c r="C134" s="25" t="n">
        <f aca="false">Units!C9</f>
        <v>0.677840887672955</v>
      </c>
      <c r="D134" s="25" t="n">
        <f aca="false">Units!D9</f>
        <v>1</v>
      </c>
      <c r="E134" s="25" t="n">
        <f aca="false">Units!E9</f>
        <v>1.3452955652252</v>
      </c>
      <c r="F134" s="25" t="n">
        <f aca="false">Units!F9</f>
        <v>1.50769200272716</v>
      </c>
      <c r="G134" s="25" t="n">
        <f aca="false">Units!G9</f>
        <v>1.57386738820784</v>
      </c>
    </row>
    <row r="135" customFormat="false" ht="17.15" hidden="false" customHeight="false" outlineLevel="0" collapsed="false">
      <c r="A135" s="5" t="s">
        <v>564</v>
      </c>
      <c r="B135" s="0" t="s">
        <v>345</v>
      </c>
      <c r="D135" s="25" t="n">
        <f aca="false">(1+g_int)^0</f>
        <v>1</v>
      </c>
      <c r="E135" s="25" t="n">
        <f aca="false">(1+g_int)^1</f>
        <v>1.03</v>
      </c>
      <c r="F135" s="25" t="n">
        <f aca="false">(1+g_int)^2</f>
        <v>1.0609</v>
      </c>
      <c r="G135" s="25" t="n">
        <f aca="false">(1+g_int)^3</f>
        <v>1.092727</v>
      </c>
      <c r="H135" s="8" t="s">
        <v>565</v>
      </c>
    </row>
    <row r="136" customFormat="false" ht="17.15" hidden="false" customHeight="false" outlineLevel="0" collapsed="false">
      <c r="A136" s="1" t="s">
        <v>566</v>
      </c>
    </row>
    <row r="137" customFormat="false" ht="17.15" hidden="false" customHeight="false" outlineLevel="0" collapsed="false">
      <c r="A137" s="5" t="s">
        <v>567</v>
      </c>
      <c r="B137" s="0" t="s">
        <v>553</v>
      </c>
      <c r="D137" s="13" t="n">
        <f aca="false">a26_sys/1000*(1-cn_sh26_lo)*log_sh26</f>
        <v>14.6119477883369</v>
      </c>
      <c r="E137" s="13" t="n">
        <f aca="false">$D137*E133*E135</f>
        <v>17.4299687504578</v>
      </c>
      <c r="F137" s="13" t="n">
        <f aca="false">$D137*F133*F135</f>
        <v>20.2140579007553</v>
      </c>
      <c r="G137" s="13" t="n">
        <f aca="false">$D137*G133*G135</f>
        <v>22.2128196371945</v>
      </c>
      <c r="H137" s="8" t="s">
        <v>568</v>
      </c>
    </row>
    <row r="138" customFormat="false" ht="15" hidden="false" customHeight="false" outlineLevel="0" collapsed="false">
      <c r="A138" s="5" t="s">
        <v>569</v>
      </c>
      <c r="B138" s="0" t="s">
        <v>553</v>
      </c>
      <c r="D138" s="13" t="n">
        <f aca="false">a26_sys/1000*(1-cn_sh26_lo)*(1-log_sh26)</f>
        <v>12.1284942116631</v>
      </c>
      <c r="E138" s="13" t="n">
        <f aca="false">$D138*E134*E135</f>
        <v>16.8059017600841</v>
      </c>
      <c r="F138" s="13" t="n">
        <f aca="false">$D138*F134*F135</f>
        <v>19.3996531820852</v>
      </c>
      <c r="G138" s="13" t="n">
        <f aca="false">$D138*G134*G135</f>
        <v>20.8586739688983</v>
      </c>
    </row>
    <row r="139" customFormat="false" ht="17.15" hidden="false" customHeight="false" outlineLevel="0" collapsed="false">
      <c r="A139" s="5" t="s">
        <v>570</v>
      </c>
      <c r="B139" s="0" t="s">
        <v>553</v>
      </c>
      <c r="D139" s="13" t="n">
        <f aca="false">a26_sys/1000*cn_sh26_lo</f>
        <v>5.476958</v>
      </c>
      <c r="E139" s="13" t="n">
        <f aca="false">D139*(1+g_cn_A)</f>
        <v>5.476958</v>
      </c>
      <c r="F139" s="13" t="n">
        <f aca="false">E139*(1+g_cn_A)</f>
        <v>5.476958</v>
      </c>
      <c r="G139" s="13" t="n">
        <f aca="false">F139*(1+g_cn_A)</f>
        <v>5.476958</v>
      </c>
      <c r="H139" s="8" t="s">
        <v>571</v>
      </c>
    </row>
    <row r="140" customFormat="false" ht="15" hidden="false" customHeight="false" outlineLevel="0" collapsed="false">
      <c r="A140" s="5" t="s">
        <v>572</v>
      </c>
      <c r="B140" s="0" t="s">
        <v>553</v>
      </c>
      <c r="D140" s="13" t="n">
        <f aca="false">D137+D138+D139</f>
        <v>32.2174</v>
      </c>
      <c r="E140" s="13" t="n">
        <f aca="false">E137+E138+E139</f>
        <v>39.7128285105419</v>
      </c>
      <c r="F140" s="13" t="n">
        <f aca="false">F137+F138+F139</f>
        <v>45.0906690828404</v>
      </c>
      <c r="G140" s="13" t="n">
        <f aca="false">G137+G138+G139</f>
        <v>48.5484516060928</v>
      </c>
    </row>
    <row r="141" customFormat="false" ht="17.15" hidden="false" customHeight="false" outlineLevel="0" collapsed="false">
      <c r="A141" s="5" t="s">
        <v>573</v>
      </c>
      <c r="B141" s="0" t="s">
        <v>553</v>
      </c>
      <c r="D141" s="13" t="n">
        <f aca="false">a26_sys/1000</f>
        <v>32.2174</v>
      </c>
      <c r="E141" s="13" t="n">
        <f aca="false">$D141*(1+cap_27)*E135</f>
        <v>43.1390986</v>
      </c>
      <c r="F141" s="13" t="n">
        <f aca="false">$D141*(1+cap_27)*(1+cap_28)*F135</f>
        <v>51.0982622917</v>
      </c>
      <c r="G141" s="13" t="n">
        <f aca="false">$D141*(1+cap_27)*(1+cap_28)*(1+cap_29)*G135</f>
        <v>57.8943311764961</v>
      </c>
      <c r="H141" s="5" t="s">
        <v>574</v>
      </c>
    </row>
    <row r="142" customFormat="false" ht="17.15" hidden="false" customHeight="false" outlineLevel="0" collapsed="false">
      <c r="A142" s="5" t="s">
        <v>575</v>
      </c>
      <c r="B142" s="0" t="s">
        <v>553</v>
      </c>
      <c r="C142" s="13" t="n">
        <f aca="false">a25_sys/1000</f>
        <v>24.4743</v>
      </c>
      <c r="D142" s="13" t="n">
        <f aca="false">a26_sys/1000</f>
        <v>32.2174</v>
      </c>
      <c r="E142" s="13" t="n">
        <f aca="false">MIN(E140,E141)</f>
        <v>39.7128285105419</v>
      </c>
      <c r="F142" s="13" t="n">
        <f aca="false">MIN(F140,F141)</f>
        <v>45.0906690828404</v>
      </c>
      <c r="G142" s="13" t="n">
        <f aca="false">MIN(G140,G141)</f>
        <v>48.5484516060928</v>
      </c>
    </row>
    <row r="143" customFormat="false" ht="17.15" hidden="false" customHeight="false" outlineLevel="0" collapsed="false">
      <c r="A143" s="5" t="s">
        <v>576</v>
      </c>
      <c r="E143" s="20" t="n">
        <f aca="false">IF(E140&gt;E141,1,0)</f>
        <v>0</v>
      </c>
      <c r="F143" s="20" t="n">
        <f aca="false">IF(F140&gt;F141,1,0)</f>
        <v>0</v>
      </c>
      <c r="G143" s="20" t="n">
        <f aca="false">IF(G140&gt;G141,1,0)</f>
        <v>0</v>
      </c>
    </row>
    <row r="144" customFormat="false" ht="15" hidden="false" customHeight="false" outlineLevel="0" collapsed="false">
      <c r="A144" s="5" t="s">
        <v>577</v>
      </c>
      <c r="B144" s="0" t="s">
        <v>231</v>
      </c>
      <c r="D144" s="10" t="n">
        <f aca="false">D139/D140</f>
        <v>0.17</v>
      </c>
      <c r="E144" s="10" t="n">
        <f aca="false">E139/E140</f>
        <v>0.137914074756627</v>
      </c>
      <c r="F144" s="10" t="n">
        <f aca="false">F139/F140</f>
        <v>0.121465440886179</v>
      </c>
      <c r="G144" s="10" t="n">
        <f aca="false">G139/G140</f>
        <v>0.112814267372281</v>
      </c>
      <c r="H144" s="5" t="s">
        <v>578</v>
      </c>
    </row>
    <row r="145" customFormat="false" ht="17.15" hidden="false" customHeight="false" outlineLevel="0" collapsed="false">
      <c r="A145" s="5" t="s">
        <v>579</v>
      </c>
      <c r="B145" s="0" t="s">
        <v>553</v>
      </c>
      <c r="C145" s="13" t="n">
        <f aca="false">a25_ibm/1000</f>
        <v>8.193</v>
      </c>
      <c r="D145" s="13" t="n">
        <f aca="false">a26_ibm/1000</f>
        <v>12.238</v>
      </c>
      <c r="E145" s="13" t="n">
        <f aca="false">D145*(1+g_ibm_A)</f>
        <v>13.70656</v>
      </c>
      <c r="F145" s="13" t="n">
        <f aca="false">E145*(1+g_ibm_A)</f>
        <v>15.3513472</v>
      </c>
      <c r="G145" s="13" t="n">
        <f aca="false">F145*(1+g_ibm_A)</f>
        <v>17.193508864</v>
      </c>
    </row>
    <row r="146" customFormat="false" ht="15" hidden="false" customHeight="false" outlineLevel="0" collapsed="false">
      <c r="A146" s="5" t="s">
        <v>481</v>
      </c>
      <c r="B146" s="0" t="s">
        <v>553</v>
      </c>
      <c r="C146" s="13" t="n">
        <f aca="false">C142+C145</f>
        <v>32.6673</v>
      </c>
      <c r="D146" s="13" t="n">
        <f aca="false">D142+D145</f>
        <v>44.4554</v>
      </c>
      <c r="E146" s="13" t="n">
        <f aca="false">E142+E145</f>
        <v>53.4193885105419</v>
      </c>
      <c r="F146" s="13" t="n">
        <f aca="false">F142+F145</f>
        <v>60.4420162828404</v>
      </c>
      <c r="G146" s="13" t="n">
        <f aca="false">G142+G145</f>
        <v>65.7419604700928</v>
      </c>
    </row>
    <row r="147" customFormat="false" ht="15" hidden="false" customHeight="false" outlineLevel="0" collapsed="false">
      <c r="A147" s="5" t="s">
        <v>580</v>
      </c>
      <c r="B147" s="0" t="s">
        <v>231</v>
      </c>
      <c r="D147" s="10" t="n">
        <f aca="false">D146/C146-1</f>
        <v>0.360853207948009</v>
      </c>
      <c r="E147" s="10" t="n">
        <f aca="false">E146/D146-1</f>
        <v>0.201640037218018</v>
      </c>
      <c r="F147" s="10" t="n">
        <f aca="false">F146/E146-1</f>
        <v>0.131462152003344</v>
      </c>
      <c r="G147" s="10" t="n">
        <f aca="false">G146/F146-1</f>
        <v>0.0876864226774148</v>
      </c>
    </row>
    <row r="148" customFormat="false" ht="17.15" hidden="false" customHeight="false" outlineLevel="0" collapsed="false">
      <c r="A148" s="1" t="s">
        <v>581</v>
      </c>
    </row>
    <row r="149" customFormat="false" ht="17.15" hidden="false" customHeight="false" outlineLevel="0" collapsed="false">
      <c r="A149" s="5" t="s">
        <v>486</v>
      </c>
      <c r="B149" s="0" t="s">
        <v>231</v>
      </c>
      <c r="C149" s="10" t="n">
        <f aca="false">a25_gp/a25_rev</f>
        <v>0.528298941142978</v>
      </c>
      <c r="D149" s="10" t="n">
        <f aca="false">a26_gp/a26_rev</f>
        <v>0.556944713128214</v>
      </c>
      <c r="E149" s="10" t="n">
        <f aca="false">$D149+gm_b*LN(E146/$D146)</f>
        <v>0.574022488368866</v>
      </c>
      <c r="F149" s="10" t="n">
        <f aca="false">$D149+gm_b*LN(F146/$D146)</f>
        <v>0.585505526912024</v>
      </c>
      <c r="G149" s="10" t="n">
        <f aca="false">$D149+gm_b*LN(G146/$D146)</f>
        <v>0.593320091328004</v>
      </c>
      <c r="H149" s="8" t="s">
        <v>582</v>
      </c>
    </row>
    <row r="150" customFormat="false" ht="15" hidden="false" customHeight="false" outlineLevel="0" collapsed="false">
      <c r="A150" s="5" t="s">
        <v>484</v>
      </c>
      <c r="B150" s="0" t="s">
        <v>553</v>
      </c>
      <c r="C150" s="13" t="n">
        <f aca="false">C146*C149</f>
        <v>17.2581</v>
      </c>
      <c r="D150" s="13" t="n">
        <f aca="false">D146*D149</f>
        <v>24.7592</v>
      </c>
      <c r="E150" s="13" t="n">
        <f aca="false">E146*E149</f>
        <v>30.6639303199645</v>
      </c>
      <c r="F150" s="13" t="n">
        <f aca="false">F146*F149</f>
        <v>35.3891345913096</v>
      </c>
      <c r="G150" s="13" t="n">
        <f aca="false">G146*G149</f>
        <v>39.0060259901975</v>
      </c>
    </row>
    <row r="151" customFormat="false" ht="17.15" hidden="false" customHeight="false" outlineLevel="0" collapsed="false">
      <c r="A151" s="5" t="s">
        <v>583</v>
      </c>
      <c r="B151" s="0" t="s">
        <v>553</v>
      </c>
      <c r="C151" s="13" t="n">
        <f aca="false">opex25/1000</f>
        <v>5.9565</v>
      </c>
      <c r="D151" s="13" t="n">
        <f aca="false">opex26/1000</f>
        <v>6.1935</v>
      </c>
      <c r="E151" s="13" t="n">
        <f aca="false">$D151*((1-phi)+phi*E146/$D146)</f>
        <v>6.37372117873096</v>
      </c>
      <c r="F151" s="13" t="n">
        <f aca="false">$D151*((1-phi)+phi*F146/$D146)</f>
        <v>6.51491125872984</v>
      </c>
      <c r="G151" s="13" t="n">
        <f aca="false">$D151*((1-phi)+phi*G146/$D146)</f>
        <v>6.62146674879005</v>
      </c>
      <c r="H151" s="8" t="s">
        <v>584</v>
      </c>
    </row>
    <row r="152" customFormat="false" ht="15" hidden="false" customHeight="false" outlineLevel="0" collapsed="false">
      <c r="A152" s="5" t="s">
        <v>490</v>
      </c>
      <c r="B152" s="0" t="s">
        <v>553</v>
      </c>
      <c r="C152" s="13" t="n">
        <f aca="false">C150-C151</f>
        <v>11.3016</v>
      </c>
      <c r="D152" s="13" t="n">
        <f aca="false">D150-D151</f>
        <v>18.5657</v>
      </c>
      <c r="E152" s="13" t="n">
        <f aca="false">E150-E151</f>
        <v>24.2902091412335</v>
      </c>
      <c r="F152" s="13" t="n">
        <f aca="false">F150-F151</f>
        <v>28.8742233325798</v>
      </c>
      <c r="G152" s="13" t="n">
        <f aca="false">G150-G151</f>
        <v>32.3845592414074</v>
      </c>
    </row>
    <row r="153" customFormat="false" ht="15" hidden="false" customHeight="false" outlineLevel="0" collapsed="false">
      <c r="A153" s="5" t="s">
        <v>557</v>
      </c>
      <c r="B153" s="0" t="s">
        <v>231</v>
      </c>
      <c r="C153" s="10" t="n">
        <f aca="false">C152/C146</f>
        <v>0.345960639538621</v>
      </c>
      <c r="D153" s="10" t="n">
        <f aca="false">D152/D146</f>
        <v>0.417625305362228</v>
      </c>
      <c r="E153" s="10" t="n">
        <f aca="false">E152/E146</f>
        <v>0.454707734747657</v>
      </c>
      <c r="F153" s="10" t="n">
        <f aca="false">F152/F146</f>
        <v>0.477717738558917</v>
      </c>
      <c r="G153" s="10" t="n">
        <f aca="false">G152/G146</f>
        <v>0.492601057374</v>
      </c>
    </row>
    <row r="154" customFormat="false" ht="17.15" hidden="false" customHeight="false" outlineLevel="0" collapsed="false">
      <c r="A154" s="5" t="s">
        <v>498</v>
      </c>
      <c r="B154" s="0" t="s">
        <v>553</v>
      </c>
      <c r="C154" s="13" t="n">
        <f aca="false">a25_ni/1000</f>
        <v>9.6094</v>
      </c>
      <c r="D154" s="13" t="n">
        <f aca="false">a26_ni/1000</f>
        <v>16.3986734727826</v>
      </c>
      <c r="E154" s="13" t="n">
        <f aca="false">E152*nioi</f>
        <v>20.6532115560425</v>
      </c>
      <c r="F154" s="13" t="n">
        <f aca="false">F152*nioi</f>
        <v>24.550856665613</v>
      </c>
      <c r="G154" s="13" t="n">
        <f aca="false">G152*nioi</f>
        <v>27.5355864279731</v>
      </c>
      <c r="H154" s="8" t="s">
        <v>585</v>
      </c>
    </row>
    <row r="155" customFormat="false" ht="15" hidden="false" customHeight="false" outlineLevel="0" collapsed="false">
      <c r="A155" s="5" t="s">
        <v>586</v>
      </c>
      <c r="B155" s="5" t="s">
        <v>267</v>
      </c>
      <c r="C155" s="16" t="n">
        <f aca="false">a25_shr</f>
        <v>388.572583906187</v>
      </c>
      <c r="D155" s="16" t="n">
        <f aca="false">a26_shr</f>
        <v>383.625</v>
      </c>
      <c r="E155" s="16" t="n">
        <f aca="false">sh_q4*(1-bb)^1</f>
        <v>377.685</v>
      </c>
      <c r="F155" s="16" t="n">
        <f aca="false">sh_q4*(1-bb)^2</f>
        <v>373.90815</v>
      </c>
      <c r="G155" s="16" t="n">
        <f aca="false">sh_q4*(1-bb)^3</f>
        <v>370.1690685</v>
      </c>
    </row>
    <row r="156" customFormat="false" ht="17.15" hidden="false" customHeight="false" outlineLevel="0" collapsed="false">
      <c r="A156" s="0" t="s">
        <v>587</v>
      </c>
      <c r="B156" s="0" t="s">
        <v>392</v>
      </c>
      <c r="C156" s="13" t="n">
        <f aca="false">a25_eps</f>
        <v>24.73</v>
      </c>
      <c r="D156" s="13" t="n">
        <f aca="false">a26_eps</f>
        <v>42.7466235849661</v>
      </c>
      <c r="E156" s="13" t="n">
        <f aca="false">E154*1000/E155</f>
        <v>54.6836955559327</v>
      </c>
      <c r="F156" s="13" t="n">
        <f aca="false">F154*1000/F155</f>
        <v>65.6601271344662</v>
      </c>
      <c r="G156" s="13" t="n">
        <f aca="false">G154*1000/G155</f>
        <v>74.3865135451561</v>
      </c>
    </row>
    <row r="157" customFormat="false" ht="17.15" hidden="false" customHeight="false" outlineLevel="0" collapsed="false">
      <c r="A157" s="1" t="s">
        <v>588</v>
      </c>
    </row>
    <row r="158" customFormat="false" ht="17.15" hidden="false" customHeight="false" outlineLevel="0" collapsed="false">
      <c r="A158" s="0" t="s">
        <v>514</v>
      </c>
      <c r="B158" s="0" t="s">
        <v>553</v>
      </c>
      <c r="C158" s="13" t="n">
        <f aca="false">a25_euv/1000</f>
        <v>11.6</v>
      </c>
      <c r="D158" s="13" t="n">
        <f aca="false">a26_euv/1000</f>
        <v>16.82</v>
      </c>
      <c r="E158" s="13" t="n">
        <f aca="false">E142*euv_sh_27</f>
        <v>21.842055680798</v>
      </c>
      <c r="F158" s="13" t="n">
        <f aca="false">F142*euv_sh_28</f>
        <v>25.7016813772191</v>
      </c>
      <c r="G158" s="13" t="n">
        <f aca="false">G142*euv_sh_29</f>
        <v>28.1581019315338</v>
      </c>
    </row>
    <row r="159" customFormat="false" ht="17.15" hidden="false" customHeight="false" outlineLevel="0" collapsed="false">
      <c r="A159" s="5" t="s">
        <v>589</v>
      </c>
      <c r="B159" s="5" t="s">
        <v>362</v>
      </c>
      <c r="E159" s="20" t="n">
        <f aca="false">(E158*1000-hna_n_27*hna_asp)/lna_asp</f>
        <v>86.554798549082</v>
      </c>
      <c r="F159" s="20" t="n">
        <f aca="false">(F158*1000-hna_n_28*hna_asp)/lna_asp</f>
        <v>97.7349153509957</v>
      </c>
      <c r="G159" s="20" t="n">
        <f aca="false">(G158*1000-hna_n_29*hna_asp)/lna_asp</f>
        <v>104.127736052426</v>
      </c>
    </row>
    <row r="160" customFormat="false" ht="15" hidden="false" customHeight="false" outlineLevel="0" collapsed="false">
      <c r="A160" s="5" t="s">
        <v>590</v>
      </c>
      <c r="B160" s="0" t="s">
        <v>27</v>
      </c>
      <c r="C160" s="21" t="n">
        <f aca="false">C142*fx_25</f>
        <v>27.655959</v>
      </c>
      <c r="D160" s="21" t="n">
        <f aca="false">D142*fx_f</f>
        <v>37.372184</v>
      </c>
      <c r="E160" s="21" t="n">
        <f aca="false">E142*fx_f</f>
        <v>46.0668810722286</v>
      </c>
      <c r="F160" s="21" t="n">
        <f aca="false">F142*fx_f</f>
        <v>52.3051761360949</v>
      </c>
      <c r="G160" s="21" t="n">
        <f aca="false">G142*fx_f</f>
        <v>56.3162038630676</v>
      </c>
    </row>
    <row r="161" customFormat="false" ht="17.15" hidden="false" customHeight="false" outlineLevel="0" collapsed="false">
      <c r="A161" s="0" t="s">
        <v>591</v>
      </c>
      <c r="B161" s="0" t="s">
        <v>231</v>
      </c>
      <c r="C161" s="10" t="n">
        <f aca="false">C160/Units!C7</f>
        <v>0.236584333071578</v>
      </c>
      <c r="D161" s="10" t="n">
        <f aca="false">D160/Units!D7</f>
        <v>0.239324345993695</v>
      </c>
      <c r="E161" s="10" t="n">
        <f aca="false">E160/Units!E7</f>
        <v>0.23894172005678</v>
      </c>
      <c r="F161" s="10" t="n">
        <f aca="false">F160/Units!F7</f>
        <v>0.241450896990395</v>
      </c>
      <c r="G161" s="10" t="n">
        <f aca="false">G160/Units!G7</f>
        <v>0.246025762550131</v>
      </c>
      <c r="H161" s="5" t="s">
        <v>592</v>
      </c>
    </row>
    <row r="170" customFormat="false" ht="17.15" hidden="false" customHeight="false" outlineLevel="0" collapsed="false">
      <c r="A170" s="3" t="s">
        <v>869</v>
      </c>
    </row>
    <row r="171" customFormat="false" ht="17.15" hidden="false" customHeight="false" outlineLevel="0" collapsed="false">
      <c r="A171" s="6" t="s">
        <v>16</v>
      </c>
      <c r="B171" s="6" t="s">
        <v>17</v>
      </c>
      <c r="C171" s="14" t="s">
        <v>548</v>
      </c>
      <c r="D171" s="14" t="s">
        <v>549</v>
      </c>
      <c r="E171" s="14" t="s">
        <v>550</v>
      </c>
      <c r="F171" s="14" t="s">
        <v>551</v>
      </c>
      <c r="G171" s="14" t="s">
        <v>552</v>
      </c>
      <c r="H171" s="6" t="s">
        <v>534</v>
      </c>
    </row>
    <row r="172" customFormat="false" ht="17.15" hidden="false" customHeight="false" outlineLevel="0" collapsed="false">
      <c r="A172" s="1" t="s">
        <v>561</v>
      </c>
    </row>
    <row r="173" customFormat="false" ht="17.15" hidden="false" customHeight="false" outlineLevel="0" collapsed="false">
      <c r="A173" s="5" t="s">
        <v>562</v>
      </c>
      <c r="B173" s="0" t="s">
        <v>345</v>
      </c>
      <c r="C173" s="25" t="n">
        <f aca="false">Units!C8</f>
        <v>0.797493866282457</v>
      </c>
      <c r="D173" s="25" t="n">
        <f aca="false">Units!D8</f>
        <v>1</v>
      </c>
      <c r="E173" s="25" t="n">
        <f aca="false">Units!E8</f>
        <v>1.1581138943867</v>
      </c>
      <c r="F173" s="25" t="n">
        <f aca="false">Units!F8</f>
        <v>1.30398004155566</v>
      </c>
      <c r="G173" s="25" t="n">
        <f aca="false">Units!G8</f>
        <v>1.39118185447666</v>
      </c>
    </row>
    <row r="174" customFormat="false" ht="17.15" hidden="false" customHeight="false" outlineLevel="0" collapsed="false">
      <c r="A174" s="5" t="s">
        <v>563</v>
      </c>
      <c r="B174" s="0" t="s">
        <v>345</v>
      </c>
      <c r="C174" s="25" t="n">
        <f aca="false">Units!C9</f>
        <v>0.677840887672955</v>
      </c>
      <c r="D174" s="25" t="n">
        <f aca="false">Units!D9</f>
        <v>1</v>
      </c>
      <c r="E174" s="25" t="n">
        <f aca="false">Units!E9</f>
        <v>1.3452955652252</v>
      </c>
      <c r="F174" s="25" t="n">
        <f aca="false">Units!F9</f>
        <v>1.50769200272716</v>
      </c>
      <c r="G174" s="25" t="n">
        <f aca="false">Units!G9</f>
        <v>1.57386738820784</v>
      </c>
    </row>
    <row r="175" customFormat="false" ht="17.15" hidden="false" customHeight="false" outlineLevel="0" collapsed="false">
      <c r="A175" s="5" t="s">
        <v>564</v>
      </c>
      <c r="B175" s="0" t="s">
        <v>345</v>
      </c>
      <c r="D175" s="25" t="n">
        <f aca="false">(1+g_int)^0</f>
        <v>1</v>
      </c>
      <c r="E175" s="25" t="n">
        <f aca="false">(1+g_int)^1</f>
        <v>1.03</v>
      </c>
      <c r="F175" s="25" t="n">
        <f aca="false">(1+g_int)^2</f>
        <v>1.0609</v>
      </c>
      <c r="G175" s="25" t="n">
        <f aca="false">(1+g_int)^3</f>
        <v>1.092727</v>
      </c>
      <c r="H175" s="8" t="s">
        <v>565</v>
      </c>
    </row>
    <row r="176" customFormat="false" ht="17.15" hidden="false" customHeight="false" outlineLevel="0" collapsed="false">
      <c r="A176" s="1" t="s">
        <v>566</v>
      </c>
    </row>
    <row r="177" customFormat="false" ht="17.15" hidden="false" customHeight="false" outlineLevel="0" collapsed="false">
      <c r="A177" s="5" t="s">
        <v>567</v>
      </c>
      <c r="B177" s="0" t="s">
        <v>553</v>
      </c>
      <c r="D177" s="13" t="n">
        <f aca="false">a26_sys/1000*(1-cn_sh26_hi)*log_sh26</f>
        <v>13.5556624060475</v>
      </c>
      <c r="E177" s="13" t="n">
        <f aca="false">$D177*E173*E175</f>
        <v>16.1699710094608</v>
      </c>
      <c r="F177" s="13" t="n">
        <f aca="false">$D177*F173*F175</f>
        <v>18.7528007031103</v>
      </c>
      <c r="G177" s="13" t="n">
        <f aca="false">$D177*G173*G175</f>
        <v>20.607073639325</v>
      </c>
      <c r="H177" s="8" t="s">
        <v>568</v>
      </c>
    </row>
    <row r="178" customFormat="false" ht="15" hidden="false" customHeight="false" outlineLevel="0" collapsed="false">
      <c r="A178" s="5" t="s">
        <v>569</v>
      </c>
      <c r="B178" s="0" t="s">
        <v>553</v>
      </c>
      <c r="D178" s="13" t="n">
        <f aca="false">a26_sys/1000*(1-cn_sh26_hi)*(1-log_sh26)</f>
        <v>11.2517355939525</v>
      </c>
      <c r="E178" s="13" t="n">
        <f aca="false">$D178*E174*E175</f>
        <v>15.5910172954997</v>
      </c>
      <c r="F178" s="13" t="n">
        <f aca="false">$D178*F174*F175</f>
        <v>17.9972686147055</v>
      </c>
      <c r="G178" s="13" t="n">
        <f aca="false">$D178*G174*G175</f>
        <v>19.3508180193393</v>
      </c>
    </row>
    <row r="179" customFormat="false" ht="17.15" hidden="false" customHeight="false" outlineLevel="0" collapsed="false">
      <c r="A179" s="5" t="s">
        <v>570</v>
      </c>
      <c r="B179" s="0" t="s">
        <v>553</v>
      </c>
      <c r="D179" s="13" t="n">
        <f aca="false">a26_sys/1000*cn_sh26_hi</f>
        <v>7.410002</v>
      </c>
      <c r="E179" s="13" t="n">
        <f aca="false">D179*(1+g_cn_A)</f>
        <v>7.410002</v>
      </c>
      <c r="F179" s="13" t="n">
        <f aca="false">E179*(1+g_cn_A)</f>
        <v>7.410002</v>
      </c>
      <c r="G179" s="13" t="n">
        <f aca="false">F179*(1+g_cn_A)</f>
        <v>7.410002</v>
      </c>
      <c r="H179" s="8" t="s">
        <v>571</v>
      </c>
    </row>
    <row r="180" customFormat="false" ht="15" hidden="false" customHeight="false" outlineLevel="0" collapsed="false">
      <c r="A180" s="5" t="s">
        <v>572</v>
      </c>
      <c r="B180" s="0" t="s">
        <v>553</v>
      </c>
      <c r="D180" s="13" t="n">
        <f aca="false">D177+D178+D179</f>
        <v>32.2174</v>
      </c>
      <c r="E180" s="13" t="n">
        <f aca="false">E177+E178+E179</f>
        <v>39.1709903049606</v>
      </c>
      <c r="F180" s="13" t="n">
        <f aca="false">F177+F178+F179</f>
        <v>44.1600713178158</v>
      </c>
      <c r="G180" s="13" t="n">
        <f aca="false">G177+G178+G179</f>
        <v>47.3678936586644</v>
      </c>
    </row>
    <row r="181" customFormat="false" ht="17.15" hidden="false" customHeight="false" outlineLevel="0" collapsed="false">
      <c r="A181" s="5" t="s">
        <v>573</v>
      </c>
      <c r="B181" s="0" t="s">
        <v>553</v>
      </c>
      <c r="D181" s="13" t="n">
        <f aca="false">a26_sys/1000</f>
        <v>32.2174</v>
      </c>
      <c r="E181" s="13" t="n">
        <f aca="false">$D181*(1+cap_27)*E175</f>
        <v>43.1390986</v>
      </c>
      <c r="F181" s="13" t="n">
        <f aca="false">$D181*(1+cap_27)*(1+cap_28)*F175</f>
        <v>51.0982622917</v>
      </c>
      <c r="G181" s="13" t="n">
        <f aca="false">$D181*(1+cap_27)*(1+cap_28)*(1+cap_29)*G175</f>
        <v>57.8943311764961</v>
      </c>
      <c r="H181" s="5" t="s">
        <v>574</v>
      </c>
    </row>
    <row r="182" customFormat="false" ht="17.15" hidden="false" customHeight="false" outlineLevel="0" collapsed="false">
      <c r="A182" s="5" t="s">
        <v>575</v>
      </c>
      <c r="B182" s="0" t="s">
        <v>553</v>
      </c>
      <c r="C182" s="13" t="n">
        <f aca="false">a25_sys/1000</f>
        <v>24.4743</v>
      </c>
      <c r="D182" s="13" t="n">
        <f aca="false">a26_sys/1000</f>
        <v>32.2174</v>
      </c>
      <c r="E182" s="13" t="n">
        <f aca="false">MIN(E180,E181)</f>
        <v>39.1709903049606</v>
      </c>
      <c r="F182" s="13" t="n">
        <f aca="false">MIN(F180,F181)</f>
        <v>44.1600713178158</v>
      </c>
      <c r="G182" s="13" t="n">
        <f aca="false">MIN(G180,G181)</f>
        <v>47.3678936586644</v>
      </c>
    </row>
    <row r="183" customFormat="false" ht="17.15" hidden="false" customHeight="false" outlineLevel="0" collapsed="false">
      <c r="A183" s="5" t="s">
        <v>576</v>
      </c>
      <c r="E183" s="20" t="n">
        <f aca="false">IF(E180&gt;E181,1,0)</f>
        <v>0</v>
      </c>
      <c r="F183" s="20" t="n">
        <f aca="false">IF(F180&gt;F181,1,0)</f>
        <v>0</v>
      </c>
      <c r="G183" s="20" t="n">
        <f aca="false">IF(G180&gt;G181,1,0)</f>
        <v>0</v>
      </c>
    </row>
    <row r="184" customFormat="false" ht="15" hidden="false" customHeight="false" outlineLevel="0" collapsed="false">
      <c r="A184" s="5" t="s">
        <v>577</v>
      </c>
      <c r="B184" s="0" t="s">
        <v>231</v>
      </c>
      <c r="D184" s="10" t="n">
        <f aca="false">D179/D180</f>
        <v>0.23</v>
      </c>
      <c r="E184" s="10" t="n">
        <f aca="false">E179/E180</f>
        <v>0.189170657731919</v>
      </c>
      <c r="F184" s="10" t="n">
        <f aca="false">F179/F180</f>
        <v>0.167798687340673</v>
      </c>
      <c r="G184" s="10" t="n">
        <f aca="false">G179/G180</f>
        <v>0.156435117284228</v>
      </c>
      <c r="H184" s="5" t="s">
        <v>578</v>
      </c>
    </row>
    <row r="185" customFormat="false" ht="17.15" hidden="false" customHeight="false" outlineLevel="0" collapsed="false">
      <c r="A185" s="5" t="s">
        <v>579</v>
      </c>
      <c r="B185" s="0" t="s">
        <v>553</v>
      </c>
      <c r="C185" s="13" t="n">
        <f aca="false">a25_ibm/1000</f>
        <v>8.193</v>
      </c>
      <c r="D185" s="13" t="n">
        <f aca="false">a26_ibm/1000</f>
        <v>12.238</v>
      </c>
      <c r="E185" s="13" t="n">
        <f aca="false">D185*(1+g_ibm_A)</f>
        <v>13.70656</v>
      </c>
      <c r="F185" s="13" t="n">
        <f aca="false">E185*(1+g_ibm_A)</f>
        <v>15.3513472</v>
      </c>
      <c r="G185" s="13" t="n">
        <f aca="false">F185*(1+g_ibm_A)</f>
        <v>17.193508864</v>
      </c>
    </row>
    <row r="186" customFormat="false" ht="15" hidden="false" customHeight="false" outlineLevel="0" collapsed="false">
      <c r="A186" s="5" t="s">
        <v>481</v>
      </c>
      <c r="B186" s="0" t="s">
        <v>553</v>
      </c>
      <c r="C186" s="13" t="n">
        <f aca="false">C182+C185</f>
        <v>32.6673</v>
      </c>
      <c r="D186" s="13" t="n">
        <f aca="false">D182+D185</f>
        <v>44.4554</v>
      </c>
      <c r="E186" s="13" t="n">
        <f aca="false">E182+E185</f>
        <v>52.8775503049606</v>
      </c>
      <c r="F186" s="13" t="n">
        <f aca="false">F182+F185</f>
        <v>59.5114185178158</v>
      </c>
      <c r="G186" s="13" t="n">
        <f aca="false">G182+G185</f>
        <v>64.5614025226644</v>
      </c>
    </row>
    <row r="187" customFormat="false" ht="15" hidden="false" customHeight="false" outlineLevel="0" collapsed="false">
      <c r="A187" s="5" t="s">
        <v>580</v>
      </c>
      <c r="B187" s="0" t="s">
        <v>231</v>
      </c>
      <c r="D187" s="10" t="n">
        <f aca="false">D186/C186-1</f>
        <v>0.360853207948009</v>
      </c>
      <c r="E187" s="10" t="n">
        <f aca="false">E186/D186-1</f>
        <v>0.189451682021994</v>
      </c>
      <c r="F187" s="10" t="n">
        <f aca="false">F186/E186-1</f>
        <v>0.125457177471267</v>
      </c>
      <c r="G187" s="10" t="n">
        <f aca="false">G186/F186-1</f>
        <v>0.0848573959522867</v>
      </c>
    </row>
    <row r="188" customFormat="false" ht="17.15" hidden="false" customHeight="false" outlineLevel="0" collapsed="false">
      <c r="A188" s="1" t="s">
        <v>581</v>
      </c>
    </row>
    <row r="189" customFormat="false" ht="17.15" hidden="false" customHeight="false" outlineLevel="0" collapsed="false">
      <c r="A189" s="5" t="s">
        <v>486</v>
      </c>
      <c r="B189" s="0" t="s">
        <v>231</v>
      </c>
      <c r="C189" s="10" t="n">
        <f aca="false">a25_gp/a25_rev</f>
        <v>0.528298941142978</v>
      </c>
      <c r="D189" s="10" t="n">
        <f aca="false">a26_gp/a26_rev</f>
        <v>0.556944713128214</v>
      </c>
      <c r="E189" s="10" t="n">
        <f aca="false">$D189+gm_b*LN(E186/$D186)</f>
        <v>0.573074649015463</v>
      </c>
      <c r="F189" s="10" t="n">
        <f aca="false">$D189+gm_b*LN(F186/$D186)</f>
        <v>0.58406294614384</v>
      </c>
      <c r="G189" s="10" t="n">
        <f aca="false">$D189+gm_b*LN(G186/$D186)</f>
        <v>0.591635379301456</v>
      </c>
      <c r="H189" s="8" t="s">
        <v>582</v>
      </c>
    </row>
    <row r="190" customFormat="false" ht="15" hidden="false" customHeight="false" outlineLevel="0" collapsed="false">
      <c r="A190" s="5" t="s">
        <v>484</v>
      </c>
      <c r="B190" s="0" t="s">
        <v>553</v>
      </c>
      <c r="C190" s="13" t="n">
        <f aca="false">C186*C189</f>
        <v>17.2581</v>
      </c>
      <c r="D190" s="13" t="n">
        <f aca="false">D186*D189</f>
        <v>24.7592</v>
      </c>
      <c r="E190" s="13" t="n">
        <f aca="false">E186*E189</f>
        <v>30.3027835818128</v>
      </c>
      <c r="F190" s="13" t="n">
        <f aca="false">F186*F189</f>
        <v>34.7584144287146</v>
      </c>
      <c r="G190" s="13" t="n">
        <f aca="false">G186*G189</f>
        <v>38.1968098697305</v>
      </c>
    </row>
    <row r="191" customFormat="false" ht="17.15" hidden="false" customHeight="false" outlineLevel="0" collapsed="false">
      <c r="A191" s="5" t="s">
        <v>583</v>
      </c>
      <c r="B191" s="0" t="s">
        <v>553</v>
      </c>
      <c r="C191" s="13" t="n">
        <f aca="false">opex25/1000</f>
        <v>5.9565</v>
      </c>
      <c r="D191" s="13" t="n">
        <f aca="false">opex26/1000</f>
        <v>6.1935</v>
      </c>
      <c r="E191" s="13" t="n">
        <f aca="false">$D191*((1-phi)+phi*E186/$D186)</f>
        <v>6.36282751013952</v>
      </c>
      <c r="F191" s="13" t="n">
        <f aca="false">$D191*((1-phi)+phi*F186/$D186)</f>
        <v>6.49620157096753</v>
      </c>
      <c r="G191" s="13" t="n">
        <f aca="false">$D191*((1-phi)+phi*G186/$D186)</f>
        <v>6.59773160627001</v>
      </c>
      <c r="H191" s="8" t="s">
        <v>584</v>
      </c>
    </row>
    <row r="192" customFormat="false" ht="15" hidden="false" customHeight="false" outlineLevel="0" collapsed="false">
      <c r="A192" s="5" t="s">
        <v>490</v>
      </c>
      <c r="B192" s="0" t="s">
        <v>553</v>
      </c>
      <c r="C192" s="13" t="n">
        <f aca="false">C190-C191</f>
        <v>11.3016</v>
      </c>
      <c r="D192" s="13" t="n">
        <f aca="false">D190-D191</f>
        <v>18.5657</v>
      </c>
      <c r="E192" s="13" t="n">
        <f aca="false">E190-E191</f>
        <v>23.9399560716733</v>
      </c>
      <c r="F192" s="13" t="n">
        <f aca="false">F190-F191</f>
        <v>28.2622128577471</v>
      </c>
      <c r="G192" s="13" t="n">
        <f aca="false">G190-G191</f>
        <v>31.5990782634605</v>
      </c>
    </row>
    <row r="193" customFormat="false" ht="15" hidden="false" customHeight="false" outlineLevel="0" collapsed="false">
      <c r="A193" s="5" t="s">
        <v>557</v>
      </c>
      <c r="B193" s="0" t="s">
        <v>231</v>
      </c>
      <c r="C193" s="10" t="n">
        <f aca="false">C192/C186</f>
        <v>0.345960639538621</v>
      </c>
      <c r="D193" s="10" t="n">
        <f aca="false">D192/D186</f>
        <v>0.417625305362228</v>
      </c>
      <c r="E193" s="10" t="n">
        <f aca="false">E192/E186</f>
        <v>0.452743289611648</v>
      </c>
      <c r="F193" s="10" t="n">
        <f aca="false">F192/F186</f>
        <v>0.474904036261315</v>
      </c>
      <c r="G193" s="10" t="n">
        <f aca="false">G192/G186</f>
        <v>0.48944225231736</v>
      </c>
    </row>
    <row r="194" customFormat="false" ht="17.15" hidden="false" customHeight="false" outlineLevel="0" collapsed="false">
      <c r="A194" s="5" t="s">
        <v>498</v>
      </c>
      <c r="B194" s="0" t="s">
        <v>553</v>
      </c>
      <c r="C194" s="13" t="n">
        <f aca="false">a25_ni/1000</f>
        <v>9.6094</v>
      </c>
      <c r="D194" s="13" t="n">
        <f aca="false">a26_ni/1000</f>
        <v>16.3986734727826</v>
      </c>
      <c r="E194" s="13" t="n">
        <f aca="false">E192*nioi</f>
        <v>20.3554022328818</v>
      </c>
      <c r="F194" s="13" t="n">
        <f aca="false">F192*nioi</f>
        <v>24.030483138249</v>
      </c>
      <c r="G194" s="13" t="n">
        <f aca="false">G192*nioi</f>
        <v>26.8677163113982</v>
      </c>
      <c r="H194" s="8" t="s">
        <v>585</v>
      </c>
    </row>
    <row r="195" customFormat="false" ht="15" hidden="false" customHeight="false" outlineLevel="0" collapsed="false">
      <c r="A195" s="5" t="s">
        <v>586</v>
      </c>
      <c r="B195" s="5" t="s">
        <v>267</v>
      </c>
      <c r="C195" s="16" t="n">
        <f aca="false">a25_shr</f>
        <v>388.572583906187</v>
      </c>
      <c r="D195" s="16" t="n">
        <f aca="false">a26_shr</f>
        <v>383.625</v>
      </c>
      <c r="E195" s="16" t="n">
        <f aca="false">sh_q4*(1-bb)^1</f>
        <v>377.685</v>
      </c>
      <c r="F195" s="16" t="n">
        <f aca="false">sh_q4*(1-bb)^2</f>
        <v>373.90815</v>
      </c>
      <c r="G195" s="16" t="n">
        <f aca="false">sh_q4*(1-bb)^3</f>
        <v>370.1690685</v>
      </c>
    </row>
    <row r="196" customFormat="false" ht="17.15" hidden="false" customHeight="false" outlineLevel="0" collapsed="false">
      <c r="A196" s="0" t="s">
        <v>587</v>
      </c>
      <c r="B196" s="0" t="s">
        <v>392</v>
      </c>
      <c r="C196" s="13" t="n">
        <f aca="false">a25_eps</f>
        <v>24.73</v>
      </c>
      <c r="D196" s="13" t="n">
        <f aca="false">a26_eps</f>
        <v>42.7466235849661</v>
      </c>
      <c r="E196" s="13" t="n">
        <f aca="false">E194*1000/E195</f>
        <v>53.8951831099509</v>
      </c>
      <c r="F196" s="13" t="n">
        <f aca="false">F194*1000/F195</f>
        <v>64.2684122778522</v>
      </c>
      <c r="G196" s="13" t="n">
        <f aca="false">G194*1000/G195</f>
        <v>72.5822836042774</v>
      </c>
    </row>
    <row r="197" customFormat="false" ht="17.15" hidden="false" customHeight="false" outlineLevel="0" collapsed="false">
      <c r="A197" s="1" t="s">
        <v>588</v>
      </c>
    </row>
    <row r="198" customFormat="false" ht="17.15" hidden="false" customHeight="false" outlineLevel="0" collapsed="false">
      <c r="A198" s="0" t="s">
        <v>514</v>
      </c>
      <c r="B198" s="0" t="s">
        <v>553</v>
      </c>
      <c r="C198" s="13" t="n">
        <f aca="false">a25_euv/1000</f>
        <v>11.6</v>
      </c>
      <c r="D198" s="13" t="n">
        <f aca="false">a26_euv/1000</f>
        <v>16.82</v>
      </c>
      <c r="E198" s="13" t="n">
        <f aca="false">E182*euv_sh_27</f>
        <v>21.5440446677283</v>
      </c>
      <c r="F198" s="13" t="n">
        <f aca="false">F182*euv_sh_28</f>
        <v>25.171240651155</v>
      </c>
      <c r="G198" s="13" t="n">
        <f aca="false">G182*euv_sh_29</f>
        <v>27.4733783220253</v>
      </c>
    </row>
    <row r="199" customFormat="false" ht="17.15" hidden="false" customHeight="false" outlineLevel="0" collapsed="false">
      <c r="A199" s="5" t="s">
        <v>589</v>
      </c>
      <c r="B199" s="5" t="s">
        <v>362</v>
      </c>
      <c r="E199" s="20" t="n">
        <f aca="false">(E198*1000-hna_n_27*hna_asp)/lna_asp</f>
        <v>85.2002030351287</v>
      </c>
      <c r="F199" s="20" t="n">
        <f aca="false">(F198*1000-hna_n_28*hna_asp)/lna_asp</f>
        <v>95.3238211416138</v>
      </c>
      <c r="G199" s="20" t="n">
        <f aca="false">(G198*1000-hna_n_29*hna_asp)/lna_asp</f>
        <v>101.015356009206</v>
      </c>
    </row>
    <row r="200" customFormat="false" ht="15" hidden="false" customHeight="false" outlineLevel="0" collapsed="false">
      <c r="A200" s="5" t="s">
        <v>590</v>
      </c>
      <c r="B200" s="0" t="s">
        <v>27</v>
      </c>
      <c r="C200" s="21" t="n">
        <f aca="false">C182*fx_25</f>
        <v>27.655959</v>
      </c>
      <c r="D200" s="21" t="n">
        <f aca="false">D182*fx_f</f>
        <v>37.372184</v>
      </c>
      <c r="E200" s="21" t="n">
        <f aca="false">E182*fx_f</f>
        <v>45.4383487537542</v>
      </c>
      <c r="F200" s="21" t="n">
        <f aca="false">F182*fx_f</f>
        <v>51.2256827286664</v>
      </c>
      <c r="G200" s="21" t="n">
        <f aca="false">G182*fx_f</f>
        <v>54.9467566440507</v>
      </c>
    </row>
    <row r="201" customFormat="false" ht="17.15" hidden="false" customHeight="false" outlineLevel="0" collapsed="false">
      <c r="A201" s="0" t="s">
        <v>591</v>
      </c>
      <c r="B201" s="0" t="s">
        <v>231</v>
      </c>
      <c r="C201" s="10" t="n">
        <f aca="false">C200/Units!C7</f>
        <v>0.236584333071578</v>
      </c>
      <c r="D201" s="10" t="n">
        <f aca="false">D200/Units!D7</f>
        <v>0.239324345993695</v>
      </c>
      <c r="E201" s="10" t="n">
        <f aca="false">E200/Units!E7</f>
        <v>0.235681621048729</v>
      </c>
      <c r="F201" s="10" t="n">
        <f aca="false">F200/Units!F7</f>
        <v>0.236467744828921</v>
      </c>
      <c r="G201" s="10" t="n">
        <f aca="false">G200/Units!G7</f>
        <v>0.240043127478527</v>
      </c>
      <c r="H201" s="5" t="s">
        <v>592</v>
      </c>
    </row>
    <row r="210" customFormat="false" ht="17.15" hidden="false" customHeight="false" outlineLevel="0" collapsed="false">
      <c r="A210" s="3" t="s">
        <v>870</v>
      </c>
    </row>
    <row r="211" customFormat="false" ht="17.15" hidden="false" customHeight="false" outlineLevel="0" collapsed="false">
      <c r="A211" s="6" t="s">
        <v>16</v>
      </c>
      <c r="B211" s="6" t="s">
        <v>17</v>
      </c>
      <c r="C211" s="14" t="s">
        <v>548</v>
      </c>
      <c r="D211" s="14" t="s">
        <v>549</v>
      </c>
      <c r="E211" s="14" t="s">
        <v>550</v>
      </c>
      <c r="F211" s="14" t="s">
        <v>551</v>
      </c>
      <c r="G211" s="14" t="s">
        <v>552</v>
      </c>
      <c r="H211" s="6" t="s">
        <v>534</v>
      </c>
    </row>
    <row r="212" customFormat="false" ht="17.15" hidden="false" customHeight="false" outlineLevel="0" collapsed="false">
      <c r="A212" s="1" t="s">
        <v>561</v>
      </c>
    </row>
    <row r="213" customFormat="false" ht="17.15" hidden="false" customHeight="false" outlineLevel="0" collapsed="false">
      <c r="A213" s="5" t="s">
        <v>562</v>
      </c>
      <c r="B213" s="0" t="s">
        <v>345</v>
      </c>
      <c r="C213" s="25" t="n">
        <f aca="false">Units!C8</f>
        <v>0.797493866282457</v>
      </c>
      <c r="D213" s="25" t="n">
        <f aca="false">Units!D8</f>
        <v>1</v>
      </c>
      <c r="E213" s="25" t="n">
        <f aca="false">Units!E8</f>
        <v>1.1581138943867</v>
      </c>
      <c r="F213" s="25" t="n">
        <f aca="false">Units!F8</f>
        <v>1.30398004155566</v>
      </c>
      <c r="G213" s="25" t="n">
        <f aca="false">Units!G8</f>
        <v>1.39118185447666</v>
      </c>
    </row>
    <row r="214" customFormat="false" ht="17.15" hidden="false" customHeight="false" outlineLevel="0" collapsed="false">
      <c r="A214" s="5" t="s">
        <v>563</v>
      </c>
      <c r="B214" s="0" t="s">
        <v>345</v>
      </c>
      <c r="C214" s="25" t="n">
        <f aca="false">Units!C9</f>
        <v>0.677840887672955</v>
      </c>
      <c r="D214" s="25" t="n">
        <f aca="false">Units!D9</f>
        <v>1</v>
      </c>
      <c r="E214" s="25" t="n">
        <f aca="false">Units!E9</f>
        <v>1.3452955652252</v>
      </c>
      <c r="F214" s="25" t="n">
        <f aca="false">Units!F9</f>
        <v>1.50769200272716</v>
      </c>
      <c r="G214" s="25" t="n">
        <f aca="false">Units!G9</f>
        <v>1.57386738820784</v>
      </c>
    </row>
    <row r="215" customFormat="false" ht="17.15" hidden="false" customHeight="false" outlineLevel="0" collapsed="false">
      <c r="A215" s="5" t="s">
        <v>564</v>
      </c>
      <c r="B215" s="0" t="s">
        <v>345</v>
      </c>
      <c r="D215" s="25" t="n">
        <f aca="false">(1+g_int)^0</f>
        <v>1</v>
      </c>
      <c r="E215" s="25" t="n">
        <f aca="false">(1+g_int)^1</f>
        <v>1.03</v>
      </c>
      <c r="F215" s="25" t="n">
        <f aca="false">(1+g_int)^2</f>
        <v>1.0609</v>
      </c>
      <c r="G215" s="25" t="n">
        <f aca="false">(1+g_int)^3</f>
        <v>1.092727</v>
      </c>
      <c r="H215" s="8" t="s">
        <v>565</v>
      </c>
    </row>
    <row r="216" customFormat="false" ht="17.15" hidden="false" customHeight="false" outlineLevel="0" collapsed="false">
      <c r="A216" s="1" t="s">
        <v>566</v>
      </c>
    </row>
    <row r="217" customFormat="false" ht="17.15" hidden="false" customHeight="false" outlineLevel="0" collapsed="false">
      <c r="A217" s="5" t="s">
        <v>567</v>
      </c>
      <c r="B217" s="0" t="s">
        <v>553</v>
      </c>
      <c r="D217" s="13" t="n">
        <f aca="false">a26_sys/1000*(1-cn_sh26)*log_sh26</f>
        <v>14.0838050971922</v>
      </c>
      <c r="E217" s="13" t="n">
        <f aca="false">$D217*E213*E215</f>
        <v>16.7999698799593</v>
      </c>
      <c r="F217" s="13" t="n">
        <f aca="false">$D217*F213*F215</f>
        <v>19.4834293019328</v>
      </c>
      <c r="G217" s="13" t="n">
        <f aca="false">$D217*G213*G215</f>
        <v>21.4099466382598</v>
      </c>
      <c r="H217" s="8" t="s">
        <v>568</v>
      </c>
    </row>
    <row r="218" customFormat="false" ht="15" hidden="false" customHeight="false" outlineLevel="0" collapsed="false">
      <c r="A218" s="5" t="s">
        <v>569</v>
      </c>
      <c r="B218" s="0" t="s">
        <v>553</v>
      </c>
      <c r="D218" s="13" t="n">
        <f aca="false">a26_sys/1000*(1-cn_sh26)*(1-log_sh26)</f>
        <v>11.6901149028078</v>
      </c>
      <c r="E218" s="13" t="n">
        <f aca="false">$D218*E214*E215</f>
        <v>16.1984595277919</v>
      </c>
      <c r="F218" s="13" t="n">
        <f aca="false">$D218*F214*F215</f>
        <v>18.6984608983954</v>
      </c>
      <c r="G218" s="13" t="n">
        <f aca="false">$D218*G214*G215</f>
        <v>20.1047459941188</v>
      </c>
    </row>
    <row r="219" customFormat="false" ht="17.15" hidden="false" customHeight="false" outlineLevel="0" collapsed="false">
      <c r="A219" s="5" t="s">
        <v>570</v>
      </c>
      <c r="B219" s="0" t="s">
        <v>553</v>
      </c>
      <c r="D219" s="13" t="n">
        <f aca="false">a26_sys/1000*cn_sh26</f>
        <v>6.44348</v>
      </c>
      <c r="E219" s="13" t="n">
        <f aca="false">D219*(1+g_cn_A_lo)</f>
        <v>5.799132</v>
      </c>
      <c r="F219" s="13" t="n">
        <f aca="false">E219*(1+g_cn_A_lo)</f>
        <v>5.2192188</v>
      </c>
      <c r="G219" s="13" t="n">
        <f aca="false">F219*(1+g_cn_A_lo)</f>
        <v>4.69729692</v>
      </c>
      <c r="H219" s="8" t="s">
        <v>571</v>
      </c>
    </row>
    <row r="220" customFormat="false" ht="15" hidden="false" customHeight="false" outlineLevel="0" collapsed="false">
      <c r="A220" s="5" t="s">
        <v>572</v>
      </c>
      <c r="B220" s="0" t="s">
        <v>553</v>
      </c>
      <c r="D220" s="13" t="n">
        <f aca="false">D217+D218+D219</f>
        <v>32.2174</v>
      </c>
      <c r="E220" s="13" t="n">
        <f aca="false">E217+E218+E219</f>
        <v>38.7975614077512</v>
      </c>
      <c r="F220" s="13" t="n">
        <f aca="false">F217+F218+F219</f>
        <v>43.4011090003281</v>
      </c>
      <c r="G220" s="13" t="n">
        <f aca="false">G217+G218+G219</f>
        <v>46.2119895523786</v>
      </c>
    </row>
    <row r="221" customFormat="false" ht="17.15" hidden="false" customHeight="false" outlineLevel="0" collapsed="false">
      <c r="A221" s="5" t="s">
        <v>573</v>
      </c>
      <c r="B221" s="0" t="s">
        <v>553</v>
      </c>
      <c r="D221" s="13" t="n">
        <f aca="false">a26_sys/1000</f>
        <v>32.2174</v>
      </c>
      <c r="E221" s="13" t="n">
        <f aca="false">$D221*(1+cap_27)*E215</f>
        <v>43.1390986</v>
      </c>
      <c r="F221" s="13" t="n">
        <f aca="false">$D221*(1+cap_27)*(1+cap_28)*F215</f>
        <v>51.0982622917</v>
      </c>
      <c r="G221" s="13" t="n">
        <f aca="false">$D221*(1+cap_27)*(1+cap_28)*(1+cap_29)*G215</f>
        <v>57.8943311764961</v>
      </c>
      <c r="H221" s="5" t="s">
        <v>574</v>
      </c>
    </row>
    <row r="222" customFormat="false" ht="17.15" hidden="false" customHeight="false" outlineLevel="0" collapsed="false">
      <c r="A222" s="5" t="s">
        <v>575</v>
      </c>
      <c r="B222" s="0" t="s">
        <v>553</v>
      </c>
      <c r="C222" s="13" t="n">
        <f aca="false">a25_sys/1000</f>
        <v>24.4743</v>
      </c>
      <c r="D222" s="13" t="n">
        <f aca="false">a26_sys/1000</f>
        <v>32.2174</v>
      </c>
      <c r="E222" s="13" t="n">
        <f aca="false">MIN(E220,E221)</f>
        <v>38.7975614077512</v>
      </c>
      <c r="F222" s="13" t="n">
        <f aca="false">MIN(F220,F221)</f>
        <v>43.4011090003281</v>
      </c>
      <c r="G222" s="13" t="n">
        <f aca="false">MIN(G220,G221)</f>
        <v>46.2119895523786</v>
      </c>
    </row>
    <row r="223" customFormat="false" ht="17.15" hidden="false" customHeight="false" outlineLevel="0" collapsed="false">
      <c r="A223" s="5" t="s">
        <v>576</v>
      </c>
      <c r="E223" s="20" t="n">
        <f aca="false">IF(E220&gt;E221,1,0)</f>
        <v>0</v>
      </c>
      <c r="F223" s="20" t="n">
        <f aca="false">IF(F220&gt;F221,1,0)</f>
        <v>0</v>
      </c>
      <c r="G223" s="20" t="n">
        <f aca="false">IF(G220&gt;G221,1,0)</f>
        <v>0</v>
      </c>
    </row>
    <row r="224" customFormat="false" ht="15" hidden="false" customHeight="false" outlineLevel="0" collapsed="false">
      <c r="A224" s="5" t="s">
        <v>577</v>
      </c>
      <c r="B224" s="0" t="s">
        <v>231</v>
      </c>
      <c r="D224" s="10" t="n">
        <f aca="false">D219/D220</f>
        <v>0.2</v>
      </c>
      <c r="E224" s="10" t="n">
        <f aca="false">E219/E220</f>
        <v>0.149471559283141</v>
      </c>
      <c r="F224" s="10" t="n">
        <f aca="false">F219/F220</f>
        <v>0.120255424808627</v>
      </c>
      <c r="G224" s="10" t="n">
        <f aca="false">G219/G220</f>
        <v>0.101646714748689</v>
      </c>
      <c r="H224" s="5" t="s">
        <v>578</v>
      </c>
    </row>
    <row r="225" customFormat="false" ht="17.15" hidden="false" customHeight="false" outlineLevel="0" collapsed="false">
      <c r="A225" s="5" t="s">
        <v>579</v>
      </c>
      <c r="B225" s="0" t="s">
        <v>553</v>
      </c>
      <c r="C225" s="13" t="n">
        <f aca="false">a25_ibm/1000</f>
        <v>8.193</v>
      </c>
      <c r="D225" s="13" t="n">
        <f aca="false">a26_ibm/1000</f>
        <v>12.238</v>
      </c>
      <c r="E225" s="13" t="n">
        <f aca="false">D225*(1+g_ibm_A)</f>
        <v>13.70656</v>
      </c>
      <c r="F225" s="13" t="n">
        <f aca="false">E225*(1+g_ibm_A)</f>
        <v>15.3513472</v>
      </c>
      <c r="G225" s="13" t="n">
        <f aca="false">F225*(1+g_ibm_A)</f>
        <v>17.193508864</v>
      </c>
    </row>
    <row r="226" customFormat="false" ht="15" hidden="false" customHeight="false" outlineLevel="0" collapsed="false">
      <c r="A226" s="5" t="s">
        <v>481</v>
      </c>
      <c r="B226" s="0" t="s">
        <v>553</v>
      </c>
      <c r="C226" s="13" t="n">
        <f aca="false">C222+C225</f>
        <v>32.6673</v>
      </c>
      <c r="D226" s="13" t="n">
        <f aca="false">D222+D225</f>
        <v>44.4554</v>
      </c>
      <c r="E226" s="13" t="n">
        <f aca="false">E222+E225</f>
        <v>52.5041214077512</v>
      </c>
      <c r="F226" s="13" t="n">
        <f aca="false">F222+F225</f>
        <v>58.7524562003281</v>
      </c>
      <c r="G226" s="13" t="n">
        <f aca="false">G222+G225</f>
        <v>63.4054984163786</v>
      </c>
    </row>
    <row r="227" customFormat="false" ht="15" hidden="false" customHeight="false" outlineLevel="0" collapsed="false">
      <c r="A227" s="5" t="s">
        <v>580</v>
      </c>
      <c r="B227" s="0" t="s">
        <v>231</v>
      </c>
      <c r="D227" s="10" t="n">
        <f aca="false">D226/C226-1</f>
        <v>0.360853207948009</v>
      </c>
      <c r="E227" s="10" t="n">
        <f aca="false">E226/D226-1</f>
        <v>0.181051602454397</v>
      </c>
      <c r="F227" s="10" t="n">
        <f aca="false">F226/E226-1</f>
        <v>0.119006558438562</v>
      </c>
      <c r="G227" s="10" t="n">
        <f aca="false">G226/F226-1</f>
        <v>0.0791974075123765</v>
      </c>
    </row>
    <row r="228" customFormat="false" ht="17.15" hidden="false" customHeight="false" outlineLevel="0" collapsed="false">
      <c r="A228" s="1" t="s">
        <v>581</v>
      </c>
    </row>
    <row r="229" customFormat="false" ht="17.15" hidden="false" customHeight="false" outlineLevel="0" collapsed="false">
      <c r="A229" s="5" t="s">
        <v>486</v>
      </c>
      <c r="B229" s="0" t="s">
        <v>231</v>
      </c>
      <c r="C229" s="10" t="n">
        <f aca="false">a25_gp/a25_rev</f>
        <v>0.528298941142978</v>
      </c>
      <c r="D229" s="10" t="n">
        <f aca="false">a26_gp/a26_rev</f>
        <v>0.556944713128214</v>
      </c>
      <c r="E229" s="10" t="n">
        <f aca="false">$D229+gm_b*LN(E226/$D226)</f>
        <v>0.572415738005597</v>
      </c>
      <c r="F229" s="10" t="n">
        <f aca="false">$D229+gm_b*LN(F226/$D226)</f>
        <v>0.582869628175254</v>
      </c>
      <c r="G229" s="10" t="n">
        <f aca="false">$D229+gm_b*LN(G226/$D226)</f>
        <v>0.589955732086299</v>
      </c>
      <c r="H229" s="8" t="s">
        <v>582</v>
      </c>
    </row>
    <row r="230" customFormat="false" ht="15" hidden="false" customHeight="false" outlineLevel="0" collapsed="false">
      <c r="A230" s="5" t="s">
        <v>484</v>
      </c>
      <c r="B230" s="0" t="s">
        <v>553</v>
      </c>
      <c r="C230" s="13" t="n">
        <f aca="false">C226*C229</f>
        <v>17.2581</v>
      </c>
      <c r="D230" s="13" t="n">
        <f aca="false">D226*D229</f>
        <v>24.7592</v>
      </c>
      <c r="E230" s="13" t="n">
        <f aca="false">E226*E229</f>
        <v>30.0541854039534</v>
      </c>
      <c r="F230" s="13" t="n">
        <f aca="false">F226*F229</f>
        <v>34.2450222998681</v>
      </c>
      <c r="G230" s="13" t="n">
        <f aca="false">G226*G229</f>
        <v>37.4064372365313</v>
      </c>
    </row>
    <row r="231" customFormat="false" ht="17.15" hidden="false" customHeight="false" outlineLevel="0" collapsed="false">
      <c r="A231" s="5" t="s">
        <v>583</v>
      </c>
      <c r="B231" s="0" t="s">
        <v>553</v>
      </c>
      <c r="C231" s="13" t="n">
        <f aca="false">opex25/1000</f>
        <v>5.9565</v>
      </c>
      <c r="D231" s="13" t="n">
        <f aca="false">opex26/1000</f>
        <v>6.1935</v>
      </c>
      <c r="E231" s="13" t="n">
        <f aca="false">$D231*((1-phi)+phi*E226/$D226)</f>
        <v>6.35531971425735</v>
      </c>
      <c r="F231" s="13" t="n">
        <f aca="false">$D231*((1-phi)+phi*F226/$D226)</f>
        <v>6.48094261751069</v>
      </c>
      <c r="G231" s="13" t="n">
        <f aca="false">$D231*((1-phi)+phi*G226/$D226)</f>
        <v>6.57449212974794</v>
      </c>
      <c r="H231" s="8" t="s">
        <v>584</v>
      </c>
    </row>
    <row r="232" customFormat="false" ht="15" hidden="false" customHeight="false" outlineLevel="0" collapsed="false">
      <c r="A232" s="5" t="s">
        <v>490</v>
      </c>
      <c r="B232" s="0" t="s">
        <v>553</v>
      </c>
      <c r="C232" s="13" t="n">
        <f aca="false">C230-C231</f>
        <v>11.3016</v>
      </c>
      <c r="D232" s="13" t="n">
        <f aca="false">D230-D231</f>
        <v>18.5657</v>
      </c>
      <c r="E232" s="13" t="n">
        <f aca="false">E230-E231</f>
        <v>23.698865689696</v>
      </c>
      <c r="F232" s="13" t="n">
        <f aca="false">F230-F231</f>
        <v>27.7640796823574</v>
      </c>
      <c r="G232" s="13" t="n">
        <f aca="false">G230-G231</f>
        <v>30.8319451067834</v>
      </c>
    </row>
    <row r="233" customFormat="false" ht="15" hidden="false" customHeight="false" outlineLevel="0" collapsed="false">
      <c r="A233" s="5" t="s">
        <v>557</v>
      </c>
      <c r="B233" s="0" t="s">
        <v>231</v>
      </c>
      <c r="C233" s="10" t="n">
        <f aca="false">C232/C226</f>
        <v>0.345960639538621</v>
      </c>
      <c r="D233" s="10" t="n">
        <f aca="false">D232/D226</f>
        <v>0.417625305362228</v>
      </c>
      <c r="E233" s="10" t="n">
        <f aca="false">E232/E226</f>
        <v>0.451371531496522</v>
      </c>
      <c r="F233" s="10" t="n">
        <f aca="false">F232/F226</f>
        <v>0.472560323055947</v>
      </c>
      <c r="G233" s="10" t="n">
        <f aca="false">G232/G226</f>
        <v>0.486266110618871</v>
      </c>
    </row>
    <row r="234" customFormat="false" ht="17.15" hidden="false" customHeight="false" outlineLevel="0" collapsed="false">
      <c r="A234" s="5" t="s">
        <v>498</v>
      </c>
      <c r="B234" s="0" t="s">
        <v>553</v>
      </c>
      <c r="C234" s="13" t="n">
        <f aca="false">a25_ni/1000</f>
        <v>9.6094</v>
      </c>
      <c r="D234" s="13" t="n">
        <f aca="false">a26_ni/1000</f>
        <v>16.3986734727826</v>
      </c>
      <c r="E234" s="13" t="n">
        <f aca="false">E232*nioi</f>
        <v>20.1504105576701</v>
      </c>
      <c r="F234" s="13" t="n">
        <f aca="false">F232*nioi</f>
        <v>23.6069359470912</v>
      </c>
      <c r="G234" s="13" t="n">
        <f aca="false">G232*nioi</f>
        <v>26.2154467782548</v>
      </c>
      <c r="H234" s="8" t="s">
        <v>585</v>
      </c>
    </row>
    <row r="235" customFormat="false" ht="15" hidden="false" customHeight="false" outlineLevel="0" collapsed="false">
      <c r="A235" s="5" t="s">
        <v>586</v>
      </c>
      <c r="B235" s="5" t="s">
        <v>267</v>
      </c>
      <c r="C235" s="16" t="n">
        <f aca="false">a25_shr</f>
        <v>388.572583906187</v>
      </c>
      <c r="D235" s="16" t="n">
        <f aca="false">a26_shr</f>
        <v>383.625</v>
      </c>
      <c r="E235" s="16" t="n">
        <f aca="false">sh_q4*(1-bb)^1</f>
        <v>377.685</v>
      </c>
      <c r="F235" s="16" t="n">
        <f aca="false">sh_q4*(1-bb)^2</f>
        <v>373.90815</v>
      </c>
      <c r="G235" s="16" t="n">
        <f aca="false">sh_q4*(1-bb)^3</f>
        <v>370.1690685</v>
      </c>
    </row>
    <row r="236" customFormat="false" ht="17.15" hidden="false" customHeight="false" outlineLevel="0" collapsed="false">
      <c r="A236" s="0" t="s">
        <v>587</v>
      </c>
      <c r="B236" s="0" t="s">
        <v>392</v>
      </c>
      <c r="C236" s="13" t="n">
        <f aca="false">a25_eps</f>
        <v>24.73</v>
      </c>
      <c r="D236" s="13" t="n">
        <f aca="false">a26_eps</f>
        <v>42.7466235849661</v>
      </c>
      <c r="E236" s="13" t="n">
        <f aca="false">E234*1000/E235</f>
        <v>53.3524247922744</v>
      </c>
      <c r="F236" s="13" t="n">
        <f aca="false">F234*1000/F235</f>
        <v>63.1356549652399</v>
      </c>
      <c r="G236" s="13" t="n">
        <f aca="false">G234*1000/G235</f>
        <v>70.8201981448236</v>
      </c>
    </row>
    <row r="237" customFormat="false" ht="17.15" hidden="false" customHeight="false" outlineLevel="0" collapsed="false">
      <c r="A237" s="1" t="s">
        <v>588</v>
      </c>
    </row>
    <row r="238" customFormat="false" ht="17.15" hidden="false" customHeight="false" outlineLevel="0" collapsed="false">
      <c r="A238" s="0" t="s">
        <v>514</v>
      </c>
      <c r="B238" s="0" t="s">
        <v>553</v>
      </c>
      <c r="C238" s="13" t="n">
        <f aca="false">a25_euv/1000</f>
        <v>11.6</v>
      </c>
      <c r="D238" s="13" t="n">
        <f aca="false">a26_euv/1000</f>
        <v>16.82</v>
      </c>
      <c r="E238" s="13" t="n">
        <f aca="false">E222*euv_sh_27</f>
        <v>21.3386587742632</v>
      </c>
      <c r="F238" s="13" t="n">
        <f aca="false">F222*euv_sh_28</f>
        <v>24.738632130187</v>
      </c>
      <c r="G238" s="13" t="n">
        <f aca="false">G222*euv_sh_29</f>
        <v>26.8029539403796</v>
      </c>
    </row>
    <row r="239" customFormat="false" ht="17.15" hidden="false" customHeight="false" outlineLevel="0" collapsed="false">
      <c r="A239" s="5" t="s">
        <v>589</v>
      </c>
      <c r="B239" s="5" t="s">
        <v>362</v>
      </c>
      <c r="E239" s="20" t="n">
        <f aca="false">(E238*1000-hna_n_27*hna_asp)/lna_asp</f>
        <v>84.2666307921053</v>
      </c>
      <c r="F239" s="20" t="n">
        <f aca="false">(F238*1000-hna_n_28*hna_asp)/lna_asp</f>
        <v>93.3574187735775</v>
      </c>
      <c r="G239" s="20" t="n">
        <f aca="false">(G238*1000-hna_n_29*hna_asp)/lna_asp</f>
        <v>97.9679724562708</v>
      </c>
    </row>
    <row r="240" customFormat="false" ht="15" hidden="false" customHeight="false" outlineLevel="0" collapsed="false">
      <c r="A240" s="5" t="s">
        <v>590</v>
      </c>
      <c r="B240" s="0" t="s">
        <v>27</v>
      </c>
      <c r="C240" s="21" t="n">
        <f aca="false">C222*fx_25</f>
        <v>27.655959</v>
      </c>
      <c r="D240" s="21" t="n">
        <f aca="false">D222*fx_f</f>
        <v>37.372184</v>
      </c>
      <c r="E240" s="21" t="n">
        <f aca="false">E222*fx_f</f>
        <v>45.0051712329914</v>
      </c>
      <c r="F240" s="21" t="n">
        <f aca="false">F222*fx_f</f>
        <v>50.3452864403806</v>
      </c>
      <c r="G240" s="21" t="n">
        <f aca="false">G222*fx_f</f>
        <v>53.6059078807591</v>
      </c>
    </row>
    <row r="241" customFormat="false" ht="17.15" hidden="false" customHeight="false" outlineLevel="0" collapsed="false">
      <c r="A241" s="0" t="s">
        <v>591</v>
      </c>
      <c r="B241" s="0" t="s">
        <v>231</v>
      </c>
      <c r="C241" s="10" t="n">
        <f aca="false">C240/Units!C7</f>
        <v>0.236584333071578</v>
      </c>
      <c r="D241" s="10" t="n">
        <f aca="false">D240/Units!D7</f>
        <v>0.239324345993695</v>
      </c>
      <c r="E241" s="10" t="n">
        <f aca="false">E240/Units!E7</f>
        <v>0.233434796877179</v>
      </c>
      <c r="F241" s="10" t="n">
        <f aca="false">F240/Units!F7</f>
        <v>0.232403663810238</v>
      </c>
      <c r="G241" s="10" t="n">
        <f aca="false">G240/Units!G7</f>
        <v>0.234185429039632</v>
      </c>
      <c r="H241" s="5" t="s">
        <v>592</v>
      </c>
    </row>
    <row r="250" customFormat="false" ht="17.15" hidden="false" customHeight="false" outlineLevel="0" collapsed="false">
      <c r="A250" s="3" t="s">
        <v>871</v>
      </c>
    </row>
    <row r="251" customFormat="false" ht="17.15" hidden="false" customHeight="false" outlineLevel="0" collapsed="false">
      <c r="A251" s="6" t="s">
        <v>16</v>
      </c>
      <c r="B251" s="6" t="s">
        <v>17</v>
      </c>
      <c r="C251" s="14" t="s">
        <v>548</v>
      </c>
      <c r="D251" s="14" t="s">
        <v>549</v>
      </c>
      <c r="E251" s="14" t="s">
        <v>550</v>
      </c>
      <c r="F251" s="14" t="s">
        <v>551</v>
      </c>
      <c r="G251" s="14" t="s">
        <v>552</v>
      </c>
      <c r="H251" s="6" t="s">
        <v>534</v>
      </c>
    </row>
    <row r="252" customFormat="false" ht="17.15" hidden="false" customHeight="false" outlineLevel="0" collapsed="false">
      <c r="A252" s="1" t="s">
        <v>561</v>
      </c>
    </row>
    <row r="253" customFormat="false" ht="17.15" hidden="false" customHeight="false" outlineLevel="0" collapsed="false">
      <c r="A253" s="5" t="s">
        <v>562</v>
      </c>
      <c r="B253" s="0" t="s">
        <v>345</v>
      </c>
      <c r="C253" s="25" t="n">
        <f aca="false">Units!C8</f>
        <v>0.797493866282457</v>
      </c>
      <c r="D253" s="25" t="n">
        <f aca="false">Units!D8</f>
        <v>1</v>
      </c>
      <c r="E253" s="25" t="n">
        <f aca="false">Units!E8</f>
        <v>1.1581138943867</v>
      </c>
      <c r="F253" s="25" t="n">
        <f aca="false">Units!F8</f>
        <v>1.30398004155566</v>
      </c>
      <c r="G253" s="25" t="n">
        <f aca="false">Units!G8</f>
        <v>1.39118185447666</v>
      </c>
    </row>
    <row r="254" customFormat="false" ht="17.15" hidden="false" customHeight="false" outlineLevel="0" collapsed="false">
      <c r="A254" s="5" t="s">
        <v>563</v>
      </c>
      <c r="B254" s="0" t="s">
        <v>345</v>
      </c>
      <c r="C254" s="25" t="n">
        <f aca="false">Units!C9</f>
        <v>0.677840887672955</v>
      </c>
      <c r="D254" s="25" t="n">
        <f aca="false">Units!D9</f>
        <v>1</v>
      </c>
      <c r="E254" s="25" t="n">
        <f aca="false">Units!E9</f>
        <v>1.3452955652252</v>
      </c>
      <c r="F254" s="25" t="n">
        <f aca="false">Units!F9</f>
        <v>1.50769200272716</v>
      </c>
      <c r="G254" s="25" t="n">
        <f aca="false">Units!G9</f>
        <v>1.57386738820784</v>
      </c>
    </row>
    <row r="255" customFormat="false" ht="17.15" hidden="false" customHeight="false" outlineLevel="0" collapsed="false">
      <c r="A255" s="5" t="s">
        <v>564</v>
      </c>
      <c r="B255" s="0" t="s">
        <v>345</v>
      </c>
      <c r="D255" s="25" t="n">
        <f aca="false">(1+g_int)^0</f>
        <v>1</v>
      </c>
      <c r="E255" s="25" t="n">
        <f aca="false">(1+g_int)^1</f>
        <v>1.03</v>
      </c>
      <c r="F255" s="25" t="n">
        <f aca="false">(1+g_int)^2</f>
        <v>1.0609</v>
      </c>
      <c r="G255" s="25" t="n">
        <f aca="false">(1+g_int)^3</f>
        <v>1.092727</v>
      </c>
      <c r="H255" s="8" t="s">
        <v>565</v>
      </c>
    </row>
    <row r="256" customFormat="false" ht="17.15" hidden="false" customHeight="false" outlineLevel="0" collapsed="false">
      <c r="A256" s="1" t="s">
        <v>566</v>
      </c>
    </row>
    <row r="257" customFormat="false" ht="17.15" hidden="false" customHeight="false" outlineLevel="0" collapsed="false">
      <c r="A257" s="5" t="s">
        <v>567</v>
      </c>
      <c r="B257" s="0" t="s">
        <v>553</v>
      </c>
      <c r="D257" s="13" t="n">
        <f aca="false">a26_sys/1000*(1-cn_sh26)*log_sh26</f>
        <v>14.0838050971922</v>
      </c>
      <c r="E257" s="13" t="n">
        <f aca="false">$D257*E253*E255</f>
        <v>16.7999698799593</v>
      </c>
      <c r="F257" s="13" t="n">
        <f aca="false">$D257*F253*F255</f>
        <v>19.4834293019328</v>
      </c>
      <c r="G257" s="13" t="n">
        <f aca="false">$D257*G253*G255</f>
        <v>21.4099466382598</v>
      </c>
      <c r="H257" s="8" t="s">
        <v>568</v>
      </c>
    </row>
    <row r="258" customFormat="false" ht="15" hidden="false" customHeight="false" outlineLevel="0" collapsed="false">
      <c r="A258" s="5" t="s">
        <v>569</v>
      </c>
      <c r="B258" s="0" t="s">
        <v>553</v>
      </c>
      <c r="D258" s="13" t="n">
        <f aca="false">a26_sys/1000*(1-cn_sh26)*(1-log_sh26)</f>
        <v>11.6901149028078</v>
      </c>
      <c r="E258" s="13" t="n">
        <f aca="false">$D258*E254*E255</f>
        <v>16.1984595277919</v>
      </c>
      <c r="F258" s="13" t="n">
        <f aca="false">$D258*F254*F255</f>
        <v>18.6984608983954</v>
      </c>
      <c r="G258" s="13" t="n">
        <f aca="false">$D258*G254*G255</f>
        <v>20.1047459941188</v>
      </c>
    </row>
    <row r="259" customFormat="false" ht="17.15" hidden="false" customHeight="false" outlineLevel="0" collapsed="false">
      <c r="A259" s="5" t="s">
        <v>570</v>
      </c>
      <c r="B259" s="0" t="s">
        <v>553</v>
      </c>
      <c r="D259" s="13" t="n">
        <f aca="false">a26_sys/1000*cn_sh26</f>
        <v>6.44348</v>
      </c>
      <c r="E259" s="13" t="n">
        <f aca="false">D259*(1+g_cn_A_hi)</f>
        <v>7.087828</v>
      </c>
      <c r="F259" s="13" t="n">
        <f aca="false">E259*(1+g_cn_A_hi)</f>
        <v>7.7966108</v>
      </c>
      <c r="G259" s="13" t="n">
        <f aca="false">F259*(1+g_cn_A_hi)</f>
        <v>8.57627188</v>
      </c>
      <c r="H259" s="8" t="s">
        <v>571</v>
      </c>
    </row>
    <row r="260" customFormat="false" ht="15" hidden="false" customHeight="false" outlineLevel="0" collapsed="false">
      <c r="A260" s="5" t="s">
        <v>572</v>
      </c>
      <c r="B260" s="0" t="s">
        <v>553</v>
      </c>
      <c r="D260" s="13" t="n">
        <f aca="false">D257+D258+D259</f>
        <v>32.2174</v>
      </c>
      <c r="E260" s="13" t="n">
        <f aca="false">E257+E258+E259</f>
        <v>40.0862574077512</v>
      </c>
      <c r="F260" s="13" t="n">
        <f aca="false">F257+F258+F259</f>
        <v>45.9785010003281</v>
      </c>
      <c r="G260" s="13" t="n">
        <f aca="false">G257+G258+G259</f>
        <v>50.0909645123786</v>
      </c>
    </row>
    <row r="261" customFormat="false" ht="17.15" hidden="false" customHeight="false" outlineLevel="0" collapsed="false">
      <c r="A261" s="5" t="s">
        <v>573</v>
      </c>
      <c r="B261" s="0" t="s">
        <v>553</v>
      </c>
      <c r="D261" s="13" t="n">
        <f aca="false">a26_sys/1000</f>
        <v>32.2174</v>
      </c>
      <c r="E261" s="13" t="n">
        <f aca="false">$D261*(1+cap_27)*E255</f>
        <v>43.1390986</v>
      </c>
      <c r="F261" s="13" t="n">
        <f aca="false">$D261*(1+cap_27)*(1+cap_28)*F255</f>
        <v>51.0982622917</v>
      </c>
      <c r="G261" s="13" t="n">
        <f aca="false">$D261*(1+cap_27)*(1+cap_28)*(1+cap_29)*G255</f>
        <v>57.8943311764961</v>
      </c>
      <c r="H261" s="5" t="s">
        <v>574</v>
      </c>
    </row>
    <row r="262" customFormat="false" ht="17.15" hidden="false" customHeight="false" outlineLevel="0" collapsed="false">
      <c r="A262" s="5" t="s">
        <v>575</v>
      </c>
      <c r="B262" s="0" t="s">
        <v>553</v>
      </c>
      <c r="C262" s="13" t="n">
        <f aca="false">a25_sys/1000</f>
        <v>24.4743</v>
      </c>
      <c r="D262" s="13" t="n">
        <f aca="false">a26_sys/1000</f>
        <v>32.2174</v>
      </c>
      <c r="E262" s="13" t="n">
        <f aca="false">MIN(E260,E261)</f>
        <v>40.0862574077512</v>
      </c>
      <c r="F262" s="13" t="n">
        <f aca="false">MIN(F260,F261)</f>
        <v>45.9785010003281</v>
      </c>
      <c r="G262" s="13" t="n">
        <f aca="false">MIN(G260,G261)</f>
        <v>50.0909645123786</v>
      </c>
    </row>
    <row r="263" customFormat="false" ht="17.15" hidden="false" customHeight="false" outlineLevel="0" collapsed="false">
      <c r="A263" s="5" t="s">
        <v>576</v>
      </c>
      <c r="E263" s="20" t="n">
        <f aca="false">IF(E260&gt;E261,1,0)</f>
        <v>0</v>
      </c>
      <c r="F263" s="20" t="n">
        <f aca="false">IF(F260&gt;F261,1,0)</f>
        <v>0</v>
      </c>
      <c r="G263" s="20" t="n">
        <f aca="false">IF(G260&gt;G261,1,0)</f>
        <v>0</v>
      </c>
    </row>
    <row r="264" customFormat="false" ht="15" hidden="false" customHeight="false" outlineLevel="0" collapsed="false">
      <c r="A264" s="5" t="s">
        <v>577</v>
      </c>
      <c r="B264" s="0" t="s">
        <v>231</v>
      </c>
      <c r="D264" s="10" t="n">
        <f aca="false">D259/D260</f>
        <v>0.2</v>
      </c>
      <c r="E264" s="10" t="n">
        <f aca="false">E259/E260</f>
        <v>0.176814411180962</v>
      </c>
      <c r="F264" s="10" t="n">
        <f aca="false">F259/F260</f>
        <v>0.169570791356255</v>
      </c>
      <c r="G264" s="10" t="n">
        <f aca="false">G259/G260</f>
        <v>0.171213949731006</v>
      </c>
      <c r="H264" s="5" t="s">
        <v>578</v>
      </c>
    </row>
    <row r="265" customFormat="false" ht="17.15" hidden="false" customHeight="false" outlineLevel="0" collapsed="false">
      <c r="A265" s="5" t="s">
        <v>579</v>
      </c>
      <c r="B265" s="0" t="s">
        <v>553</v>
      </c>
      <c r="C265" s="13" t="n">
        <f aca="false">a25_ibm/1000</f>
        <v>8.193</v>
      </c>
      <c r="D265" s="13" t="n">
        <f aca="false">a26_ibm/1000</f>
        <v>12.238</v>
      </c>
      <c r="E265" s="13" t="n">
        <f aca="false">D265*(1+g_ibm_A)</f>
        <v>13.70656</v>
      </c>
      <c r="F265" s="13" t="n">
        <f aca="false">E265*(1+g_ibm_A)</f>
        <v>15.3513472</v>
      </c>
      <c r="G265" s="13" t="n">
        <f aca="false">F265*(1+g_ibm_A)</f>
        <v>17.193508864</v>
      </c>
    </row>
    <row r="266" customFormat="false" ht="15" hidden="false" customHeight="false" outlineLevel="0" collapsed="false">
      <c r="A266" s="5" t="s">
        <v>481</v>
      </c>
      <c r="B266" s="0" t="s">
        <v>553</v>
      </c>
      <c r="C266" s="13" t="n">
        <f aca="false">C262+C265</f>
        <v>32.6673</v>
      </c>
      <c r="D266" s="13" t="n">
        <f aca="false">D262+D265</f>
        <v>44.4554</v>
      </c>
      <c r="E266" s="13" t="n">
        <f aca="false">E262+E265</f>
        <v>53.7928174077512</v>
      </c>
      <c r="F266" s="13" t="n">
        <f aca="false">F262+F265</f>
        <v>61.3298482003281</v>
      </c>
      <c r="G266" s="13" t="n">
        <f aca="false">G262+G265</f>
        <v>67.2844733763786</v>
      </c>
    </row>
    <row r="267" customFormat="false" ht="15" hidden="false" customHeight="false" outlineLevel="0" collapsed="false">
      <c r="A267" s="5" t="s">
        <v>580</v>
      </c>
      <c r="B267" s="0" t="s">
        <v>231</v>
      </c>
      <c r="D267" s="10" t="n">
        <f aca="false">D266/C266-1</f>
        <v>0.360853207948009</v>
      </c>
      <c r="E267" s="10" t="n">
        <f aca="false">E266/D266-1</f>
        <v>0.210040116785615</v>
      </c>
      <c r="F267" s="10" t="n">
        <f aca="false">F266/E266-1</f>
        <v>0.140112214897502</v>
      </c>
      <c r="G267" s="10" t="n">
        <f aca="false">G266/F266-1</f>
        <v>0.0970917970740808</v>
      </c>
    </row>
    <row r="268" customFormat="false" ht="17.15" hidden="false" customHeight="false" outlineLevel="0" collapsed="false">
      <c r="A268" s="1" t="s">
        <v>581</v>
      </c>
    </row>
    <row r="269" customFormat="false" ht="17.15" hidden="false" customHeight="false" outlineLevel="0" collapsed="false">
      <c r="A269" s="5" t="s">
        <v>486</v>
      </c>
      <c r="B269" s="0" t="s">
        <v>231</v>
      </c>
      <c r="C269" s="10" t="n">
        <f aca="false">a25_gp/a25_rev</f>
        <v>0.528298941142978</v>
      </c>
      <c r="D269" s="10" t="n">
        <f aca="false">a26_gp/a26_rev</f>
        <v>0.556944713128214</v>
      </c>
      <c r="E269" s="10" t="n">
        <f aca="false">$D269+gm_b*LN(E266/$D266)</f>
        <v>0.574670149083379</v>
      </c>
      <c r="F269" s="10" t="n">
        <f aca="false">$D269+gm_b*LN(F266/$D266)</f>
        <v>0.586861258146367</v>
      </c>
      <c r="G269" s="10" t="n">
        <f aca="false">$D269+gm_b*LN(G266/$D266)</f>
        <v>0.595476308157947</v>
      </c>
      <c r="H269" s="8" t="s">
        <v>582</v>
      </c>
    </row>
    <row r="270" customFormat="false" ht="15" hidden="false" customHeight="false" outlineLevel="0" collapsed="false">
      <c r="A270" s="5" t="s">
        <v>484</v>
      </c>
      <c r="B270" s="0" t="s">
        <v>553</v>
      </c>
      <c r="C270" s="13" t="n">
        <f aca="false">C266*C269</f>
        <v>17.2581</v>
      </c>
      <c r="D270" s="13" t="n">
        <f aca="false">D266*D269</f>
        <v>24.7592</v>
      </c>
      <c r="E270" s="13" t="n">
        <f aca="false">E266*E269</f>
        <v>30.9131263993274</v>
      </c>
      <c r="F270" s="13" t="n">
        <f aca="false">F266*F269</f>
        <v>35.9921118767702</v>
      </c>
      <c r="G270" s="13" t="n">
        <f aca="false">G266*G269</f>
        <v>40.0663098025176</v>
      </c>
    </row>
    <row r="271" customFormat="false" ht="17.15" hidden="false" customHeight="false" outlineLevel="0" collapsed="false">
      <c r="A271" s="5" t="s">
        <v>583</v>
      </c>
      <c r="B271" s="0" t="s">
        <v>553</v>
      </c>
      <c r="C271" s="13" t="n">
        <f aca="false">opex25/1000</f>
        <v>5.9565</v>
      </c>
      <c r="D271" s="13" t="n">
        <f aca="false">opex26/1000</f>
        <v>6.1935</v>
      </c>
      <c r="E271" s="13" t="n">
        <f aca="false">$D271*((1-phi)+phi*E266/$D266)</f>
        <v>6.38122897461313</v>
      </c>
      <c r="F271" s="13" t="n">
        <f aca="false">$D271*((1-phi)+phi*F266/$D266)</f>
        <v>6.53276113822226</v>
      </c>
      <c r="G271" s="13" t="n">
        <f aca="false">$D271*((1-phi)+phi*G266/$D266)</f>
        <v>6.65247900341885</v>
      </c>
      <c r="H271" s="8" t="s">
        <v>584</v>
      </c>
    </row>
    <row r="272" customFormat="false" ht="15" hidden="false" customHeight="false" outlineLevel="0" collapsed="false">
      <c r="A272" s="5" t="s">
        <v>490</v>
      </c>
      <c r="B272" s="0" t="s">
        <v>553</v>
      </c>
      <c r="C272" s="13" t="n">
        <f aca="false">C270-C271</f>
        <v>11.3016</v>
      </c>
      <c r="D272" s="13" t="n">
        <f aca="false">D270-D271</f>
        <v>18.5657</v>
      </c>
      <c r="E272" s="13" t="n">
        <f aca="false">E270-E271</f>
        <v>24.5318974247143</v>
      </c>
      <c r="F272" s="13" t="n">
        <f aca="false">F270-F271</f>
        <v>29.459350738548</v>
      </c>
      <c r="G272" s="13" t="n">
        <f aca="false">G270-G271</f>
        <v>33.4138307990987</v>
      </c>
    </row>
    <row r="273" customFormat="false" ht="15" hidden="false" customHeight="false" outlineLevel="0" collapsed="false">
      <c r="A273" s="5" t="s">
        <v>557</v>
      </c>
      <c r="B273" s="0" t="s">
        <v>231</v>
      </c>
      <c r="C273" s="10" t="n">
        <f aca="false">C272/C266</f>
        <v>0.345960639538621</v>
      </c>
      <c r="D273" s="10" t="n">
        <f aca="false">D272/D266</f>
        <v>0.417625305362228</v>
      </c>
      <c r="E273" s="10" t="n">
        <f aca="false">E272/E266</f>
        <v>0.456044107873393</v>
      </c>
      <c r="F273" s="10" t="n">
        <f aca="false">F272/F266</f>
        <v>0.480342795604545</v>
      </c>
      <c r="G273" s="10" t="n">
        <f aca="false">G272/G266</f>
        <v>0.496605370041125</v>
      </c>
    </row>
    <row r="274" customFormat="false" ht="17.15" hidden="false" customHeight="false" outlineLevel="0" collapsed="false">
      <c r="A274" s="5" t="s">
        <v>498</v>
      </c>
      <c r="B274" s="0" t="s">
        <v>553</v>
      </c>
      <c r="C274" s="13" t="n">
        <f aca="false">a25_ni/1000</f>
        <v>9.6094</v>
      </c>
      <c r="D274" s="13" t="n">
        <f aca="false">a26_ni/1000</f>
        <v>16.3986734727826</v>
      </c>
      <c r="E274" s="13" t="n">
        <f aca="false">E272*nioi</f>
        <v>20.8587116083607</v>
      </c>
      <c r="F274" s="13" t="n">
        <f aca="false">F272*nioi</f>
        <v>25.0483723532069</v>
      </c>
      <c r="G274" s="13" t="n">
        <f aca="false">G272*nioi</f>
        <v>28.4107441141838</v>
      </c>
      <c r="H274" s="8" t="s">
        <v>585</v>
      </c>
    </row>
    <row r="275" customFormat="false" ht="15" hidden="false" customHeight="false" outlineLevel="0" collapsed="false">
      <c r="A275" s="5" t="s">
        <v>586</v>
      </c>
      <c r="B275" s="5" t="s">
        <v>267</v>
      </c>
      <c r="C275" s="16" t="n">
        <f aca="false">a25_shr</f>
        <v>388.572583906187</v>
      </c>
      <c r="D275" s="16" t="n">
        <f aca="false">a26_shr</f>
        <v>383.625</v>
      </c>
      <c r="E275" s="16" t="n">
        <f aca="false">sh_q4*(1-bb)^1</f>
        <v>377.685</v>
      </c>
      <c r="F275" s="16" t="n">
        <f aca="false">sh_q4*(1-bb)^2</f>
        <v>373.90815</v>
      </c>
      <c r="G275" s="16" t="n">
        <f aca="false">sh_q4*(1-bb)^3</f>
        <v>370.1690685</v>
      </c>
    </row>
    <row r="276" customFormat="false" ht="17.15" hidden="false" customHeight="false" outlineLevel="0" collapsed="false">
      <c r="A276" s="0" t="s">
        <v>587</v>
      </c>
      <c r="B276" s="0" t="s">
        <v>392</v>
      </c>
      <c r="C276" s="13" t="n">
        <f aca="false">a25_eps</f>
        <v>24.73</v>
      </c>
      <c r="D276" s="13" t="n">
        <f aca="false">a26_eps</f>
        <v>42.7466235849661</v>
      </c>
      <c r="E276" s="13" t="n">
        <f aca="false">E274*1000/E275</f>
        <v>55.2277999082852</v>
      </c>
      <c r="F276" s="13" t="n">
        <f aca="false">F274*1000/F275</f>
        <v>66.9907097590863</v>
      </c>
      <c r="G276" s="13" t="n">
        <f aca="false">G274*1000/G275</f>
        <v>76.7507242820418</v>
      </c>
    </row>
    <row r="277" customFormat="false" ht="17.15" hidden="false" customHeight="false" outlineLevel="0" collapsed="false">
      <c r="A277" s="1" t="s">
        <v>588</v>
      </c>
    </row>
    <row r="278" customFormat="false" ht="17.15" hidden="false" customHeight="false" outlineLevel="0" collapsed="false">
      <c r="A278" s="0" t="s">
        <v>514</v>
      </c>
      <c r="B278" s="0" t="s">
        <v>553</v>
      </c>
      <c r="C278" s="13" t="n">
        <f aca="false">a25_euv/1000</f>
        <v>11.6</v>
      </c>
      <c r="D278" s="13" t="n">
        <f aca="false">a26_euv/1000</f>
        <v>16.82</v>
      </c>
      <c r="E278" s="13" t="n">
        <f aca="false">E262*euv_sh_27</f>
        <v>22.0474415742632</v>
      </c>
      <c r="F278" s="13" t="n">
        <f aca="false">F262*euv_sh_28</f>
        <v>26.207745570187</v>
      </c>
      <c r="G278" s="13" t="n">
        <f aca="false">G262*euv_sh_29</f>
        <v>29.0527594171796</v>
      </c>
    </row>
    <row r="279" customFormat="false" ht="17.15" hidden="false" customHeight="false" outlineLevel="0" collapsed="false">
      <c r="A279" s="5" t="s">
        <v>589</v>
      </c>
      <c r="B279" s="5" t="s">
        <v>362</v>
      </c>
      <c r="E279" s="20" t="n">
        <f aca="false">(E278*1000-hna_n_27*hna_asp)/lna_asp</f>
        <v>87.4883707921053</v>
      </c>
      <c r="F279" s="20" t="n">
        <f aca="false">(F278*1000-hna_n_28*hna_asp)/lna_asp</f>
        <v>100.035207137214</v>
      </c>
      <c r="G279" s="20" t="n">
        <f aca="false">(G278*1000-hna_n_29*hna_asp)/lna_asp</f>
        <v>108.19436098718</v>
      </c>
    </row>
    <row r="280" customFormat="false" ht="15" hidden="false" customHeight="false" outlineLevel="0" collapsed="false">
      <c r="A280" s="5" t="s">
        <v>590</v>
      </c>
      <c r="B280" s="0" t="s">
        <v>27</v>
      </c>
      <c r="C280" s="21" t="n">
        <f aca="false">C262*fx_25</f>
        <v>27.655959</v>
      </c>
      <c r="D280" s="21" t="n">
        <f aca="false">D262*fx_f</f>
        <v>37.372184</v>
      </c>
      <c r="E280" s="21" t="n">
        <f aca="false">E262*fx_f</f>
        <v>46.5000585929914</v>
      </c>
      <c r="F280" s="21" t="n">
        <f aca="false">F262*fx_f</f>
        <v>53.3350611603807</v>
      </c>
      <c r="G280" s="21" t="n">
        <f aca="false">G262*fx_f</f>
        <v>58.1055188343591</v>
      </c>
    </row>
    <row r="281" customFormat="false" ht="17.15" hidden="false" customHeight="false" outlineLevel="0" collapsed="false">
      <c r="A281" s="0" t="s">
        <v>591</v>
      </c>
      <c r="B281" s="0" t="s">
        <v>231</v>
      </c>
      <c r="C281" s="10" t="n">
        <f aca="false">C280/Units!C7</f>
        <v>0.236584333071578</v>
      </c>
      <c r="D281" s="10" t="n">
        <f aca="false">D280/Units!D7</f>
        <v>0.239324345993695</v>
      </c>
      <c r="E281" s="10" t="n">
        <f aca="false">E280/Units!E7</f>
        <v>0.241188544228329</v>
      </c>
      <c r="F281" s="10" t="n">
        <f aca="false">F280/Units!F7</f>
        <v>0.246205047177438</v>
      </c>
      <c r="G281" s="10" t="n">
        <f aca="false">G280/Units!G7</f>
        <v>0.253842652717742</v>
      </c>
      <c r="H281" s="5" t="s">
        <v>592</v>
      </c>
    </row>
    <row r="290" customFormat="false" ht="17.15" hidden="false" customHeight="false" outlineLevel="0" collapsed="false">
      <c r="A290" s="3" t="s">
        <v>872</v>
      </c>
    </row>
    <row r="291" customFormat="false" ht="17.15" hidden="false" customHeight="false" outlineLevel="0" collapsed="false">
      <c r="A291" s="6" t="s">
        <v>16</v>
      </c>
      <c r="B291" s="6" t="s">
        <v>17</v>
      </c>
      <c r="C291" s="14" t="s">
        <v>548</v>
      </c>
      <c r="D291" s="14" t="s">
        <v>549</v>
      </c>
      <c r="E291" s="14" t="s">
        <v>550</v>
      </c>
      <c r="F291" s="14" t="s">
        <v>551</v>
      </c>
      <c r="G291" s="14" t="s">
        <v>552</v>
      </c>
      <c r="H291" s="6" t="s">
        <v>534</v>
      </c>
    </row>
    <row r="292" customFormat="false" ht="17.15" hidden="false" customHeight="false" outlineLevel="0" collapsed="false">
      <c r="A292" s="1" t="s">
        <v>561</v>
      </c>
    </row>
    <row r="293" customFormat="false" ht="17.15" hidden="false" customHeight="false" outlineLevel="0" collapsed="false">
      <c r="A293" s="5" t="s">
        <v>562</v>
      </c>
      <c r="B293" s="0" t="s">
        <v>345</v>
      </c>
      <c r="C293" s="25" t="n">
        <f aca="false">Units!C8</f>
        <v>0.797493866282457</v>
      </c>
      <c r="D293" s="25" t="n">
        <f aca="false">Units!D8</f>
        <v>1</v>
      </c>
      <c r="E293" s="25" t="n">
        <f aca="false">Units!E8</f>
        <v>1.1581138943867</v>
      </c>
      <c r="F293" s="25" t="n">
        <f aca="false">Units!F8</f>
        <v>1.30398004155566</v>
      </c>
      <c r="G293" s="25" t="n">
        <f aca="false">Units!G8</f>
        <v>1.39118185447666</v>
      </c>
    </row>
    <row r="294" customFormat="false" ht="17.15" hidden="false" customHeight="false" outlineLevel="0" collapsed="false">
      <c r="A294" s="5" t="s">
        <v>563</v>
      </c>
      <c r="B294" s="0" t="s">
        <v>345</v>
      </c>
      <c r="C294" s="25" t="n">
        <f aca="false">Units!C9</f>
        <v>0.677840887672955</v>
      </c>
      <c r="D294" s="25" t="n">
        <f aca="false">Units!D9</f>
        <v>1</v>
      </c>
      <c r="E294" s="25" t="n">
        <f aca="false">Units!E9</f>
        <v>1.3452955652252</v>
      </c>
      <c r="F294" s="25" t="n">
        <f aca="false">Units!F9</f>
        <v>1.50769200272716</v>
      </c>
      <c r="G294" s="25" t="n">
        <f aca="false">Units!G9</f>
        <v>1.57386738820784</v>
      </c>
    </row>
    <row r="295" customFormat="false" ht="17.15" hidden="false" customHeight="false" outlineLevel="0" collapsed="false">
      <c r="A295" s="5" t="s">
        <v>564</v>
      </c>
      <c r="B295" s="0" t="s">
        <v>345</v>
      </c>
      <c r="D295" s="25" t="n">
        <f aca="false">(1+g_int)^0</f>
        <v>1</v>
      </c>
      <c r="E295" s="25" t="n">
        <f aca="false">(1+g_int)^1</f>
        <v>1.03</v>
      </c>
      <c r="F295" s="25" t="n">
        <f aca="false">(1+g_int)^2</f>
        <v>1.0609</v>
      </c>
      <c r="G295" s="25" t="n">
        <f aca="false">(1+g_int)^3</f>
        <v>1.092727</v>
      </c>
      <c r="H295" s="8" t="s">
        <v>565</v>
      </c>
    </row>
    <row r="296" customFormat="false" ht="17.15" hidden="false" customHeight="false" outlineLevel="0" collapsed="false">
      <c r="A296" s="1" t="s">
        <v>566</v>
      </c>
    </row>
    <row r="297" customFormat="false" ht="17.15" hidden="false" customHeight="false" outlineLevel="0" collapsed="false">
      <c r="A297" s="5" t="s">
        <v>567</v>
      </c>
      <c r="B297" s="0" t="s">
        <v>553</v>
      </c>
      <c r="D297" s="13" t="n">
        <f aca="false">a26_sys/1000*(1-cn_sh26)*log_sh26</f>
        <v>14.0838050971922</v>
      </c>
      <c r="E297" s="13" t="n">
        <f aca="false">$D297*E293*E295</f>
        <v>16.7999698799593</v>
      </c>
      <c r="F297" s="13" t="n">
        <f aca="false">$D297*F293*F295</f>
        <v>19.4834293019328</v>
      </c>
      <c r="G297" s="13" t="n">
        <f aca="false">$D297*G293*G295</f>
        <v>21.4099466382598</v>
      </c>
      <c r="H297" s="8" t="s">
        <v>568</v>
      </c>
    </row>
    <row r="298" customFormat="false" ht="15" hidden="false" customHeight="false" outlineLevel="0" collapsed="false">
      <c r="A298" s="5" t="s">
        <v>569</v>
      </c>
      <c r="B298" s="0" t="s">
        <v>553</v>
      </c>
      <c r="D298" s="13" t="n">
        <f aca="false">a26_sys/1000*(1-cn_sh26)*(1-log_sh26)</f>
        <v>11.6901149028078</v>
      </c>
      <c r="E298" s="13" t="n">
        <f aca="false">$D298*E294*E295</f>
        <v>16.1984595277919</v>
      </c>
      <c r="F298" s="13" t="n">
        <f aca="false">$D298*F294*F295</f>
        <v>18.6984608983954</v>
      </c>
      <c r="G298" s="13" t="n">
        <f aca="false">$D298*G294*G295</f>
        <v>20.1047459941188</v>
      </c>
    </row>
    <row r="299" customFormat="false" ht="17.15" hidden="false" customHeight="false" outlineLevel="0" collapsed="false">
      <c r="A299" s="5" t="s">
        <v>570</v>
      </c>
      <c r="B299" s="0" t="s">
        <v>553</v>
      </c>
      <c r="D299" s="13" t="n">
        <f aca="false">a26_sys/1000*cn_sh26</f>
        <v>6.44348</v>
      </c>
      <c r="E299" s="13" t="n">
        <f aca="false">D299*(1+g_cn_A)</f>
        <v>6.44348</v>
      </c>
      <c r="F299" s="13" t="n">
        <f aca="false">E299*(1+g_cn_A)</f>
        <v>6.44348</v>
      </c>
      <c r="G299" s="13" t="n">
        <f aca="false">F299*(1+g_cn_A)</f>
        <v>6.44348</v>
      </c>
      <c r="H299" s="8" t="s">
        <v>571</v>
      </c>
    </row>
    <row r="300" customFormat="false" ht="15" hidden="false" customHeight="false" outlineLevel="0" collapsed="false">
      <c r="A300" s="5" t="s">
        <v>572</v>
      </c>
      <c r="B300" s="0" t="s">
        <v>553</v>
      </c>
      <c r="D300" s="13" t="n">
        <f aca="false">D297+D298+D299</f>
        <v>32.2174</v>
      </c>
      <c r="E300" s="13" t="n">
        <f aca="false">E297+E298+E299</f>
        <v>39.4419094077512</v>
      </c>
      <c r="F300" s="13" t="n">
        <f aca="false">F297+F298+F299</f>
        <v>44.6253702003281</v>
      </c>
      <c r="G300" s="13" t="n">
        <f aca="false">G297+G298+G299</f>
        <v>47.9581726323786</v>
      </c>
    </row>
    <row r="301" customFormat="false" ht="17.15" hidden="false" customHeight="false" outlineLevel="0" collapsed="false">
      <c r="A301" s="5" t="s">
        <v>573</v>
      </c>
      <c r="B301" s="0" t="s">
        <v>553</v>
      </c>
      <c r="D301" s="13" t="n">
        <f aca="false">a26_sys/1000</f>
        <v>32.2174</v>
      </c>
      <c r="E301" s="13" t="n">
        <f aca="false">$D301*(1+cap_27)*E295</f>
        <v>43.1390986</v>
      </c>
      <c r="F301" s="13" t="n">
        <f aca="false">$D301*(1+cap_27)*(1+cap_28)*F295</f>
        <v>51.0982622917</v>
      </c>
      <c r="G301" s="13" t="n">
        <f aca="false">$D301*(1+cap_27)*(1+cap_28)*(1+cap_29)*G295</f>
        <v>57.8943311764961</v>
      </c>
      <c r="H301" s="5" t="s">
        <v>574</v>
      </c>
    </row>
    <row r="302" customFormat="false" ht="17.15" hidden="false" customHeight="false" outlineLevel="0" collapsed="false">
      <c r="A302" s="5" t="s">
        <v>575</v>
      </c>
      <c r="B302" s="0" t="s">
        <v>553</v>
      </c>
      <c r="C302" s="13" t="n">
        <f aca="false">a25_sys/1000</f>
        <v>24.4743</v>
      </c>
      <c r="D302" s="13" t="n">
        <f aca="false">a26_sys/1000</f>
        <v>32.2174</v>
      </c>
      <c r="E302" s="13" t="n">
        <f aca="false">MIN(E300,E301)</f>
        <v>39.4419094077512</v>
      </c>
      <c r="F302" s="13" t="n">
        <f aca="false">MIN(F300,F301)</f>
        <v>44.6253702003281</v>
      </c>
      <c r="G302" s="13" t="n">
        <f aca="false">MIN(G300,G301)</f>
        <v>47.9581726323786</v>
      </c>
    </row>
    <row r="303" customFormat="false" ht="17.15" hidden="false" customHeight="false" outlineLevel="0" collapsed="false">
      <c r="A303" s="5" t="s">
        <v>576</v>
      </c>
      <c r="E303" s="20" t="n">
        <f aca="false">IF(E300&gt;E301,1,0)</f>
        <v>0</v>
      </c>
      <c r="F303" s="20" t="n">
        <f aca="false">IF(F300&gt;F301,1,0)</f>
        <v>0</v>
      </c>
      <c r="G303" s="20" t="n">
        <f aca="false">IF(G300&gt;G301,1,0)</f>
        <v>0</v>
      </c>
    </row>
    <row r="304" customFormat="false" ht="15" hidden="false" customHeight="false" outlineLevel="0" collapsed="false">
      <c r="A304" s="5" t="s">
        <v>577</v>
      </c>
      <c r="B304" s="0" t="s">
        <v>231</v>
      </c>
      <c r="D304" s="10" t="n">
        <f aca="false">D299/D300</f>
        <v>0.2</v>
      </c>
      <c r="E304" s="10" t="n">
        <f aca="false">E299/E300</f>
        <v>0.163366330300777</v>
      </c>
      <c r="F304" s="10" t="n">
        <f aca="false">F299/F300</f>
        <v>0.144390510847854</v>
      </c>
      <c r="G304" s="10" t="n">
        <f aca="false">G299/G300</f>
        <v>0.134356245167893</v>
      </c>
      <c r="H304" s="5" t="s">
        <v>578</v>
      </c>
    </row>
    <row r="305" customFormat="false" ht="17.15" hidden="false" customHeight="false" outlineLevel="0" collapsed="false">
      <c r="A305" s="5" t="s">
        <v>579</v>
      </c>
      <c r="B305" s="0" t="s">
        <v>553</v>
      </c>
      <c r="C305" s="13" t="n">
        <f aca="false">a25_ibm/1000</f>
        <v>8.193</v>
      </c>
      <c r="D305" s="13" t="n">
        <f aca="false">a26_ibm/1000</f>
        <v>12.238</v>
      </c>
      <c r="E305" s="13" t="n">
        <f aca="false">D305*(1+g_ibm_A_lo)</f>
        <v>13.21704</v>
      </c>
      <c r="F305" s="13" t="n">
        <f aca="false">E305*(1+g_ibm_A_lo)</f>
        <v>14.2744032</v>
      </c>
      <c r="G305" s="13" t="n">
        <f aca="false">F305*(1+g_ibm_A_lo)</f>
        <v>15.416355456</v>
      </c>
    </row>
    <row r="306" customFormat="false" ht="15" hidden="false" customHeight="false" outlineLevel="0" collapsed="false">
      <c r="A306" s="5" t="s">
        <v>481</v>
      </c>
      <c r="B306" s="0" t="s">
        <v>553</v>
      </c>
      <c r="C306" s="13" t="n">
        <f aca="false">C302+C305</f>
        <v>32.6673</v>
      </c>
      <c r="D306" s="13" t="n">
        <f aca="false">D302+D305</f>
        <v>44.4554</v>
      </c>
      <c r="E306" s="13" t="n">
        <f aca="false">E302+E305</f>
        <v>52.6589494077512</v>
      </c>
      <c r="F306" s="13" t="n">
        <f aca="false">F302+F305</f>
        <v>58.8997734003281</v>
      </c>
      <c r="G306" s="13" t="n">
        <f aca="false">G302+G305</f>
        <v>63.3745280883786</v>
      </c>
    </row>
    <row r="307" customFormat="false" ht="15" hidden="false" customHeight="false" outlineLevel="0" collapsed="false">
      <c r="A307" s="5" t="s">
        <v>580</v>
      </c>
      <c r="B307" s="0" t="s">
        <v>231</v>
      </c>
      <c r="D307" s="10" t="n">
        <f aca="false">D306/C306-1</f>
        <v>0.360853207948009</v>
      </c>
      <c r="E307" s="10" t="n">
        <f aca="false">E306/D306-1</f>
        <v>0.184534373951224</v>
      </c>
      <c r="F307" s="10" t="n">
        <f aca="false">F306/E306-1</f>
        <v>0.1185140239744</v>
      </c>
      <c r="G307" s="10" t="n">
        <f aca="false">G306/F306-1</f>
        <v>0.0759723582913734</v>
      </c>
    </row>
    <row r="308" customFormat="false" ht="17.15" hidden="false" customHeight="false" outlineLevel="0" collapsed="false">
      <c r="A308" s="1" t="s">
        <v>581</v>
      </c>
    </row>
    <row r="309" customFormat="false" ht="17.15" hidden="false" customHeight="false" outlineLevel="0" collapsed="false">
      <c r="A309" s="5" t="s">
        <v>486</v>
      </c>
      <c r="B309" s="0" t="s">
        <v>231</v>
      </c>
      <c r="C309" s="10" t="n">
        <f aca="false">a25_gp/a25_rev</f>
        <v>0.528298941142978</v>
      </c>
      <c r="D309" s="10" t="n">
        <f aca="false">a26_gp/a26_rev</f>
        <v>0.556944713128214</v>
      </c>
      <c r="E309" s="10" t="n">
        <f aca="false">$D309+gm_b*LN(E306/$D306)</f>
        <v>0.572689497169884</v>
      </c>
      <c r="F309" s="10" t="n">
        <f aca="false">$D309+gm_b*LN(F306/$D306)</f>
        <v>0.583102456401202</v>
      </c>
      <c r="G309" s="10" t="n">
        <f aca="false">$D309+gm_b*LN(G306/$D306)</f>
        <v>0.589910308953553</v>
      </c>
      <c r="H309" s="8" t="s">
        <v>582</v>
      </c>
    </row>
    <row r="310" customFormat="false" ht="15" hidden="false" customHeight="false" outlineLevel="0" collapsed="false">
      <c r="A310" s="5" t="s">
        <v>484</v>
      </c>
      <c r="B310" s="0" t="s">
        <v>553</v>
      </c>
      <c r="C310" s="13" t="n">
        <f aca="false">C306*C309</f>
        <v>17.2581</v>
      </c>
      <c r="D310" s="13" t="n">
        <f aca="false">D306*D309</f>
        <v>24.7592</v>
      </c>
      <c r="E310" s="13" t="n">
        <f aca="false">E306*E309</f>
        <v>30.1572272578194</v>
      </c>
      <c r="F310" s="13" t="n">
        <f aca="false">F306*F309</f>
        <v>34.3446025512055</v>
      </c>
      <c r="G310" s="13" t="n">
        <f aca="false">G306*G309</f>
        <v>37.385287444401</v>
      </c>
    </row>
    <row r="311" customFormat="false" ht="17.15" hidden="false" customHeight="false" outlineLevel="0" collapsed="false">
      <c r="A311" s="5" t="s">
        <v>583</v>
      </c>
      <c r="B311" s="0" t="s">
        <v>553</v>
      </c>
      <c r="C311" s="13" t="n">
        <f aca="false">opex25/1000</f>
        <v>5.9565</v>
      </c>
      <c r="D311" s="13" t="n">
        <f aca="false">opex26/1000</f>
        <v>6.1935</v>
      </c>
      <c r="E311" s="13" t="n">
        <f aca="false">$D311*((1-phi)+phi*E306/$D306)</f>
        <v>6.35843253447435</v>
      </c>
      <c r="F311" s="13" t="n">
        <f aca="false">$D311*((1-phi)+phi*F306/$D306)</f>
        <v>6.48390443293472</v>
      </c>
      <c r="G311" s="13" t="n">
        <f aca="false">$D311*((1-phi)+phi*G306/$D306)</f>
        <v>6.573869470648</v>
      </c>
      <c r="H311" s="8" t="s">
        <v>584</v>
      </c>
    </row>
    <row r="312" customFormat="false" ht="15" hidden="false" customHeight="false" outlineLevel="0" collapsed="false">
      <c r="A312" s="5" t="s">
        <v>490</v>
      </c>
      <c r="B312" s="0" t="s">
        <v>553</v>
      </c>
      <c r="C312" s="13" t="n">
        <f aca="false">C310-C311</f>
        <v>11.3016</v>
      </c>
      <c r="D312" s="13" t="n">
        <f aca="false">D310-D311</f>
        <v>18.5657</v>
      </c>
      <c r="E312" s="13" t="n">
        <f aca="false">E310-E311</f>
        <v>23.798794723345</v>
      </c>
      <c r="F312" s="13" t="n">
        <f aca="false">F310-F311</f>
        <v>27.8606981182708</v>
      </c>
      <c r="G312" s="13" t="n">
        <f aca="false">G310-G311</f>
        <v>30.811417973753</v>
      </c>
    </row>
    <row r="313" customFormat="false" ht="15" hidden="false" customHeight="false" outlineLevel="0" collapsed="false">
      <c r="A313" s="5" t="s">
        <v>557</v>
      </c>
      <c r="B313" s="0" t="s">
        <v>231</v>
      </c>
      <c r="C313" s="10" t="n">
        <f aca="false">C312/C306</f>
        <v>0.345960639538621</v>
      </c>
      <c r="D313" s="10" t="n">
        <f aca="false">D312/D306</f>
        <v>0.417625305362228</v>
      </c>
      <c r="E313" s="10" t="n">
        <f aca="false">E312/E306</f>
        <v>0.451942072354408</v>
      </c>
      <c r="F313" s="10" t="n">
        <f aca="false">F312/F306</f>
        <v>0.473018765775346</v>
      </c>
      <c r="G313" s="10" t="n">
        <f aca="false">G312/G306</f>
        <v>0.486179840752189</v>
      </c>
    </row>
    <row r="314" customFormat="false" ht="17.15" hidden="false" customHeight="false" outlineLevel="0" collapsed="false">
      <c r="A314" s="5" t="s">
        <v>498</v>
      </c>
      <c r="B314" s="0" t="s">
        <v>553</v>
      </c>
      <c r="C314" s="13" t="n">
        <f aca="false">a25_ni/1000</f>
        <v>9.6094</v>
      </c>
      <c r="D314" s="13" t="n">
        <f aca="false">a26_ni/1000</f>
        <v>16.3986734727826</v>
      </c>
      <c r="E314" s="13" t="n">
        <f aca="false">E312*nioi</f>
        <v>20.2353771160289</v>
      </c>
      <c r="F314" s="13" t="n">
        <f aca="false">F312*nioi</f>
        <v>23.689087606862</v>
      </c>
      <c r="G314" s="13" t="n">
        <f aca="false">G312*nioi</f>
        <v>26.197993193617</v>
      </c>
      <c r="H314" s="8" t="s">
        <v>585</v>
      </c>
    </row>
    <row r="315" customFormat="false" ht="15" hidden="false" customHeight="false" outlineLevel="0" collapsed="false">
      <c r="A315" s="5" t="s">
        <v>586</v>
      </c>
      <c r="B315" s="5" t="s">
        <v>267</v>
      </c>
      <c r="C315" s="16" t="n">
        <f aca="false">a25_shr</f>
        <v>388.572583906187</v>
      </c>
      <c r="D315" s="16" t="n">
        <f aca="false">a26_shr</f>
        <v>383.625</v>
      </c>
      <c r="E315" s="16" t="n">
        <f aca="false">sh_q4*(1-bb)^1</f>
        <v>377.685</v>
      </c>
      <c r="F315" s="16" t="n">
        <f aca="false">sh_q4*(1-bb)^2</f>
        <v>373.90815</v>
      </c>
      <c r="G315" s="16" t="n">
        <f aca="false">sh_q4*(1-bb)^3</f>
        <v>370.1690685</v>
      </c>
    </row>
    <row r="316" customFormat="false" ht="17.15" hidden="false" customHeight="false" outlineLevel="0" collapsed="false">
      <c r="A316" s="0" t="s">
        <v>587</v>
      </c>
      <c r="B316" s="0" t="s">
        <v>392</v>
      </c>
      <c r="C316" s="13" t="n">
        <f aca="false">a25_eps</f>
        <v>24.73</v>
      </c>
      <c r="D316" s="13" t="n">
        <f aca="false">a26_eps</f>
        <v>42.7466235849661</v>
      </c>
      <c r="E316" s="13" t="n">
        <f aca="false">E314*1000/E315</f>
        <v>53.5773915194643</v>
      </c>
      <c r="F316" s="13" t="n">
        <f aca="false">F314*1000/F315</f>
        <v>63.3553657679352</v>
      </c>
      <c r="G316" s="13" t="n">
        <f aca="false">G314*1000/G315</f>
        <v>70.7730478394011</v>
      </c>
    </row>
    <row r="317" customFormat="false" ht="17.15" hidden="false" customHeight="false" outlineLevel="0" collapsed="false">
      <c r="A317" s="1" t="s">
        <v>588</v>
      </c>
    </row>
    <row r="318" customFormat="false" ht="17.15" hidden="false" customHeight="false" outlineLevel="0" collapsed="false">
      <c r="A318" s="0" t="s">
        <v>514</v>
      </c>
      <c r="B318" s="0" t="s">
        <v>553</v>
      </c>
      <c r="C318" s="13" t="n">
        <f aca="false">a25_euv/1000</f>
        <v>11.6</v>
      </c>
      <c r="D318" s="13" t="n">
        <f aca="false">a26_euv/1000</f>
        <v>16.82</v>
      </c>
      <c r="E318" s="13" t="n">
        <f aca="false">E302*euv_sh_27</f>
        <v>21.6930501742632</v>
      </c>
      <c r="F318" s="13" t="n">
        <f aca="false">F302*euv_sh_28</f>
        <v>25.436461014187</v>
      </c>
      <c r="G318" s="13" t="n">
        <f aca="false">G302*euv_sh_29</f>
        <v>27.8157401267796</v>
      </c>
    </row>
    <row r="319" customFormat="false" ht="17.15" hidden="false" customHeight="false" outlineLevel="0" collapsed="false">
      <c r="A319" s="5" t="s">
        <v>589</v>
      </c>
      <c r="B319" s="5" t="s">
        <v>362</v>
      </c>
      <c r="E319" s="20" t="n">
        <f aca="false">(E318*1000-hna_n_27*hna_asp)/lna_asp</f>
        <v>85.8775007921053</v>
      </c>
      <c r="F319" s="20" t="n">
        <f aca="false">(F318*1000-hna_n_28*hna_asp)/lna_asp</f>
        <v>96.5293682463047</v>
      </c>
      <c r="G319" s="20" t="n">
        <f aca="false">(G318*1000-hna_n_29*hna_asp)/lna_asp</f>
        <v>102.571546030816</v>
      </c>
    </row>
    <row r="320" customFormat="false" ht="15" hidden="false" customHeight="false" outlineLevel="0" collapsed="false">
      <c r="A320" s="5" t="s">
        <v>590</v>
      </c>
      <c r="B320" s="0" t="s">
        <v>27</v>
      </c>
      <c r="C320" s="21" t="n">
        <f aca="false">C302*fx_25</f>
        <v>27.655959</v>
      </c>
      <c r="D320" s="21" t="n">
        <f aca="false">D302*fx_f</f>
        <v>37.372184</v>
      </c>
      <c r="E320" s="21" t="n">
        <f aca="false">E302*fx_f</f>
        <v>45.7526149129914</v>
      </c>
      <c r="F320" s="21" t="n">
        <f aca="false">F302*fx_f</f>
        <v>51.7654294323806</v>
      </c>
      <c r="G320" s="21" t="n">
        <f aca="false">G302*fx_f</f>
        <v>55.6314802535591</v>
      </c>
    </row>
    <row r="321" customFormat="false" ht="17.15" hidden="false" customHeight="false" outlineLevel="0" collapsed="false">
      <c r="A321" s="0" t="s">
        <v>591</v>
      </c>
      <c r="B321" s="0" t="s">
        <v>231</v>
      </c>
      <c r="C321" s="10" t="n">
        <f aca="false">C320/Units!C7</f>
        <v>0.236584333071578</v>
      </c>
      <c r="D321" s="10" t="n">
        <f aca="false">D320/Units!D7</f>
        <v>0.239324345993695</v>
      </c>
      <c r="E321" s="10" t="n">
        <f aca="false">E320/Units!E7</f>
        <v>0.237311670552754</v>
      </c>
      <c r="F321" s="10" t="n">
        <f aca="false">F320/Units!F7</f>
        <v>0.238959320909658</v>
      </c>
      <c r="G321" s="10" t="n">
        <f aca="false">G320/Units!G7</f>
        <v>0.243034445014329</v>
      </c>
      <c r="H321" s="5" t="s">
        <v>592</v>
      </c>
    </row>
    <row r="330" customFormat="false" ht="17.15" hidden="false" customHeight="false" outlineLevel="0" collapsed="false">
      <c r="A330" s="3" t="s">
        <v>873</v>
      </c>
    </row>
    <row r="331" customFormat="false" ht="17.15" hidden="false" customHeight="false" outlineLevel="0" collapsed="false">
      <c r="A331" s="6" t="s">
        <v>16</v>
      </c>
      <c r="B331" s="6" t="s">
        <v>17</v>
      </c>
      <c r="C331" s="14" t="s">
        <v>548</v>
      </c>
      <c r="D331" s="14" t="s">
        <v>549</v>
      </c>
      <c r="E331" s="14" t="s">
        <v>550</v>
      </c>
      <c r="F331" s="14" t="s">
        <v>551</v>
      </c>
      <c r="G331" s="14" t="s">
        <v>552</v>
      </c>
      <c r="H331" s="6" t="s">
        <v>534</v>
      </c>
    </row>
    <row r="332" customFormat="false" ht="17.15" hidden="false" customHeight="false" outlineLevel="0" collapsed="false">
      <c r="A332" s="1" t="s">
        <v>561</v>
      </c>
    </row>
    <row r="333" customFormat="false" ht="17.15" hidden="false" customHeight="false" outlineLevel="0" collapsed="false">
      <c r="A333" s="5" t="s">
        <v>562</v>
      </c>
      <c r="B333" s="0" t="s">
        <v>345</v>
      </c>
      <c r="C333" s="25" t="n">
        <f aca="false">Units!C8</f>
        <v>0.797493866282457</v>
      </c>
      <c r="D333" s="25" t="n">
        <f aca="false">Units!D8</f>
        <v>1</v>
      </c>
      <c r="E333" s="25" t="n">
        <f aca="false">Units!E8</f>
        <v>1.1581138943867</v>
      </c>
      <c r="F333" s="25" t="n">
        <f aca="false">Units!F8</f>
        <v>1.30398004155566</v>
      </c>
      <c r="G333" s="25" t="n">
        <f aca="false">Units!G8</f>
        <v>1.39118185447666</v>
      </c>
    </row>
    <row r="334" customFormat="false" ht="17.15" hidden="false" customHeight="false" outlineLevel="0" collapsed="false">
      <c r="A334" s="5" t="s">
        <v>563</v>
      </c>
      <c r="B334" s="0" t="s">
        <v>345</v>
      </c>
      <c r="C334" s="25" t="n">
        <f aca="false">Units!C9</f>
        <v>0.677840887672955</v>
      </c>
      <c r="D334" s="25" t="n">
        <f aca="false">Units!D9</f>
        <v>1</v>
      </c>
      <c r="E334" s="25" t="n">
        <f aca="false">Units!E9</f>
        <v>1.3452955652252</v>
      </c>
      <c r="F334" s="25" t="n">
        <f aca="false">Units!F9</f>
        <v>1.50769200272716</v>
      </c>
      <c r="G334" s="25" t="n">
        <f aca="false">Units!G9</f>
        <v>1.57386738820784</v>
      </c>
    </row>
    <row r="335" customFormat="false" ht="17.15" hidden="false" customHeight="false" outlineLevel="0" collapsed="false">
      <c r="A335" s="5" t="s">
        <v>564</v>
      </c>
      <c r="B335" s="0" t="s">
        <v>345</v>
      </c>
      <c r="D335" s="25" t="n">
        <f aca="false">(1+g_int)^0</f>
        <v>1</v>
      </c>
      <c r="E335" s="25" t="n">
        <f aca="false">(1+g_int)^1</f>
        <v>1.03</v>
      </c>
      <c r="F335" s="25" t="n">
        <f aca="false">(1+g_int)^2</f>
        <v>1.0609</v>
      </c>
      <c r="G335" s="25" t="n">
        <f aca="false">(1+g_int)^3</f>
        <v>1.092727</v>
      </c>
      <c r="H335" s="8" t="s">
        <v>565</v>
      </c>
    </row>
    <row r="336" customFormat="false" ht="17.15" hidden="false" customHeight="false" outlineLevel="0" collapsed="false">
      <c r="A336" s="1" t="s">
        <v>566</v>
      </c>
    </row>
    <row r="337" customFormat="false" ht="17.15" hidden="false" customHeight="false" outlineLevel="0" collapsed="false">
      <c r="A337" s="5" t="s">
        <v>567</v>
      </c>
      <c r="B337" s="0" t="s">
        <v>553</v>
      </c>
      <c r="D337" s="13" t="n">
        <f aca="false">a26_sys/1000*(1-cn_sh26)*log_sh26</f>
        <v>14.0838050971922</v>
      </c>
      <c r="E337" s="13" t="n">
        <f aca="false">$D337*E333*E335</f>
        <v>16.7999698799593</v>
      </c>
      <c r="F337" s="13" t="n">
        <f aca="false">$D337*F333*F335</f>
        <v>19.4834293019328</v>
      </c>
      <c r="G337" s="13" t="n">
        <f aca="false">$D337*G333*G335</f>
        <v>21.4099466382598</v>
      </c>
      <c r="H337" s="8" t="s">
        <v>568</v>
      </c>
    </row>
    <row r="338" customFormat="false" ht="15" hidden="false" customHeight="false" outlineLevel="0" collapsed="false">
      <c r="A338" s="5" t="s">
        <v>569</v>
      </c>
      <c r="B338" s="0" t="s">
        <v>553</v>
      </c>
      <c r="D338" s="13" t="n">
        <f aca="false">a26_sys/1000*(1-cn_sh26)*(1-log_sh26)</f>
        <v>11.6901149028078</v>
      </c>
      <c r="E338" s="13" t="n">
        <f aca="false">$D338*E334*E335</f>
        <v>16.1984595277919</v>
      </c>
      <c r="F338" s="13" t="n">
        <f aca="false">$D338*F334*F335</f>
        <v>18.6984608983954</v>
      </c>
      <c r="G338" s="13" t="n">
        <f aca="false">$D338*G334*G335</f>
        <v>20.1047459941188</v>
      </c>
    </row>
    <row r="339" customFormat="false" ht="17.15" hidden="false" customHeight="false" outlineLevel="0" collapsed="false">
      <c r="A339" s="5" t="s">
        <v>570</v>
      </c>
      <c r="B339" s="0" t="s">
        <v>553</v>
      </c>
      <c r="D339" s="13" t="n">
        <f aca="false">a26_sys/1000*cn_sh26</f>
        <v>6.44348</v>
      </c>
      <c r="E339" s="13" t="n">
        <f aca="false">D339*(1+g_cn_A)</f>
        <v>6.44348</v>
      </c>
      <c r="F339" s="13" t="n">
        <f aca="false">E339*(1+g_cn_A)</f>
        <v>6.44348</v>
      </c>
      <c r="G339" s="13" t="n">
        <f aca="false">F339*(1+g_cn_A)</f>
        <v>6.44348</v>
      </c>
      <c r="H339" s="8" t="s">
        <v>571</v>
      </c>
    </row>
    <row r="340" customFormat="false" ht="15" hidden="false" customHeight="false" outlineLevel="0" collapsed="false">
      <c r="A340" s="5" t="s">
        <v>572</v>
      </c>
      <c r="B340" s="0" t="s">
        <v>553</v>
      </c>
      <c r="D340" s="13" t="n">
        <f aca="false">D337+D338+D339</f>
        <v>32.2174</v>
      </c>
      <c r="E340" s="13" t="n">
        <f aca="false">E337+E338+E339</f>
        <v>39.4419094077512</v>
      </c>
      <c r="F340" s="13" t="n">
        <f aca="false">F337+F338+F339</f>
        <v>44.6253702003281</v>
      </c>
      <c r="G340" s="13" t="n">
        <f aca="false">G337+G338+G339</f>
        <v>47.9581726323786</v>
      </c>
    </row>
    <row r="341" customFormat="false" ht="17.15" hidden="false" customHeight="false" outlineLevel="0" collapsed="false">
      <c r="A341" s="5" t="s">
        <v>573</v>
      </c>
      <c r="B341" s="0" t="s">
        <v>553</v>
      </c>
      <c r="D341" s="13" t="n">
        <f aca="false">a26_sys/1000</f>
        <v>32.2174</v>
      </c>
      <c r="E341" s="13" t="n">
        <f aca="false">$D341*(1+cap_27)*E335</f>
        <v>43.1390986</v>
      </c>
      <c r="F341" s="13" t="n">
        <f aca="false">$D341*(1+cap_27)*(1+cap_28)*F335</f>
        <v>51.0982622917</v>
      </c>
      <c r="G341" s="13" t="n">
        <f aca="false">$D341*(1+cap_27)*(1+cap_28)*(1+cap_29)*G335</f>
        <v>57.8943311764961</v>
      </c>
      <c r="H341" s="5" t="s">
        <v>574</v>
      </c>
    </row>
    <row r="342" customFormat="false" ht="17.15" hidden="false" customHeight="false" outlineLevel="0" collapsed="false">
      <c r="A342" s="5" t="s">
        <v>575</v>
      </c>
      <c r="B342" s="0" t="s">
        <v>553</v>
      </c>
      <c r="C342" s="13" t="n">
        <f aca="false">a25_sys/1000</f>
        <v>24.4743</v>
      </c>
      <c r="D342" s="13" t="n">
        <f aca="false">a26_sys/1000</f>
        <v>32.2174</v>
      </c>
      <c r="E342" s="13" t="n">
        <f aca="false">MIN(E340,E341)</f>
        <v>39.4419094077512</v>
      </c>
      <c r="F342" s="13" t="n">
        <f aca="false">MIN(F340,F341)</f>
        <v>44.6253702003281</v>
      </c>
      <c r="G342" s="13" t="n">
        <f aca="false">MIN(G340,G341)</f>
        <v>47.9581726323786</v>
      </c>
    </row>
    <row r="343" customFormat="false" ht="17.15" hidden="false" customHeight="false" outlineLevel="0" collapsed="false">
      <c r="A343" s="5" t="s">
        <v>576</v>
      </c>
      <c r="E343" s="20" t="n">
        <f aca="false">IF(E340&gt;E341,1,0)</f>
        <v>0</v>
      </c>
      <c r="F343" s="20" t="n">
        <f aca="false">IF(F340&gt;F341,1,0)</f>
        <v>0</v>
      </c>
      <c r="G343" s="20" t="n">
        <f aca="false">IF(G340&gt;G341,1,0)</f>
        <v>0</v>
      </c>
    </row>
    <row r="344" customFormat="false" ht="15" hidden="false" customHeight="false" outlineLevel="0" collapsed="false">
      <c r="A344" s="5" t="s">
        <v>577</v>
      </c>
      <c r="B344" s="0" t="s">
        <v>231</v>
      </c>
      <c r="D344" s="10" t="n">
        <f aca="false">D339/D340</f>
        <v>0.2</v>
      </c>
      <c r="E344" s="10" t="n">
        <f aca="false">E339/E340</f>
        <v>0.163366330300777</v>
      </c>
      <c r="F344" s="10" t="n">
        <f aca="false">F339/F340</f>
        <v>0.144390510847854</v>
      </c>
      <c r="G344" s="10" t="n">
        <f aca="false">G339/G340</f>
        <v>0.134356245167893</v>
      </c>
      <c r="H344" s="5" t="s">
        <v>578</v>
      </c>
    </row>
    <row r="345" customFormat="false" ht="17.15" hidden="false" customHeight="false" outlineLevel="0" collapsed="false">
      <c r="A345" s="5" t="s">
        <v>579</v>
      </c>
      <c r="B345" s="0" t="s">
        <v>553</v>
      </c>
      <c r="C345" s="13" t="n">
        <f aca="false">a25_ibm/1000</f>
        <v>8.193</v>
      </c>
      <c r="D345" s="13" t="n">
        <f aca="false">a26_ibm/1000</f>
        <v>12.238</v>
      </c>
      <c r="E345" s="13" t="n">
        <f aca="false">D345*(1+g_ibm_A_hi)</f>
        <v>14.19608</v>
      </c>
      <c r="F345" s="13" t="n">
        <f aca="false">E345*(1+g_ibm_A_hi)</f>
        <v>16.4674528</v>
      </c>
      <c r="G345" s="13" t="n">
        <f aca="false">F345*(1+g_ibm_A_hi)</f>
        <v>19.102245248</v>
      </c>
    </row>
    <row r="346" customFormat="false" ht="15" hidden="false" customHeight="false" outlineLevel="0" collapsed="false">
      <c r="A346" s="5" t="s">
        <v>481</v>
      </c>
      <c r="B346" s="0" t="s">
        <v>553</v>
      </c>
      <c r="C346" s="13" t="n">
        <f aca="false">C342+C345</f>
        <v>32.6673</v>
      </c>
      <c r="D346" s="13" t="n">
        <f aca="false">D342+D345</f>
        <v>44.4554</v>
      </c>
      <c r="E346" s="13" t="n">
        <f aca="false">E342+E345</f>
        <v>53.6379894077512</v>
      </c>
      <c r="F346" s="13" t="n">
        <f aca="false">F342+F345</f>
        <v>61.0928230003281</v>
      </c>
      <c r="G346" s="13" t="n">
        <f aca="false">G342+G345</f>
        <v>67.0604178803786</v>
      </c>
    </row>
    <row r="347" customFormat="false" ht="15" hidden="false" customHeight="false" outlineLevel="0" collapsed="false">
      <c r="A347" s="5" t="s">
        <v>580</v>
      </c>
      <c r="B347" s="0" t="s">
        <v>231</v>
      </c>
      <c r="D347" s="10" t="n">
        <f aca="false">D346/C346-1</f>
        <v>0.360853207948009</v>
      </c>
      <c r="E347" s="10" t="n">
        <f aca="false">E346/D346-1</f>
        <v>0.206557345288789</v>
      </c>
      <c r="F347" s="10" t="n">
        <f aca="false">F346/E346-1</f>
        <v>0.138984210163173</v>
      </c>
      <c r="G347" s="10" t="n">
        <f aca="false">G346/F346-1</f>
        <v>0.0976807845336984</v>
      </c>
    </row>
    <row r="348" customFormat="false" ht="17.15" hidden="false" customHeight="false" outlineLevel="0" collapsed="false">
      <c r="A348" s="1" t="s">
        <v>581</v>
      </c>
    </row>
    <row r="349" customFormat="false" ht="17.15" hidden="false" customHeight="false" outlineLevel="0" collapsed="false">
      <c r="A349" s="5" t="s">
        <v>486</v>
      </c>
      <c r="B349" s="0" t="s">
        <v>231</v>
      </c>
      <c r="C349" s="10" t="n">
        <f aca="false">a25_gp/a25_rev</f>
        <v>0.528298941142978</v>
      </c>
      <c r="D349" s="10" t="n">
        <f aca="false">a26_gp/a26_rev</f>
        <v>0.556944713128214</v>
      </c>
      <c r="E349" s="10" t="n">
        <f aca="false">$D349+gm_b*LN(E346/$D346)</f>
        <v>0.574402168656118</v>
      </c>
      <c r="F349" s="10" t="n">
        <f aca="false">$D349+gm_b*LN(F346/$D346)</f>
        <v>0.58650124751906</v>
      </c>
      <c r="G349" s="10" t="n">
        <f aca="false">$D349+gm_b*LN(G346/$D346)</f>
        <v>0.595166197311748</v>
      </c>
      <c r="H349" s="8" t="s">
        <v>582</v>
      </c>
    </row>
    <row r="350" customFormat="false" ht="15" hidden="false" customHeight="false" outlineLevel="0" collapsed="false">
      <c r="A350" s="5" t="s">
        <v>484</v>
      </c>
      <c r="B350" s="0" t="s">
        <v>553</v>
      </c>
      <c r="C350" s="13" t="n">
        <f aca="false">C346*C349</f>
        <v>17.2581</v>
      </c>
      <c r="D350" s="13" t="n">
        <f aca="false">D346*D349</f>
        <v>24.7592</v>
      </c>
      <c r="E350" s="13" t="n">
        <f aca="false">E346*E349</f>
        <v>30.8097774381662</v>
      </c>
      <c r="F350" s="13" t="n">
        <f aca="false">F346*F349</f>
        <v>35.8310169041536</v>
      </c>
      <c r="G350" s="13" t="n">
        <f aca="false">G346*G349</f>
        <v>39.9120939000017</v>
      </c>
    </row>
    <row r="351" customFormat="false" ht="17.15" hidden="false" customHeight="false" outlineLevel="0" collapsed="false">
      <c r="A351" s="5" t="s">
        <v>583</v>
      </c>
      <c r="B351" s="0" t="s">
        <v>553</v>
      </c>
      <c r="C351" s="13" t="n">
        <f aca="false">opex25/1000</f>
        <v>5.9565</v>
      </c>
      <c r="D351" s="13" t="n">
        <f aca="false">opex26/1000</f>
        <v>6.1935</v>
      </c>
      <c r="E351" s="13" t="n">
        <f aca="false">$D351*((1-phi)+phi*E346/$D346)</f>
        <v>6.37811615439613</v>
      </c>
      <c r="F351" s="13" t="n">
        <f aca="false">$D351*((1-phi)+phi*F346/$D346)</f>
        <v>6.52799574155952</v>
      </c>
      <c r="G351" s="13" t="n">
        <f aca="false">$D351*((1-phi)+phi*G346/$D346)</f>
        <v>6.64797436292954</v>
      </c>
      <c r="H351" s="8" t="s">
        <v>584</v>
      </c>
    </row>
    <row r="352" customFormat="false" ht="15" hidden="false" customHeight="false" outlineLevel="0" collapsed="false">
      <c r="A352" s="5" t="s">
        <v>490</v>
      </c>
      <c r="B352" s="0" t="s">
        <v>553</v>
      </c>
      <c r="C352" s="13" t="n">
        <f aca="false">C350-C351</f>
        <v>11.3016</v>
      </c>
      <c r="D352" s="13" t="n">
        <f aca="false">D350-D351</f>
        <v>18.5657</v>
      </c>
      <c r="E352" s="13" t="n">
        <f aca="false">E350-E351</f>
        <v>24.4316612837701</v>
      </c>
      <c r="F352" s="13" t="n">
        <f aca="false">F350-F351</f>
        <v>29.3030211625941</v>
      </c>
      <c r="G352" s="13" t="n">
        <f aca="false">G350-G351</f>
        <v>33.2641195370721</v>
      </c>
    </row>
    <row r="353" customFormat="false" ht="15" hidden="false" customHeight="false" outlineLevel="0" collapsed="false">
      <c r="A353" s="5" t="s">
        <v>557</v>
      </c>
      <c r="B353" s="0" t="s">
        <v>231</v>
      </c>
      <c r="C353" s="10" t="n">
        <f aca="false">C352/C346</f>
        <v>0.345960639538621</v>
      </c>
      <c r="D353" s="10" t="n">
        <f aca="false">D352/D346</f>
        <v>0.417625305362228</v>
      </c>
      <c r="E353" s="10" t="n">
        <f aca="false">E352/E346</f>
        <v>0.455491742951861</v>
      </c>
      <c r="F353" s="10" t="n">
        <f aca="false">F352/F346</f>
        <v>0.479647521975481</v>
      </c>
      <c r="G353" s="10" t="n">
        <f aca="false">G352/G346</f>
        <v>0.496032094467532</v>
      </c>
    </row>
    <row r="354" customFormat="false" ht="17.15" hidden="false" customHeight="false" outlineLevel="0" collapsed="false">
      <c r="A354" s="5" t="s">
        <v>498</v>
      </c>
      <c r="B354" s="0" t="s">
        <v>553</v>
      </c>
      <c r="C354" s="13" t="n">
        <f aca="false">a25_ni/1000</f>
        <v>9.6094</v>
      </c>
      <c r="D354" s="13" t="n">
        <f aca="false">a26_ni/1000</f>
        <v>16.3986734727826</v>
      </c>
      <c r="E354" s="13" t="n">
        <f aca="false">E352*nioi</f>
        <v>20.7734839261928</v>
      </c>
      <c r="F354" s="13" t="n">
        <f aca="false">F352*nioi</f>
        <v>24.9154501627939</v>
      </c>
      <c r="G354" s="13" t="n">
        <f aca="false">G352*nioi</f>
        <v>28.2834492708591</v>
      </c>
      <c r="H354" s="8" t="s">
        <v>585</v>
      </c>
    </row>
    <row r="355" customFormat="false" ht="15" hidden="false" customHeight="false" outlineLevel="0" collapsed="false">
      <c r="A355" s="5" t="s">
        <v>586</v>
      </c>
      <c r="B355" s="5" t="s">
        <v>267</v>
      </c>
      <c r="C355" s="16" t="n">
        <f aca="false">a25_shr</f>
        <v>388.572583906187</v>
      </c>
      <c r="D355" s="16" t="n">
        <f aca="false">a26_shr</f>
        <v>383.625</v>
      </c>
      <c r="E355" s="16" t="n">
        <f aca="false">sh_q4*(1-bb)^1</f>
        <v>377.685</v>
      </c>
      <c r="F355" s="16" t="n">
        <f aca="false">sh_q4*(1-bb)^2</f>
        <v>373.90815</v>
      </c>
      <c r="G355" s="16" t="n">
        <f aca="false">sh_q4*(1-bb)^3</f>
        <v>370.1690685</v>
      </c>
    </row>
    <row r="356" customFormat="false" ht="17.15" hidden="false" customHeight="false" outlineLevel="0" collapsed="false">
      <c r="A356" s="0" t="s">
        <v>587</v>
      </c>
      <c r="B356" s="0" t="s">
        <v>392</v>
      </c>
      <c r="C356" s="13" t="n">
        <f aca="false">a25_eps</f>
        <v>24.73</v>
      </c>
      <c r="D356" s="13" t="n">
        <f aca="false">a26_eps</f>
        <v>42.7466235849661</v>
      </c>
      <c r="E356" s="13" t="n">
        <f aca="false">E354*1000/E355</f>
        <v>55.0021418012173</v>
      </c>
      <c r="F356" s="13" t="n">
        <f aca="false">F354*1000/F355</f>
        <v>66.6352155276474</v>
      </c>
      <c r="G356" s="13" t="n">
        <f aca="false">G354*1000/G355</f>
        <v>76.4068412994887</v>
      </c>
    </row>
    <row r="357" customFormat="false" ht="17.15" hidden="false" customHeight="false" outlineLevel="0" collapsed="false">
      <c r="A357" s="1" t="s">
        <v>588</v>
      </c>
    </row>
    <row r="358" customFormat="false" ht="17.15" hidden="false" customHeight="false" outlineLevel="0" collapsed="false">
      <c r="A358" s="0" t="s">
        <v>514</v>
      </c>
      <c r="B358" s="0" t="s">
        <v>553</v>
      </c>
      <c r="C358" s="13" t="n">
        <f aca="false">a25_euv/1000</f>
        <v>11.6</v>
      </c>
      <c r="D358" s="13" t="n">
        <f aca="false">a26_euv/1000</f>
        <v>16.82</v>
      </c>
      <c r="E358" s="13" t="n">
        <f aca="false">E342*euv_sh_27</f>
        <v>21.6930501742632</v>
      </c>
      <c r="F358" s="13" t="n">
        <f aca="false">F342*euv_sh_28</f>
        <v>25.436461014187</v>
      </c>
      <c r="G358" s="13" t="n">
        <f aca="false">G342*euv_sh_29</f>
        <v>27.8157401267796</v>
      </c>
    </row>
    <row r="359" customFormat="false" ht="17.15" hidden="false" customHeight="false" outlineLevel="0" collapsed="false">
      <c r="A359" s="5" t="s">
        <v>589</v>
      </c>
      <c r="B359" s="5" t="s">
        <v>362</v>
      </c>
      <c r="E359" s="20" t="n">
        <f aca="false">(E358*1000-hna_n_27*hna_asp)/lna_asp</f>
        <v>85.8775007921053</v>
      </c>
      <c r="F359" s="20" t="n">
        <f aca="false">(F358*1000-hna_n_28*hna_asp)/lna_asp</f>
        <v>96.5293682463047</v>
      </c>
      <c r="G359" s="20" t="n">
        <f aca="false">(G358*1000-hna_n_29*hna_asp)/lna_asp</f>
        <v>102.571546030816</v>
      </c>
    </row>
    <row r="360" customFormat="false" ht="15" hidden="false" customHeight="false" outlineLevel="0" collapsed="false">
      <c r="A360" s="5" t="s">
        <v>590</v>
      </c>
      <c r="B360" s="0" t="s">
        <v>27</v>
      </c>
      <c r="C360" s="21" t="n">
        <f aca="false">C342*fx_25</f>
        <v>27.655959</v>
      </c>
      <c r="D360" s="21" t="n">
        <f aca="false">D342*fx_f</f>
        <v>37.372184</v>
      </c>
      <c r="E360" s="21" t="n">
        <f aca="false">E342*fx_f</f>
        <v>45.7526149129914</v>
      </c>
      <c r="F360" s="21" t="n">
        <f aca="false">F342*fx_f</f>
        <v>51.7654294323806</v>
      </c>
      <c r="G360" s="21" t="n">
        <f aca="false">G342*fx_f</f>
        <v>55.6314802535591</v>
      </c>
    </row>
    <row r="361" customFormat="false" ht="17.15" hidden="false" customHeight="false" outlineLevel="0" collapsed="false">
      <c r="A361" s="0" t="s">
        <v>591</v>
      </c>
      <c r="B361" s="0" t="s">
        <v>231</v>
      </c>
      <c r="C361" s="10" t="n">
        <f aca="false">C360/Units!C7</f>
        <v>0.236584333071578</v>
      </c>
      <c r="D361" s="10" t="n">
        <f aca="false">D360/Units!D7</f>
        <v>0.239324345993695</v>
      </c>
      <c r="E361" s="10" t="n">
        <f aca="false">E360/Units!E7</f>
        <v>0.237311670552754</v>
      </c>
      <c r="F361" s="10" t="n">
        <f aca="false">F360/Units!F7</f>
        <v>0.238959320909658</v>
      </c>
      <c r="G361" s="10" t="n">
        <f aca="false">G360/Units!G7</f>
        <v>0.243034445014329</v>
      </c>
      <c r="H361" s="5" t="s">
        <v>592</v>
      </c>
    </row>
    <row r="370" customFormat="false" ht="17.15" hidden="false" customHeight="false" outlineLevel="0" collapsed="false">
      <c r="A370" s="3" t="s">
        <v>874</v>
      </c>
    </row>
    <row r="371" customFormat="false" ht="17.15" hidden="false" customHeight="false" outlineLevel="0" collapsed="false">
      <c r="A371" s="6" t="s">
        <v>16</v>
      </c>
      <c r="B371" s="6" t="s">
        <v>17</v>
      </c>
      <c r="C371" s="14" t="s">
        <v>548</v>
      </c>
      <c r="D371" s="14" t="s">
        <v>549</v>
      </c>
      <c r="E371" s="14" t="s">
        <v>550</v>
      </c>
      <c r="F371" s="14" t="s">
        <v>551</v>
      </c>
      <c r="G371" s="14" t="s">
        <v>552</v>
      </c>
      <c r="H371" s="6" t="s">
        <v>534</v>
      </c>
    </row>
    <row r="372" customFormat="false" ht="17.15" hidden="false" customHeight="false" outlineLevel="0" collapsed="false">
      <c r="A372" s="1" t="s">
        <v>561</v>
      </c>
    </row>
    <row r="373" customFormat="false" ht="17.15" hidden="false" customHeight="false" outlineLevel="0" collapsed="false">
      <c r="A373" s="5" t="s">
        <v>562</v>
      </c>
      <c r="B373" s="0" t="s">
        <v>345</v>
      </c>
      <c r="C373" s="25" t="n">
        <f aca="false">Units!C8</f>
        <v>0.797493866282457</v>
      </c>
      <c r="D373" s="25" t="n">
        <f aca="false">Units!D8</f>
        <v>1</v>
      </c>
      <c r="E373" s="25" t="n">
        <f aca="false">Units!E8</f>
        <v>1.1581138943867</v>
      </c>
      <c r="F373" s="25" t="n">
        <f aca="false">Units!F8</f>
        <v>1.30398004155566</v>
      </c>
      <c r="G373" s="25" t="n">
        <f aca="false">Units!G8</f>
        <v>1.39118185447666</v>
      </c>
    </row>
    <row r="374" customFormat="false" ht="17.15" hidden="false" customHeight="false" outlineLevel="0" collapsed="false">
      <c r="A374" s="5" t="s">
        <v>563</v>
      </c>
      <c r="B374" s="0" t="s">
        <v>345</v>
      </c>
      <c r="C374" s="25" t="n">
        <f aca="false">Units!C9</f>
        <v>0.677840887672955</v>
      </c>
      <c r="D374" s="25" t="n">
        <f aca="false">Units!D9</f>
        <v>1</v>
      </c>
      <c r="E374" s="25" t="n">
        <f aca="false">Units!E9</f>
        <v>1.3452955652252</v>
      </c>
      <c r="F374" s="25" t="n">
        <f aca="false">Units!F9</f>
        <v>1.50769200272716</v>
      </c>
      <c r="G374" s="25" t="n">
        <f aca="false">Units!G9</f>
        <v>1.57386738820784</v>
      </c>
    </row>
    <row r="375" customFormat="false" ht="17.15" hidden="false" customHeight="false" outlineLevel="0" collapsed="false">
      <c r="A375" s="5" t="s">
        <v>564</v>
      </c>
      <c r="B375" s="0" t="s">
        <v>345</v>
      </c>
      <c r="D375" s="25" t="n">
        <f aca="false">(1+g_int)^0</f>
        <v>1</v>
      </c>
      <c r="E375" s="25" t="n">
        <f aca="false">(1+g_int)^1</f>
        <v>1.03</v>
      </c>
      <c r="F375" s="25" t="n">
        <f aca="false">(1+g_int)^2</f>
        <v>1.0609</v>
      </c>
      <c r="G375" s="25" t="n">
        <f aca="false">(1+g_int)^3</f>
        <v>1.092727</v>
      </c>
      <c r="H375" s="8" t="s">
        <v>565</v>
      </c>
    </row>
    <row r="376" customFormat="false" ht="17.15" hidden="false" customHeight="false" outlineLevel="0" collapsed="false">
      <c r="A376" s="1" t="s">
        <v>566</v>
      </c>
    </row>
    <row r="377" customFormat="false" ht="17.15" hidden="false" customHeight="false" outlineLevel="0" collapsed="false">
      <c r="A377" s="5" t="s">
        <v>567</v>
      </c>
      <c r="B377" s="0" t="s">
        <v>553</v>
      </c>
      <c r="D377" s="13" t="n">
        <f aca="false">a26_sys/1000*(1-cn_sh26)*log_sh26</f>
        <v>14.0838050971922</v>
      </c>
      <c r="E377" s="13" t="n">
        <f aca="false">$D377*E373*E375</f>
        <v>16.7999698799593</v>
      </c>
      <c r="F377" s="13" t="n">
        <f aca="false">$D377*F373*F375</f>
        <v>19.4834293019328</v>
      </c>
      <c r="G377" s="13" t="n">
        <f aca="false">$D377*G373*G375</f>
        <v>21.4099466382598</v>
      </c>
      <c r="H377" s="8" t="s">
        <v>568</v>
      </c>
    </row>
    <row r="378" customFormat="false" ht="15" hidden="false" customHeight="false" outlineLevel="0" collapsed="false">
      <c r="A378" s="5" t="s">
        <v>569</v>
      </c>
      <c r="B378" s="0" t="s">
        <v>553</v>
      </c>
      <c r="D378" s="13" t="n">
        <f aca="false">a26_sys/1000*(1-cn_sh26)*(1-log_sh26)</f>
        <v>11.6901149028078</v>
      </c>
      <c r="E378" s="13" t="n">
        <f aca="false">$D378*E374*E375</f>
        <v>16.1984595277919</v>
      </c>
      <c r="F378" s="13" t="n">
        <f aca="false">$D378*F374*F375</f>
        <v>18.6984608983954</v>
      </c>
      <c r="G378" s="13" t="n">
        <f aca="false">$D378*G374*G375</f>
        <v>20.1047459941188</v>
      </c>
    </row>
    <row r="379" customFormat="false" ht="17.15" hidden="false" customHeight="false" outlineLevel="0" collapsed="false">
      <c r="A379" s="5" t="s">
        <v>570</v>
      </c>
      <c r="B379" s="0" t="s">
        <v>553</v>
      </c>
      <c r="D379" s="13" t="n">
        <f aca="false">a26_sys/1000*cn_sh26</f>
        <v>6.44348</v>
      </c>
      <c r="E379" s="13" t="n">
        <f aca="false">D379*(1+g_cn_A)</f>
        <v>6.44348</v>
      </c>
      <c r="F379" s="13" t="n">
        <f aca="false">E379*(1+g_cn_A)</f>
        <v>6.44348</v>
      </c>
      <c r="G379" s="13" t="n">
        <f aca="false">F379*(1+g_cn_A)</f>
        <v>6.44348</v>
      </c>
      <c r="H379" s="8" t="s">
        <v>571</v>
      </c>
    </row>
    <row r="380" customFormat="false" ht="15" hidden="false" customHeight="false" outlineLevel="0" collapsed="false">
      <c r="A380" s="5" t="s">
        <v>572</v>
      </c>
      <c r="B380" s="0" t="s">
        <v>553</v>
      </c>
      <c r="D380" s="13" t="n">
        <f aca="false">D377+D378+D379</f>
        <v>32.2174</v>
      </c>
      <c r="E380" s="13" t="n">
        <f aca="false">E377+E378+E379</f>
        <v>39.4419094077512</v>
      </c>
      <c r="F380" s="13" t="n">
        <f aca="false">F377+F378+F379</f>
        <v>44.6253702003281</v>
      </c>
      <c r="G380" s="13" t="n">
        <f aca="false">G377+G378+G379</f>
        <v>47.9581726323786</v>
      </c>
    </row>
    <row r="381" customFormat="false" ht="17.15" hidden="false" customHeight="false" outlineLevel="0" collapsed="false">
      <c r="A381" s="5" t="s">
        <v>573</v>
      </c>
      <c r="B381" s="0" t="s">
        <v>553</v>
      </c>
      <c r="D381" s="13" t="n">
        <f aca="false">a26_sys/1000</f>
        <v>32.2174</v>
      </c>
      <c r="E381" s="13" t="n">
        <f aca="false">$D381*(1+cap_27)*E375</f>
        <v>43.1390986</v>
      </c>
      <c r="F381" s="13" t="n">
        <f aca="false">$D381*(1+cap_27)*(1+cap_28)*F375</f>
        <v>51.0982622917</v>
      </c>
      <c r="G381" s="13" t="n">
        <f aca="false">$D381*(1+cap_27)*(1+cap_28)*(1+cap_29)*G375</f>
        <v>57.8943311764961</v>
      </c>
      <c r="H381" s="5" t="s">
        <v>574</v>
      </c>
    </row>
    <row r="382" customFormat="false" ht="17.15" hidden="false" customHeight="false" outlineLevel="0" collapsed="false">
      <c r="A382" s="5" t="s">
        <v>575</v>
      </c>
      <c r="B382" s="0" t="s">
        <v>553</v>
      </c>
      <c r="C382" s="13" t="n">
        <f aca="false">a25_sys/1000</f>
        <v>24.4743</v>
      </c>
      <c r="D382" s="13" t="n">
        <f aca="false">a26_sys/1000</f>
        <v>32.2174</v>
      </c>
      <c r="E382" s="13" t="n">
        <f aca="false">MIN(E380,E381)</f>
        <v>39.4419094077512</v>
      </c>
      <c r="F382" s="13" t="n">
        <f aca="false">MIN(F380,F381)</f>
        <v>44.6253702003281</v>
      </c>
      <c r="G382" s="13" t="n">
        <f aca="false">MIN(G380,G381)</f>
        <v>47.9581726323786</v>
      </c>
    </row>
    <row r="383" customFormat="false" ht="17.15" hidden="false" customHeight="false" outlineLevel="0" collapsed="false">
      <c r="A383" s="5" t="s">
        <v>576</v>
      </c>
      <c r="E383" s="20" t="n">
        <f aca="false">IF(E380&gt;E381,1,0)</f>
        <v>0</v>
      </c>
      <c r="F383" s="20" t="n">
        <f aca="false">IF(F380&gt;F381,1,0)</f>
        <v>0</v>
      </c>
      <c r="G383" s="20" t="n">
        <f aca="false">IF(G380&gt;G381,1,0)</f>
        <v>0</v>
      </c>
    </row>
    <row r="384" customFormat="false" ht="15" hidden="false" customHeight="false" outlineLevel="0" collapsed="false">
      <c r="A384" s="5" t="s">
        <v>577</v>
      </c>
      <c r="B384" s="0" t="s">
        <v>231</v>
      </c>
      <c r="D384" s="10" t="n">
        <f aca="false">D379/D380</f>
        <v>0.2</v>
      </c>
      <c r="E384" s="10" t="n">
        <f aca="false">E379/E380</f>
        <v>0.163366330300777</v>
      </c>
      <c r="F384" s="10" t="n">
        <f aca="false">F379/F380</f>
        <v>0.144390510847854</v>
      </c>
      <c r="G384" s="10" t="n">
        <f aca="false">G379/G380</f>
        <v>0.134356245167893</v>
      </c>
      <c r="H384" s="5" t="s">
        <v>578</v>
      </c>
    </row>
    <row r="385" customFormat="false" ht="17.15" hidden="false" customHeight="false" outlineLevel="0" collapsed="false">
      <c r="A385" s="5" t="s">
        <v>579</v>
      </c>
      <c r="B385" s="0" t="s">
        <v>553</v>
      </c>
      <c r="C385" s="13" t="n">
        <f aca="false">a25_ibm/1000</f>
        <v>8.193</v>
      </c>
      <c r="D385" s="13" t="n">
        <f aca="false">a26_ibm/1000</f>
        <v>12.238</v>
      </c>
      <c r="E385" s="13" t="n">
        <f aca="false">D385*(1+g_ibm_A)</f>
        <v>13.70656</v>
      </c>
      <c r="F385" s="13" t="n">
        <f aca="false">E385*(1+g_ibm_A)</f>
        <v>15.3513472</v>
      </c>
      <c r="G385" s="13" t="n">
        <f aca="false">F385*(1+g_ibm_A)</f>
        <v>17.193508864</v>
      </c>
    </row>
    <row r="386" customFormat="false" ht="15" hidden="false" customHeight="false" outlineLevel="0" collapsed="false">
      <c r="A386" s="5" t="s">
        <v>481</v>
      </c>
      <c r="B386" s="0" t="s">
        <v>553</v>
      </c>
      <c r="C386" s="13" t="n">
        <f aca="false">C382+C385</f>
        <v>32.6673</v>
      </c>
      <c r="D386" s="13" t="n">
        <f aca="false">D382+D385</f>
        <v>44.4554</v>
      </c>
      <c r="E386" s="13" t="n">
        <f aca="false">E382+E385</f>
        <v>53.1484694077512</v>
      </c>
      <c r="F386" s="13" t="n">
        <f aca="false">F382+F385</f>
        <v>59.9767174003281</v>
      </c>
      <c r="G386" s="13" t="n">
        <f aca="false">G382+G385</f>
        <v>65.1516814963786</v>
      </c>
    </row>
    <row r="387" customFormat="false" ht="15" hidden="false" customHeight="false" outlineLevel="0" collapsed="false">
      <c r="A387" s="5" t="s">
        <v>580</v>
      </c>
      <c r="B387" s="0" t="s">
        <v>231</v>
      </c>
      <c r="D387" s="10" t="n">
        <f aca="false">D386/C386-1</f>
        <v>0.360853207948009</v>
      </c>
      <c r="E387" s="10" t="n">
        <f aca="false">E386/D386-1</f>
        <v>0.195545859620006</v>
      </c>
      <c r="F387" s="10" t="n">
        <f aca="false">F386/E386-1</f>
        <v>0.128474969621253</v>
      </c>
      <c r="G387" s="10" t="n">
        <f aca="false">G386/F386-1</f>
        <v>0.0862828830979356</v>
      </c>
    </row>
    <row r="388" customFormat="false" ht="17.15" hidden="false" customHeight="false" outlineLevel="0" collapsed="false">
      <c r="A388" s="1" t="s">
        <v>581</v>
      </c>
    </row>
    <row r="389" customFormat="false" ht="17.15" hidden="false" customHeight="false" outlineLevel="0" collapsed="false">
      <c r="A389" s="5" t="s">
        <v>486</v>
      </c>
      <c r="B389" s="0" t="s">
        <v>231</v>
      </c>
      <c r="C389" s="10" t="n">
        <f aca="false">a25_gp/a25_rev</f>
        <v>0.528298941142978</v>
      </c>
      <c r="D389" s="10" t="n">
        <f aca="false">a26_gp/a26_rev</f>
        <v>0.556944713128214</v>
      </c>
      <c r="E389" s="10" t="n">
        <f aca="false">$D389+gm_b_lo*LN(E386/$D386)</f>
        <v>0.565247244852556</v>
      </c>
      <c r="F389" s="10" t="n">
        <f aca="false">$D389+gm_b_lo*LN(F386/$D386)</f>
        <v>0.57086587378333</v>
      </c>
      <c r="G389" s="10" t="n">
        <f aca="false">$D389+gm_b_lo*LN(G386/$D386)</f>
        <v>0.574713132199264</v>
      </c>
      <c r="H389" s="8" t="s">
        <v>582</v>
      </c>
    </row>
    <row r="390" customFormat="false" ht="15" hidden="false" customHeight="false" outlineLevel="0" collapsed="false">
      <c r="A390" s="5" t="s">
        <v>484</v>
      </c>
      <c r="B390" s="0" t="s">
        <v>553</v>
      </c>
      <c r="C390" s="13" t="n">
        <f aca="false">C386*C389</f>
        <v>17.2581</v>
      </c>
      <c r="D390" s="13" t="n">
        <f aca="false">D386*D389</f>
        <v>24.7592</v>
      </c>
      <c r="E390" s="13" t="n">
        <f aca="false">E386*E389</f>
        <v>30.0420259008617</v>
      </c>
      <c r="F390" s="13" t="n">
        <f aca="false">F386*F389</f>
        <v>34.2386611853942</v>
      </c>
      <c r="G390" s="13" t="n">
        <f aca="false">G386*G389</f>
        <v>37.4435269408326</v>
      </c>
    </row>
    <row r="391" customFormat="false" ht="17.15" hidden="false" customHeight="false" outlineLevel="0" collapsed="false">
      <c r="A391" s="5" t="s">
        <v>583</v>
      </c>
      <c r="B391" s="0" t="s">
        <v>553</v>
      </c>
      <c r="C391" s="13" t="n">
        <f aca="false">opex25/1000</f>
        <v>5.9565</v>
      </c>
      <c r="D391" s="13" t="n">
        <f aca="false">opex26/1000</f>
        <v>6.1935</v>
      </c>
      <c r="E391" s="13" t="n">
        <f aca="false">$D391*((1-phi)+phi*E386/$D386)</f>
        <v>6.36827434443524</v>
      </c>
      <c r="F391" s="13" t="n">
        <f aca="false">$D391*((1-phi)+phi*F386/$D386)</f>
        <v>6.50555641484869</v>
      </c>
      <c r="G391" s="13" t="n">
        <f aca="false">$D391*((1-phi)+phi*G386/$D386)</f>
        <v>6.60959917753003</v>
      </c>
      <c r="H391" s="8" t="s">
        <v>584</v>
      </c>
    </row>
    <row r="392" customFormat="false" ht="15" hidden="false" customHeight="false" outlineLevel="0" collapsed="false">
      <c r="A392" s="5" t="s">
        <v>490</v>
      </c>
      <c r="B392" s="0" t="s">
        <v>553</v>
      </c>
      <c r="C392" s="13" t="n">
        <f aca="false">C390-C391</f>
        <v>11.3016</v>
      </c>
      <c r="D392" s="13" t="n">
        <f aca="false">D390-D391</f>
        <v>18.5657</v>
      </c>
      <c r="E392" s="13" t="n">
        <f aca="false">E390-E391</f>
        <v>23.6737515564265</v>
      </c>
      <c r="F392" s="13" t="n">
        <f aca="false">F390-F391</f>
        <v>27.7331047705455</v>
      </c>
      <c r="G392" s="13" t="n">
        <f aca="false">G390-G391</f>
        <v>30.8339277633026</v>
      </c>
    </row>
    <row r="393" customFormat="false" ht="15" hidden="false" customHeight="false" outlineLevel="0" collapsed="false">
      <c r="A393" s="5" t="s">
        <v>557</v>
      </c>
      <c r="B393" s="0" t="s">
        <v>231</v>
      </c>
      <c r="C393" s="10" t="n">
        <f aca="false">C392/C386</f>
        <v>0.345960639538621</v>
      </c>
      <c r="D393" s="10" t="n">
        <f aca="false">D392/D386</f>
        <v>0.417625305362228</v>
      </c>
      <c r="E393" s="10" t="n">
        <f aca="false">E392/E386</f>
        <v>0.445426779364109</v>
      </c>
      <c r="F393" s="10" t="n">
        <f aca="false">F392/F386</f>
        <v>0.462397843240313</v>
      </c>
      <c r="G393" s="10" t="n">
        <f aca="false">G392/G386</f>
        <v>0.473263729425256</v>
      </c>
    </row>
    <row r="394" customFormat="false" ht="17.15" hidden="false" customHeight="false" outlineLevel="0" collapsed="false">
      <c r="A394" s="5" t="s">
        <v>498</v>
      </c>
      <c r="B394" s="0" t="s">
        <v>553</v>
      </c>
      <c r="C394" s="13" t="n">
        <f aca="false">a25_ni/1000</f>
        <v>9.6094</v>
      </c>
      <c r="D394" s="13" t="n">
        <f aca="false">a26_ni/1000</f>
        <v>16.3986734727826</v>
      </c>
      <c r="E394" s="13" t="n">
        <f aca="false">E392*nioi</f>
        <v>20.129056788979</v>
      </c>
      <c r="F394" s="13" t="n">
        <f aca="false">F392*nioi</f>
        <v>23.5805989401571</v>
      </c>
      <c r="G394" s="13" t="n">
        <f aca="false">G392*nioi</f>
        <v>26.2171325696078</v>
      </c>
      <c r="H394" s="8" t="s">
        <v>585</v>
      </c>
    </row>
    <row r="395" customFormat="false" ht="15" hidden="false" customHeight="false" outlineLevel="0" collapsed="false">
      <c r="A395" s="5" t="s">
        <v>586</v>
      </c>
      <c r="B395" s="5" t="s">
        <v>267</v>
      </c>
      <c r="C395" s="16" t="n">
        <f aca="false">a25_shr</f>
        <v>388.572583906187</v>
      </c>
      <c r="D395" s="16" t="n">
        <f aca="false">a26_shr</f>
        <v>383.625</v>
      </c>
      <c r="E395" s="16" t="n">
        <f aca="false">sh_q4*(1-bb)^1</f>
        <v>377.685</v>
      </c>
      <c r="F395" s="16" t="n">
        <f aca="false">sh_q4*(1-bb)^2</f>
        <v>373.90815</v>
      </c>
      <c r="G395" s="16" t="n">
        <f aca="false">sh_q4*(1-bb)^3</f>
        <v>370.1690685</v>
      </c>
    </row>
    <row r="396" customFormat="false" ht="17.15" hidden="false" customHeight="false" outlineLevel="0" collapsed="false">
      <c r="A396" s="0" t="s">
        <v>587</v>
      </c>
      <c r="B396" s="0" t="s">
        <v>392</v>
      </c>
      <c r="C396" s="13" t="n">
        <f aca="false">a25_eps</f>
        <v>24.73</v>
      </c>
      <c r="D396" s="13" t="n">
        <f aca="false">a26_eps</f>
        <v>42.7466235849661</v>
      </c>
      <c r="E396" s="13" t="n">
        <f aca="false">E394*1000/E395</f>
        <v>53.2958862252379</v>
      </c>
      <c r="F396" s="13" t="n">
        <f aca="false">F394*1000/F395</f>
        <v>63.0652178620796</v>
      </c>
      <c r="G396" s="13" t="n">
        <f aca="false">G394*1000/G395</f>
        <v>70.8247522567051</v>
      </c>
    </row>
    <row r="397" customFormat="false" ht="17.15" hidden="false" customHeight="false" outlineLevel="0" collapsed="false">
      <c r="A397" s="1" t="s">
        <v>588</v>
      </c>
    </row>
    <row r="398" customFormat="false" ht="17.15" hidden="false" customHeight="false" outlineLevel="0" collapsed="false">
      <c r="A398" s="0" t="s">
        <v>514</v>
      </c>
      <c r="B398" s="0" t="s">
        <v>553</v>
      </c>
      <c r="C398" s="13" t="n">
        <f aca="false">a25_euv/1000</f>
        <v>11.6</v>
      </c>
      <c r="D398" s="13" t="n">
        <f aca="false">a26_euv/1000</f>
        <v>16.82</v>
      </c>
      <c r="E398" s="13" t="n">
        <f aca="false">E382*euv_sh_27</f>
        <v>21.6930501742632</v>
      </c>
      <c r="F398" s="13" t="n">
        <f aca="false">F382*euv_sh_28</f>
        <v>25.436461014187</v>
      </c>
      <c r="G398" s="13" t="n">
        <f aca="false">G382*euv_sh_29</f>
        <v>27.8157401267796</v>
      </c>
    </row>
    <row r="399" customFormat="false" ht="17.15" hidden="false" customHeight="false" outlineLevel="0" collapsed="false">
      <c r="A399" s="5" t="s">
        <v>589</v>
      </c>
      <c r="B399" s="5" t="s">
        <v>362</v>
      </c>
      <c r="E399" s="20" t="n">
        <f aca="false">(E398*1000-hna_n_27*hna_asp)/lna_asp</f>
        <v>85.8775007921053</v>
      </c>
      <c r="F399" s="20" t="n">
        <f aca="false">(F398*1000-hna_n_28*hna_asp)/lna_asp</f>
        <v>96.5293682463047</v>
      </c>
      <c r="G399" s="20" t="n">
        <f aca="false">(G398*1000-hna_n_29*hna_asp)/lna_asp</f>
        <v>102.571546030816</v>
      </c>
    </row>
    <row r="400" customFormat="false" ht="15" hidden="false" customHeight="false" outlineLevel="0" collapsed="false">
      <c r="A400" s="5" t="s">
        <v>590</v>
      </c>
      <c r="B400" s="0" t="s">
        <v>27</v>
      </c>
      <c r="C400" s="21" t="n">
        <f aca="false">C382*fx_25</f>
        <v>27.655959</v>
      </c>
      <c r="D400" s="21" t="n">
        <f aca="false">D382*fx_f</f>
        <v>37.372184</v>
      </c>
      <c r="E400" s="21" t="n">
        <f aca="false">E382*fx_f</f>
        <v>45.7526149129914</v>
      </c>
      <c r="F400" s="21" t="n">
        <f aca="false">F382*fx_f</f>
        <v>51.7654294323806</v>
      </c>
      <c r="G400" s="21" t="n">
        <f aca="false">G382*fx_f</f>
        <v>55.6314802535591</v>
      </c>
    </row>
    <row r="401" customFormat="false" ht="17.15" hidden="false" customHeight="false" outlineLevel="0" collapsed="false">
      <c r="A401" s="0" t="s">
        <v>591</v>
      </c>
      <c r="B401" s="0" t="s">
        <v>231</v>
      </c>
      <c r="C401" s="10" t="n">
        <f aca="false">C400/Units!C7</f>
        <v>0.236584333071578</v>
      </c>
      <c r="D401" s="10" t="n">
        <f aca="false">D400/Units!D7</f>
        <v>0.239324345993695</v>
      </c>
      <c r="E401" s="10" t="n">
        <f aca="false">E400/Units!E7</f>
        <v>0.237311670552754</v>
      </c>
      <c r="F401" s="10" t="n">
        <f aca="false">F400/Units!F7</f>
        <v>0.238959320909658</v>
      </c>
      <c r="G401" s="10" t="n">
        <f aca="false">G400/Units!G7</f>
        <v>0.243034445014329</v>
      </c>
      <c r="H401" s="5" t="s">
        <v>592</v>
      </c>
    </row>
    <row r="410" customFormat="false" ht="17.15" hidden="false" customHeight="false" outlineLevel="0" collapsed="false">
      <c r="A410" s="3" t="s">
        <v>875</v>
      </c>
    </row>
    <row r="411" customFormat="false" ht="17.15" hidden="false" customHeight="false" outlineLevel="0" collapsed="false">
      <c r="A411" s="6" t="s">
        <v>16</v>
      </c>
      <c r="B411" s="6" t="s">
        <v>17</v>
      </c>
      <c r="C411" s="14" t="s">
        <v>548</v>
      </c>
      <c r="D411" s="14" t="s">
        <v>549</v>
      </c>
      <c r="E411" s="14" t="s">
        <v>550</v>
      </c>
      <c r="F411" s="14" t="s">
        <v>551</v>
      </c>
      <c r="G411" s="14" t="s">
        <v>552</v>
      </c>
      <c r="H411" s="6" t="s">
        <v>534</v>
      </c>
    </row>
    <row r="412" customFormat="false" ht="17.15" hidden="false" customHeight="false" outlineLevel="0" collapsed="false">
      <c r="A412" s="1" t="s">
        <v>561</v>
      </c>
    </row>
    <row r="413" customFormat="false" ht="17.15" hidden="false" customHeight="false" outlineLevel="0" collapsed="false">
      <c r="A413" s="5" t="s">
        <v>562</v>
      </c>
      <c r="B413" s="0" t="s">
        <v>345</v>
      </c>
      <c r="C413" s="25" t="n">
        <f aca="false">Units!C8</f>
        <v>0.797493866282457</v>
      </c>
      <c r="D413" s="25" t="n">
        <f aca="false">Units!D8</f>
        <v>1</v>
      </c>
      <c r="E413" s="25" t="n">
        <f aca="false">Units!E8</f>
        <v>1.1581138943867</v>
      </c>
      <c r="F413" s="25" t="n">
        <f aca="false">Units!F8</f>
        <v>1.30398004155566</v>
      </c>
      <c r="G413" s="25" t="n">
        <f aca="false">Units!G8</f>
        <v>1.39118185447666</v>
      </c>
    </row>
    <row r="414" customFormat="false" ht="17.15" hidden="false" customHeight="false" outlineLevel="0" collapsed="false">
      <c r="A414" s="5" t="s">
        <v>563</v>
      </c>
      <c r="B414" s="0" t="s">
        <v>345</v>
      </c>
      <c r="C414" s="25" t="n">
        <f aca="false">Units!C9</f>
        <v>0.677840887672955</v>
      </c>
      <c r="D414" s="25" t="n">
        <f aca="false">Units!D9</f>
        <v>1</v>
      </c>
      <c r="E414" s="25" t="n">
        <f aca="false">Units!E9</f>
        <v>1.3452955652252</v>
      </c>
      <c r="F414" s="25" t="n">
        <f aca="false">Units!F9</f>
        <v>1.50769200272716</v>
      </c>
      <c r="G414" s="25" t="n">
        <f aca="false">Units!G9</f>
        <v>1.57386738820784</v>
      </c>
    </row>
    <row r="415" customFormat="false" ht="17.15" hidden="false" customHeight="false" outlineLevel="0" collapsed="false">
      <c r="A415" s="5" t="s">
        <v>564</v>
      </c>
      <c r="B415" s="0" t="s">
        <v>345</v>
      </c>
      <c r="D415" s="25" t="n">
        <f aca="false">(1+g_int)^0</f>
        <v>1</v>
      </c>
      <c r="E415" s="25" t="n">
        <f aca="false">(1+g_int)^1</f>
        <v>1.03</v>
      </c>
      <c r="F415" s="25" t="n">
        <f aca="false">(1+g_int)^2</f>
        <v>1.0609</v>
      </c>
      <c r="G415" s="25" t="n">
        <f aca="false">(1+g_int)^3</f>
        <v>1.092727</v>
      </c>
      <c r="H415" s="8" t="s">
        <v>565</v>
      </c>
    </row>
    <row r="416" customFormat="false" ht="17.15" hidden="false" customHeight="false" outlineLevel="0" collapsed="false">
      <c r="A416" s="1" t="s">
        <v>566</v>
      </c>
    </row>
    <row r="417" customFormat="false" ht="17.15" hidden="false" customHeight="false" outlineLevel="0" collapsed="false">
      <c r="A417" s="5" t="s">
        <v>567</v>
      </c>
      <c r="B417" s="0" t="s">
        <v>553</v>
      </c>
      <c r="D417" s="13" t="n">
        <f aca="false">a26_sys/1000*(1-cn_sh26)*log_sh26</f>
        <v>14.0838050971922</v>
      </c>
      <c r="E417" s="13" t="n">
        <f aca="false">$D417*E413*E415</f>
        <v>16.7999698799593</v>
      </c>
      <c r="F417" s="13" t="n">
        <f aca="false">$D417*F413*F415</f>
        <v>19.4834293019328</v>
      </c>
      <c r="G417" s="13" t="n">
        <f aca="false">$D417*G413*G415</f>
        <v>21.4099466382598</v>
      </c>
      <c r="H417" s="8" t="s">
        <v>568</v>
      </c>
    </row>
    <row r="418" customFormat="false" ht="15" hidden="false" customHeight="false" outlineLevel="0" collapsed="false">
      <c r="A418" s="5" t="s">
        <v>569</v>
      </c>
      <c r="B418" s="0" t="s">
        <v>553</v>
      </c>
      <c r="D418" s="13" t="n">
        <f aca="false">a26_sys/1000*(1-cn_sh26)*(1-log_sh26)</f>
        <v>11.6901149028078</v>
      </c>
      <c r="E418" s="13" t="n">
        <f aca="false">$D418*E414*E415</f>
        <v>16.1984595277919</v>
      </c>
      <c r="F418" s="13" t="n">
        <f aca="false">$D418*F414*F415</f>
        <v>18.6984608983954</v>
      </c>
      <c r="G418" s="13" t="n">
        <f aca="false">$D418*G414*G415</f>
        <v>20.1047459941188</v>
      </c>
    </row>
    <row r="419" customFormat="false" ht="17.15" hidden="false" customHeight="false" outlineLevel="0" collapsed="false">
      <c r="A419" s="5" t="s">
        <v>570</v>
      </c>
      <c r="B419" s="0" t="s">
        <v>553</v>
      </c>
      <c r="D419" s="13" t="n">
        <f aca="false">a26_sys/1000*cn_sh26</f>
        <v>6.44348</v>
      </c>
      <c r="E419" s="13" t="n">
        <f aca="false">D419*(1+g_cn_A)</f>
        <v>6.44348</v>
      </c>
      <c r="F419" s="13" t="n">
        <f aca="false">E419*(1+g_cn_A)</f>
        <v>6.44348</v>
      </c>
      <c r="G419" s="13" t="n">
        <f aca="false">F419*(1+g_cn_A)</f>
        <v>6.44348</v>
      </c>
      <c r="H419" s="8" t="s">
        <v>571</v>
      </c>
    </row>
    <row r="420" customFormat="false" ht="15" hidden="false" customHeight="false" outlineLevel="0" collapsed="false">
      <c r="A420" s="5" t="s">
        <v>572</v>
      </c>
      <c r="B420" s="0" t="s">
        <v>553</v>
      </c>
      <c r="D420" s="13" t="n">
        <f aca="false">D417+D418+D419</f>
        <v>32.2174</v>
      </c>
      <c r="E420" s="13" t="n">
        <f aca="false">E417+E418+E419</f>
        <v>39.4419094077512</v>
      </c>
      <c r="F420" s="13" t="n">
        <f aca="false">F417+F418+F419</f>
        <v>44.6253702003281</v>
      </c>
      <c r="G420" s="13" t="n">
        <f aca="false">G417+G418+G419</f>
        <v>47.9581726323786</v>
      </c>
    </row>
    <row r="421" customFormat="false" ht="17.15" hidden="false" customHeight="false" outlineLevel="0" collapsed="false">
      <c r="A421" s="5" t="s">
        <v>573</v>
      </c>
      <c r="B421" s="0" t="s">
        <v>553</v>
      </c>
      <c r="D421" s="13" t="n">
        <f aca="false">a26_sys/1000</f>
        <v>32.2174</v>
      </c>
      <c r="E421" s="13" t="n">
        <f aca="false">$D421*(1+cap_27)*E415</f>
        <v>43.1390986</v>
      </c>
      <c r="F421" s="13" t="n">
        <f aca="false">$D421*(1+cap_27)*(1+cap_28)*F415</f>
        <v>51.0982622917</v>
      </c>
      <c r="G421" s="13" t="n">
        <f aca="false">$D421*(1+cap_27)*(1+cap_28)*(1+cap_29)*G415</f>
        <v>57.8943311764961</v>
      </c>
      <c r="H421" s="5" t="s">
        <v>574</v>
      </c>
    </row>
    <row r="422" customFormat="false" ht="17.15" hidden="false" customHeight="false" outlineLevel="0" collapsed="false">
      <c r="A422" s="5" t="s">
        <v>575</v>
      </c>
      <c r="B422" s="0" t="s">
        <v>553</v>
      </c>
      <c r="C422" s="13" t="n">
        <f aca="false">a25_sys/1000</f>
        <v>24.4743</v>
      </c>
      <c r="D422" s="13" t="n">
        <f aca="false">a26_sys/1000</f>
        <v>32.2174</v>
      </c>
      <c r="E422" s="13" t="n">
        <f aca="false">MIN(E420,E421)</f>
        <v>39.4419094077512</v>
      </c>
      <c r="F422" s="13" t="n">
        <f aca="false">MIN(F420,F421)</f>
        <v>44.6253702003281</v>
      </c>
      <c r="G422" s="13" t="n">
        <f aca="false">MIN(G420,G421)</f>
        <v>47.9581726323786</v>
      </c>
    </row>
    <row r="423" customFormat="false" ht="17.15" hidden="false" customHeight="false" outlineLevel="0" collapsed="false">
      <c r="A423" s="5" t="s">
        <v>576</v>
      </c>
      <c r="E423" s="20" t="n">
        <f aca="false">IF(E420&gt;E421,1,0)</f>
        <v>0</v>
      </c>
      <c r="F423" s="20" t="n">
        <f aca="false">IF(F420&gt;F421,1,0)</f>
        <v>0</v>
      </c>
      <c r="G423" s="20" t="n">
        <f aca="false">IF(G420&gt;G421,1,0)</f>
        <v>0</v>
      </c>
    </row>
    <row r="424" customFormat="false" ht="15" hidden="false" customHeight="false" outlineLevel="0" collapsed="false">
      <c r="A424" s="5" t="s">
        <v>577</v>
      </c>
      <c r="B424" s="0" t="s">
        <v>231</v>
      </c>
      <c r="D424" s="10" t="n">
        <f aca="false">D419/D420</f>
        <v>0.2</v>
      </c>
      <c r="E424" s="10" t="n">
        <f aca="false">E419/E420</f>
        <v>0.163366330300777</v>
      </c>
      <c r="F424" s="10" t="n">
        <f aca="false">F419/F420</f>
        <v>0.144390510847854</v>
      </c>
      <c r="G424" s="10" t="n">
        <f aca="false">G419/G420</f>
        <v>0.134356245167893</v>
      </c>
      <c r="H424" s="5" t="s">
        <v>578</v>
      </c>
    </row>
    <row r="425" customFormat="false" ht="17.15" hidden="false" customHeight="false" outlineLevel="0" collapsed="false">
      <c r="A425" s="5" t="s">
        <v>579</v>
      </c>
      <c r="B425" s="0" t="s">
        <v>553</v>
      </c>
      <c r="C425" s="13" t="n">
        <f aca="false">a25_ibm/1000</f>
        <v>8.193</v>
      </c>
      <c r="D425" s="13" t="n">
        <f aca="false">a26_ibm/1000</f>
        <v>12.238</v>
      </c>
      <c r="E425" s="13" t="n">
        <f aca="false">D425*(1+g_ibm_A)</f>
        <v>13.70656</v>
      </c>
      <c r="F425" s="13" t="n">
        <f aca="false">E425*(1+g_ibm_A)</f>
        <v>15.3513472</v>
      </c>
      <c r="G425" s="13" t="n">
        <f aca="false">F425*(1+g_ibm_A)</f>
        <v>17.193508864</v>
      </c>
    </row>
    <row r="426" customFormat="false" ht="15" hidden="false" customHeight="false" outlineLevel="0" collapsed="false">
      <c r="A426" s="5" t="s">
        <v>481</v>
      </c>
      <c r="B426" s="0" t="s">
        <v>553</v>
      </c>
      <c r="C426" s="13" t="n">
        <f aca="false">C422+C425</f>
        <v>32.6673</v>
      </c>
      <c r="D426" s="13" t="n">
        <f aca="false">D422+D425</f>
        <v>44.4554</v>
      </c>
      <c r="E426" s="13" t="n">
        <f aca="false">E422+E425</f>
        <v>53.1484694077512</v>
      </c>
      <c r="F426" s="13" t="n">
        <f aca="false">F422+F425</f>
        <v>59.9767174003281</v>
      </c>
      <c r="G426" s="13" t="n">
        <f aca="false">G422+G425</f>
        <v>65.1516814963786</v>
      </c>
    </row>
    <row r="427" customFormat="false" ht="15" hidden="false" customHeight="false" outlineLevel="0" collapsed="false">
      <c r="A427" s="5" t="s">
        <v>580</v>
      </c>
      <c r="B427" s="0" t="s">
        <v>231</v>
      </c>
      <c r="D427" s="10" t="n">
        <f aca="false">D426/C426-1</f>
        <v>0.360853207948009</v>
      </c>
      <c r="E427" s="10" t="n">
        <f aca="false">E426/D426-1</f>
        <v>0.195545859620006</v>
      </c>
      <c r="F427" s="10" t="n">
        <f aca="false">F426/E426-1</f>
        <v>0.128474969621253</v>
      </c>
      <c r="G427" s="10" t="n">
        <f aca="false">G426/F426-1</f>
        <v>0.0862828830979356</v>
      </c>
    </row>
    <row r="428" customFormat="false" ht="17.15" hidden="false" customHeight="false" outlineLevel="0" collapsed="false">
      <c r="A428" s="1" t="s">
        <v>581</v>
      </c>
    </row>
    <row r="429" customFormat="false" ht="17.15" hidden="false" customHeight="false" outlineLevel="0" collapsed="false">
      <c r="A429" s="5" t="s">
        <v>486</v>
      </c>
      <c r="B429" s="0" t="s">
        <v>231</v>
      </c>
      <c r="C429" s="10" t="n">
        <f aca="false">a25_gp/a25_rev</f>
        <v>0.528298941142978</v>
      </c>
      <c r="D429" s="10" t="n">
        <f aca="false">a26_gp/a26_rev</f>
        <v>0.556944713128214</v>
      </c>
      <c r="E429" s="10" t="n">
        <f aca="false">$D429+gm_b_hi*LN(E426/$D426)</f>
        <v>0.581852308301241</v>
      </c>
      <c r="F429" s="10" t="n">
        <f aca="false">$D429+gm_b_hi*LN(F426/$D426)</f>
        <v>0.598708195093562</v>
      </c>
      <c r="G429" s="10" t="n">
        <f aca="false">$D429+gm_b_hi*LN(G426/$D426)</f>
        <v>0.610249970341365</v>
      </c>
      <c r="H429" s="8" t="s">
        <v>582</v>
      </c>
    </row>
    <row r="430" customFormat="false" ht="15" hidden="false" customHeight="false" outlineLevel="0" collapsed="false">
      <c r="A430" s="5" t="s">
        <v>484</v>
      </c>
      <c r="B430" s="0" t="s">
        <v>553</v>
      </c>
      <c r="C430" s="13" t="n">
        <f aca="false">C426*C429</f>
        <v>17.2581</v>
      </c>
      <c r="D430" s="13" t="n">
        <f aca="false">D426*D429</f>
        <v>24.7592</v>
      </c>
      <c r="E430" s="13" t="n">
        <f aca="false">E426*E429</f>
        <v>30.9245596075779</v>
      </c>
      <c r="F430" s="13" t="n">
        <f aca="false">F426*F429</f>
        <v>35.9085522223871</v>
      </c>
      <c r="G430" s="13" t="n">
        <f aca="false">G426*G429</f>
        <v>39.7588117008551</v>
      </c>
    </row>
    <row r="431" customFormat="false" ht="17.15" hidden="false" customHeight="false" outlineLevel="0" collapsed="false">
      <c r="A431" s="5" t="s">
        <v>583</v>
      </c>
      <c r="B431" s="0" t="s">
        <v>553</v>
      </c>
      <c r="C431" s="13" t="n">
        <f aca="false">opex25/1000</f>
        <v>5.9565</v>
      </c>
      <c r="D431" s="13" t="n">
        <f aca="false">opex26/1000</f>
        <v>6.1935</v>
      </c>
      <c r="E431" s="13" t="n">
        <f aca="false">$D431*((1-phi)+phi*E426/$D426)</f>
        <v>6.36827434443524</v>
      </c>
      <c r="F431" s="13" t="n">
        <f aca="false">$D431*((1-phi)+phi*F426/$D426)</f>
        <v>6.50555641484869</v>
      </c>
      <c r="G431" s="13" t="n">
        <f aca="false">$D431*((1-phi)+phi*G426/$D426)</f>
        <v>6.60959917753003</v>
      </c>
      <c r="H431" s="8" t="s">
        <v>584</v>
      </c>
    </row>
    <row r="432" customFormat="false" ht="15" hidden="false" customHeight="false" outlineLevel="0" collapsed="false">
      <c r="A432" s="5" t="s">
        <v>490</v>
      </c>
      <c r="B432" s="0" t="s">
        <v>553</v>
      </c>
      <c r="C432" s="13" t="n">
        <f aca="false">C430-C431</f>
        <v>11.3016</v>
      </c>
      <c r="D432" s="13" t="n">
        <f aca="false">D430-D431</f>
        <v>18.5657</v>
      </c>
      <c r="E432" s="13" t="n">
        <f aca="false">E430-E431</f>
        <v>24.5562852631427</v>
      </c>
      <c r="F432" s="13" t="n">
        <f aca="false">F430-F431</f>
        <v>29.4029958075384</v>
      </c>
      <c r="G432" s="13" t="n">
        <f aca="false">G430-G431</f>
        <v>33.1492125233251</v>
      </c>
    </row>
    <row r="433" customFormat="false" ht="15" hidden="false" customHeight="false" outlineLevel="0" collapsed="false">
      <c r="A433" s="5" t="s">
        <v>557</v>
      </c>
      <c r="B433" s="0" t="s">
        <v>231</v>
      </c>
      <c r="C433" s="10" t="n">
        <f aca="false">C432/C426</f>
        <v>0.345960639538621</v>
      </c>
      <c r="D433" s="10" t="n">
        <f aca="false">D432/D426</f>
        <v>0.417625305362228</v>
      </c>
      <c r="E433" s="10" t="n">
        <f aca="false">E432/E426</f>
        <v>0.462031842812794</v>
      </c>
      <c r="F433" s="10" t="n">
        <f aca="false">F432/F426</f>
        <v>0.490240164550545</v>
      </c>
      <c r="G433" s="10" t="n">
        <f aca="false">G432/G426</f>
        <v>0.508800567567357</v>
      </c>
    </row>
    <row r="434" customFormat="false" ht="17.15" hidden="false" customHeight="false" outlineLevel="0" collapsed="false">
      <c r="A434" s="5" t="s">
        <v>498</v>
      </c>
      <c r="B434" s="0" t="s">
        <v>553</v>
      </c>
      <c r="C434" s="13" t="n">
        <f aca="false">a25_ni/1000</f>
        <v>9.6094</v>
      </c>
      <c r="D434" s="13" t="n">
        <f aca="false">a26_ni/1000</f>
        <v>16.3986734727826</v>
      </c>
      <c r="E434" s="13" t="n">
        <f aca="false">E432*nioi</f>
        <v>20.879447831072</v>
      </c>
      <c r="F434" s="13" t="n">
        <f aca="false">F432*nioi</f>
        <v>25.0004555030225</v>
      </c>
      <c r="G434" s="13" t="n">
        <f aca="false">G432*nioi</f>
        <v>28.1857474005132</v>
      </c>
      <c r="H434" s="8" t="s">
        <v>585</v>
      </c>
    </row>
    <row r="435" customFormat="false" ht="15" hidden="false" customHeight="false" outlineLevel="0" collapsed="false">
      <c r="A435" s="5" t="s">
        <v>586</v>
      </c>
      <c r="B435" s="5" t="s">
        <v>267</v>
      </c>
      <c r="C435" s="16" t="n">
        <f aca="false">a25_shr</f>
        <v>388.572583906187</v>
      </c>
      <c r="D435" s="16" t="n">
        <f aca="false">a26_shr</f>
        <v>383.625</v>
      </c>
      <c r="E435" s="16" t="n">
        <f aca="false">sh_q4*(1-bb)^1</f>
        <v>377.685</v>
      </c>
      <c r="F435" s="16" t="n">
        <f aca="false">sh_q4*(1-bb)^2</f>
        <v>373.90815</v>
      </c>
      <c r="G435" s="16" t="n">
        <f aca="false">sh_q4*(1-bb)^3</f>
        <v>370.1690685</v>
      </c>
    </row>
    <row r="436" customFormat="false" ht="17.15" hidden="false" customHeight="false" outlineLevel="0" collapsed="false">
      <c r="A436" s="0" t="s">
        <v>587</v>
      </c>
      <c r="B436" s="0" t="s">
        <v>392</v>
      </c>
      <c r="C436" s="13" t="n">
        <f aca="false">a25_eps</f>
        <v>24.73</v>
      </c>
      <c r="D436" s="13" t="n">
        <f aca="false">a26_eps</f>
        <v>42.7466235849661</v>
      </c>
      <c r="E436" s="13" t="n">
        <f aca="false">E434*1000/E435</f>
        <v>55.2827033932298</v>
      </c>
      <c r="F436" s="13" t="n">
        <f aca="false">F434*1000/F435</f>
        <v>66.8625583663328</v>
      </c>
      <c r="G436" s="13" t="n">
        <f aca="false">G434*1000/G435</f>
        <v>76.1429027950054</v>
      </c>
    </row>
    <row r="437" customFormat="false" ht="17.15" hidden="false" customHeight="false" outlineLevel="0" collapsed="false">
      <c r="A437" s="1" t="s">
        <v>588</v>
      </c>
    </row>
    <row r="438" customFormat="false" ht="17.15" hidden="false" customHeight="false" outlineLevel="0" collapsed="false">
      <c r="A438" s="0" t="s">
        <v>514</v>
      </c>
      <c r="B438" s="0" t="s">
        <v>553</v>
      </c>
      <c r="C438" s="13" t="n">
        <f aca="false">a25_euv/1000</f>
        <v>11.6</v>
      </c>
      <c r="D438" s="13" t="n">
        <f aca="false">a26_euv/1000</f>
        <v>16.82</v>
      </c>
      <c r="E438" s="13" t="n">
        <f aca="false">E422*euv_sh_27</f>
        <v>21.6930501742632</v>
      </c>
      <c r="F438" s="13" t="n">
        <f aca="false">F422*euv_sh_28</f>
        <v>25.436461014187</v>
      </c>
      <c r="G438" s="13" t="n">
        <f aca="false">G422*euv_sh_29</f>
        <v>27.8157401267796</v>
      </c>
    </row>
    <row r="439" customFormat="false" ht="17.15" hidden="false" customHeight="false" outlineLevel="0" collapsed="false">
      <c r="A439" s="5" t="s">
        <v>589</v>
      </c>
      <c r="B439" s="5" t="s">
        <v>362</v>
      </c>
      <c r="E439" s="20" t="n">
        <f aca="false">(E438*1000-hna_n_27*hna_asp)/lna_asp</f>
        <v>85.8775007921053</v>
      </c>
      <c r="F439" s="20" t="n">
        <f aca="false">(F438*1000-hna_n_28*hna_asp)/lna_asp</f>
        <v>96.5293682463047</v>
      </c>
      <c r="G439" s="20" t="n">
        <f aca="false">(G438*1000-hna_n_29*hna_asp)/lna_asp</f>
        <v>102.571546030816</v>
      </c>
    </row>
    <row r="440" customFormat="false" ht="15" hidden="false" customHeight="false" outlineLevel="0" collapsed="false">
      <c r="A440" s="5" t="s">
        <v>590</v>
      </c>
      <c r="B440" s="0" t="s">
        <v>27</v>
      </c>
      <c r="C440" s="21" t="n">
        <f aca="false">C422*fx_25</f>
        <v>27.655959</v>
      </c>
      <c r="D440" s="21" t="n">
        <f aca="false">D422*fx_f</f>
        <v>37.372184</v>
      </c>
      <c r="E440" s="21" t="n">
        <f aca="false">E422*fx_f</f>
        <v>45.7526149129914</v>
      </c>
      <c r="F440" s="21" t="n">
        <f aca="false">F422*fx_f</f>
        <v>51.7654294323806</v>
      </c>
      <c r="G440" s="21" t="n">
        <f aca="false">G422*fx_f</f>
        <v>55.6314802535591</v>
      </c>
    </row>
    <row r="441" customFormat="false" ht="17.15" hidden="false" customHeight="false" outlineLevel="0" collapsed="false">
      <c r="A441" s="0" t="s">
        <v>591</v>
      </c>
      <c r="B441" s="0" t="s">
        <v>231</v>
      </c>
      <c r="C441" s="10" t="n">
        <f aca="false">C440/Units!C7</f>
        <v>0.236584333071578</v>
      </c>
      <c r="D441" s="10" t="n">
        <f aca="false">D440/Units!D7</f>
        <v>0.239324345993695</v>
      </c>
      <c r="E441" s="10" t="n">
        <f aca="false">E440/Units!E7</f>
        <v>0.237311670552754</v>
      </c>
      <c r="F441" s="10" t="n">
        <f aca="false">F440/Units!F7</f>
        <v>0.238959320909658</v>
      </c>
      <c r="G441" s="10" t="n">
        <f aca="false">G440/Units!G7</f>
        <v>0.243034445014329</v>
      </c>
      <c r="H441" s="5" t="s">
        <v>592</v>
      </c>
    </row>
    <row r="450" customFormat="false" ht="17.15" hidden="false" customHeight="false" outlineLevel="0" collapsed="false">
      <c r="A450" s="3" t="s">
        <v>876</v>
      </c>
    </row>
    <row r="451" customFormat="false" ht="17.15" hidden="false" customHeight="false" outlineLevel="0" collapsed="false">
      <c r="A451" s="6" t="s">
        <v>16</v>
      </c>
      <c r="B451" s="6" t="s">
        <v>17</v>
      </c>
      <c r="C451" s="14" t="s">
        <v>548</v>
      </c>
      <c r="D451" s="14" t="s">
        <v>549</v>
      </c>
      <c r="E451" s="14" t="s">
        <v>550</v>
      </c>
      <c r="F451" s="14" t="s">
        <v>551</v>
      </c>
      <c r="G451" s="14" t="s">
        <v>552</v>
      </c>
      <c r="H451" s="6" t="s">
        <v>534</v>
      </c>
    </row>
    <row r="452" customFormat="false" ht="17.15" hidden="false" customHeight="false" outlineLevel="0" collapsed="false">
      <c r="A452" s="1" t="s">
        <v>561</v>
      </c>
    </row>
    <row r="453" customFormat="false" ht="17.15" hidden="false" customHeight="false" outlineLevel="0" collapsed="false">
      <c r="A453" s="5" t="s">
        <v>562</v>
      </c>
      <c r="B453" s="0" t="s">
        <v>345</v>
      </c>
      <c r="C453" s="25" t="n">
        <f aca="false">Units!C8</f>
        <v>0.797493866282457</v>
      </c>
      <c r="D453" s="25" t="n">
        <f aca="false">Units!D8</f>
        <v>1</v>
      </c>
      <c r="E453" s="25" t="n">
        <f aca="false">Units!E8</f>
        <v>1.1581138943867</v>
      </c>
      <c r="F453" s="25" t="n">
        <f aca="false">Units!F8</f>
        <v>1.30398004155566</v>
      </c>
      <c r="G453" s="25" t="n">
        <f aca="false">Units!G8</f>
        <v>1.39118185447666</v>
      </c>
    </row>
    <row r="454" customFormat="false" ht="17.15" hidden="false" customHeight="false" outlineLevel="0" collapsed="false">
      <c r="A454" s="5" t="s">
        <v>563</v>
      </c>
      <c r="B454" s="0" t="s">
        <v>345</v>
      </c>
      <c r="C454" s="25" t="n">
        <f aca="false">Units!C9</f>
        <v>0.677840887672955</v>
      </c>
      <c r="D454" s="25" t="n">
        <f aca="false">Units!D9</f>
        <v>1</v>
      </c>
      <c r="E454" s="25" t="n">
        <f aca="false">Units!E9</f>
        <v>1.3452955652252</v>
      </c>
      <c r="F454" s="25" t="n">
        <f aca="false">Units!F9</f>
        <v>1.50769200272716</v>
      </c>
      <c r="G454" s="25" t="n">
        <f aca="false">Units!G9</f>
        <v>1.57386738820784</v>
      </c>
    </row>
    <row r="455" customFormat="false" ht="17.15" hidden="false" customHeight="false" outlineLevel="0" collapsed="false">
      <c r="A455" s="5" t="s">
        <v>564</v>
      </c>
      <c r="B455" s="0" t="s">
        <v>345</v>
      </c>
      <c r="D455" s="25" t="n">
        <f aca="false">(1+g_int)^0</f>
        <v>1</v>
      </c>
      <c r="E455" s="25" t="n">
        <f aca="false">(1+g_int)^1</f>
        <v>1.03</v>
      </c>
      <c r="F455" s="25" t="n">
        <f aca="false">(1+g_int)^2</f>
        <v>1.0609</v>
      </c>
      <c r="G455" s="25" t="n">
        <f aca="false">(1+g_int)^3</f>
        <v>1.092727</v>
      </c>
      <c r="H455" s="8" t="s">
        <v>565</v>
      </c>
    </row>
    <row r="456" customFormat="false" ht="17.15" hidden="false" customHeight="false" outlineLevel="0" collapsed="false">
      <c r="A456" s="1" t="s">
        <v>566</v>
      </c>
    </row>
    <row r="457" customFormat="false" ht="17.15" hidden="false" customHeight="false" outlineLevel="0" collapsed="false">
      <c r="A457" s="5" t="s">
        <v>567</v>
      </c>
      <c r="B457" s="0" t="s">
        <v>553</v>
      </c>
      <c r="D457" s="13" t="n">
        <f aca="false">a26_sys/1000*(1-cn_sh26)*log_sh26</f>
        <v>14.0838050971922</v>
      </c>
      <c r="E457" s="13" t="n">
        <f aca="false">$D457*E453*E455</f>
        <v>16.7999698799593</v>
      </c>
      <c r="F457" s="13" t="n">
        <f aca="false">$D457*F453*F455</f>
        <v>19.4834293019328</v>
      </c>
      <c r="G457" s="13" t="n">
        <f aca="false">$D457*G453*G455</f>
        <v>21.4099466382598</v>
      </c>
      <c r="H457" s="8" t="s">
        <v>568</v>
      </c>
    </row>
    <row r="458" customFormat="false" ht="15" hidden="false" customHeight="false" outlineLevel="0" collapsed="false">
      <c r="A458" s="5" t="s">
        <v>569</v>
      </c>
      <c r="B458" s="0" t="s">
        <v>553</v>
      </c>
      <c r="D458" s="13" t="n">
        <f aca="false">a26_sys/1000*(1-cn_sh26)*(1-log_sh26)</f>
        <v>11.6901149028078</v>
      </c>
      <c r="E458" s="13" t="n">
        <f aca="false">$D458*E454*E455</f>
        <v>16.1984595277919</v>
      </c>
      <c r="F458" s="13" t="n">
        <f aca="false">$D458*F454*F455</f>
        <v>18.6984608983954</v>
      </c>
      <c r="G458" s="13" t="n">
        <f aca="false">$D458*G454*G455</f>
        <v>20.1047459941188</v>
      </c>
    </row>
    <row r="459" customFormat="false" ht="17.15" hidden="false" customHeight="false" outlineLevel="0" collapsed="false">
      <c r="A459" s="5" t="s">
        <v>570</v>
      </c>
      <c r="B459" s="0" t="s">
        <v>553</v>
      </c>
      <c r="D459" s="13" t="n">
        <f aca="false">a26_sys/1000*cn_sh26</f>
        <v>6.44348</v>
      </c>
      <c r="E459" s="13" t="n">
        <f aca="false">D459*(1+g_cn_A)</f>
        <v>6.44348</v>
      </c>
      <c r="F459" s="13" t="n">
        <f aca="false">E459*(1+g_cn_A)</f>
        <v>6.44348</v>
      </c>
      <c r="G459" s="13" t="n">
        <f aca="false">F459*(1+g_cn_A)</f>
        <v>6.44348</v>
      </c>
      <c r="H459" s="8" t="s">
        <v>571</v>
      </c>
    </row>
    <row r="460" customFormat="false" ht="15" hidden="false" customHeight="false" outlineLevel="0" collapsed="false">
      <c r="A460" s="5" t="s">
        <v>572</v>
      </c>
      <c r="B460" s="0" t="s">
        <v>553</v>
      </c>
      <c r="D460" s="13" t="n">
        <f aca="false">D457+D458+D459</f>
        <v>32.2174</v>
      </c>
      <c r="E460" s="13" t="n">
        <f aca="false">E457+E458+E459</f>
        <v>39.4419094077512</v>
      </c>
      <c r="F460" s="13" t="n">
        <f aca="false">F457+F458+F459</f>
        <v>44.6253702003281</v>
      </c>
      <c r="G460" s="13" t="n">
        <f aca="false">G457+G458+G459</f>
        <v>47.9581726323786</v>
      </c>
    </row>
    <row r="461" customFormat="false" ht="17.15" hidden="false" customHeight="false" outlineLevel="0" collapsed="false">
      <c r="A461" s="5" t="s">
        <v>573</v>
      </c>
      <c r="B461" s="0" t="s">
        <v>553</v>
      </c>
      <c r="D461" s="13" t="n">
        <f aca="false">a26_sys/1000</f>
        <v>32.2174</v>
      </c>
      <c r="E461" s="13" t="n">
        <f aca="false">$D461*(1+cap_27)*E455</f>
        <v>43.1390986</v>
      </c>
      <c r="F461" s="13" t="n">
        <f aca="false">$D461*(1+cap_27)*(1+cap_28)*F455</f>
        <v>51.0982622917</v>
      </c>
      <c r="G461" s="13" t="n">
        <f aca="false">$D461*(1+cap_27)*(1+cap_28)*(1+cap_29)*G455</f>
        <v>57.8943311764961</v>
      </c>
      <c r="H461" s="5" t="s">
        <v>574</v>
      </c>
    </row>
    <row r="462" customFormat="false" ht="17.15" hidden="false" customHeight="false" outlineLevel="0" collapsed="false">
      <c r="A462" s="5" t="s">
        <v>575</v>
      </c>
      <c r="B462" s="0" t="s">
        <v>553</v>
      </c>
      <c r="C462" s="13" t="n">
        <f aca="false">a25_sys/1000</f>
        <v>24.4743</v>
      </c>
      <c r="D462" s="13" t="n">
        <f aca="false">a26_sys/1000</f>
        <v>32.2174</v>
      </c>
      <c r="E462" s="13" t="n">
        <f aca="false">MIN(E460,E461)</f>
        <v>39.4419094077512</v>
      </c>
      <c r="F462" s="13" t="n">
        <f aca="false">MIN(F460,F461)</f>
        <v>44.6253702003281</v>
      </c>
      <c r="G462" s="13" t="n">
        <f aca="false">MIN(G460,G461)</f>
        <v>47.9581726323786</v>
      </c>
    </row>
    <row r="463" customFormat="false" ht="17.15" hidden="false" customHeight="false" outlineLevel="0" collapsed="false">
      <c r="A463" s="5" t="s">
        <v>576</v>
      </c>
      <c r="E463" s="20" t="n">
        <f aca="false">IF(E460&gt;E461,1,0)</f>
        <v>0</v>
      </c>
      <c r="F463" s="20" t="n">
        <f aca="false">IF(F460&gt;F461,1,0)</f>
        <v>0</v>
      </c>
      <c r="G463" s="20" t="n">
        <f aca="false">IF(G460&gt;G461,1,0)</f>
        <v>0</v>
      </c>
    </row>
    <row r="464" customFormat="false" ht="15" hidden="false" customHeight="false" outlineLevel="0" collapsed="false">
      <c r="A464" s="5" t="s">
        <v>577</v>
      </c>
      <c r="B464" s="0" t="s">
        <v>231</v>
      </c>
      <c r="D464" s="10" t="n">
        <f aca="false">D459/D460</f>
        <v>0.2</v>
      </c>
      <c r="E464" s="10" t="n">
        <f aca="false">E459/E460</f>
        <v>0.163366330300777</v>
      </c>
      <c r="F464" s="10" t="n">
        <f aca="false">F459/F460</f>
        <v>0.144390510847854</v>
      </c>
      <c r="G464" s="10" t="n">
        <f aca="false">G459/G460</f>
        <v>0.134356245167893</v>
      </c>
      <c r="H464" s="5" t="s">
        <v>578</v>
      </c>
    </row>
    <row r="465" customFormat="false" ht="17.15" hidden="false" customHeight="false" outlineLevel="0" collapsed="false">
      <c r="A465" s="5" t="s">
        <v>579</v>
      </c>
      <c r="B465" s="0" t="s">
        <v>553</v>
      </c>
      <c r="C465" s="13" t="n">
        <f aca="false">a25_ibm/1000</f>
        <v>8.193</v>
      </c>
      <c r="D465" s="13" t="n">
        <f aca="false">a26_ibm/1000</f>
        <v>12.238</v>
      </c>
      <c r="E465" s="13" t="n">
        <f aca="false">D465*(1+g_ibm_A)</f>
        <v>13.70656</v>
      </c>
      <c r="F465" s="13" t="n">
        <f aca="false">E465*(1+g_ibm_A)</f>
        <v>15.3513472</v>
      </c>
      <c r="G465" s="13" t="n">
        <f aca="false">F465*(1+g_ibm_A)</f>
        <v>17.193508864</v>
      </c>
    </row>
    <row r="466" customFormat="false" ht="15" hidden="false" customHeight="false" outlineLevel="0" collapsed="false">
      <c r="A466" s="5" t="s">
        <v>481</v>
      </c>
      <c r="B466" s="0" t="s">
        <v>553</v>
      </c>
      <c r="C466" s="13" t="n">
        <f aca="false">C462+C465</f>
        <v>32.6673</v>
      </c>
      <c r="D466" s="13" t="n">
        <f aca="false">D462+D465</f>
        <v>44.4554</v>
      </c>
      <c r="E466" s="13" t="n">
        <f aca="false">E462+E465</f>
        <v>53.1484694077512</v>
      </c>
      <c r="F466" s="13" t="n">
        <f aca="false">F462+F465</f>
        <v>59.9767174003281</v>
      </c>
      <c r="G466" s="13" t="n">
        <f aca="false">G462+G465</f>
        <v>65.1516814963786</v>
      </c>
    </row>
    <row r="467" customFormat="false" ht="15" hidden="false" customHeight="false" outlineLevel="0" collapsed="false">
      <c r="A467" s="5" t="s">
        <v>580</v>
      </c>
      <c r="B467" s="0" t="s">
        <v>231</v>
      </c>
      <c r="D467" s="10" t="n">
        <f aca="false">D466/C466-1</f>
        <v>0.360853207948009</v>
      </c>
      <c r="E467" s="10" t="n">
        <f aca="false">E466/D466-1</f>
        <v>0.195545859620006</v>
      </c>
      <c r="F467" s="10" t="n">
        <f aca="false">F466/E466-1</f>
        <v>0.128474969621253</v>
      </c>
      <c r="G467" s="10" t="n">
        <f aca="false">G466/F466-1</f>
        <v>0.0862828830979356</v>
      </c>
    </row>
    <row r="468" customFormat="false" ht="17.15" hidden="false" customHeight="false" outlineLevel="0" collapsed="false">
      <c r="A468" s="1" t="s">
        <v>581</v>
      </c>
    </row>
    <row r="469" customFormat="false" ht="17.15" hidden="false" customHeight="false" outlineLevel="0" collapsed="false">
      <c r="A469" s="5" t="s">
        <v>486</v>
      </c>
      <c r="B469" s="0" t="s">
        <v>231</v>
      </c>
      <c r="C469" s="10" t="n">
        <f aca="false">a25_gp/a25_rev</f>
        <v>0.528298941142978</v>
      </c>
      <c r="D469" s="10" t="n">
        <f aca="false">a26_gp/a26_rev</f>
        <v>0.556944713128214</v>
      </c>
      <c r="E469" s="10" t="n">
        <f aca="false">$D469+gm_b*LN(E466/$D466)</f>
        <v>0.573549776576898</v>
      </c>
      <c r="F469" s="10" t="n">
        <f aca="false">$D469+gm_b*LN(F466/$D466)</f>
        <v>0.584787034438446</v>
      </c>
      <c r="G469" s="10" t="n">
        <f aca="false">$D469+gm_b*LN(G466/$D466)</f>
        <v>0.592481551270315</v>
      </c>
      <c r="H469" s="8" t="s">
        <v>582</v>
      </c>
    </row>
    <row r="470" customFormat="false" ht="15" hidden="false" customHeight="false" outlineLevel="0" collapsed="false">
      <c r="A470" s="5" t="s">
        <v>484</v>
      </c>
      <c r="B470" s="0" t="s">
        <v>553</v>
      </c>
      <c r="C470" s="13" t="n">
        <f aca="false">C466*C469</f>
        <v>17.2581</v>
      </c>
      <c r="D470" s="13" t="n">
        <f aca="false">D466*D469</f>
        <v>24.7592</v>
      </c>
      <c r="E470" s="13" t="n">
        <f aca="false">E466*E469</f>
        <v>30.4832927542198</v>
      </c>
      <c r="F470" s="13" t="n">
        <f aca="false">F466*F469</f>
        <v>35.0736067038906</v>
      </c>
      <c r="G470" s="13" t="n">
        <f aca="false">G466*G469</f>
        <v>38.6011693208438</v>
      </c>
    </row>
    <row r="471" customFormat="false" ht="17.15" hidden="false" customHeight="false" outlineLevel="0" collapsed="false">
      <c r="A471" s="5" t="s">
        <v>583</v>
      </c>
      <c r="B471" s="0" t="s">
        <v>553</v>
      </c>
      <c r="C471" s="13" t="n">
        <f aca="false">opex25/1000</f>
        <v>5.9565</v>
      </c>
      <c r="D471" s="13" t="n">
        <f aca="false">opex26/1000</f>
        <v>6.1935</v>
      </c>
      <c r="E471" s="13" t="n">
        <f aca="false">$D471*((1-phi_lo)+phi_lo*E466/$D466)</f>
        <v>6.1935</v>
      </c>
      <c r="F471" s="13" t="n">
        <f aca="false">$D471*((1-phi_lo)+phi_lo*F466/$D466)</f>
        <v>6.1935</v>
      </c>
      <c r="G471" s="13" t="n">
        <f aca="false">$D471*((1-phi_lo)+phi_lo*G466/$D466)</f>
        <v>6.1935</v>
      </c>
      <c r="H471" s="8" t="s">
        <v>584</v>
      </c>
    </row>
    <row r="472" customFormat="false" ht="15" hidden="false" customHeight="false" outlineLevel="0" collapsed="false">
      <c r="A472" s="5" t="s">
        <v>490</v>
      </c>
      <c r="B472" s="0" t="s">
        <v>553</v>
      </c>
      <c r="C472" s="13" t="n">
        <f aca="false">C470-C471</f>
        <v>11.3016</v>
      </c>
      <c r="D472" s="13" t="n">
        <f aca="false">D470-D471</f>
        <v>18.5657</v>
      </c>
      <c r="E472" s="13" t="n">
        <f aca="false">E470-E471</f>
        <v>24.2897927542198</v>
      </c>
      <c r="F472" s="13" t="n">
        <f aca="false">F470-F471</f>
        <v>28.8801067038906</v>
      </c>
      <c r="G472" s="13" t="n">
        <f aca="false">G470-G471</f>
        <v>32.4076693208438</v>
      </c>
    </row>
    <row r="473" customFormat="false" ht="15" hidden="false" customHeight="false" outlineLevel="0" collapsed="false">
      <c r="A473" s="5" t="s">
        <v>557</v>
      </c>
      <c r="B473" s="0" t="s">
        <v>231</v>
      </c>
      <c r="C473" s="10" t="n">
        <f aca="false">C472/C466</f>
        <v>0.345960639538621</v>
      </c>
      <c r="D473" s="10" t="n">
        <f aca="false">D472/D466</f>
        <v>0.417625305362228</v>
      </c>
      <c r="E473" s="10" t="n">
        <f aca="false">E472/E466</f>
        <v>0.457017728353949</v>
      </c>
      <c r="F473" s="10" t="n">
        <f aca="false">F472/F466</f>
        <v>0.481521963116518</v>
      </c>
      <c r="G473" s="10" t="n">
        <f aca="false">G472/G466</f>
        <v>0.497418770728814</v>
      </c>
    </row>
    <row r="474" customFormat="false" ht="17.15" hidden="false" customHeight="false" outlineLevel="0" collapsed="false">
      <c r="A474" s="5" t="s">
        <v>498</v>
      </c>
      <c r="B474" s="0" t="s">
        <v>553</v>
      </c>
      <c r="C474" s="13" t="n">
        <f aca="false">a25_ni/1000</f>
        <v>9.6094</v>
      </c>
      <c r="D474" s="13" t="n">
        <f aca="false">a26_ni/1000</f>
        <v>16.3986734727826</v>
      </c>
      <c r="E474" s="13" t="n">
        <f aca="false">E472*nioi</f>
        <v>20.6528575150775</v>
      </c>
      <c r="F474" s="13" t="n">
        <f aca="false">F472*nioi</f>
        <v>24.5558591137862</v>
      </c>
      <c r="G474" s="13" t="n">
        <f aca="false">G472*nioi</f>
        <v>27.5552362118387</v>
      </c>
      <c r="H474" s="8" t="s">
        <v>585</v>
      </c>
    </row>
    <row r="475" customFormat="false" ht="15" hidden="false" customHeight="false" outlineLevel="0" collapsed="false">
      <c r="A475" s="5" t="s">
        <v>586</v>
      </c>
      <c r="B475" s="5" t="s">
        <v>267</v>
      </c>
      <c r="C475" s="16" t="n">
        <f aca="false">a25_shr</f>
        <v>388.572583906187</v>
      </c>
      <c r="D475" s="16" t="n">
        <f aca="false">a26_shr</f>
        <v>383.625</v>
      </c>
      <c r="E475" s="16" t="n">
        <f aca="false">sh_q4*(1-bb)^1</f>
        <v>377.685</v>
      </c>
      <c r="F475" s="16" t="n">
        <f aca="false">sh_q4*(1-bb)^2</f>
        <v>373.90815</v>
      </c>
      <c r="G475" s="16" t="n">
        <f aca="false">sh_q4*(1-bb)^3</f>
        <v>370.1690685</v>
      </c>
    </row>
    <row r="476" customFormat="false" ht="17.15" hidden="false" customHeight="false" outlineLevel="0" collapsed="false">
      <c r="A476" s="0" t="s">
        <v>587</v>
      </c>
      <c r="B476" s="0" t="s">
        <v>392</v>
      </c>
      <c r="C476" s="13" t="n">
        <f aca="false">a25_eps</f>
        <v>24.73</v>
      </c>
      <c r="D476" s="13" t="n">
        <f aca="false">a26_eps</f>
        <v>42.7466235849661</v>
      </c>
      <c r="E476" s="13" t="n">
        <f aca="false">E474*1000/E475</f>
        <v>54.6827581584588</v>
      </c>
      <c r="F476" s="13" t="n">
        <f aca="false">F474*1000/F475</f>
        <v>65.6735059500207</v>
      </c>
      <c r="G476" s="13" t="n">
        <f aca="false">G474*1000/G475</f>
        <v>74.4395968131485</v>
      </c>
    </row>
    <row r="477" customFormat="false" ht="17.15" hidden="false" customHeight="false" outlineLevel="0" collapsed="false">
      <c r="A477" s="1" t="s">
        <v>588</v>
      </c>
    </row>
    <row r="478" customFormat="false" ht="17.15" hidden="false" customHeight="false" outlineLevel="0" collapsed="false">
      <c r="A478" s="0" t="s">
        <v>514</v>
      </c>
      <c r="B478" s="0" t="s">
        <v>553</v>
      </c>
      <c r="C478" s="13" t="n">
        <f aca="false">a25_euv/1000</f>
        <v>11.6</v>
      </c>
      <c r="D478" s="13" t="n">
        <f aca="false">a26_euv/1000</f>
        <v>16.82</v>
      </c>
      <c r="E478" s="13" t="n">
        <f aca="false">E462*euv_sh_27</f>
        <v>21.6930501742632</v>
      </c>
      <c r="F478" s="13" t="n">
        <f aca="false">F462*euv_sh_28</f>
        <v>25.436461014187</v>
      </c>
      <c r="G478" s="13" t="n">
        <f aca="false">G462*euv_sh_29</f>
        <v>27.8157401267796</v>
      </c>
    </row>
    <row r="479" customFormat="false" ht="17.15" hidden="false" customHeight="false" outlineLevel="0" collapsed="false">
      <c r="A479" s="5" t="s">
        <v>589</v>
      </c>
      <c r="B479" s="5" t="s">
        <v>362</v>
      </c>
      <c r="E479" s="20" t="n">
        <f aca="false">(E478*1000-hna_n_27*hna_asp)/lna_asp</f>
        <v>85.8775007921053</v>
      </c>
      <c r="F479" s="20" t="n">
        <f aca="false">(F478*1000-hna_n_28*hna_asp)/lna_asp</f>
        <v>96.5293682463047</v>
      </c>
      <c r="G479" s="20" t="n">
        <f aca="false">(G478*1000-hna_n_29*hna_asp)/lna_asp</f>
        <v>102.571546030816</v>
      </c>
    </row>
    <row r="480" customFormat="false" ht="15" hidden="false" customHeight="false" outlineLevel="0" collapsed="false">
      <c r="A480" s="5" t="s">
        <v>590</v>
      </c>
      <c r="B480" s="0" t="s">
        <v>27</v>
      </c>
      <c r="C480" s="21" t="n">
        <f aca="false">C462*fx_25</f>
        <v>27.655959</v>
      </c>
      <c r="D480" s="21" t="n">
        <f aca="false">D462*fx_f</f>
        <v>37.372184</v>
      </c>
      <c r="E480" s="21" t="n">
        <f aca="false">E462*fx_f</f>
        <v>45.7526149129914</v>
      </c>
      <c r="F480" s="21" t="n">
        <f aca="false">F462*fx_f</f>
        <v>51.7654294323806</v>
      </c>
      <c r="G480" s="21" t="n">
        <f aca="false">G462*fx_f</f>
        <v>55.6314802535591</v>
      </c>
    </row>
    <row r="481" customFormat="false" ht="17.15" hidden="false" customHeight="false" outlineLevel="0" collapsed="false">
      <c r="A481" s="0" t="s">
        <v>591</v>
      </c>
      <c r="B481" s="0" t="s">
        <v>231</v>
      </c>
      <c r="C481" s="10" t="n">
        <f aca="false">C480/Units!C7</f>
        <v>0.236584333071578</v>
      </c>
      <c r="D481" s="10" t="n">
        <f aca="false">D480/Units!D7</f>
        <v>0.239324345993695</v>
      </c>
      <c r="E481" s="10" t="n">
        <f aca="false">E480/Units!E7</f>
        <v>0.237311670552754</v>
      </c>
      <c r="F481" s="10" t="n">
        <f aca="false">F480/Units!F7</f>
        <v>0.238959320909658</v>
      </c>
      <c r="G481" s="10" t="n">
        <f aca="false">G480/Units!G7</f>
        <v>0.243034445014329</v>
      </c>
      <c r="H481" s="5" t="s">
        <v>592</v>
      </c>
    </row>
    <row r="490" customFormat="false" ht="17.15" hidden="false" customHeight="false" outlineLevel="0" collapsed="false">
      <c r="A490" s="3" t="s">
        <v>877</v>
      </c>
    </row>
    <row r="491" customFormat="false" ht="17.15" hidden="false" customHeight="false" outlineLevel="0" collapsed="false">
      <c r="A491" s="6" t="s">
        <v>16</v>
      </c>
      <c r="B491" s="6" t="s">
        <v>17</v>
      </c>
      <c r="C491" s="14" t="s">
        <v>548</v>
      </c>
      <c r="D491" s="14" t="s">
        <v>549</v>
      </c>
      <c r="E491" s="14" t="s">
        <v>550</v>
      </c>
      <c r="F491" s="14" t="s">
        <v>551</v>
      </c>
      <c r="G491" s="14" t="s">
        <v>552</v>
      </c>
      <c r="H491" s="6" t="s">
        <v>534</v>
      </c>
    </row>
    <row r="492" customFormat="false" ht="17.15" hidden="false" customHeight="false" outlineLevel="0" collapsed="false">
      <c r="A492" s="1" t="s">
        <v>561</v>
      </c>
    </row>
    <row r="493" customFormat="false" ht="17.15" hidden="false" customHeight="false" outlineLevel="0" collapsed="false">
      <c r="A493" s="5" t="s">
        <v>562</v>
      </c>
      <c r="B493" s="0" t="s">
        <v>345</v>
      </c>
      <c r="C493" s="25" t="n">
        <f aca="false">Units!C8</f>
        <v>0.797493866282457</v>
      </c>
      <c r="D493" s="25" t="n">
        <f aca="false">Units!D8</f>
        <v>1</v>
      </c>
      <c r="E493" s="25" t="n">
        <f aca="false">Units!E8</f>
        <v>1.1581138943867</v>
      </c>
      <c r="F493" s="25" t="n">
        <f aca="false">Units!F8</f>
        <v>1.30398004155566</v>
      </c>
      <c r="G493" s="25" t="n">
        <f aca="false">Units!G8</f>
        <v>1.39118185447666</v>
      </c>
    </row>
    <row r="494" customFormat="false" ht="17.15" hidden="false" customHeight="false" outlineLevel="0" collapsed="false">
      <c r="A494" s="5" t="s">
        <v>563</v>
      </c>
      <c r="B494" s="0" t="s">
        <v>345</v>
      </c>
      <c r="C494" s="25" t="n">
        <f aca="false">Units!C9</f>
        <v>0.677840887672955</v>
      </c>
      <c r="D494" s="25" t="n">
        <f aca="false">Units!D9</f>
        <v>1</v>
      </c>
      <c r="E494" s="25" t="n">
        <f aca="false">Units!E9</f>
        <v>1.3452955652252</v>
      </c>
      <c r="F494" s="25" t="n">
        <f aca="false">Units!F9</f>
        <v>1.50769200272716</v>
      </c>
      <c r="G494" s="25" t="n">
        <f aca="false">Units!G9</f>
        <v>1.57386738820784</v>
      </c>
    </row>
    <row r="495" customFormat="false" ht="17.15" hidden="false" customHeight="false" outlineLevel="0" collapsed="false">
      <c r="A495" s="5" t="s">
        <v>564</v>
      </c>
      <c r="B495" s="0" t="s">
        <v>345</v>
      </c>
      <c r="D495" s="25" t="n">
        <f aca="false">(1+g_int)^0</f>
        <v>1</v>
      </c>
      <c r="E495" s="25" t="n">
        <f aca="false">(1+g_int)^1</f>
        <v>1.03</v>
      </c>
      <c r="F495" s="25" t="n">
        <f aca="false">(1+g_int)^2</f>
        <v>1.0609</v>
      </c>
      <c r="G495" s="25" t="n">
        <f aca="false">(1+g_int)^3</f>
        <v>1.092727</v>
      </c>
      <c r="H495" s="8" t="s">
        <v>565</v>
      </c>
    </row>
    <row r="496" customFormat="false" ht="17.15" hidden="false" customHeight="false" outlineLevel="0" collapsed="false">
      <c r="A496" s="1" t="s">
        <v>566</v>
      </c>
    </row>
    <row r="497" customFormat="false" ht="17.15" hidden="false" customHeight="false" outlineLevel="0" collapsed="false">
      <c r="A497" s="5" t="s">
        <v>567</v>
      </c>
      <c r="B497" s="0" t="s">
        <v>553</v>
      </c>
      <c r="D497" s="13" t="n">
        <f aca="false">a26_sys/1000*(1-cn_sh26)*log_sh26</f>
        <v>14.0838050971922</v>
      </c>
      <c r="E497" s="13" t="n">
        <f aca="false">$D497*E493*E495</f>
        <v>16.7999698799593</v>
      </c>
      <c r="F497" s="13" t="n">
        <f aca="false">$D497*F493*F495</f>
        <v>19.4834293019328</v>
      </c>
      <c r="G497" s="13" t="n">
        <f aca="false">$D497*G493*G495</f>
        <v>21.4099466382598</v>
      </c>
      <c r="H497" s="8" t="s">
        <v>568</v>
      </c>
    </row>
    <row r="498" customFormat="false" ht="15" hidden="false" customHeight="false" outlineLevel="0" collapsed="false">
      <c r="A498" s="5" t="s">
        <v>569</v>
      </c>
      <c r="B498" s="0" t="s">
        <v>553</v>
      </c>
      <c r="D498" s="13" t="n">
        <f aca="false">a26_sys/1000*(1-cn_sh26)*(1-log_sh26)</f>
        <v>11.6901149028078</v>
      </c>
      <c r="E498" s="13" t="n">
        <f aca="false">$D498*E494*E495</f>
        <v>16.1984595277919</v>
      </c>
      <c r="F498" s="13" t="n">
        <f aca="false">$D498*F494*F495</f>
        <v>18.6984608983954</v>
      </c>
      <c r="G498" s="13" t="n">
        <f aca="false">$D498*G494*G495</f>
        <v>20.1047459941188</v>
      </c>
    </row>
    <row r="499" customFormat="false" ht="17.15" hidden="false" customHeight="false" outlineLevel="0" collapsed="false">
      <c r="A499" s="5" t="s">
        <v>570</v>
      </c>
      <c r="B499" s="0" t="s">
        <v>553</v>
      </c>
      <c r="D499" s="13" t="n">
        <f aca="false">a26_sys/1000*cn_sh26</f>
        <v>6.44348</v>
      </c>
      <c r="E499" s="13" t="n">
        <f aca="false">D499*(1+g_cn_A)</f>
        <v>6.44348</v>
      </c>
      <c r="F499" s="13" t="n">
        <f aca="false">E499*(1+g_cn_A)</f>
        <v>6.44348</v>
      </c>
      <c r="G499" s="13" t="n">
        <f aca="false">F499*(1+g_cn_A)</f>
        <v>6.44348</v>
      </c>
      <c r="H499" s="8" t="s">
        <v>571</v>
      </c>
    </row>
    <row r="500" customFormat="false" ht="15" hidden="false" customHeight="false" outlineLevel="0" collapsed="false">
      <c r="A500" s="5" t="s">
        <v>572</v>
      </c>
      <c r="B500" s="0" t="s">
        <v>553</v>
      </c>
      <c r="D500" s="13" t="n">
        <f aca="false">D497+D498+D499</f>
        <v>32.2174</v>
      </c>
      <c r="E500" s="13" t="n">
        <f aca="false">E497+E498+E499</f>
        <v>39.4419094077512</v>
      </c>
      <c r="F500" s="13" t="n">
        <f aca="false">F497+F498+F499</f>
        <v>44.6253702003281</v>
      </c>
      <c r="G500" s="13" t="n">
        <f aca="false">G497+G498+G499</f>
        <v>47.9581726323786</v>
      </c>
    </row>
    <row r="501" customFormat="false" ht="17.15" hidden="false" customHeight="false" outlineLevel="0" collapsed="false">
      <c r="A501" s="5" t="s">
        <v>573</v>
      </c>
      <c r="B501" s="0" t="s">
        <v>553</v>
      </c>
      <c r="D501" s="13" t="n">
        <f aca="false">a26_sys/1000</f>
        <v>32.2174</v>
      </c>
      <c r="E501" s="13" t="n">
        <f aca="false">$D501*(1+cap_27)*E495</f>
        <v>43.1390986</v>
      </c>
      <c r="F501" s="13" t="n">
        <f aca="false">$D501*(1+cap_27)*(1+cap_28)*F495</f>
        <v>51.0982622917</v>
      </c>
      <c r="G501" s="13" t="n">
        <f aca="false">$D501*(1+cap_27)*(1+cap_28)*(1+cap_29)*G495</f>
        <v>57.8943311764961</v>
      </c>
      <c r="H501" s="5" t="s">
        <v>574</v>
      </c>
    </row>
    <row r="502" customFormat="false" ht="17.15" hidden="false" customHeight="false" outlineLevel="0" collapsed="false">
      <c r="A502" s="5" t="s">
        <v>575</v>
      </c>
      <c r="B502" s="0" t="s">
        <v>553</v>
      </c>
      <c r="C502" s="13" t="n">
        <f aca="false">a25_sys/1000</f>
        <v>24.4743</v>
      </c>
      <c r="D502" s="13" t="n">
        <f aca="false">a26_sys/1000</f>
        <v>32.2174</v>
      </c>
      <c r="E502" s="13" t="n">
        <f aca="false">MIN(E500,E501)</f>
        <v>39.4419094077512</v>
      </c>
      <c r="F502" s="13" t="n">
        <f aca="false">MIN(F500,F501)</f>
        <v>44.6253702003281</v>
      </c>
      <c r="G502" s="13" t="n">
        <f aca="false">MIN(G500,G501)</f>
        <v>47.9581726323786</v>
      </c>
    </row>
    <row r="503" customFormat="false" ht="17.15" hidden="false" customHeight="false" outlineLevel="0" collapsed="false">
      <c r="A503" s="5" t="s">
        <v>576</v>
      </c>
      <c r="E503" s="20" t="n">
        <f aca="false">IF(E500&gt;E501,1,0)</f>
        <v>0</v>
      </c>
      <c r="F503" s="20" t="n">
        <f aca="false">IF(F500&gt;F501,1,0)</f>
        <v>0</v>
      </c>
      <c r="G503" s="20" t="n">
        <f aca="false">IF(G500&gt;G501,1,0)</f>
        <v>0</v>
      </c>
    </row>
    <row r="504" customFormat="false" ht="15" hidden="false" customHeight="false" outlineLevel="0" collapsed="false">
      <c r="A504" s="5" t="s">
        <v>577</v>
      </c>
      <c r="B504" s="0" t="s">
        <v>231</v>
      </c>
      <c r="D504" s="10" t="n">
        <f aca="false">D499/D500</f>
        <v>0.2</v>
      </c>
      <c r="E504" s="10" t="n">
        <f aca="false">E499/E500</f>
        <v>0.163366330300777</v>
      </c>
      <c r="F504" s="10" t="n">
        <f aca="false">F499/F500</f>
        <v>0.144390510847854</v>
      </c>
      <c r="G504" s="10" t="n">
        <f aca="false">G499/G500</f>
        <v>0.134356245167893</v>
      </c>
      <c r="H504" s="5" t="s">
        <v>578</v>
      </c>
    </row>
    <row r="505" customFormat="false" ht="17.15" hidden="false" customHeight="false" outlineLevel="0" collapsed="false">
      <c r="A505" s="5" t="s">
        <v>579</v>
      </c>
      <c r="B505" s="0" t="s">
        <v>553</v>
      </c>
      <c r="C505" s="13" t="n">
        <f aca="false">a25_ibm/1000</f>
        <v>8.193</v>
      </c>
      <c r="D505" s="13" t="n">
        <f aca="false">a26_ibm/1000</f>
        <v>12.238</v>
      </c>
      <c r="E505" s="13" t="n">
        <f aca="false">D505*(1+g_ibm_A)</f>
        <v>13.70656</v>
      </c>
      <c r="F505" s="13" t="n">
        <f aca="false">E505*(1+g_ibm_A)</f>
        <v>15.3513472</v>
      </c>
      <c r="G505" s="13" t="n">
        <f aca="false">F505*(1+g_ibm_A)</f>
        <v>17.193508864</v>
      </c>
    </row>
    <row r="506" customFormat="false" ht="15" hidden="false" customHeight="false" outlineLevel="0" collapsed="false">
      <c r="A506" s="5" t="s">
        <v>481</v>
      </c>
      <c r="B506" s="0" t="s">
        <v>553</v>
      </c>
      <c r="C506" s="13" t="n">
        <f aca="false">C502+C505</f>
        <v>32.6673</v>
      </c>
      <c r="D506" s="13" t="n">
        <f aca="false">D502+D505</f>
        <v>44.4554</v>
      </c>
      <c r="E506" s="13" t="n">
        <f aca="false">E502+E505</f>
        <v>53.1484694077512</v>
      </c>
      <c r="F506" s="13" t="n">
        <f aca="false">F502+F505</f>
        <v>59.9767174003281</v>
      </c>
      <c r="G506" s="13" t="n">
        <f aca="false">G502+G505</f>
        <v>65.1516814963786</v>
      </c>
    </row>
    <row r="507" customFormat="false" ht="15" hidden="false" customHeight="false" outlineLevel="0" collapsed="false">
      <c r="A507" s="5" t="s">
        <v>580</v>
      </c>
      <c r="B507" s="0" t="s">
        <v>231</v>
      </c>
      <c r="D507" s="10" t="n">
        <f aca="false">D506/C506-1</f>
        <v>0.360853207948009</v>
      </c>
      <c r="E507" s="10" t="n">
        <f aca="false">E506/D506-1</f>
        <v>0.195545859620006</v>
      </c>
      <c r="F507" s="10" t="n">
        <f aca="false">F506/E506-1</f>
        <v>0.128474969621253</v>
      </c>
      <c r="G507" s="10" t="n">
        <f aca="false">G506/F506-1</f>
        <v>0.0862828830979356</v>
      </c>
    </row>
    <row r="508" customFormat="false" ht="17.15" hidden="false" customHeight="false" outlineLevel="0" collapsed="false">
      <c r="A508" s="1" t="s">
        <v>581</v>
      </c>
    </row>
    <row r="509" customFormat="false" ht="17.15" hidden="false" customHeight="false" outlineLevel="0" collapsed="false">
      <c r="A509" s="5" t="s">
        <v>486</v>
      </c>
      <c r="B509" s="0" t="s">
        <v>231</v>
      </c>
      <c r="C509" s="10" t="n">
        <f aca="false">a25_gp/a25_rev</f>
        <v>0.528298941142978</v>
      </c>
      <c r="D509" s="10" t="n">
        <f aca="false">a26_gp/a26_rev</f>
        <v>0.556944713128214</v>
      </c>
      <c r="E509" s="10" t="n">
        <f aca="false">$D509+gm_b*LN(E506/$D506)</f>
        <v>0.573549776576898</v>
      </c>
      <c r="F509" s="10" t="n">
        <f aca="false">$D509+gm_b*LN(F506/$D506)</f>
        <v>0.584787034438446</v>
      </c>
      <c r="G509" s="10" t="n">
        <f aca="false">$D509+gm_b*LN(G506/$D506)</f>
        <v>0.592481551270315</v>
      </c>
      <c r="H509" s="8" t="s">
        <v>582</v>
      </c>
    </row>
    <row r="510" customFormat="false" ht="15" hidden="false" customHeight="false" outlineLevel="0" collapsed="false">
      <c r="A510" s="5" t="s">
        <v>484</v>
      </c>
      <c r="B510" s="0" t="s">
        <v>553</v>
      </c>
      <c r="C510" s="13" t="n">
        <f aca="false">C506*C509</f>
        <v>17.2581</v>
      </c>
      <c r="D510" s="13" t="n">
        <f aca="false">D506*D509</f>
        <v>24.7592</v>
      </c>
      <c r="E510" s="13" t="n">
        <f aca="false">E506*E509</f>
        <v>30.4832927542198</v>
      </c>
      <c r="F510" s="13" t="n">
        <f aca="false">F506*F509</f>
        <v>35.0736067038906</v>
      </c>
      <c r="G510" s="13" t="n">
        <f aca="false">G506*G509</f>
        <v>38.6011693208438</v>
      </c>
    </row>
    <row r="511" customFormat="false" ht="17.15" hidden="false" customHeight="false" outlineLevel="0" collapsed="false">
      <c r="A511" s="5" t="s">
        <v>583</v>
      </c>
      <c r="B511" s="0" t="s">
        <v>553</v>
      </c>
      <c r="C511" s="13" t="n">
        <f aca="false">opex25/1000</f>
        <v>5.9565</v>
      </c>
      <c r="D511" s="13" t="n">
        <f aca="false">opex26/1000</f>
        <v>6.1935</v>
      </c>
      <c r="E511" s="13" t="n">
        <f aca="false">$D511*((1-phi_hi)+phi_hi*E506/$D506)</f>
        <v>6.6779453126226</v>
      </c>
      <c r="F511" s="13" t="n">
        <f aca="false">$D511*((1-phi_hi)+phi_hi*F506/$D506)</f>
        <v>7.05846829918464</v>
      </c>
      <c r="G511" s="13" t="n">
        <f aca="false">$D511*((1-phi_hi)+phi_hi*G506/$D506)</f>
        <v>7.34685747241344</v>
      </c>
      <c r="H511" s="8" t="s">
        <v>584</v>
      </c>
    </row>
    <row r="512" customFormat="false" ht="15" hidden="false" customHeight="false" outlineLevel="0" collapsed="false">
      <c r="A512" s="5" t="s">
        <v>490</v>
      </c>
      <c r="B512" s="0" t="s">
        <v>553</v>
      </c>
      <c r="C512" s="13" t="n">
        <f aca="false">C510-C511</f>
        <v>11.3016</v>
      </c>
      <c r="D512" s="13" t="n">
        <f aca="false">D510-D511</f>
        <v>18.5657</v>
      </c>
      <c r="E512" s="13" t="n">
        <f aca="false">E510-E511</f>
        <v>23.8053474415972</v>
      </c>
      <c r="F512" s="13" t="n">
        <f aca="false">F510-F511</f>
        <v>28.015138404706</v>
      </c>
      <c r="G512" s="13" t="n">
        <f aca="false">G510-G511</f>
        <v>31.2543118484304</v>
      </c>
    </row>
    <row r="513" customFormat="false" ht="15" hidden="false" customHeight="false" outlineLevel="0" collapsed="false">
      <c r="A513" s="5" t="s">
        <v>557</v>
      </c>
      <c r="B513" s="0" t="s">
        <v>231</v>
      </c>
      <c r="C513" s="10" t="n">
        <f aca="false">C512/C506</f>
        <v>0.345960639538621</v>
      </c>
      <c r="D513" s="10" t="n">
        <f aca="false">D512/D506</f>
        <v>0.417625305362228</v>
      </c>
      <c r="E513" s="10" t="n">
        <f aca="false">E512/E506</f>
        <v>0.447902784536735</v>
      </c>
      <c r="F513" s="10" t="n">
        <f aca="false">F512/F506</f>
        <v>0.467100228538895</v>
      </c>
      <c r="G513" s="10" t="n">
        <f aca="false">G512/G506</f>
        <v>0.47971611983902</v>
      </c>
    </row>
    <row r="514" customFormat="false" ht="17.15" hidden="false" customHeight="false" outlineLevel="0" collapsed="false">
      <c r="A514" s="5" t="s">
        <v>498</v>
      </c>
      <c r="B514" s="0" t="s">
        <v>553</v>
      </c>
      <c r="C514" s="13" t="n">
        <f aca="false">a25_ni/1000</f>
        <v>9.6094</v>
      </c>
      <c r="D514" s="13" t="n">
        <f aca="false">a26_ni/1000</f>
        <v>16.3986734727826</v>
      </c>
      <c r="E514" s="13" t="n">
        <f aca="false">E512*nioi</f>
        <v>20.2409486891488</v>
      </c>
      <c r="F514" s="13" t="n">
        <f aca="false">F512*nioi</f>
        <v>23.820403392987</v>
      </c>
      <c r="G514" s="13" t="n">
        <f aca="false">G512*nioi</f>
        <v>26.5745721204349</v>
      </c>
      <c r="H514" s="8" t="s">
        <v>585</v>
      </c>
    </row>
    <row r="515" customFormat="false" ht="15" hidden="false" customHeight="false" outlineLevel="0" collapsed="false">
      <c r="A515" s="5" t="s">
        <v>586</v>
      </c>
      <c r="B515" s="5" t="s">
        <v>267</v>
      </c>
      <c r="C515" s="16" t="n">
        <f aca="false">a25_shr</f>
        <v>388.572583906187</v>
      </c>
      <c r="D515" s="16" t="n">
        <f aca="false">a26_shr</f>
        <v>383.625</v>
      </c>
      <c r="E515" s="16" t="n">
        <f aca="false">sh_q4*(1-bb)^1</f>
        <v>377.685</v>
      </c>
      <c r="F515" s="16" t="n">
        <f aca="false">sh_q4*(1-bb)^2</f>
        <v>373.90815</v>
      </c>
      <c r="G515" s="16" t="n">
        <f aca="false">sh_q4*(1-bb)^3</f>
        <v>370.1690685</v>
      </c>
    </row>
    <row r="516" customFormat="false" ht="17.15" hidden="false" customHeight="false" outlineLevel="0" collapsed="false">
      <c r="A516" s="0" t="s">
        <v>587</v>
      </c>
      <c r="B516" s="0" t="s">
        <v>392</v>
      </c>
      <c r="C516" s="13" t="n">
        <f aca="false">a25_eps</f>
        <v>24.73</v>
      </c>
      <c r="D516" s="13" t="n">
        <f aca="false">a26_eps</f>
        <v>42.7466235849661</v>
      </c>
      <c r="E516" s="13" t="n">
        <f aca="false">E514*1000/E515</f>
        <v>53.5921434241467</v>
      </c>
      <c r="F516" s="13" t="n">
        <f aca="false">F514*1000/F515</f>
        <v>63.7065637456337</v>
      </c>
      <c r="G516" s="13" t="n">
        <f aca="false">G514*1000/G515</f>
        <v>71.7903638683817</v>
      </c>
    </row>
    <row r="517" customFormat="false" ht="17.15" hidden="false" customHeight="false" outlineLevel="0" collapsed="false">
      <c r="A517" s="1" t="s">
        <v>588</v>
      </c>
    </row>
    <row r="518" customFormat="false" ht="17.15" hidden="false" customHeight="false" outlineLevel="0" collapsed="false">
      <c r="A518" s="0" t="s">
        <v>514</v>
      </c>
      <c r="B518" s="0" t="s">
        <v>553</v>
      </c>
      <c r="C518" s="13" t="n">
        <f aca="false">a25_euv/1000</f>
        <v>11.6</v>
      </c>
      <c r="D518" s="13" t="n">
        <f aca="false">a26_euv/1000</f>
        <v>16.82</v>
      </c>
      <c r="E518" s="13" t="n">
        <f aca="false">E502*euv_sh_27</f>
        <v>21.6930501742632</v>
      </c>
      <c r="F518" s="13" t="n">
        <f aca="false">F502*euv_sh_28</f>
        <v>25.436461014187</v>
      </c>
      <c r="G518" s="13" t="n">
        <f aca="false">G502*euv_sh_29</f>
        <v>27.8157401267796</v>
      </c>
    </row>
    <row r="519" customFormat="false" ht="17.15" hidden="false" customHeight="false" outlineLevel="0" collapsed="false">
      <c r="A519" s="5" t="s">
        <v>589</v>
      </c>
      <c r="B519" s="5" t="s">
        <v>362</v>
      </c>
      <c r="E519" s="20" t="n">
        <f aca="false">(E518*1000-hna_n_27*hna_asp)/lna_asp</f>
        <v>85.8775007921053</v>
      </c>
      <c r="F519" s="20" t="n">
        <f aca="false">(F518*1000-hna_n_28*hna_asp)/lna_asp</f>
        <v>96.5293682463047</v>
      </c>
      <c r="G519" s="20" t="n">
        <f aca="false">(G518*1000-hna_n_29*hna_asp)/lna_asp</f>
        <v>102.571546030816</v>
      </c>
    </row>
    <row r="520" customFormat="false" ht="15" hidden="false" customHeight="false" outlineLevel="0" collapsed="false">
      <c r="A520" s="5" t="s">
        <v>590</v>
      </c>
      <c r="B520" s="0" t="s">
        <v>27</v>
      </c>
      <c r="C520" s="21" t="n">
        <f aca="false">C502*fx_25</f>
        <v>27.655959</v>
      </c>
      <c r="D520" s="21" t="n">
        <f aca="false">D502*fx_f</f>
        <v>37.372184</v>
      </c>
      <c r="E520" s="21" t="n">
        <f aca="false">E502*fx_f</f>
        <v>45.7526149129914</v>
      </c>
      <c r="F520" s="21" t="n">
        <f aca="false">F502*fx_f</f>
        <v>51.7654294323806</v>
      </c>
      <c r="G520" s="21" t="n">
        <f aca="false">G502*fx_f</f>
        <v>55.6314802535591</v>
      </c>
    </row>
    <row r="521" customFormat="false" ht="17.15" hidden="false" customHeight="false" outlineLevel="0" collapsed="false">
      <c r="A521" s="0" t="s">
        <v>591</v>
      </c>
      <c r="B521" s="0" t="s">
        <v>231</v>
      </c>
      <c r="C521" s="10" t="n">
        <f aca="false">C520/Units!C7</f>
        <v>0.236584333071578</v>
      </c>
      <c r="D521" s="10" t="n">
        <f aca="false">D520/Units!D7</f>
        <v>0.239324345993695</v>
      </c>
      <c r="E521" s="10" t="n">
        <f aca="false">E520/Units!E7</f>
        <v>0.237311670552754</v>
      </c>
      <c r="F521" s="10" t="n">
        <f aca="false">F520/Units!F7</f>
        <v>0.238959320909658</v>
      </c>
      <c r="G521" s="10" t="n">
        <f aca="false">G520/Units!G7</f>
        <v>0.243034445014329</v>
      </c>
      <c r="H521" s="5" t="s">
        <v>592</v>
      </c>
    </row>
    <row r="530" customFormat="false" ht="17.15" hidden="false" customHeight="false" outlineLevel="0" collapsed="false">
      <c r="A530" s="3" t="s">
        <v>878</v>
      </c>
    </row>
    <row r="531" customFormat="false" ht="17.15" hidden="false" customHeight="false" outlineLevel="0" collapsed="false">
      <c r="A531" s="6" t="s">
        <v>16</v>
      </c>
      <c r="B531" s="6" t="s">
        <v>17</v>
      </c>
      <c r="C531" s="14" t="s">
        <v>548</v>
      </c>
      <c r="D531" s="14" t="s">
        <v>549</v>
      </c>
      <c r="E531" s="14" t="s">
        <v>550</v>
      </c>
      <c r="F531" s="14" t="s">
        <v>551</v>
      </c>
      <c r="G531" s="14" t="s">
        <v>552</v>
      </c>
      <c r="H531" s="6" t="s">
        <v>534</v>
      </c>
    </row>
    <row r="532" customFormat="false" ht="17.15" hidden="false" customHeight="false" outlineLevel="0" collapsed="false">
      <c r="A532" s="1" t="s">
        <v>561</v>
      </c>
    </row>
    <row r="533" customFormat="false" ht="17.15" hidden="false" customHeight="false" outlineLevel="0" collapsed="false">
      <c r="A533" s="5" t="s">
        <v>562</v>
      </c>
      <c r="B533" s="0" t="s">
        <v>345</v>
      </c>
      <c r="C533" s="25" t="n">
        <f aca="false">Units!C8</f>
        <v>0.797493866282457</v>
      </c>
      <c r="D533" s="25" t="n">
        <f aca="false">Units!D8</f>
        <v>1</v>
      </c>
      <c r="E533" s="25" t="n">
        <f aca="false">Units!E8</f>
        <v>1.1581138943867</v>
      </c>
      <c r="F533" s="25" t="n">
        <f aca="false">Units!F8</f>
        <v>1.30398004155566</v>
      </c>
      <c r="G533" s="25" t="n">
        <f aca="false">Units!G8</f>
        <v>1.39118185447666</v>
      </c>
    </row>
    <row r="534" customFormat="false" ht="17.15" hidden="false" customHeight="false" outlineLevel="0" collapsed="false">
      <c r="A534" s="5" t="s">
        <v>563</v>
      </c>
      <c r="B534" s="0" t="s">
        <v>345</v>
      </c>
      <c r="C534" s="25" t="n">
        <f aca="false">Units!C9</f>
        <v>0.677840887672955</v>
      </c>
      <c r="D534" s="25" t="n">
        <f aca="false">Units!D9</f>
        <v>1</v>
      </c>
      <c r="E534" s="25" t="n">
        <f aca="false">Units!E9</f>
        <v>1.3452955652252</v>
      </c>
      <c r="F534" s="25" t="n">
        <f aca="false">Units!F9</f>
        <v>1.50769200272716</v>
      </c>
      <c r="G534" s="25" t="n">
        <f aca="false">Units!G9</f>
        <v>1.57386738820784</v>
      </c>
    </row>
    <row r="535" customFormat="false" ht="17.15" hidden="false" customHeight="false" outlineLevel="0" collapsed="false">
      <c r="A535" s="5" t="s">
        <v>564</v>
      </c>
      <c r="B535" s="0" t="s">
        <v>345</v>
      </c>
      <c r="D535" s="25" t="n">
        <f aca="false">(1+g_int)^0</f>
        <v>1</v>
      </c>
      <c r="E535" s="25" t="n">
        <f aca="false">(1+g_int)^1</f>
        <v>1.03</v>
      </c>
      <c r="F535" s="25" t="n">
        <f aca="false">(1+g_int)^2</f>
        <v>1.0609</v>
      </c>
      <c r="G535" s="25" t="n">
        <f aca="false">(1+g_int)^3</f>
        <v>1.092727</v>
      </c>
      <c r="H535" s="8" t="s">
        <v>565</v>
      </c>
    </row>
    <row r="536" customFormat="false" ht="17.15" hidden="false" customHeight="false" outlineLevel="0" collapsed="false">
      <c r="A536" s="1" t="s">
        <v>566</v>
      </c>
    </row>
    <row r="537" customFormat="false" ht="17.15" hidden="false" customHeight="false" outlineLevel="0" collapsed="false">
      <c r="A537" s="5" t="s">
        <v>567</v>
      </c>
      <c r="B537" s="0" t="s">
        <v>553</v>
      </c>
      <c r="D537" s="13" t="n">
        <f aca="false">a26_sys/1000*(1-cn_sh26)*log_sh26</f>
        <v>14.0838050971922</v>
      </c>
      <c r="E537" s="13" t="n">
        <f aca="false">$D537*E533*E535</f>
        <v>16.7999698799593</v>
      </c>
      <c r="F537" s="13" t="n">
        <f aca="false">$D537*F533*F535</f>
        <v>19.4834293019328</v>
      </c>
      <c r="G537" s="13" t="n">
        <f aca="false">$D537*G533*G535</f>
        <v>21.4099466382598</v>
      </c>
      <c r="H537" s="8" t="s">
        <v>568</v>
      </c>
    </row>
    <row r="538" customFormat="false" ht="15" hidden="false" customHeight="false" outlineLevel="0" collapsed="false">
      <c r="A538" s="5" t="s">
        <v>569</v>
      </c>
      <c r="B538" s="0" t="s">
        <v>553</v>
      </c>
      <c r="D538" s="13" t="n">
        <f aca="false">a26_sys/1000*(1-cn_sh26)*(1-log_sh26)</f>
        <v>11.6901149028078</v>
      </c>
      <c r="E538" s="13" t="n">
        <f aca="false">$D538*E534*E535</f>
        <v>16.1984595277919</v>
      </c>
      <c r="F538" s="13" t="n">
        <f aca="false">$D538*F534*F535</f>
        <v>18.6984608983954</v>
      </c>
      <c r="G538" s="13" t="n">
        <f aca="false">$D538*G534*G535</f>
        <v>20.1047459941188</v>
      </c>
    </row>
    <row r="539" customFormat="false" ht="17.15" hidden="false" customHeight="false" outlineLevel="0" collapsed="false">
      <c r="A539" s="5" t="s">
        <v>570</v>
      </c>
      <c r="B539" s="0" t="s">
        <v>553</v>
      </c>
      <c r="D539" s="13" t="n">
        <f aca="false">a26_sys/1000*cn_sh26</f>
        <v>6.44348</v>
      </c>
      <c r="E539" s="13" t="n">
        <f aca="false">D539*(1+g_cn_A)</f>
        <v>6.44348</v>
      </c>
      <c r="F539" s="13" t="n">
        <f aca="false">E539*(1+g_cn_A)</f>
        <v>6.44348</v>
      </c>
      <c r="G539" s="13" t="n">
        <f aca="false">F539*(1+g_cn_A)</f>
        <v>6.44348</v>
      </c>
      <c r="H539" s="8" t="s">
        <v>571</v>
      </c>
    </row>
    <row r="540" customFormat="false" ht="15" hidden="false" customHeight="false" outlineLevel="0" collapsed="false">
      <c r="A540" s="5" t="s">
        <v>572</v>
      </c>
      <c r="B540" s="0" t="s">
        <v>553</v>
      </c>
      <c r="D540" s="13" t="n">
        <f aca="false">D537+D538+D539</f>
        <v>32.2174</v>
      </c>
      <c r="E540" s="13" t="n">
        <f aca="false">E537+E538+E539</f>
        <v>39.4419094077512</v>
      </c>
      <c r="F540" s="13" t="n">
        <f aca="false">F537+F538+F539</f>
        <v>44.6253702003281</v>
      </c>
      <c r="G540" s="13" t="n">
        <f aca="false">G537+G538+G539</f>
        <v>47.9581726323786</v>
      </c>
    </row>
    <row r="541" customFormat="false" ht="17.15" hidden="false" customHeight="false" outlineLevel="0" collapsed="false">
      <c r="A541" s="5" t="s">
        <v>573</v>
      </c>
      <c r="B541" s="0" t="s">
        <v>553</v>
      </c>
      <c r="D541" s="13" t="n">
        <f aca="false">a26_sys/1000</f>
        <v>32.2174</v>
      </c>
      <c r="E541" s="13" t="n">
        <f aca="false">$D541*(1+cap_27_lo)*E535</f>
        <v>39.8207064</v>
      </c>
      <c r="F541" s="13" t="n">
        <f aca="false">$D541*(1+cap_27_lo)*(1+cap_28)*F535</f>
        <v>47.1676267308</v>
      </c>
      <c r="G541" s="13" t="n">
        <f aca="false">$D541*(1+cap_27_lo)*(1+cap_28)*(1+cap_29)*G535</f>
        <v>53.4409210859964</v>
      </c>
      <c r="H541" s="5" t="s">
        <v>574</v>
      </c>
    </row>
    <row r="542" customFormat="false" ht="17.15" hidden="false" customHeight="false" outlineLevel="0" collapsed="false">
      <c r="A542" s="5" t="s">
        <v>575</v>
      </c>
      <c r="B542" s="0" t="s">
        <v>553</v>
      </c>
      <c r="C542" s="13" t="n">
        <f aca="false">a25_sys/1000</f>
        <v>24.4743</v>
      </c>
      <c r="D542" s="13" t="n">
        <f aca="false">a26_sys/1000</f>
        <v>32.2174</v>
      </c>
      <c r="E542" s="13" t="n">
        <f aca="false">MIN(E540,E541)</f>
        <v>39.4419094077512</v>
      </c>
      <c r="F542" s="13" t="n">
        <f aca="false">MIN(F540,F541)</f>
        <v>44.6253702003281</v>
      </c>
      <c r="G542" s="13" t="n">
        <f aca="false">MIN(G540,G541)</f>
        <v>47.9581726323786</v>
      </c>
    </row>
    <row r="543" customFormat="false" ht="17.15" hidden="false" customHeight="false" outlineLevel="0" collapsed="false">
      <c r="A543" s="5" t="s">
        <v>576</v>
      </c>
      <c r="E543" s="20" t="n">
        <f aca="false">IF(E540&gt;E541,1,0)</f>
        <v>0</v>
      </c>
      <c r="F543" s="20" t="n">
        <f aca="false">IF(F540&gt;F541,1,0)</f>
        <v>0</v>
      </c>
      <c r="G543" s="20" t="n">
        <f aca="false">IF(G540&gt;G541,1,0)</f>
        <v>0</v>
      </c>
    </row>
    <row r="544" customFormat="false" ht="15" hidden="false" customHeight="false" outlineLevel="0" collapsed="false">
      <c r="A544" s="5" t="s">
        <v>577</v>
      </c>
      <c r="B544" s="0" t="s">
        <v>231</v>
      </c>
      <c r="D544" s="10" t="n">
        <f aca="false">D539/D540</f>
        <v>0.2</v>
      </c>
      <c r="E544" s="10" t="n">
        <f aca="false">E539/E540</f>
        <v>0.163366330300777</v>
      </c>
      <c r="F544" s="10" t="n">
        <f aca="false">F539/F540</f>
        <v>0.144390510847854</v>
      </c>
      <c r="G544" s="10" t="n">
        <f aca="false">G539/G540</f>
        <v>0.134356245167893</v>
      </c>
      <c r="H544" s="5" t="s">
        <v>578</v>
      </c>
    </row>
    <row r="545" customFormat="false" ht="17.15" hidden="false" customHeight="false" outlineLevel="0" collapsed="false">
      <c r="A545" s="5" t="s">
        <v>579</v>
      </c>
      <c r="B545" s="0" t="s">
        <v>553</v>
      </c>
      <c r="C545" s="13" t="n">
        <f aca="false">a25_ibm/1000</f>
        <v>8.193</v>
      </c>
      <c r="D545" s="13" t="n">
        <f aca="false">a26_ibm/1000</f>
        <v>12.238</v>
      </c>
      <c r="E545" s="13" t="n">
        <f aca="false">D545*(1+g_ibm_A)</f>
        <v>13.70656</v>
      </c>
      <c r="F545" s="13" t="n">
        <f aca="false">E545*(1+g_ibm_A)</f>
        <v>15.3513472</v>
      </c>
      <c r="G545" s="13" t="n">
        <f aca="false">F545*(1+g_ibm_A)</f>
        <v>17.193508864</v>
      </c>
    </row>
    <row r="546" customFormat="false" ht="15" hidden="false" customHeight="false" outlineLevel="0" collapsed="false">
      <c r="A546" s="5" t="s">
        <v>481</v>
      </c>
      <c r="B546" s="0" t="s">
        <v>553</v>
      </c>
      <c r="C546" s="13" t="n">
        <f aca="false">C542+C545</f>
        <v>32.6673</v>
      </c>
      <c r="D546" s="13" t="n">
        <f aca="false">D542+D545</f>
        <v>44.4554</v>
      </c>
      <c r="E546" s="13" t="n">
        <f aca="false">E542+E545</f>
        <v>53.1484694077512</v>
      </c>
      <c r="F546" s="13" t="n">
        <f aca="false">F542+F545</f>
        <v>59.9767174003281</v>
      </c>
      <c r="G546" s="13" t="n">
        <f aca="false">G542+G545</f>
        <v>65.1516814963786</v>
      </c>
    </row>
    <row r="547" customFormat="false" ht="15" hidden="false" customHeight="false" outlineLevel="0" collapsed="false">
      <c r="A547" s="5" t="s">
        <v>580</v>
      </c>
      <c r="B547" s="0" t="s">
        <v>231</v>
      </c>
      <c r="D547" s="10" t="n">
        <f aca="false">D546/C546-1</f>
        <v>0.360853207948009</v>
      </c>
      <c r="E547" s="10" t="n">
        <f aca="false">E546/D546-1</f>
        <v>0.195545859620006</v>
      </c>
      <c r="F547" s="10" t="n">
        <f aca="false">F546/E546-1</f>
        <v>0.128474969621253</v>
      </c>
      <c r="G547" s="10" t="n">
        <f aca="false">G546/F546-1</f>
        <v>0.0862828830979356</v>
      </c>
    </row>
    <row r="548" customFormat="false" ht="17.15" hidden="false" customHeight="false" outlineLevel="0" collapsed="false">
      <c r="A548" s="1" t="s">
        <v>581</v>
      </c>
    </row>
    <row r="549" customFormat="false" ht="17.15" hidden="false" customHeight="false" outlineLevel="0" collapsed="false">
      <c r="A549" s="5" t="s">
        <v>486</v>
      </c>
      <c r="B549" s="0" t="s">
        <v>231</v>
      </c>
      <c r="C549" s="10" t="n">
        <f aca="false">a25_gp/a25_rev</f>
        <v>0.528298941142978</v>
      </c>
      <c r="D549" s="10" t="n">
        <f aca="false">a26_gp/a26_rev</f>
        <v>0.556944713128214</v>
      </c>
      <c r="E549" s="10" t="n">
        <f aca="false">$D549+gm_b*LN(E546/$D546)</f>
        <v>0.573549776576898</v>
      </c>
      <c r="F549" s="10" t="n">
        <f aca="false">$D549+gm_b*LN(F546/$D546)</f>
        <v>0.584787034438446</v>
      </c>
      <c r="G549" s="10" t="n">
        <f aca="false">$D549+gm_b*LN(G546/$D546)</f>
        <v>0.592481551270315</v>
      </c>
      <c r="H549" s="8" t="s">
        <v>582</v>
      </c>
    </row>
    <row r="550" customFormat="false" ht="15" hidden="false" customHeight="false" outlineLevel="0" collapsed="false">
      <c r="A550" s="5" t="s">
        <v>484</v>
      </c>
      <c r="B550" s="0" t="s">
        <v>553</v>
      </c>
      <c r="C550" s="13" t="n">
        <f aca="false">C546*C549</f>
        <v>17.2581</v>
      </c>
      <c r="D550" s="13" t="n">
        <f aca="false">D546*D549</f>
        <v>24.7592</v>
      </c>
      <c r="E550" s="13" t="n">
        <f aca="false">E546*E549</f>
        <v>30.4832927542198</v>
      </c>
      <c r="F550" s="13" t="n">
        <f aca="false">F546*F549</f>
        <v>35.0736067038906</v>
      </c>
      <c r="G550" s="13" t="n">
        <f aca="false">G546*G549</f>
        <v>38.6011693208438</v>
      </c>
    </row>
    <row r="551" customFormat="false" ht="17.15" hidden="false" customHeight="false" outlineLevel="0" collapsed="false">
      <c r="A551" s="5" t="s">
        <v>583</v>
      </c>
      <c r="B551" s="0" t="s">
        <v>553</v>
      </c>
      <c r="C551" s="13" t="n">
        <f aca="false">opex25/1000</f>
        <v>5.9565</v>
      </c>
      <c r="D551" s="13" t="n">
        <f aca="false">opex26/1000</f>
        <v>6.1935</v>
      </c>
      <c r="E551" s="13" t="n">
        <f aca="false">$D551*((1-phi)+phi*E546/$D546)</f>
        <v>6.36827434443524</v>
      </c>
      <c r="F551" s="13" t="n">
        <f aca="false">$D551*((1-phi)+phi*F546/$D546)</f>
        <v>6.50555641484869</v>
      </c>
      <c r="G551" s="13" t="n">
        <f aca="false">$D551*((1-phi)+phi*G546/$D546)</f>
        <v>6.60959917753003</v>
      </c>
      <c r="H551" s="8" t="s">
        <v>584</v>
      </c>
    </row>
    <row r="552" customFormat="false" ht="15" hidden="false" customHeight="false" outlineLevel="0" collapsed="false">
      <c r="A552" s="5" t="s">
        <v>490</v>
      </c>
      <c r="B552" s="0" t="s">
        <v>553</v>
      </c>
      <c r="C552" s="13" t="n">
        <f aca="false">C550-C551</f>
        <v>11.3016</v>
      </c>
      <c r="D552" s="13" t="n">
        <f aca="false">D550-D551</f>
        <v>18.5657</v>
      </c>
      <c r="E552" s="13" t="n">
        <f aca="false">E550-E551</f>
        <v>24.1150184097846</v>
      </c>
      <c r="F552" s="13" t="n">
        <f aca="false">F550-F551</f>
        <v>28.5680502890419</v>
      </c>
      <c r="G552" s="13" t="n">
        <f aca="false">G550-G551</f>
        <v>31.9915701433138</v>
      </c>
    </row>
    <row r="553" customFormat="false" ht="15" hidden="false" customHeight="false" outlineLevel="0" collapsed="false">
      <c r="A553" s="5" t="s">
        <v>557</v>
      </c>
      <c r="B553" s="0" t="s">
        <v>231</v>
      </c>
      <c r="C553" s="10" t="n">
        <f aca="false">C552/C546</f>
        <v>0.345960639538621</v>
      </c>
      <c r="D553" s="10" t="n">
        <f aca="false">D552/D546</f>
        <v>0.417625305362228</v>
      </c>
      <c r="E553" s="10" t="n">
        <f aca="false">E552/E546</f>
        <v>0.453729311088451</v>
      </c>
      <c r="F553" s="10" t="n">
        <f aca="false">F552/F546</f>
        <v>0.476319003895429</v>
      </c>
      <c r="G553" s="10" t="n">
        <f aca="false">G552/G546</f>
        <v>0.491032148496306</v>
      </c>
    </row>
    <row r="554" customFormat="false" ht="17.15" hidden="false" customHeight="false" outlineLevel="0" collapsed="false">
      <c r="A554" s="5" t="s">
        <v>498</v>
      </c>
      <c r="B554" s="0" t="s">
        <v>553</v>
      </c>
      <c r="C554" s="13" t="n">
        <f aca="false">a25_ni/1000</f>
        <v>9.6094</v>
      </c>
      <c r="D554" s="13" t="n">
        <f aca="false">a26_ni/1000</f>
        <v>16.3986734727826</v>
      </c>
      <c r="E554" s="13" t="n">
        <f aca="false">E552*nioi</f>
        <v>20.5042523100255</v>
      </c>
      <c r="F554" s="13" t="n">
        <f aca="false">F552*nioi</f>
        <v>24.2905272215898</v>
      </c>
      <c r="G554" s="13" t="n">
        <f aca="false">G552*nioi</f>
        <v>27.2014399850605</v>
      </c>
      <c r="H554" s="8" t="s">
        <v>585</v>
      </c>
    </row>
    <row r="555" customFormat="false" ht="15" hidden="false" customHeight="false" outlineLevel="0" collapsed="false">
      <c r="A555" s="5" t="s">
        <v>586</v>
      </c>
      <c r="B555" s="5" t="s">
        <v>267</v>
      </c>
      <c r="C555" s="16" t="n">
        <f aca="false">a25_shr</f>
        <v>388.572583906187</v>
      </c>
      <c r="D555" s="16" t="n">
        <f aca="false">a26_shr</f>
        <v>383.625</v>
      </c>
      <c r="E555" s="16" t="n">
        <f aca="false">sh_q4*(1-bb)^1</f>
        <v>377.685</v>
      </c>
      <c r="F555" s="16" t="n">
        <f aca="false">sh_q4*(1-bb)^2</f>
        <v>373.90815</v>
      </c>
      <c r="G555" s="16" t="n">
        <f aca="false">sh_q4*(1-bb)^3</f>
        <v>370.1690685</v>
      </c>
    </row>
    <row r="556" customFormat="false" ht="17.15" hidden="false" customHeight="false" outlineLevel="0" collapsed="false">
      <c r="A556" s="0" t="s">
        <v>587</v>
      </c>
      <c r="B556" s="0" t="s">
        <v>392</v>
      </c>
      <c r="C556" s="13" t="n">
        <f aca="false">a25_eps</f>
        <v>24.73</v>
      </c>
      <c r="D556" s="13" t="n">
        <f aca="false">a26_eps</f>
        <v>42.7466235849661</v>
      </c>
      <c r="E556" s="13" t="n">
        <f aca="false">E554*1000/E555</f>
        <v>54.2892948092339</v>
      </c>
      <c r="F556" s="13" t="n">
        <f aca="false">F554*1000/F555</f>
        <v>64.9638881142062</v>
      </c>
      <c r="G556" s="13" t="n">
        <f aca="false">G554*1000/G555</f>
        <v>73.4838275258553</v>
      </c>
    </row>
    <row r="557" customFormat="false" ht="17.15" hidden="false" customHeight="false" outlineLevel="0" collapsed="false">
      <c r="A557" s="1" t="s">
        <v>588</v>
      </c>
    </row>
    <row r="558" customFormat="false" ht="17.15" hidden="false" customHeight="false" outlineLevel="0" collapsed="false">
      <c r="A558" s="0" t="s">
        <v>514</v>
      </c>
      <c r="B558" s="0" t="s">
        <v>553</v>
      </c>
      <c r="C558" s="13" t="n">
        <f aca="false">a25_euv/1000</f>
        <v>11.6</v>
      </c>
      <c r="D558" s="13" t="n">
        <f aca="false">a26_euv/1000</f>
        <v>16.82</v>
      </c>
      <c r="E558" s="13" t="n">
        <f aca="false">E542*euv_sh_27</f>
        <v>21.6930501742632</v>
      </c>
      <c r="F558" s="13" t="n">
        <f aca="false">F542*euv_sh_28</f>
        <v>25.436461014187</v>
      </c>
      <c r="G558" s="13" t="n">
        <f aca="false">G542*euv_sh_29</f>
        <v>27.8157401267796</v>
      </c>
    </row>
    <row r="559" customFormat="false" ht="17.15" hidden="false" customHeight="false" outlineLevel="0" collapsed="false">
      <c r="A559" s="5" t="s">
        <v>589</v>
      </c>
      <c r="B559" s="5" t="s">
        <v>362</v>
      </c>
      <c r="E559" s="20" t="n">
        <f aca="false">(E558*1000-hna_n_27*hna_asp)/lna_asp</f>
        <v>85.8775007921053</v>
      </c>
      <c r="F559" s="20" t="n">
        <f aca="false">(F558*1000-hna_n_28*hna_asp)/lna_asp</f>
        <v>96.5293682463047</v>
      </c>
      <c r="G559" s="20" t="n">
        <f aca="false">(G558*1000-hna_n_29*hna_asp)/lna_asp</f>
        <v>102.571546030816</v>
      </c>
    </row>
    <row r="560" customFormat="false" ht="15" hidden="false" customHeight="false" outlineLevel="0" collapsed="false">
      <c r="A560" s="5" t="s">
        <v>590</v>
      </c>
      <c r="B560" s="0" t="s">
        <v>27</v>
      </c>
      <c r="C560" s="21" t="n">
        <f aca="false">C542*fx_25</f>
        <v>27.655959</v>
      </c>
      <c r="D560" s="21" t="n">
        <f aca="false">D542*fx_f</f>
        <v>37.372184</v>
      </c>
      <c r="E560" s="21" t="n">
        <f aca="false">E542*fx_f</f>
        <v>45.7526149129914</v>
      </c>
      <c r="F560" s="21" t="n">
        <f aca="false">F542*fx_f</f>
        <v>51.7654294323806</v>
      </c>
      <c r="G560" s="21" t="n">
        <f aca="false">G542*fx_f</f>
        <v>55.6314802535591</v>
      </c>
    </row>
    <row r="561" customFormat="false" ht="17.15" hidden="false" customHeight="false" outlineLevel="0" collapsed="false">
      <c r="A561" s="0" t="s">
        <v>591</v>
      </c>
      <c r="B561" s="0" t="s">
        <v>231</v>
      </c>
      <c r="C561" s="10" t="n">
        <f aca="false">C560/Units!C7</f>
        <v>0.236584333071578</v>
      </c>
      <c r="D561" s="10" t="n">
        <f aca="false">D560/Units!D7</f>
        <v>0.239324345993695</v>
      </c>
      <c r="E561" s="10" t="n">
        <f aca="false">E560/Units!E7</f>
        <v>0.237311670552754</v>
      </c>
      <c r="F561" s="10" t="n">
        <f aca="false">F560/Units!F7</f>
        <v>0.238959320909658</v>
      </c>
      <c r="G561" s="10" t="n">
        <f aca="false">G560/Units!G7</f>
        <v>0.243034445014329</v>
      </c>
      <c r="H561" s="5" t="s">
        <v>592</v>
      </c>
    </row>
    <row r="570" customFormat="false" ht="17.15" hidden="false" customHeight="false" outlineLevel="0" collapsed="false">
      <c r="A570" s="3" t="s">
        <v>879</v>
      </c>
    </row>
    <row r="571" customFormat="false" ht="17.15" hidden="false" customHeight="false" outlineLevel="0" collapsed="false">
      <c r="A571" s="6" t="s">
        <v>16</v>
      </c>
      <c r="B571" s="6" t="s">
        <v>17</v>
      </c>
      <c r="C571" s="14" t="s">
        <v>548</v>
      </c>
      <c r="D571" s="14" t="s">
        <v>549</v>
      </c>
      <c r="E571" s="14" t="s">
        <v>550</v>
      </c>
      <c r="F571" s="14" t="s">
        <v>551</v>
      </c>
      <c r="G571" s="14" t="s">
        <v>552</v>
      </c>
      <c r="H571" s="6" t="s">
        <v>534</v>
      </c>
    </row>
    <row r="572" customFormat="false" ht="17.15" hidden="false" customHeight="false" outlineLevel="0" collapsed="false">
      <c r="A572" s="1" t="s">
        <v>561</v>
      </c>
    </row>
    <row r="573" customFormat="false" ht="17.15" hidden="false" customHeight="false" outlineLevel="0" collapsed="false">
      <c r="A573" s="5" t="s">
        <v>562</v>
      </c>
      <c r="B573" s="0" t="s">
        <v>345</v>
      </c>
      <c r="C573" s="25" t="n">
        <f aca="false">Units!C8</f>
        <v>0.797493866282457</v>
      </c>
      <c r="D573" s="25" t="n">
        <f aca="false">Units!D8</f>
        <v>1</v>
      </c>
      <c r="E573" s="25" t="n">
        <f aca="false">Units!E8</f>
        <v>1.1581138943867</v>
      </c>
      <c r="F573" s="25" t="n">
        <f aca="false">Units!F8</f>
        <v>1.30398004155566</v>
      </c>
      <c r="G573" s="25" t="n">
        <f aca="false">Units!G8</f>
        <v>1.39118185447666</v>
      </c>
    </row>
    <row r="574" customFormat="false" ht="17.15" hidden="false" customHeight="false" outlineLevel="0" collapsed="false">
      <c r="A574" s="5" t="s">
        <v>563</v>
      </c>
      <c r="B574" s="0" t="s">
        <v>345</v>
      </c>
      <c r="C574" s="25" t="n">
        <f aca="false">Units!C9</f>
        <v>0.677840887672955</v>
      </c>
      <c r="D574" s="25" t="n">
        <f aca="false">Units!D9</f>
        <v>1</v>
      </c>
      <c r="E574" s="25" t="n">
        <f aca="false">Units!E9</f>
        <v>1.3452955652252</v>
      </c>
      <c r="F574" s="25" t="n">
        <f aca="false">Units!F9</f>
        <v>1.50769200272716</v>
      </c>
      <c r="G574" s="25" t="n">
        <f aca="false">Units!G9</f>
        <v>1.57386738820784</v>
      </c>
    </row>
    <row r="575" customFormat="false" ht="17.15" hidden="false" customHeight="false" outlineLevel="0" collapsed="false">
      <c r="A575" s="5" t="s">
        <v>564</v>
      </c>
      <c r="B575" s="0" t="s">
        <v>345</v>
      </c>
      <c r="D575" s="25" t="n">
        <f aca="false">(1+g_int)^0</f>
        <v>1</v>
      </c>
      <c r="E575" s="25" t="n">
        <f aca="false">(1+g_int)^1</f>
        <v>1.03</v>
      </c>
      <c r="F575" s="25" t="n">
        <f aca="false">(1+g_int)^2</f>
        <v>1.0609</v>
      </c>
      <c r="G575" s="25" t="n">
        <f aca="false">(1+g_int)^3</f>
        <v>1.092727</v>
      </c>
      <c r="H575" s="8" t="s">
        <v>565</v>
      </c>
    </row>
    <row r="576" customFormat="false" ht="17.15" hidden="false" customHeight="false" outlineLevel="0" collapsed="false">
      <c r="A576" s="1" t="s">
        <v>566</v>
      </c>
    </row>
    <row r="577" customFormat="false" ht="17.15" hidden="false" customHeight="false" outlineLevel="0" collapsed="false">
      <c r="A577" s="5" t="s">
        <v>567</v>
      </c>
      <c r="B577" s="0" t="s">
        <v>553</v>
      </c>
      <c r="D577" s="13" t="n">
        <f aca="false">a26_sys/1000*(1-cn_sh26)*log_sh26</f>
        <v>14.0838050971922</v>
      </c>
      <c r="E577" s="13" t="n">
        <f aca="false">$D577*E573*E575</f>
        <v>16.7999698799593</v>
      </c>
      <c r="F577" s="13" t="n">
        <f aca="false">$D577*F573*F575</f>
        <v>19.4834293019328</v>
      </c>
      <c r="G577" s="13" t="n">
        <f aca="false">$D577*G573*G575</f>
        <v>21.4099466382598</v>
      </c>
      <c r="H577" s="8" t="s">
        <v>568</v>
      </c>
    </row>
    <row r="578" customFormat="false" ht="15" hidden="false" customHeight="false" outlineLevel="0" collapsed="false">
      <c r="A578" s="5" t="s">
        <v>569</v>
      </c>
      <c r="B578" s="0" t="s">
        <v>553</v>
      </c>
      <c r="D578" s="13" t="n">
        <f aca="false">a26_sys/1000*(1-cn_sh26)*(1-log_sh26)</f>
        <v>11.6901149028078</v>
      </c>
      <c r="E578" s="13" t="n">
        <f aca="false">$D578*E574*E575</f>
        <v>16.1984595277919</v>
      </c>
      <c r="F578" s="13" t="n">
        <f aca="false">$D578*F574*F575</f>
        <v>18.6984608983954</v>
      </c>
      <c r="G578" s="13" t="n">
        <f aca="false">$D578*G574*G575</f>
        <v>20.1047459941188</v>
      </c>
    </row>
    <row r="579" customFormat="false" ht="17.15" hidden="false" customHeight="false" outlineLevel="0" collapsed="false">
      <c r="A579" s="5" t="s">
        <v>570</v>
      </c>
      <c r="B579" s="0" t="s">
        <v>553</v>
      </c>
      <c r="D579" s="13" t="n">
        <f aca="false">a26_sys/1000*cn_sh26</f>
        <v>6.44348</v>
      </c>
      <c r="E579" s="13" t="n">
        <f aca="false">D579*(1+g_cn_A)</f>
        <v>6.44348</v>
      </c>
      <c r="F579" s="13" t="n">
        <f aca="false">E579*(1+g_cn_A)</f>
        <v>6.44348</v>
      </c>
      <c r="G579" s="13" t="n">
        <f aca="false">F579*(1+g_cn_A)</f>
        <v>6.44348</v>
      </c>
      <c r="H579" s="8" t="s">
        <v>571</v>
      </c>
    </row>
    <row r="580" customFormat="false" ht="15" hidden="false" customHeight="false" outlineLevel="0" collapsed="false">
      <c r="A580" s="5" t="s">
        <v>572</v>
      </c>
      <c r="B580" s="0" t="s">
        <v>553</v>
      </c>
      <c r="D580" s="13" t="n">
        <f aca="false">D577+D578+D579</f>
        <v>32.2174</v>
      </c>
      <c r="E580" s="13" t="n">
        <f aca="false">E577+E578+E579</f>
        <v>39.4419094077512</v>
      </c>
      <c r="F580" s="13" t="n">
        <f aca="false">F577+F578+F579</f>
        <v>44.6253702003281</v>
      </c>
      <c r="G580" s="13" t="n">
        <f aca="false">G577+G578+G579</f>
        <v>47.9581726323786</v>
      </c>
    </row>
    <row r="581" customFormat="false" ht="17.15" hidden="false" customHeight="false" outlineLevel="0" collapsed="false">
      <c r="A581" s="5" t="s">
        <v>573</v>
      </c>
      <c r="B581" s="0" t="s">
        <v>553</v>
      </c>
      <c r="D581" s="13" t="n">
        <f aca="false">a26_sys/1000</f>
        <v>32.2174</v>
      </c>
      <c r="E581" s="13" t="n">
        <f aca="false">$D581*(1+cap_27)*E575</f>
        <v>43.1390986</v>
      </c>
      <c r="F581" s="13" t="n">
        <f aca="false">$D581*(1+cap_27)*(1+cap_28_lo)*F575</f>
        <v>44.433271558</v>
      </c>
      <c r="G581" s="13" t="n">
        <f aca="false">$D581*(1+cap_27)*(1+cap_28_lo)*(1+cap_29)*G575</f>
        <v>50.342896675214</v>
      </c>
      <c r="H581" s="5" t="s">
        <v>574</v>
      </c>
    </row>
    <row r="582" customFormat="false" ht="17.15" hidden="false" customHeight="false" outlineLevel="0" collapsed="false">
      <c r="A582" s="5" t="s">
        <v>575</v>
      </c>
      <c r="B582" s="0" t="s">
        <v>553</v>
      </c>
      <c r="C582" s="13" t="n">
        <f aca="false">a25_sys/1000</f>
        <v>24.4743</v>
      </c>
      <c r="D582" s="13" t="n">
        <f aca="false">a26_sys/1000</f>
        <v>32.2174</v>
      </c>
      <c r="E582" s="13" t="n">
        <f aca="false">MIN(E580,E581)</f>
        <v>39.4419094077512</v>
      </c>
      <c r="F582" s="13" t="n">
        <f aca="false">MIN(F580,F581)</f>
        <v>44.433271558</v>
      </c>
      <c r="G582" s="13" t="n">
        <f aca="false">MIN(G580,G581)</f>
        <v>47.9581726323786</v>
      </c>
    </row>
    <row r="583" customFormat="false" ht="17.15" hidden="false" customHeight="false" outlineLevel="0" collapsed="false">
      <c r="A583" s="5" t="s">
        <v>576</v>
      </c>
      <c r="E583" s="20" t="n">
        <f aca="false">IF(E580&gt;E581,1,0)</f>
        <v>0</v>
      </c>
      <c r="F583" s="20" t="n">
        <f aca="false">IF(F580&gt;F581,1,0)</f>
        <v>1</v>
      </c>
      <c r="G583" s="20" t="n">
        <f aca="false">IF(G580&gt;G581,1,0)</f>
        <v>0</v>
      </c>
    </row>
    <row r="584" customFormat="false" ht="15" hidden="false" customHeight="false" outlineLevel="0" collapsed="false">
      <c r="A584" s="5" t="s">
        <v>577</v>
      </c>
      <c r="B584" s="0" t="s">
        <v>231</v>
      </c>
      <c r="D584" s="10" t="n">
        <f aca="false">D579/D580</f>
        <v>0.2</v>
      </c>
      <c r="E584" s="10" t="n">
        <f aca="false">E579/E580</f>
        <v>0.163366330300777</v>
      </c>
      <c r="F584" s="10" t="n">
        <f aca="false">F579/F580</f>
        <v>0.144390510847854</v>
      </c>
      <c r="G584" s="10" t="n">
        <f aca="false">G579/G580</f>
        <v>0.134356245167893</v>
      </c>
      <c r="H584" s="5" t="s">
        <v>578</v>
      </c>
    </row>
    <row r="585" customFormat="false" ht="17.15" hidden="false" customHeight="false" outlineLevel="0" collapsed="false">
      <c r="A585" s="5" t="s">
        <v>579</v>
      </c>
      <c r="B585" s="0" t="s">
        <v>553</v>
      </c>
      <c r="C585" s="13" t="n">
        <f aca="false">a25_ibm/1000</f>
        <v>8.193</v>
      </c>
      <c r="D585" s="13" t="n">
        <f aca="false">a26_ibm/1000</f>
        <v>12.238</v>
      </c>
      <c r="E585" s="13" t="n">
        <f aca="false">D585*(1+g_ibm_A)</f>
        <v>13.70656</v>
      </c>
      <c r="F585" s="13" t="n">
        <f aca="false">E585*(1+g_ibm_A)</f>
        <v>15.3513472</v>
      </c>
      <c r="G585" s="13" t="n">
        <f aca="false">F585*(1+g_ibm_A)</f>
        <v>17.193508864</v>
      </c>
    </row>
    <row r="586" customFormat="false" ht="15" hidden="false" customHeight="false" outlineLevel="0" collapsed="false">
      <c r="A586" s="5" t="s">
        <v>481</v>
      </c>
      <c r="B586" s="0" t="s">
        <v>553</v>
      </c>
      <c r="C586" s="13" t="n">
        <f aca="false">C582+C585</f>
        <v>32.6673</v>
      </c>
      <c r="D586" s="13" t="n">
        <f aca="false">D582+D585</f>
        <v>44.4554</v>
      </c>
      <c r="E586" s="13" t="n">
        <f aca="false">E582+E585</f>
        <v>53.1484694077512</v>
      </c>
      <c r="F586" s="13" t="n">
        <f aca="false">F582+F585</f>
        <v>59.784618758</v>
      </c>
      <c r="G586" s="13" t="n">
        <f aca="false">G582+G585</f>
        <v>65.1516814963786</v>
      </c>
    </row>
    <row r="587" customFormat="false" ht="15" hidden="false" customHeight="false" outlineLevel="0" collapsed="false">
      <c r="A587" s="5" t="s">
        <v>580</v>
      </c>
      <c r="B587" s="0" t="s">
        <v>231</v>
      </c>
      <c r="D587" s="10" t="n">
        <f aca="false">D586/C586-1</f>
        <v>0.360853207948009</v>
      </c>
      <c r="E587" s="10" t="n">
        <f aca="false">E586/D586-1</f>
        <v>0.195545859620006</v>
      </c>
      <c r="F587" s="10" t="n">
        <f aca="false">F586/E586-1</f>
        <v>0.124860591926679</v>
      </c>
      <c r="G587" s="10" t="n">
        <f aca="false">G586/F586-1</f>
        <v>0.0897733037339203</v>
      </c>
    </row>
    <row r="588" customFormat="false" ht="17.15" hidden="false" customHeight="false" outlineLevel="0" collapsed="false">
      <c r="A588" s="1" t="s">
        <v>581</v>
      </c>
    </row>
    <row r="589" customFormat="false" ht="17.15" hidden="false" customHeight="false" outlineLevel="0" collapsed="false">
      <c r="A589" s="5" t="s">
        <v>486</v>
      </c>
      <c r="B589" s="0" t="s">
        <v>231</v>
      </c>
      <c r="C589" s="10" t="n">
        <f aca="false">a25_gp/a25_rev</f>
        <v>0.528298941142978</v>
      </c>
      <c r="D589" s="10" t="n">
        <f aca="false">a26_gp/a26_rev</f>
        <v>0.556944713128214</v>
      </c>
      <c r="E589" s="10" t="n">
        <f aca="false">$D589+gm_b*LN(E586/$D586)</f>
        <v>0.573549776576898</v>
      </c>
      <c r="F589" s="10" t="n">
        <f aca="false">$D589+gm_b*LN(F586/$D586)</f>
        <v>0.584488777783164</v>
      </c>
      <c r="G589" s="10" t="n">
        <f aca="false">$D589+gm_b*LN(G586/$D586)</f>
        <v>0.592481551270315</v>
      </c>
      <c r="H589" s="8" t="s">
        <v>582</v>
      </c>
    </row>
    <row r="590" customFormat="false" ht="15" hidden="false" customHeight="false" outlineLevel="0" collapsed="false">
      <c r="A590" s="5" t="s">
        <v>484</v>
      </c>
      <c r="B590" s="0" t="s">
        <v>553</v>
      </c>
      <c r="C590" s="13" t="n">
        <f aca="false">C586*C589</f>
        <v>17.2581</v>
      </c>
      <c r="D590" s="13" t="n">
        <f aca="false">D586*D589</f>
        <v>24.7592</v>
      </c>
      <c r="E590" s="13" t="n">
        <f aca="false">E586*E589</f>
        <v>30.4832927542198</v>
      </c>
      <c r="F590" s="13" t="n">
        <f aca="false">F586*F589</f>
        <v>34.9434387480958</v>
      </c>
      <c r="G590" s="13" t="n">
        <f aca="false">G586*G589</f>
        <v>38.6011693208438</v>
      </c>
    </row>
    <row r="591" customFormat="false" ht="17.15" hidden="false" customHeight="false" outlineLevel="0" collapsed="false">
      <c r="A591" s="5" t="s">
        <v>583</v>
      </c>
      <c r="B591" s="0" t="s">
        <v>553</v>
      </c>
      <c r="C591" s="13" t="n">
        <f aca="false">opex25/1000</f>
        <v>5.9565</v>
      </c>
      <c r="D591" s="13" t="n">
        <f aca="false">opex26/1000</f>
        <v>6.1935</v>
      </c>
      <c r="E591" s="13" t="n">
        <f aca="false">$D591*((1-phi)+phi*E586/$D586)</f>
        <v>6.36827434443524</v>
      </c>
      <c r="F591" s="13" t="n">
        <f aca="false">$D591*((1-phi)+phi*F586/$D586)</f>
        <v>6.50169426757883</v>
      </c>
      <c r="G591" s="13" t="n">
        <f aca="false">$D591*((1-phi)+phi*G586/$D586)</f>
        <v>6.60959917753003</v>
      </c>
      <c r="H591" s="8" t="s">
        <v>584</v>
      </c>
    </row>
    <row r="592" customFormat="false" ht="15" hidden="false" customHeight="false" outlineLevel="0" collapsed="false">
      <c r="A592" s="5" t="s">
        <v>490</v>
      </c>
      <c r="B592" s="0" t="s">
        <v>553</v>
      </c>
      <c r="C592" s="13" t="n">
        <f aca="false">C590-C591</f>
        <v>11.3016</v>
      </c>
      <c r="D592" s="13" t="n">
        <f aca="false">D590-D591</f>
        <v>18.5657</v>
      </c>
      <c r="E592" s="13" t="n">
        <f aca="false">E590-E591</f>
        <v>24.1150184097846</v>
      </c>
      <c r="F592" s="13" t="n">
        <f aca="false">F590-F591</f>
        <v>28.441744480517</v>
      </c>
      <c r="G592" s="13" t="n">
        <f aca="false">G590-G591</f>
        <v>31.9915701433138</v>
      </c>
    </row>
    <row r="593" customFormat="false" ht="15" hidden="false" customHeight="false" outlineLevel="0" collapsed="false">
      <c r="A593" s="5" t="s">
        <v>557</v>
      </c>
      <c r="B593" s="0" t="s">
        <v>231</v>
      </c>
      <c r="C593" s="10" t="n">
        <f aca="false">C592/C586</f>
        <v>0.345960639538621</v>
      </c>
      <c r="D593" s="10" t="n">
        <f aca="false">D592/D586</f>
        <v>0.417625305362228</v>
      </c>
      <c r="E593" s="10" t="n">
        <f aca="false">E592/E586</f>
        <v>0.453729311088451</v>
      </c>
      <c r="F593" s="10" t="n">
        <f aca="false">F592/F586</f>
        <v>0.475736821131959</v>
      </c>
      <c r="G593" s="10" t="n">
        <f aca="false">G592/G586</f>
        <v>0.491032148496306</v>
      </c>
    </row>
    <row r="594" customFormat="false" ht="17.15" hidden="false" customHeight="false" outlineLevel="0" collapsed="false">
      <c r="A594" s="5" t="s">
        <v>498</v>
      </c>
      <c r="B594" s="0" t="s">
        <v>553</v>
      </c>
      <c r="C594" s="13" t="n">
        <f aca="false">a25_ni/1000</f>
        <v>9.6094</v>
      </c>
      <c r="D594" s="13" t="n">
        <f aca="false">a26_ni/1000</f>
        <v>16.3986734727826</v>
      </c>
      <c r="E594" s="13" t="n">
        <f aca="false">E592*nioi</f>
        <v>20.5042523100255</v>
      </c>
      <c r="F594" s="13" t="n">
        <f aca="false">F592*nioi</f>
        <v>24.1831333095385</v>
      </c>
      <c r="G594" s="13" t="n">
        <f aca="false">G592*nioi</f>
        <v>27.2014399850605</v>
      </c>
      <c r="H594" s="8" t="s">
        <v>585</v>
      </c>
    </row>
    <row r="595" customFormat="false" ht="15" hidden="false" customHeight="false" outlineLevel="0" collapsed="false">
      <c r="A595" s="5" t="s">
        <v>586</v>
      </c>
      <c r="B595" s="5" t="s">
        <v>267</v>
      </c>
      <c r="C595" s="16" t="n">
        <f aca="false">a25_shr</f>
        <v>388.572583906187</v>
      </c>
      <c r="D595" s="16" t="n">
        <f aca="false">a26_shr</f>
        <v>383.625</v>
      </c>
      <c r="E595" s="16" t="n">
        <f aca="false">sh_q4*(1-bb)^1</f>
        <v>377.685</v>
      </c>
      <c r="F595" s="16" t="n">
        <f aca="false">sh_q4*(1-bb)^2</f>
        <v>373.90815</v>
      </c>
      <c r="G595" s="16" t="n">
        <f aca="false">sh_q4*(1-bb)^3</f>
        <v>370.1690685</v>
      </c>
    </row>
    <row r="596" customFormat="false" ht="17.15" hidden="false" customHeight="false" outlineLevel="0" collapsed="false">
      <c r="A596" s="0" t="s">
        <v>587</v>
      </c>
      <c r="B596" s="0" t="s">
        <v>392</v>
      </c>
      <c r="C596" s="13" t="n">
        <f aca="false">a25_eps</f>
        <v>24.73</v>
      </c>
      <c r="D596" s="13" t="n">
        <f aca="false">a26_eps</f>
        <v>42.7466235849661</v>
      </c>
      <c r="E596" s="13" t="n">
        <f aca="false">E594*1000/E595</f>
        <v>54.2892948092339</v>
      </c>
      <c r="F596" s="13" t="n">
        <f aca="false">F594*1000/F595</f>
        <v>64.6766680788811</v>
      </c>
      <c r="G596" s="13" t="n">
        <f aca="false">G594*1000/G595</f>
        <v>73.4838275258553</v>
      </c>
    </row>
    <row r="597" customFormat="false" ht="17.15" hidden="false" customHeight="false" outlineLevel="0" collapsed="false">
      <c r="A597" s="1" t="s">
        <v>588</v>
      </c>
    </row>
    <row r="598" customFormat="false" ht="17.15" hidden="false" customHeight="false" outlineLevel="0" collapsed="false">
      <c r="A598" s="0" t="s">
        <v>514</v>
      </c>
      <c r="B598" s="0" t="s">
        <v>553</v>
      </c>
      <c r="C598" s="13" t="n">
        <f aca="false">a25_euv/1000</f>
        <v>11.6</v>
      </c>
      <c r="D598" s="13" t="n">
        <f aca="false">a26_euv/1000</f>
        <v>16.82</v>
      </c>
      <c r="E598" s="13" t="n">
        <f aca="false">E582*euv_sh_27</f>
        <v>21.6930501742632</v>
      </c>
      <c r="F598" s="13" t="n">
        <f aca="false">F582*euv_sh_28</f>
        <v>25.32696478806</v>
      </c>
      <c r="G598" s="13" t="n">
        <f aca="false">G582*euv_sh_29</f>
        <v>27.8157401267796</v>
      </c>
    </row>
    <row r="599" customFormat="false" ht="17.15" hidden="false" customHeight="false" outlineLevel="0" collapsed="false">
      <c r="A599" s="5" t="s">
        <v>589</v>
      </c>
      <c r="B599" s="5" t="s">
        <v>362</v>
      </c>
      <c r="E599" s="20" t="n">
        <f aca="false">(E598*1000-hna_n_27*hna_asp)/lna_asp</f>
        <v>85.8775007921053</v>
      </c>
      <c r="F599" s="20" t="n">
        <f aca="false">(F598*1000-hna_n_28*hna_asp)/lna_asp</f>
        <v>96.0316581275455</v>
      </c>
      <c r="G599" s="20" t="n">
        <f aca="false">(G598*1000-hna_n_29*hna_asp)/lna_asp</f>
        <v>102.571546030816</v>
      </c>
    </row>
    <row r="600" customFormat="false" ht="15" hidden="false" customHeight="false" outlineLevel="0" collapsed="false">
      <c r="A600" s="5" t="s">
        <v>590</v>
      </c>
      <c r="B600" s="0" t="s">
        <v>27</v>
      </c>
      <c r="C600" s="21" t="n">
        <f aca="false">C582*fx_25</f>
        <v>27.655959</v>
      </c>
      <c r="D600" s="21" t="n">
        <f aca="false">D582*fx_f</f>
        <v>37.372184</v>
      </c>
      <c r="E600" s="21" t="n">
        <f aca="false">E582*fx_f</f>
        <v>45.7526149129914</v>
      </c>
      <c r="F600" s="21" t="n">
        <f aca="false">F582*fx_f</f>
        <v>51.54259500728</v>
      </c>
      <c r="G600" s="21" t="n">
        <f aca="false">G582*fx_f</f>
        <v>55.6314802535591</v>
      </c>
    </row>
    <row r="601" customFormat="false" ht="17.15" hidden="false" customHeight="false" outlineLevel="0" collapsed="false">
      <c r="A601" s="0" t="s">
        <v>591</v>
      </c>
      <c r="B601" s="0" t="s">
        <v>231</v>
      </c>
      <c r="C601" s="10" t="n">
        <f aca="false">C600/Units!C7</f>
        <v>0.236584333071578</v>
      </c>
      <c r="D601" s="10" t="n">
        <f aca="false">D600/Units!D7</f>
        <v>0.239324345993695</v>
      </c>
      <c r="E601" s="10" t="n">
        <f aca="false">E600/Units!E7</f>
        <v>0.237311670552754</v>
      </c>
      <c r="F601" s="10" t="n">
        <f aca="false">F600/Units!F7</f>
        <v>0.237930673731778</v>
      </c>
      <c r="G601" s="10" t="n">
        <f aca="false">G600/Units!G7</f>
        <v>0.243034445014329</v>
      </c>
      <c r="H601" s="5" t="s">
        <v>592</v>
      </c>
    </row>
    <row r="610" customFormat="false" ht="17.15" hidden="false" customHeight="false" outlineLevel="0" collapsed="false">
      <c r="A610" s="3" t="s">
        <v>880</v>
      </c>
    </row>
    <row r="611" customFormat="false" ht="17.15" hidden="false" customHeight="false" outlineLevel="0" collapsed="false">
      <c r="A611" s="6" t="s">
        <v>16</v>
      </c>
      <c r="B611" s="6" t="s">
        <v>17</v>
      </c>
      <c r="C611" s="14" t="s">
        <v>548</v>
      </c>
      <c r="D611" s="14" t="s">
        <v>549</v>
      </c>
      <c r="E611" s="14" t="s">
        <v>550</v>
      </c>
      <c r="F611" s="14" t="s">
        <v>551</v>
      </c>
      <c r="G611" s="14" t="s">
        <v>552</v>
      </c>
      <c r="H611" s="6" t="s">
        <v>534</v>
      </c>
    </row>
    <row r="612" customFormat="false" ht="17.15" hidden="false" customHeight="false" outlineLevel="0" collapsed="false">
      <c r="A612" s="1" t="s">
        <v>561</v>
      </c>
    </row>
    <row r="613" customFormat="false" ht="17.15" hidden="false" customHeight="false" outlineLevel="0" collapsed="false">
      <c r="A613" s="5" t="s">
        <v>562</v>
      </c>
      <c r="B613" s="0" t="s">
        <v>345</v>
      </c>
      <c r="C613" s="25" t="n">
        <f aca="false">Units!C8</f>
        <v>0.797493866282457</v>
      </c>
      <c r="D613" s="25" t="n">
        <f aca="false">Units!D8</f>
        <v>1</v>
      </c>
      <c r="E613" s="25" t="n">
        <f aca="false">Units!E8</f>
        <v>1.1581138943867</v>
      </c>
      <c r="F613" s="25" t="n">
        <f aca="false">Units!F8</f>
        <v>1.30398004155566</v>
      </c>
      <c r="G613" s="25" t="n">
        <f aca="false">Units!G8</f>
        <v>1.39118185447666</v>
      </c>
    </row>
    <row r="614" customFormat="false" ht="17.15" hidden="false" customHeight="false" outlineLevel="0" collapsed="false">
      <c r="A614" s="5" t="s">
        <v>563</v>
      </c>
      <c r="B614" s="0" t="s">
        <v>345</v>
      </c>
      <c r="C614" s="25" t="n">
        <f aca="false">Units!C9</f>
        <v>0.677840887672955</v>
      </c>
      <c r="D614" s="25" t="n">
        <f aca="false">Units!D9</f>
        <v>1</v>
      </c>
      <c r="E614" s="25" t="n">
        <f aca="false">Units!E9</f>
        <v>1.3452955652252</v>
      </c>
      <c r="F614" s="25" t="n">
        <f aca="false">Units!F9</f>
        <v>1.50769200272716</v>
      </c>
      <c r="G614" s="25" t="n">
        <f aca="false">Units!G9</f>
        <v>1.57386738820784</v>
      </c>
    </row>
    <row r="615" customFormat="false" ht="17.15" hidden="false" customHeight="false" outlineLevel="0" collapsed="false">
      <c r="A615" s="5" t="s">
        <v>564</v>
      </c>
      <c r="B615" s="0" t="s">
        <v>345</v>
      </c>
      <c r="D615" s="25" t="n">
        <f aca="false">(1+g_int)^0</f>
        <v>1</v>
      </c>
      <c r="E615" s="25" t="n">
        <f aca="false">(1+g_int)^1</f>
        <v>1.03</v>
      </c>
      <c r="F615" s="25" t="n">
        <f aca="false">(1+g_int)^2</f>
        <v>1.0609</v>
      </c>
      <c r="G615" s="25" t="n">
        <f aca="false">(1+g_int)^3</f>
        <v>1.092727</v>
      </c>
      <c r="H615" s="8" t="s">
        <v>565</v>
      </c>
    </row>
    <row r="616" customFormat="false" ht="17.15" hidden="false" customHeight="false" outlineLevel="0" collapsed="false">
      <c r="A616" s="1" t="s">
        <v>566</v>
      </c>
    </row>
    <row r="617" customFormat="false" ht="17.15" hidden="false" customHeight="false" outlineLevel="0" collapsed="false">
      <c r="A617" s="5" t="s">
        <v>567</v>
      </c>
      <c r="B617" s="0" t="s">
        <v>553</v>
      </c>
      <c r="D617" s="13" t="n">
        <f aca="false">a26_sys/1000*(1-cn_sh26)*log_sh26</f>
        <v>14.0838050971922</v>
      </c>
      <c r="E617" s="13" t="n">
        <f aca="false">$D617*E613*E615</f>
        <v>16.7999698799593</v>
      </c>
      <c r="F617" s="13" t="n">
        <f aca="false">$D617*F613*F615</f>
        <v>19.4834293019328</v>
      </c>
      <c r="G617" s="13" t="n">
        <f aca="false">$D617*G613*G615</f>
        <v>21.4099466382598</v>
      </c>
      <c r="H617" s="8" t="s">
        <v>568</v>
      </c>
    </row>
    <row r="618" customFormat="false" ht="15" hidden="false" customHeight="false" outlineLevel="0" collapsed="false">
      <c r="A618" s="5" t="s">
        <v>569</v>
      </c>
      <c r="B618" s="0" t="s">
        <v>553</v>
      </c>
      <c r="D618" s="13" t="n">
        <f aca="false">a26_sys/1000*(1-cn_sh26)*(1-log_sh26)</f>
        <v>11.6901149028078</v>
      </c>
      <c r="E618" s="13" t="n">
        <f aca="false">$D618*E614*E615</f>
        <v>16.1984595277919</v>
      </c>
      <c r="F618" s="13" t="n">
        <f aca="false">$D618*F614*F615</f>
        <v>18.6984608983954</v>
      </c>
      <c r="G618" s="13" t="n">
        <f aca="false">$D618*G614*G615</f>
        <v>20.1047459941188</v>
      </c>
    </row>
    <row r="619" customFormat="false" ht="17.15" hidden="false" customHeight="false" outlineLevel="0" collapsed="false">
      <c r="A619" s="5" t="s">
        <v>570</v>
      </c>
      <c r="B619" s="0" t="s">
        <v>553</v>
      </c>
      <c r="D619" s="13" t="n">
        <f aca="false">a26_sys/1000*cn_sh26</f>
        <v>6.44348</v>
      </c>
      <c r="E619" s="13" t="n">
        <f aca="false">D619*(1+g_cn_A)</f>
        <v>6.44348</v>
      </c>
      <c r="F619" s="13" t="n">
        <f aca="false">E619*(1+g_cn_A)</f>
        <v>6.44348</v>
      </c>
      <c r="G619" s="13" t="n">
        <f aca="false">F619*(1+g_cn_A)</f>
        <v>6.44348</v>
      </c>
      <c r="H619" s="8" t="s">
        <v>571</v>
      </c>
    </row>
    <row r="620" customFormat="false" ht="15" hidden="false" customHeight="false" outlineLevel="0" collapsed="false">
      <c r="A620" s="5" t="s">
        <v>572</v>
      </c>
      <c r="B620" s="0" t="s">
        <v>553</v>
      </c>
      <c r="D620" s="13" t="n">
        <f aca="false">D617+D618+D619</f>
        <v>32.2174</v>
      </c>
      <c r="E620" s="13" t="n">
        <f aca="false">E617+E618+E619</f>
        <v>39.4419094077512</v>
      </c>
      <c r="F620" s="13" t="n">
        <f aca="false">F617+F618+F619</f>
        <v>44.6253702003281</v>
      </c>
      <c r="G620" s="13" t="n">
        <f aca="false">G617+G618+G619</f>
        <v>47.9581726323786</v>
      </c>
    </row>
    <row r="621" customFormat="false" ht="17.15" hidden="false" customHeight="false" outlineLevel="0" collapsed="false">
      <c r="A621" s="5" t="s">
        <v>573</v>
      </c>
      <c r="B621" s="0" t="s">
        <v>553</v>
      </c>
      <c r="D621" s="13" t="n">
        <f aca="false">a26_sys/1000</f>
        <v>32.2174</v>
      </c>
      <c r="E621" s="13" t="n">
        <f aca="false">$D621*(1+cap_27)*E615</f>
        <v>43.1390986</v>
      </c>
      <c r="F621" s="13" t="n">
        <f aca="false">$D621*(1+cap_27)*(1+cap_28)*F615</f>
        <v>51.0982622917</v>
      </c>
      <c r="G621" s="13" t="n">
        <f aca="false">$D621*(1+cap_27)*(1+cap_28)*(1+cap_29)*G615</f>
        <v>57.8943311764961</v>
      </c>
      <c r="H621" s="5" t="s">
        <v>574</v>
      </c>
    </row>
    <row r="622" customFormat="false" ht="17.15" hidden="false" customHeight="false" outlineLevel="0" collapsed="false">
      <c r="A622" s="5" t="s">
        <v>575</v>
      </c>
      <c r="B622" s="0" t="s">
        <v>553</v>
      </c>
      <c r="C622" s="13" t="n">
        <f aca="false">a25_sys/1000</f>
        <v>24.4743</v>
      </c>
      <c r="D622" s="13" t="n">
        <f aca="false">a26_sys/1000</f>
        <v>32.2174</v>
      </c>
      <c r="E622" s="13" t="n">
        <f aca="false">MIN(E620,E621)</f>
        <v>39.4419094077512</v>
      </c>
      <c r="F622" s="13" t="n">
        <f aca="false">MIN(F620,F621)</f>
        <v>44.6253702003281</v>
      </c>
      <c r="G622" s="13" t="n">
        <f aca="false">MIN(G620,G621)</f>
        <v>47.9581726323786</v>
      </c>
    </row>
    <row r="623" customFormat="false" ht="17.15" hidden="false" customHeight="false" outlineLevel="0" collapsed="false">
      <c r="A623" s="5" t="s">
        <v>576</v>
      </c>
      <c r="E623" s="20" t="n">
        <f aca="false">IF(E620&gt;E621,1,0)</f>
        <v>0</v>
      </c>
      <c r="F623" s="20" t="n">
        <f aca="false">IF(F620&gt;F621,1,0)</f>
        <v>0</v>
      </c>
      <c r="G623" s="20" t="n">
        <f aca="false">IF(G620&gt;G621,1,0)</f>
        <v>0</v>
      </c>
    </row>
    <row r="624" customFormat="false" ht="15" hidden="false" customHeight="false" outlineLevel="0" collapsed="false">
      <c r="A624" s="5" t="s">
        <v>577</v>
      </c>
      <c r="B624" s="0" t="s">
        <v>231</v>
      </c>
      <c r="D624" s="10" t="n">
        <f aca="false">D619/D620</f>
        <v>0.2</v>
      </c>
      <c r="E624" s="10" t="n">
        <f aca="false">E619/E620</f>
        <v>0.163366330300777</v>
      </c>
      <c r="F624" s="10" t="n">
        <f aca="false">F619/F620</f>
        <v>0.144390510847854</v>
      </c>
      <c r="G624" s="10" t="n">
        <f aca="false">G619/G620</f>
        <v>0.134356245167893</v>
      </c>
      <c r="H624" s="5" t="s">
        <v>578</v>
      </c>
    </row>
    <row r="625" customFormat="false" ht="17.15" hidden="false" customHeight="false" outlineLevel="0" collapsed="false">
      <c r="A625" s="5" t="s">
        <v>579</v>
      </c>
      <c r="B625" s="0" t="s">
        <v>553</v>
      </c>
      <c r="C625" s="13" t="n">
        <f aca="false">a25_ibm/1000</f>
        <v>8.193</v>
      </c>
      <c r="D625" s="13" t="n">
        <f aca="false">a26_ibm/1000</f>
        <v>12.238</v>
      </c>
      <c r="E625" s="13" t="n">
        <f aca="false">D625*(1+g_ibm_A)</f>
        <v>13.70656</v>
      </c>
      <c r="F625" s="13" t="n">
        <f aca="false">E625*(1+g_ibm_A)</f>
        <v>15.3513472</v>
      </c>
      <c r="G625" s="13" t="n">
        <f aca="false">F625*(1+g_ibm_A)</f>
        <v>17.193508864</v>
      </c>
    </row>
    <row r="626" customFormat="false" ht="15" hidden="false" customHeight="false" outlineLevel="0" collapsed="false">
      <c r="A626" s="5" t="s">
        <v>481</v>
      </c>
      <c r="B626" s="0" t="s">
        <v>553</v>
      </c>
      <c r="C626" s="13" t="n">
        <f aca="false">C622+C625</f>
        <v>32.6673</v>
      </c>
      <c r="D626" s="13" t="n">
        <f aca="false">D622+D625</f>
        <v>44.4554</v>
      </c>
      <c r="E626" s="13" t="n">
        <f aca="false">E622+E625</f>
        <v>53.1484694077512</v>
      </c>
      <c r="F626" s="13" t="n">
        <f aca="false">F622+F625</f>
        <v>59.9767174003281</v>
      </c>
      <c r="G626" s="13" t="n">
        <f aca="false">G622+G625</f>
        <v>65.1516814963786</v>
      </c>
    </row>
    <row r="627" customFormat="false" ht="15" hidden="false" customHeight="false" outlineLevel="0" collapsed="false">
      <c r="A627" s="5" t="s">
        <v>580</v>
      </c>
      <c r="B627" s="0" t="s">
        <v>231</v>
      </c>
      <c r="D627" s="10" t="n">
        <f aca="false">D626/C626-1</f>
        <v>0.360853207948009</v>
      </c>
      <c r="E627" s="10" t="n">
        <f aca="false">E626/D626-1</f>
        <v>0.195545859620006</v>
      </c>
      <c r="F627" s="10" t="n">
        <f aca="false">F626/E626-1</f>
        <v>0.128474969621253</v>
      </c>
      <c r="G627" s="10" t="n">
        <f aca="false">G626/F626-1</f>
        <v>0.0862828830979356</v>
      </c>
    </row>
    <row r="628" customFormat="false" ht="17.15" hidden="false" customHeight="false" outlineLevel="0" collapsed="false">
      <c r="A628" s="1" t="s">
        <v>581</v>
      </c>
    </row>
    <row r="629" customFormat="false" ht="17.15" hidden="false" customHeight="false" outlineLevel="0" collapsed="false">
      <c r="A629" s="5" t="s">
        <v>486</v>
      </c>
      <c r="B629" s="0" t="s">
        <v>231</v>
      </c>
      <c r="C629" s="10" t="n">
        <f aca="false">a25_gp/a25_rev</f>
        <v>0.528298941142978</v>
      </c>
      <c r="D629" s="10" t="n">
        <f aca="false">a26_gp/a26_rev</f>
        <v>0.556944713128214</v>
      </c>
      <c r="E629" s="10" t="n">
        <f aca="false">$D629+gm_b*LN(E626/$D626)</f>
        <v>0.573549776576898</v>
      </c>
      <c r="F629" s="10" t="n">
        <f aca="false">$D629+gm_b*LN(F626/$D626)</f>
        <v>0.584787034438446</v>
      </c>
      <c r="G629" s="10" t="n">
        <f aca="false">$D629+gm_b*LN(G626/$D626)</f>
        <v>0.592481551270315</v>
      </c>
      <c r="H629" s="8" t="s">
        <v>582</v>
      </c>
    </row>
    <row r="630" customFormat="false" ht="15" hidden="false" customHeight="false" outlineLevel="0" collapsed="false">
      <c r="A630" s="5" t="s">
        <v>484</v>
      </c>
      <c r="B630" s="0" t="s">
        <v>553</v>
      </c>
      <c r="C630" s="13" t="n">
        <f aca="false">C626*C629</f>
        <v>17.2581</v>
      </c>
      <c r="D630" s="13" t="n">
        <f aca="false">D626*D629</f>
        <v>24.7592</v>
      </c>
      <c r="E630" s="13" t="n">
        <f aca="false">E626*E629</f>
        <v>30.4832927542198</v>
      </c>
      <c r="F630" s="13" t="n">
        <f aca="false">F626*F629</f>
        <v>35.0736067038906</v>
      </c>
      <c r="G630" s="13" t="n">
        <f aca="false">G626*G629</f>
        <v>38.6011693208438</v>
      </c>
    </row>
    <row r="631" customFormat="false" ht="17.15" hidden="false" customHeight="false" outlineLevel="0" collapsed="false">
      <c r="A631" s="5" t="s">
        <v>583</v>
      </c>
      <c r="B631" s="0" t="s">
        <v>553</v>
      </c>
      <c r="C631" s="13" t="n">
        <f aca="false">opex25/1000</f>
        <v>5.9565</v>
      </c>
      <c r="D631" s="13" t="n">
        <f aca="false">opex26/1000</f>
        <v>6.1935</v>
      </c>
      <c r="E631" s="13" t="n">
        <f aca="false">$D631*((1-phi)+phi*E626/$D626)</f>
        <v>6.36827434443524</v>
      </c>
      <c r="F631" s="13" t="n">
        <f aca="false">$D631*((1-phi)+phi*F626/$D626)</f>
        <v>6.50555641484869</v>
      </c>
      <c r="G631" s="13" t="n">
        <f aca="false">$D631*((1-phi)+phi*G626/$D626)</f>
        <v>6.60959917753003</v>
      </c>
      <c r="H631" s="8" t="s">
        <v>584</v>
      </c>
    </row>
    <row r="632" customFormat="false" ht="15" hidden="false" customHeight="false" outlineLevel="0" collapsed="false">
      <c r="A632" s="5" t="s">
        <v>490</v>
      </c>
      <c r="B632" s="0" t="s">
        <v>553</v>
      </c>
      <c r="C632" s="13" t="n">
        <f aca="false">C630-C631</f>
        <v>11.3016</v>
      </c>
      <c r="D632" s="13" t="n">
        <f aca="false">D630-D631</f>
        <v>18.5657</v>
      </c>
      <c r="E632" s="13" t="n">
        <f aca="false">E630-E631</f>
        <v>24.1150184097846</v>
      </c>
      <c r="F632" s="13" t="n">
        <f aca="false">F630-F631</f>
        <v>28.5680502890419</v>
      </c>
      <c r="G632" s="13" t="n">
        <f aca="false">G630-G631</f>
        <v>31.9915701433138</v>
      </c>
    </row>
    <row r="633" customFormat="false" ht="15" hidden="false" customHeight="false" outlineLevel="0" collapsed="false">
      <c r="A633" s="5" t="s">
        <v>557</v>
      </c>
      <c r="B633" s="0" t="s">
        <v>231</v>
      </c>
      <c r="C633" s="10" t="n">
        <f aca="false">C632/C626</f>
        <v>0.345960639538621</v>
      </c>
      <c r="D633" s="10" t="n">
        <f aca="false">D632/D626</f>
        <v>0.417625305362228</v>
      </c>
      <c r="E633" s="10" t="n">
        <f aca="false">E632/E626</f>
        <v>0.453729311088451</v>
      </c>
      <c r="F633" s="10" t="n">
        <f aca="false">F632/F626</f>
        <v>0.476319003895429</v>
      </c>
      <c r="G633" s="10" t="n">
        <f aca="false">G632/G626</f>
        <v>0.491032148496306</v>
      </c>
    </row>
    <row r="634" customFormat="false" ht="17.15" hidden="false" customHeight="false" outlineLevel="0" collapsed="false">
      <c r="A634" s="5" t="s">
        <v>498</v>
      </c>
      <c r="B634" s="0" t="s">
        <v>553</v>
      </c>
      <c r="C634" s="13" t="n">
        <f aca="false">a25_ni/1000</f>
        <v>9.6094</v>
      </c>
      <c r="D634" s="13" t="n">
        <f aca="false">a26_ni/1000</f>
        <v>16.3986734727826</v>
      </c>
      <c r="E634" s="13" t="n">
        <f aca="false">E632*nioi_lo</f>
        <v>19.2920147278277</v>
      </c>
      <c r="F634" s="13" t="n">
        <f aca="false">F632*nioi_lo</f>
        <v>22.8544402312336</v>
      </c>
      <c r="G634" s="13" t="n">
        <f aca="false">G632*nioi_lo</f>
        <v>25.593256114651</v>
      </c>
      <c r="H634" s="8" t="s">
        <v>585</v>
      </c>
    </row>
    <row r="635" customFormat="false" ht="15" hidden="false" customHeight="false" outlineLevel="0" collapsed="false">
      <c r="A635" s="5" t="s">
        <v>586</v>
      </c>
      <c r="B635" s="5" t="s">
        <v>267</v>
      </c>
      <c r="C635" s="16" t="n">
        <f aca="false">a25_shr</f>
        <v>388.572583906187</v>
      </c>
      <c r="D635" s="16" t="n">
        <f aca="false">a26_shr</f>
        <v>383.625</v>
      </c>
      <c r="E635" s="16" t="n">
        <f aca="false">sh_q4*(1-bb)^1</f>
        <v>377.685</v>
      </c>
      <c r="F635" s="16" t="n">
        <f aca="false">sh_q4*(1-bb)^2</f>
        <v>373.90815</v>
      </c>
      <c r="G635" s="16" t="n">
        <f aca="false">sh_q4*(1-bb)^3</f>
        <v>370.1690685</v>
      </c>
    </row>
    <row r="636" customFormat="false" ht="17.15" hidden="false" customHeight="false" outlineLevel="0" collapsed="false">
      <c r="A636" s="0" t="s">
        <v>587</v>
      </c>
      <c r="B636" s="0" t="s">
        <v>392</v>
      </c>
      <c r="C636" s="13" t="n">
        <f aca="false">a25_eps</f>
        <v>24.73</v>
      </c>
      <c r="D636" s="13" t="n">
        <f aca="false">a26_eps</f>
        <v>42.7466235849661</v>
      </c>
      <c r="E636" s="13" t="n">
        <f aca="false">E634*1000/E635</f>
        <v>51.0796423681843</v>
      </c>
      <c r="F636" s="13" t="n">
        <f aca="false">F634*1000/F635</f>
        <v>61.1231400846265</v>
      </c>
      <c r="G636" s="13" t="n">
        <f aca="false">G634*1000/G635</f>
        <v>69.1393697975904</v>
      </c>
    </row>
    <row r="637" customFormat="false" ht="17.15" hidden="false" customHeight="false" outlineLevel="0" collapsed="false">
      <c r="A637" s="1" t="s">
        <v>588</v>
      </c>
    </row>
    <row r="638" customFormat="false" ht="17.15" hidden="false" customHeight="false" outlineLevel="0" collapsed="false">
      <c r="A638" s="0" t="s">
        <v>514</v>
      </c>
      <c r="B638" s="0" t="s">
        <v>553</v>
      </c>
      <c r="C638" s="13" t="n">
        <f aca="false">a25_euv/1000</f>
        <v>11.6</v>
      </c>
      <c r="D638" s="13" t="n">
        <f aca="false">a26_euv/1000</f>
        <v>16.82</v>
      </c>
      <c r="E638" s="13" t="n">
        <f aca="false">E622*euv_sh_27</f>
        <v>21.6930501742632</v>
      </c>
      <c r="F638" s="13" t="n">
        <f aca="false">F622*euv_sh_28</f>
        <v>25.436461014187</v>
      </c>
      <c r="G638" s="13" t="n">
        <f aca="false">G622*euv_sh_29</f>
        <v>27.8157401267796</v>
      </c>
    </row>
    <row r="639" customFormat="false" ht="17.15" hidden="false" customHeight="false" outlineLevel="0" collapsed="false">
      <c r="A639" s="5" t="s">
        <v>589</v>
      </c>
      <c r="B639" s="5" t="s">
        <v>362</v>
      </c>
      <c r="E639" s="20" t="n">
        <f aca="false">(E638*1000-hna_n_27*hna_asp)/lna_asp</f>
        <v>85.8775007921053</v>
      </c>
      <c r="F639" s="20" t="n">
        <f aca="false">(F638*1000-hna_n_28*hna_asp)/lna_asp</f>
        <v>96.5293682463047</v>
      </c>
      <c r="G639" s="20" t="n">
        <f aca="false">(G638*1000-hna_n_29*hna_asp)/lna_asp</f>
        <v>102.571546030816</v>
      </c>
    </row>
    <row r="640" customFormat="false" ht="15" hidden="false" customHeight="false" outlineLevel="0" collapsed="false">
      <c r="A640" s="5" t="s">
        <v>590</v>
      </c>
      <c r="B640" s="0" t="s">
        <v>27</v>
      </c>
      <c r="C640" s="21" t="n">
        <f aca="false">C622*fx_25</f>
        <v>27.655959</v>
      </c>
      <c r="D640" s="21" t="n">
        <f aca="false">D622*fx_f</f>
        <v>37.372184</v>
      </c>
      <c r="E640" s="21" t="n">
        <f aca="false">E622*fx_f</f>
        <v>45.7526149129914</v>
      </c>
      <c r="F640" s="21" t="n">
        <f aca="false">F622*fx_f</f>
        <v>51.7654294323806</v>
      </c>
      <c r="G640" s="21" t="n">
        <f aca="false">G622*fx_f</f>
        <v>55.6314802535591</v>
      </c>
    </row>
    <row r="641" customFormat="false" ht="17.15" hidden="false" customHeight="false" outlineLevel="0" collapsed="false">
      <c r="A641" s="0" t="s">
        <v>591</v>
      </c>
      <c r="B641" s="0" t="s">
        <v>231</v>
      </c>
      <c r="C641" s="10" t="n">
        <f aca="false">C640/Units!C7</f>
        <v>0.236584333071578</v>
      </c>
      <c r="D641" s="10" t="n">
        <f aca="false">D640/Units!D7</f>
        <v>0.239324345993695</v>
      </c>
      <c r="E641" s="10" t="n">
        <f aca="false">E640/Units!E7</f>
        <v>0.237311670552754</v>
      </c>
      <c r="F641" s="10" t="n">
        <f aca="false">F640/Units!F7</f>
        <v>0.238959320909658</v>
      </c>
      <c r="G641" s="10" t="n">
        <f aca="false">G640/Units!G7</f>
        <v>0.243034445014329</v>
      </c>
      <c r="H641" s="5" t="s">
        <v>592</v>
      </c>
    </row>
    <row r="650" customFormat="false" ht="17.15" hidden="false" customHeight="false" outlineLevel="0" collapsed="false">
      <c r="A650" s="3" t="s">
        <v>881</v>
      </c>
    </row>
    <row r="651" customFormat="false" ht="17.15" hidden="false" customHeight="false" outlineLevel="0" collapsed="false">
      <c r="A651" s="6" t="s">
        <v>16</v>
      </c>
      <c r="B651" s="6" t="s">
        <v>17</v>
      </c>
      <c r="C651" s="14" t="s">
        <v>548</v>
      </c>
      <c r="D651" s="14" t="s">
        <v>549</v>
      </c>
      <c r="E651" s="14" t="s">
        <v>550</v>
      </c>
      <c r="F651" s="14" t="s">
        <v>551</v>
      </c>
      <c r="G651" s="14" t="s">
        <v>552</v>
      </c>
      <c r="H651" s="6" t="s">
        <v>534</v>
      </c>
    </row>
    <row r="652" customFormat="false" ht="17.15" hidden="false" customHeight="false" outlineLevel="0" collapsed="false">
      <c r="A652" s="1" t="s">
        <v>561</v>
      </c>
    </row>
    <row r="653" customFormat="false" ht="17.15" hidden="false" customHeight="false" outlineLevel="0" collapsed="false">
      <c r="A653" s="5" t="s">
        <v>562</v>
      </c>
      <c r="B653" s="0" t="s">
        <v>345</v>
      </c>
      <c r="C653" s="25" t="n">
        <f aca="false">Units!C8</f>
        <v>0.797493866282457</v>
      </c>
      <c r="D653" s="25" t="n">
        <f aca="false">Units!D8</f>
        <v>1</v>
      </c>
      <c r="E653" s="25" t="n">
        <f aca="false">Units!E8</f>
        <v>1.1581138943867</v>
      </c>
      <c r="F653" s="25" t="n">
        <f aca="false">Units!F8</f>
        <v>1.30398004155566</v>
      </c>
      <c r="G653" s="25" t="n">
        <f aca="false">Units!G8</f>
        <v>1.39118185447666</v>
      </c>
    </row>
    <row r="654" customFormat="false" ht="17.15" hidden="false" customHeight="false" outlineLevel="0" collapsed="false">
      <c r="A654" s="5" t="s">
        <v>563</v>
      </c>
      <c r="B654" s="0" t="s">
        <v>345</v>
      </c>
      <c r="C654" s="25" t="n">
        <f aca="false">Units!C9</f>
        <v>0.677840887672955</v>
      </c>
      <c r="D654" s="25" t="n">
        <f aca="false">Units!D9</f>
        <v>1</v>
      </c>
      <c r="E654" s="25" t="n">
        <f aca="false">Units!E9</f>
        <v>1.3452955652252</v>
      </c>
      <c r="F654" s="25" t="n">
        <f aca="false">Units!F9</f>
        <v>1.50769200272716</v>
      </c>
      <c r="G654" s="25" t="n">
        <f aca="false">Units!G9</f>
        <v>1.57386738820784</v>
      </c>
    </row>
    <row r="655" customFormat="false" ht="17.15" hidden="false" customHeight="false" outlineLevel="0" collapsed="false">
      <c r="A655" s="5" t="s">
        <v>564</v>
      </c>
      <c r="B655" s="0" t="s">
        <v>345</v>
      </c>
      <c r="D655" s="25" t="n">
        <f aca="false">(1+g_int)^0</f>
        <v>1</v>
      </c>
      <c r="E655" s="25" t="n">
        <f aca="false">(1+g_int)^1</f>
        <v>1.03</v>
      </c>
      <c r="F655" s="25" t="n">
        <f aca="false">(1+g_int)^2</f>
        <v>1.0609</v>
      </c>
      <c r="G655" s="25" t="n">
        <f aca="false">(1+g_int)^3</f>
        <v>1.092727</v>
      </c>
      <c r="H655" s="8" t="s">
        <v>565</v>
      </c>
    </row>
    <row r="656" customFormat="false" ht="17.15" hidden="false" customHeight="false" outlineLevel="0" collapsed="false">
      <c r="A656" s="1" t="s">
        <v>566</v>
      </c>
    </row>
    <row r="657" customFormat="false" ht="17.15" hidden="false" customHeight="false" outlineLevel="0" collapsed="false">
      <c r="A657" s="5" t="s">
        <v>567</v>
      </c>
      <c r="B657" s="0" t="s">
        <v>553</v>
      </c>
      <c r="D657" s="13" t="n">
        <f aca="false">a26_sys/1000*(1-cn_sh26)*log_sh26</f>
        <v>14.0838050971922</v>
      </c>
      <c r="E657" s="13" t="n">
        <f aca="false">$D657*E653*E655</f>
        <v>16.7999698799593</v>
      </c>
      <c r="F657" s="13" t="n">
        <f aca="false">$D657*F653*F655</f>
        <v>19.4834293019328</v>
      </c>
      <c r="G657" s="13" t="n">
        <f aca="false">$D657*G653*G655</f>
        <v>21.4099466382598</v>
      </c>
      <c r="H657" s="8" t="s">
        <v>568</v>
      </c>
    </row>
    <row r="658" customFormat="false" ht="15" hidden="false" customHeight="false" outlineLevel="0" collapsed="false">
      <c r="A658" s="5" t="s">
        <v>569</v>
      </c>
      <c r="B658" s="0" t="s">
        <v>553</v>
      </c>
      <c r="D658" s="13" t="n">
        <f aca="false">a26_sys/1000*(1-cn_sh26)*(1-log_sh26)</f>
        <v>11.6901149028078</v>
      </c>
      <c r="E658" s="13" t="n">
        <f aca="false">$D658*E654*E655</f>
        <v>16.1984595277919</v>
      </c>
      <c r="F658" s="13" t="n">
        <f aca="false">$D658*F654*F655</f>
        <v>18.6984608983954</v>
      </c>
      <c r="G658" s="13" t="n">
        <f aca="false">$D658*G654*G655</f>
        <v>20.1047459941188</v>
      </c>
    </row>
    <row r="659" customFormat="false" ht="17.15" hidden="false" customHeight="false" outlineLevel="0" collapsed="false">
      <c r="A659" s="5" t="s">
        <v>570</v>
      </c>
      <c r="B659" s="0" t="s">
        <v>553</v>
      </c>
      <c r="D659" s="13" t="n">
        <f aca="false">a26_sys/1000*cn_sh26</f>
        <v>6.44348</v>
      </c>
      <c r="E659" s="13" t="n">
        <f aca="false">D659*(1+g_cn_A)</f>
        <v>6.44348</v>
      </c>
      <c r="F659" s="13" t="n">
        <f aca="false">E659*(1+g_cn_A)</f>
        <v>6.44348</v>
      </c>
      <c r="G659" s="13" t="n">
        <f aca="false">F659*(1+g_cn_A)</f>
        <v>6.44348</v>
      </c>
      <c r="H659" s="8" t="s">
        <v>571</v>
      </c>
    </row>
    <row r="660" customFormat="false" ht="15" hidden="false" customHeight="false" outlineLevel="0" collapsed="false">
      <c r="A660" s="5" t="s">
        <v>572</v>
      </c>
      <c r="B660" s="0" t="s">
        <v>553</v>
      </c>
      <c r="D660" s="13" t="n">
        <f aca="false">D657+D658+D659</f>
        <v>32.2174</v>
      </c>
      <c r="E660" s="13" t="n">
        <f aca="false">E657+E658+E659</f>
        <v>39.4419094077512</v>
      </c>
      <c r="F660" s="13" t="n">
        <f aca="false">F657+F658+F659</f>
        <v>44.6253702003281</v>
      </c>
      <c r="G660" s="13" t="n">
        <f aca="false">G657+G658+G659</f>
        <v>47.9581726323786</v>
      </c>
    </row>
    <row r="661" customFormat="false" ht="17.15" hidden="false" customHeight="false" outlineLevel="0" collapsed="false">
      <c r="A661" s="5" t="s">
        <v>573</v>
      </c>
      <c r="B661" s="0" t="s">
        <v>553</v>
      </c>
      <c r="D661" s="13" t="n">
        <f aca="false">a26_sys/1000</f>
        <v>32.2174</v>
      </c>
      <c r="E661" s="13" t="n">
        <f aca="false">$D661*(1+cap_27)*E655</f>
        <v>43.1390986</v>
      </c>
      <c r="F661" s="13" t="n">
        <f aca="false">$D661*(1+cap_27)*(1+cap_28)*F655</f>
        <v>51.0982622917</v>
      </c>
      <c r="G661" s="13" t="n">
        <f aca="false">$D661*(1+cap_27)*(1+cap_28)*(1+cap_29)*G655</f>
        <v>57.8943311764961</v>
      </c>
      <c r="H661" s="5" t="s">
        <v>574</v>
      </c>
    </row>
    <row r="662" customFormat="false" ht="17.15" hidden="false" customHeight="false" outlineLevel="0" collapsed="false">
      <c r="A662" s="5" t="s">
        <v>575</v>
      </c>
      <c r="B662" s="0" t="s">
        <v>553</v>
      </c>
      <c r="C662" s="13" t="n">
        <f aca="false">a25_sys/1000</f>
        <v>24.4743</v>
      </c>
      <c r="D662" s="13" t="n">
        <f aca="false">a26_sys/1000</f>
        <v>32.2174</v>
      </c>
      <c r="E662" s="13" t="n">
        <f aca="false">MIN(E660,E661)</f>
        <v>39.4419094077512</v>
      </c>
      <c r="F662" s="13" t="n">
        <f aca="false">MIN(F660,F661)</f>
        <v>44.6253702003281</v>
      </c>
      <c r="G662" s="13" t="n">
        <f aca="false">MIN(G660,G661)</f>
        <v>47.9581726323786</v>
      </c>
    </row>
    <row r="663" customFormat="false" ht="17.15" hidden="false" customHeight="false" outlineLevel="0" collapsed="false">
      <c r="A663" s="5" t="s">
        <v>576</v>
      </c>
      <c r="E663" s="20" t="n">
        <f aca="false">IF(E660&gt;E661,1,0)</f>
        <v>0</v>
      </c>
      <c r="F663" s="20" t="n">
        <f aca="false">IF(F660&gt;F661,1,0)</f>
        <v>0</v>
      </c>
      <c r="G663" s="20" t="n">
        <f aca="false">IF(G660&gt;G661,1,0)</f>
        <v>0</v>
      </c>
    </row>
    <row r="664" customFormat="false" ht="15" hidden="false" customHeight="false" outlineLevel="0" collapsed="false">
      <c r="A664" s="5" t="s">
        <v>577</v>
      </c>
      <c r="B664" s="0" t="s">
        <v>231</v>
      </c>
      <c r="D664" s="10" t="n">
        <f aca="false">D659/D660</f>
        <v>0.2</v>
      </c>
      <c r="E664" s="10" t="n">
        <f aca="false">E659/E660</f>
        <v>0.163366330300777</v>
      </c>
      <c r="F664" s="10" t="n">
        <f aca="false">F659/F660</f>
        <v>0.144390510847854</v>
      </c>
      <c r="G664" s="10" t="n">
        <f aca="false">G659/G660</f>
        <v>0.134356245167893</v>
      </c>
      <c r="H664" s="5" t="s">
        <v>578</v>
      </c>
    </row>
    <row r="665" customFormat="false" ht="17.15" hidden="false" customHeight="false" outlineLevel="0" collapsed="false">
      <c r="A665" s="5" t="s">
        <v>579</v>
      </c>
      <c r="B665" s="0" t="s">
        <v>553</v>
      </c>
      <c r="C665" s="13" t="n">
        <f aca="false">a25_ibm/1000</f>
        <v>8.193</v>
      </c>
      <c r="D665" s="13" t="n">
        <f aca="false">a26_ibm/1000</f>
        <v>12.238</v>
      </c>
      <c r="E665" s="13" t="n">
        <f aca="false">D665*(1+g_ibm_A)</f>
        <v>13.70656</v>
      </c>
      <c r="F665" s="13" t="n">
        <f aca="false">E665*(1+g_ibm_A)</f>
        <v>15.3513472</v>
      </c>
      <c r="G665" s="13" t="n">
        <f aca="false">F665*(1+g_ibm_A)</f>
        <v>17.193508864</v>
      </c>
    </row>
    <row r="666" customFormat="false" ht="15" hidden="false" customHeight="false" outlineLevel="0" collapsed="false">
      <c r="A666" s="5" t="s">
        <v>481</v>
      </c>
      <c r="B666" s="0" t="s">
        <v>553</v>
      </c>
      <c r="C666" s="13" t="n">
        <f aca="false">C662+C665</f>
        <v>32.6673</v>
      </c>
      <c r="D666" s="13" t="n">
        <f aca="false">D662+D665</f>
        <v>44.4554</v>
      </c>
      <c r="E666" s="13" t="n">
        <f aca="false">E662+E665</f>
        <v>53.1484694077512</v>
      </c>
      <c r="F666" s="13" t="n">
        <f aca="false">F662+F665</f>
        <v>59.9767174003281</v>
      </c>
      <c r="G666" s="13" t="n">
        <f aca="false">G662+G665</f>
        <v>65.1516814963786</v>
      </c>
    </row>
    <row r="667" customFormat="false" ht="15" hidden="false" customHeight="false" outlineLevel="0" collapsed="false">
      <c r="A667" s="5" t="s">
        <v>580</v>
      </c>
      <c r="B667" s="0" t="s">
        <v>231</v>
      </c>
      <c r="D667" s="10" t="n">
        <f aca="false">D666/C666-1</f>
        <v>0.360853207948009</v>
      </c>
      <c r="E667" s="10" t="n">
        <f aca="false">E666/D666-1</f>
        <v>0.195545859620006</v>
      </c>
      <c r="F667" s="10" t="n">
        <f aca="false">F666/E666-1</f>
        <v>0.128474969621253</v>
      </c>
      <c r="G667" s="10" t="n">
        <f aca="false">G666/F666-1</f>
        <v>0.0862828830979356</v>
      </c>
    </row>
    <row r="668" customFormat="false" ht="17.15" hidden="false" customHeight="false" outlineLevel="0" collapsed="false">
      <c r="A668" s="1" t="s">
        <v>581</v>
      </c>
    </row>
    <row r="669" customFormat="false" ht="17.15" hidden="false" customHeight="false" outlineLevel="0" collapsed="false">
      <c r="A669" s="5" t="s">
        <v>486</v>
      </c>
      <c r="B669" s="0" t="s">
        <v>231</v>
      </c>
      <c r="C669" s="10" t="n">
        <f aca="false">a25_gp/a25_rev</f>
        <v>0.528298941142978</v>
      </c>
      <c r="D669" s="10" t="n">
        <f aca="false">a26_gp/a26_rev</f>
        <v>0.556944713128214</v>
      </c>
      <c r="E669" s="10" t="n">
        <f aca="false">$D669+gm_b*LN(E666/$D666)</f>
        <v>0.573549776576898</v>
      </c>
      <c r="F669" s="10" t="n">
        <f aca="false">$D669+gm_b*LN(F666/$D666)</f>
        <v>0.584787034438446</v>
      </c>
      <c r="G669" s="10" t="n">
        <f aca="false">$D669+gm_b*LN(G666/$D666)</f>
        <v>0.592481551270315</v>
      </c>
      <c r="H669" s="8" t="s">
        <v>582</v>
      </c>
    </row>
    <row r="670" customFormat="false" ht="15" hidden="false" customHeight="false" outlineLevel="0" collapsed="false">
      <c r="A670" s="5" t="s">
        <v>484</v>
      </c>
      <c r="B670" s="0" t="s">
        <v>553</v>
      </c>
      <c r="C670" s="13" t="n">
        <f aca="false">C666*C669</f>
        <v>17.2581</v>
      </c>
      <c r="D670" s="13" t="n">
        <f aca="false">D666*D669</f>
        <v>24.7592</v>
      </c>
      <c r="E670" s="13" t="n">
        <f aca="false">E666*E669</f>
        <v>30.4832927542198</v>
      </c>
      <c r="F670" s="13" t="n">
        <f aca="false">F666*F669</f>
        <v>35.0736067038906</v>
      </c>
      <c r="G670" s="13" t="n">
        <f aca="false">G666*G669</f>
        <v>38.6011693208438</v>
      </c>
    </row>
    <row r="671" customFormat="false" ht="17.15" hidden="false" customHeight="false" outlineLevel="0" collapsed="false">
      <c r="A671" s="5" t="s">
        <v>583</v>
      </c>
      <c r="B671" s="0" t="s">
        <v>553</v>
      </c>
      <c r="C671" s="13" t="n">
        <f aca="false">opex25/1000</f>
        <v>5.9565</v>
      </c>
      <c r="D671" s="13" t="n">
        <f aca="false">opex26/1000</f>
        <v>6.1935</v>
      </c>
      <c r="E671" s="13" t="n">
        <f aca="false">$D671*((1-phi)+phi*E666/$D666)</f>
        <v>6.36827434443524</v>
      </c>
      <c r="F671" s="13" t="n">
        <f aca="false">$D671*((1-phi)+phi*F666/$D666)</f>
        <v>6.50555641484869</v>
      </c>
      <c r="G671" s="13" t="n">
        <f aca="false">$D671*((1-phi)+phi*G666/$D666)</f>
        <v>6.60959917753003</v>
      </c>
      <c r="H671" s="8" t="s">
        <v>584</v>
      </c>
    </row>
    <row r="672" customFormat="false" ht="15" hidden="false" customHeight="false" outlineLevel="0" collapsed="false">
      <c r="A672" s="5" t="s">
        <v>490</v>
      </c>
      <c r="B672" s="0" t="s">
        <v>553</v>
      </c>
      <c r="C672" s="13" t="n">
        <f aca="false">C670-C671</f>
        <v>11.3016</v>
      </c>
      <c r="D672" s="13" t="n">
        <f aca="false">D670-D671</f>
        <v>18.5657</v>
      </c>
      <c r="E672" s="13" t="n">
        <f aca="false">E670-E671</f>
        <v>24.1150184097846</v>
      </c>
      <c r="F672" s="13" t="n">
        <f aca="false">F670-F671</f>
        <v>28.5680502890419</v>
      </c>
      <c r="G672" s="13" t="n">
        <f aca="false">G670-G671</f>
        <v>31.9915701433138</v>
      </c>
    </row>
    <row r="673" customFormat="false" ht="15" hidden="false" customHeight="false" outlineLevel="0" collapsed="false">
      <c r="A673" s="5" t="s">
        <v>557</v>
      </c>
      <c r="B673" s="0" t="s">
        <v>231</v>
      </c>
      <c r="C673" s="10" t="n">
        <f aca="false">C672/C666</f>
        <v>0.345960639538621</v>
      </c>
      <c r="D673" s="10" t="n">
        <f aca="false">D672/D666</f>
        <v>0.417625305362228</v>
      </c>
      <c r="E673" s="10" t="n">
        <f aca="false">E672/E666</f>
        <v>0.453729311088451</v>
      </c>
      <c r="F673" s="10" t="n">
        <f aca="false">F672/F666</f>
        <v>0.476319003895429</v>
      </c>
      <c r="G673" s="10" t="n">
        <f aca="false">G672/G666</f>
        <v>0.491032148496306</v>
      </c>
    </row>
    <row r="674" customFormat="false" ht="17.15" hidden="false" customHeight="false" outlineLevel="0" collapsed="false">
      <c r="A674" s="5" t="s">
        <v>498</v>
      </c>
      <c r="B674" s="0" t="s">
        <v>553</v>
      </c>
      <c r="C674" s="13" t="n">
        <f aca="false">a25_ni/1000</f>
        <v>9.6094</v>
      </c>
      <c r="D674" s="13" t="n">
        <f aca="false">a26_ni/1000</f>
        <v>16.3986734727826</v>
      </c>
      <c r="E674" s="13" t="n">
        <f aca="false">E672*nioi_hi</f>
        <v>20.9800660165126</v>
      </c>
      <c r="F674" s="13" t="n">
        <f aca="false">F672*nioi_hi</f>
        <v>24.8542037514665</v>
      </c>
      <c r="G674" s="13" t="n">
        <f aca="false">G672*nioi_hi</f>
        <v>27.832666024683</v>
      </c>
      <c r="H674" s="8" t="s">
        <v>585</v>
      </c>
    </row>
    <row r="675" customFormat="false" ht="15" hidden="false" customHeight="false" outlineLevel="0" collapsed="false">
      <c r="A675" s="5" t="s">
        <v>586</v>
      </c>
      <c r="B675" s="5" t="s">
        <v>267</v>
      </c>
      <c r="C675" s="16" t="n">
        <f aca="false">a25_shr</f>
        <v>388.572583906187</v>
      </c>
      <c r="D675" s="16" t="n">
        <f aca="false">a26_shr</f>
        <v>383.625</v>
      </c>
      <c r="E675" s="16" t="n">
        <f aca="false">sh_q4*(1-bb)^1</f>
        <v>377.685</v>
      </c>
      <c r="F675" s="16" t="n">
        <f aca="false">sh_q4*(1-bb)^2</f>
        <v>373.90815</v>
      </c>
      <c r="G675" s="16" t="n">
        <f aca="false">sh_q4*(1-bb)^3</f>
        <v>370.1690685</v>
      </c>
    </row>
    <row r="676" customFormat="false" ht="17.15" hidden="false" customHeight="false" outlineLevel="0" collapsed="false">
      <c r="A676" s="0" t="s">
        <v>587</v>
      </c>
      <c r="B676" s="0" t="s">
        <v>392</v>
      </c>
      <c r="C676" s="13" t="n">
        <f aca="false">a25_eps</f>
        <v>24.73</v>
      </c>
      <c r="D676" s="13" t="n">
        <f aca="false">a26_eps</f>
        <v>42.7466235849661</v>
      </c>
      <c r="E676" s="13" t="n">
        <f aca="false">E674*1000/E675</f>
        <v>55.5491110754004</v>
      </c>
      <c r="F676" s="13" t="n">
        <f aca="false">F674*1000/F675</f>
        <v>66.4714148420314</v>
      </c>
      <c r="G676" s="13" t="n">
        <f aca="false">G674*1000/G675</f>
        <v>75.1890646548795</v>
      </c>
    </row>
    <row r="677" customFormat="false" ht="17.15" hidden="false" customHeight="false" outlineLevel="0" collapsed="false">
      <c r="A677" s="1" t="s">
        <v>588</v>
      </c>
    </row>
    <row r="678" customFormat="false" ht="17.15" hidden="false" customHeight="false" outlineLevel="0" collapsed="false">
      <c r="A678" s="0" t="s">
        <v>514</v>
      </c>
      <c r="B678" s="0" t="s">
        <v>553</v>
      </c>
      <c r="C678" s="13" t="n">
        <f aca="false">a25_euv/1000</f>
        <v>11.6</v>
      </c>
      <c r="D678" s="13" t="n">
        <f aca="false">a26_euv/1000</f>
        <v>16.82</v>
      </c>
      <c r="E678" s="13" t="n">
        <f aca="false">E662*euv_sh_27</f>
        <v>21.6930501742632</v>
      </c>
      <c r="F678" s="13" t="n">
        <f aca="false">F662*euv_sh_28</f>
        <v>25.436461014187</v>
      </c>
      <c r="G678" s="13" t="n">
        <f aca="false">G662*euv_sh_29</f>
        <v>27.8157401267796</v>
      </c>
    </row>
    <row r="679" customFormat="false" ht="17.15" hidden="false" customHeight="false" outlineLevel="0" collapsed="false">
      <c r="A679" s="5" t="s">
        <v>589</v>
      </c>
      <c r="B679" s="5" t="s">
        <v>362</v>
      </c>
      <c r="E679" s="20" t="n">
        <f aca="false">(E678*1000-hna_n_27*hna_asp)/lna_asp</f>
        <v>85.8775007921053</v>
      </c>
      <c r="F679" s="20" t="n">
        <f aca="false">(F678*1000-hna_n_28*hna_asp)/lna_asp</f>
        <v>96.5293682463047</v>
      </c>
      <c r="G679" s="20" t="n">
        <f aca="false">(G678*1000-hna_n_29*hna_asp)/lna_asp</f>
        <v>102.571546030816</v>
      </c>
    </row>
    <row r="680" customFormat="false" ht="15" hidden="false" customHeight="false" outlineLevel="0" collapsed="false">
      <c r="A680" s="5" t="s">
        <v>590</v>
      </c>
      <c r="B680" s="0" t="s">
        <v>27</v>
      </c>
      <c r="C680" s="21" t="n">
        <f aca="false">C662*fx_25</f>
        <v>27.655959</v>
      </c>
      <c r="D680" s="21" t="n">
        <f aca="false">D662*fx_f</f>
        <v>37.372184</v>
      </c>
      <c r="E680" s="21" t="n">
        <f aca="false">E662*fx_f</f>
        <v>45.7526149129914</v>
      </c>
      <c r="F680" s="21" t="n">
        <f aca="false">F662*fx_f</f>
        <v>51.7654294323806</v>
      </c>
      <c r="G680" s="21" t="n">
        <f aca="false">G662*fx_f</f>
        <v>55.6314802535591</v>
      </c>
    </row>
    <row r="681" customFormat="false" ht="17.15" hidden="false" customHeight="false" outlineLevel="0" collapsed="false">
      <c r="A681" s="0" t="s">
        <v>591</v>
      </c>
      <c r="B681" s="0" t="s">
        <v>231</v>
      </c>
      <c r="C681" s="10" t="n">
        <f aca="false">C680/Units!C7</f>
        <v>0.236584333071578</v>
      </c>
      <c r="D681" s="10" t="n">
        <f aca="false">D680/Units!D7</f>
        <v>0.239324345993695</v>
      </c>
      <c r="E681" s="10" t="n">
        <f aca="false">E680/Units!E7</f>
        <v>0.237311670552754</v>
      </c>
      <c r="F681" s="10" t="n">
        <f aca="false">F680/Units!F7</f>
        <v>0.238959320909658</v>
      </c>
      <c r="G681" s="10" t="n">
        <f aca="false">G680/Units!G7</f>
        <v>0.243034445014329</v>
      </c>
      <c r="H681" s="5" t="s">
        <v>592</v>
      </c>
    </row>
    <row r="690" customFormat="false" ht="17.15" hidden="false" customHeight="false" outlineLevel="0" collapsed="false">
      <c r="A690" s="3" t="s">
        <v>882</v>
      </c>
    </row>
    <row r="691" customFormat="false" ht="17.15" hidden="false" customHeight="false" outlineLevel="0" collapsed="false">
      <c r="A691" s="6" t="s">
        <v>16</v>
      </c>
      <c r="B691" s="6" t="s">
        <v>17</v>
      </c>
      <c r="C691" s="14" t="s">
        <v>548</v>
      </c>
      <c r="D691" s="14" t="s">
        <v>549</v>
      </c>
      <c r="E691" s="14" t="s">
        <v>550</v>
      </c>
      <c r="F691" s="14" t="s">
        <v>551</v>
      </c>
      <c r="G691" s="14" t="s">
        <v>552</v>
      </c>
      <c r="H691" s="6" t="s">
        <v>534</v>
      </c>
    </row>
    <row r="692" customFormat="false" ht="17.15" hidden="false" customHeight="false" outlineLevel="0" collapsed="false">
      <c r="A692" s="1" t="s">
        <v>561</v>
      </c>
    </row>
    <row r="693" customFormat="false" ht="17.15" hidden="false" customHeight="false" outlineLevel="0" collapsed="false">
      <c r="A693" s="5" t="s">
        <v>562</v>
      </c>
      <c r="B693" s="0" t="s">
        <v>345</v>
      </c>
      <c r="C693" s="25" t="n">
        <f aca="false">Units!C8</f>
        <v>0.797493866282457</v>
      </c>
      <c r="D693" s="25" t="n">
        <f aca="false">Units!D8</f>
        <v>1</v>
      </c>
      <c r="E693" s="25" t="n">
        <f aca="false">Units!E8</f>
        <v>1.1581138943867</v>
      </c>
      <c r="F693" s="25" t="n">
        <f aca="false">Units!F8</f>
        <v>1.30398004155566</v>
      </c>
      <c r="G693" s="25" t="n">
        <f aca="false">Units!G8</f>
        <v>1.39118185447666</v>
      </c>
    </row>
    <row r="694" customFormat="false" ht="17.15" hidden="false" customHeight="false" outlineLevel="0" collapsed="false">
      <c r="A694" s="5" t="s">
        <v>563</v>
      </c>
      <c r="B694" s="0" t="s">
        <v>345</v>
      </c>
      <c r="C694" s="25" t="n">
        <f aca="false">Units!C9</f>
        <v>0.677840887672955</v>
      </c>
      <c r="D694" s="25" t="n">
        <f aca="false">Units!D9</f>
        <v>1</v>
      </c>
      <c r="E694" s="25" t="n">
        <f aca="false">Units!E9</f>
        <v>1.3452955652252</v>
      </c>
      <c r="F694" s="25" t="n">
        <f aca="false">Units!F9</f>
        <v>1.50769200272716</v>
      </c>
      <c r="G694" s="25" t="n">
        <f aca="false">Units!G9</f>
        <v>1.57386738820784</v>
      </c>
    </row>
    <row r="695" customFormat="false" ht="17.15" hidden="false" customHeight="false" outlineLevel="0" collapsed="false">
      <c r="A695" s="5" t="s">
        <v>564</v>
      </c>
      <c r="B695" s="0" t="s">
        <v>345</v>
      </c>
      <c r="D695" s="25" t="n">
        <f aca="false">(1+g_int)^0</f>
        <v>1</v>
      </c>
      <c r="E695" s="25" t="n">
        <f aca="false">(1+g_int)^1</f>
        <v>1.03</v>
      </c>
      <c r="F695" s="25" t="n">
        <f aca="false">(1+g_int)^2</f>
        <v>1.0609</v>
      </c>
      <c r="G695" s="25" t="n">
        <f aca="false">(1+g_int)^3</f>
        <v>1.092727</v>
      </c>
      <c r="H695" s="8" t="s">
        <v>565</v>
      </c>
    </row>
    <row r="696" customFormat="false" ht="17.15" hidden="false" customHeight="false" outlineLevel="0" collapsed="false">
      <c r="A696" s="1" t="s">
        <v>566</v>
      </c>
    </row>
    <row r="697" customFormat="false" ht="17.15" hidden="false" customHeight="false" outlineLevel="0" collapsed="false">
      <c r="A697" s="5" t="s">
        <v>567</v>
      </c>
      <c r="B697" s="0" t="s">
        <v>553</v>
      </c>
      <c r="D697" s="13" t="n">
        <f aca="false">a26_sys/1000*(1-cn_sh26)*log_sh26</f>
        <v>14.0838050971922</v>
      </c>
      <c r="E697" s="13" t="n">
        <f aca="false">$D697*E693*E695</f>
        <v>16.7999698799593</v>
      </c>
      <c r="F697" s="13" t="n">
        <f aca="false">$D697*F693*F695</f>
        <v>19.4834293019328</v>
      </c>
      <c r="G697" s="13" t="n">
        <f aca="false">$D697*G693*G695</f>
        <v>21.4099466382598</v>
      </c>
      <c r="H697" s="8" t="s">
        <v>568</v>
      </c>
    </row>
    <row r="698" customFormat="false" ht="15" hidden="false" customHeight="false" outlineLevel="0" collapsed="false">
      <c r="A698" s="5" t="s">
        <v>569</v>
      </c>
      <c r="B698" s="0" t="s">
        <v>553</v>
      </c>
      <c r="D698" s="13" t="n">
        <f aca="false">a26_sys/1000*(1-cn_sh26)*(1-log_sh26)</f>
        <v>11.6901149028078</v>
      </c>
      <c r="E698" s="13" t="n">
        <f aca="false">$D698*E694*E695</f>
        <v>16.1984595277919</v>
      </c>
      <c r="F698" s="13" t="n">
        <f aca="false">$D698*F694*F695</f>
        <v>18.6984608983954</v>
      </c>
      <c r="G698" s="13" t="n">
        <f aca="false">$D698*G694*G695</f>
        <v>20.1047459941188</v>
      </c>
    </row>
    <row r="699" customFormat="false" ht="17.15" hidden="false" customHeight="false" outlineLevel="0" collapsed="false">
      <c r="A699" s="5" t="s">
        <v>570</v>
      </c>
      <c r="B699" s="0" t="s">
        <v>553</v>
      </c>
      <c r="D699" s="13" t="n">
        <f aca="false">a26_sys/1000*cn_sh26</f>
        <v>6.44348</v>
      </c>
      <c r="E699" s="13" t="n">
        <f aca="false">D699*(1+g_cn_A)</f>
        <v>6.44348</v>
      </c>
      <c r="F699" s="13" t="n">
        <f aca="false">E699*(1+g_cn_A)</f>
        <v>6.44348</v>
      </c>
      <c r="G699" s="13" t="n">
        <f aca="false">F699*(1+g_cn_A)</f>
        <v>6.44348</v>
      </c>
      <c r="H699" s="8" t="s">
        <v>571</v>
      </c>
    </row>
    <row r="700" customFormat="false" ht="15" hidden="false" customHeight="false" outlineLevel="0" collapsed="false">
      <c r="A700" s="5" t="s">
        <v>572</v>
      </c>
      <c r="B700" s="0" t="s">
        <v>553</v>
      </c>
      <c r="D700" s="13" t="n">
        <f aca="false">D697+D698+D699</f>
        <v>32.2174</v>
      </c>
      <c r="E700" s="13" t="n">
        <f aca="false">E697+E698+E699</f>
        <v>39.4419094077512</v>
      </c>
      <c r="F700" s="13" t="n">
        <f aca="false">F697+F698+F699</f>
        <v>44.6253702003281</v>
      </c>
      <c r="G700" s="13" t="n">
        <f aca="false">G697+G698+G699</f>
        <v>47.9581726323786</v>
      </c>
    </row>
    <row r="701" customFormat="false" ht="17.15" hidden="false" customHeight="false" outlineLevel="0" collapsed="false">
      <c r="A701" s="5" t="s">
        <v>573</v>
      </c>
      <c r="B701" s="0" t="s">
        <v>553</v>
      </c>
      <c r="D701" s="13" t="n">
        <f aca="false">a26_sys/1000</f>
        <v>32.2174</v>
      </c>
      <c r="E701" s="13" t="n">
        <f aca="false">$D701*(1+cap_27)*E695</f>
        <v>43.1390986</v>
      </c>
      <c r="F701" s="13" t="n">
        <f aca="false">$D701*(1+cap_27)*(1+cap_28)*F695</f>
        <v>51.0982622917</v>
      </c>
      <c r="G701" s="13" t="n">
        <f aca="false">$D701*(1+cap_27)*(1+cap_28)*(1+cap_29)*G695</f>
        <v>57.8943311764961</v>
      </c>
      <c r="H701" s="5" t="s">
        <v>574</v>
      </c>
    </row>
    <row r="702" customFormat="false" ht="17.15" hidden="false" customHeight="false" outlineLevel="0" collapsed="false">
      <c r="A702" s="5" t="s">
        <v>575</v>
      </c>
      <c r="B702" s="0" t="s">
        <v>553</v>
      </c>
      <c r="C702" s="13" t="n">
        <f aca="false">a25_sys/1000</f>
        <v>24.4743</v>
      </c>
      <c r="D702" s="13" t="n">
        <f aca="false">a26_sys/1000</f>
        <v>32.2174</v>
      </c>
      <c r="E702" s="13" t="n">
        <f aca="false">MIN(E700,E701)</f>
        <v>39.4419094077512</v>
      </c>
      <c r="F702" s="13" t="n">
        <f aca="false">MIN(F700,F701)</f>
        <v>44.6253702003281</v>
      </c>
      <c r="G702" s="13" t="n">
        <f aca="false">MIN(G700,G701)</f>
        <v>47.9581726323786</v>
      </c>
    </row>
    <row r="703" customFormat="false" ht="17.15" hidden="false" customHeight="false" outlineLevel="0" collapsed="false">
      <c r="A703" s="5" t="s">
        <v>576</v>
      </c>
      <c r="E703" s="20" t="n">
        <f aca="false">IF(E700&gt;E701,1,0)</f>
        <v>0</v>
      </c>
      <c r="F703" s="20" t="n">
        <f aca="false">IF(F700&gt;F701,1,0)</f>
        <v>0</v>
      </c>
      <c r="G703" s="20" t="n">
        <f aca="false">IF(G700&gt;G701,1,0)</f>
        <v>0</v>
      </c>
    </row>
    <row r="704" customFormat="false" ht="15" hidden="false" customHeight="false" outlineLevel="0" collapsed="false">
      <c r="A704" s="5" t="s">
        <v>577</v>
      </c>
      <c r="B704" s="0" t="s">
        <v>231</v>
      </c>
      <c r="D704" s="10" t="n">
        <f aca="false">D699/D700</f>
        <v>0.2</v>
      </c>
      <c r="E704" s="10" t="n">
        <f aca="false">E699/E700</f>
        <v>0.163366330300777</v>
      </c>
      <c r="F704" s="10" t="n">
        <f aca="false">F699/F700</f>
        <v>0.144390510847854</v>
      </c>
      <c r="G704" s="10" t="n">
        <f aca="false">G699/G700</f>
        <v>0.134356245167893</v>
      </c>
      <c r="H704" s="5" t="s">
        <v>578</v>
      </c>
    </row>
    <row r="705" customFormat="false" ht="17.15" hidden="false" customHeight="false" outlineLevel="0" collapsed="false">
      <c r="A705" s="5" t="s">
        <v>579</v>
      </c>
      <c r="B705" s="0" t="s">
        <v>553</v>
      </c>
      <c r="C705" s="13" t="n">
        <f aca="false">a25_ibm/1000</f>
        <v>8.193</v>
      </c>
      <c r="D705" s="13" t="n">
        <f aca="false">a26_ibm/1000</f>
        <v>12.238</v>
      </c>
      <c r="E705" s="13" t="n">
        <f aca="false">D705*(1+g_ibm_A)</f>
        <v>13.70656</v>
      </c>
      <c r="F705" s="13" t="n">
        <f aca="false">E705*(1+g_ibm_A)</f>
        <v>15.3513472</v>
      </c>
      <c r="G705" s="13" t="n">
        <f aca="false">F705*(1+g_ibm_A)</f>
        <v>17.193508864</v>
      </c>
    </row>
    <row r="706" customFormat="false" ht="15" hidden="false" customHeight="false" outlineLevel="0" collapsed="false">
      <c r="A706" s="5" t="s">
        <v>481</v>
      </c>
      <c r="B706" s="0" t="s">
        <v>553</v>
      </c>
      <c r="C706" s="13" t="n">
        <f aca="false">C702+C705</f>
        <v>32.6673</v>
      </c>
      <c r="D706" s="13" t="n">
        <f aca="false">D702+D705</f>
        <v>44.4554</v>
      </c>
      <c r="E706" s="13" t="n">
        <f aca="false">E702+E705</f>
        <v>53.1484694077512</v>
      </c>
      <c r="F706" s="13" t="n">
        <f aca="false">F702+F705</f>
        <v>59.9767174003281</v>
      </c>
      <c r="G706" s="13" t="n">
        <f aca="false">G702+G705</f>
        <v>65.1516814963786</v>
      </c>
    </row>
    <row r="707" customFormat="false" ht="15" hidden="false" customHeight="false" outlineLevel="0" collapsed="false">
      <c r="A707" s="5" t="s">
        <v>580</v>
      </c>
      <c r="B707" s="0" t="s">
        <v>231</v>
      </c>
      <c r="D707" s="10" t="n">
        <f aca="false">D706/C706-1</f>
        <v>0.360853207948009</v>
      </c>
      <c r="E707" s="10" t="n">
        <f aca="false">E706/D706-1</f>
        <v>0.195545859620006</v>
      </c>
      <c r="F707" s="10" t="n">
        <f aca="false">F706/E706-1</f>
        <v>0.128474969621253</v>
      </c>
      <c r="G707" s="10" t="n">
        <f aca="false">G706/F706-1</f>
        <v>0.0862828830979356</v>
      </c>
    </row>
    <row r="708" customFormat="false" ht="17.15" hidden="false" customHeight="false" outlineLevel="0" collapsed="false">
      <c r="A708" s="1" t="s">
        <v>581</v>
      </c>
    </row>
    <row r="709" customFormat="false" ht="17.15" hidden="false" customHeight="false" outlineLevel="0" collapsed="false">
      <c r="A709" s="5" t="s">
        <v>486</v>
      </c>
      <c r="B709" s="0" t="s">
        <v>231</v>
      </c>
      <c r="C709" s="10" t="n">
        <f aca="false">a25_gp/a25_rev</f>
        <v>0.528298941142978</v>
      </c>
      <c r="D709" s="10" t="n">
        <f aca="false">a26_gp/a26_rev</f>
        <v>0.556944713128214</v>
      </c>
      <c r="E709" s="10" t="n">
        <f aca="false">$D709+gm_b*LN(E706/$D706)</f>
        <v>0.573549776576898</v>
      </c>
      <c r="F709" s="10" t="n">
        <f aca="false">$D709+gm_b*LN(F706/$D706)</f>
        <v>0.584787034438446</v>
      </c>
      <c r="G709" s="10" t="n">
        <f aca="false">$D709+gm_b*LN(G706/$D706)</f>
        <v>0.592481551270315</v>
      </c>
      <c r="H709" s="8" t="s">
        <v>582</v>
      </c>
    </row>
    <row r="710" customFormat="false" ht="15" hidden="false" customHeight="false" outlineLevel="0" collapsed="false">
      <c r="A710" s="5" t="s">
        <v>484</v>
      </c>
      <c r="B710" s="0" t="s">
        <v>553</v>
      </c>
      <c r="C710" s="13" t="n">
        <f aca="false">C706*C709</f>
        <v>17.2581</v>
      </c>
      <c r="D710" s="13" t="n">
        <f aca="false">D706*D709</f>
        <v>24.7592</v>
      </c>
      <c r="E710" s="13" t="n">
        <f aca="false">E706*E709</f>
        <v>30.4832927542198</v>
      </c>
      <c r="F710" s="13" t="n">
        <f aca="false">F706*F709</f>
        <v>35.0736067038906</v>
      </c>
      <c r="G710" s="13" t="n">
        <f aca="false">G706*G709</f>
        <v>38.6011693208438</v>
      </c>
    </row>
    <row r="711" customFormat="false" ht="17.15" hidden="false" customHeight="false" outlineLevel="0" collapsed="false">
      <c r="A711" s="5" t="s">
        <v>583</v>
      </c>
      <c r="B711" s="0" t="s">
        <v>553</v>
      </c>
      <c r="C711" s="13" t="n">
        <f aca="false">opex25/1000</f>
        <v>5.9565</v>
      </c>
      <c r="D711" s="13" t="n">
        <f aca="false">opex26/1000</f>
        <v>6.1935</v>
      </c>
      <c r="E711" s="13" t="n">
        <f aca="false">$D711*((1-phi)+phi*E706/$D706)</f>
        <v>6.36827434443524</v>
      </c>
      <c r="F711" s="13" t="n">
        <f aca="false">$D711*((1-phi)+phi*F706/$D706)</f>
        <v>6.50555641484869</v>
      </c>
      <c r="G711" s="13" t="n">
        <f aca="false">$D711*((1-phi)+phi*G706/$D706)</f>
        <v>6.60959917753003</v>
      </c>
      <c r="H711" s="8" t="s">
        <v>584</v>
      </c>
    </row>
    <row r="712" customFormat="false" ht="15" hidden="false" customHeight="false" outlineLevel="0" collapsed="false">
      <c r="A712" s="5" t="s">
        <v>490</v>
      </c>
      <c r="B712" s="0" t="s">
        <v>553</v>
      </c>
      <c r="C712" s="13" t="n">
        <f aca="false">C710-C711</f>
        <v>11.3016</v>
      </c>
      <c r="D712" s="13" t="n">
        <f aca="false">D710-D711</f>
        <v>18.5657</v>
      </c>
      <c r="E712" s="13" t="n">
        <f aca="false">E710-E711</f>
        <v>24.1150184097846</v>
      </c>
      <c r="F712" s="13" t="n">
        <f aca="false">F710-F711</f>
        <v>28.5680502890419</v>
      </c>
      <c r="G712" s="13" t="n">
        <f aca="false">G710-G711</f>
        <v>31.9915701433138</v>
      </c>
    </row>
    <row r="713" customFormat="false" ht="15" hidden="false" customHeight="false" outlineLevel="0" collapsed="false">
      <c r="A713" s="5" t="s">
        <v>557</v>
      </c>
      <c r="B713" s="0" t="s">
        <v>231</v>
      </c>
      <c r="C713" s="10" t="n">
        <f aca="false">C712/C706</f>
        <v>0.345960639538621</v>
      </c>
      <c r="D713" s="10" t="n">
        <f aca="false">D712/D706</f>
        <v>0.417625305362228</v>
      </c>
      <c r="E713" s="10" t="n">
        <f aca="false">E712/E706</f>
        <v>0.453729311088451</v>
      </c>
      <c r="F713" s="10" t="n">
        <f aca="false">F712/F706</f>
        <v>0.476319003895429</v>
      </c>
      <c r="G713" s="10" t="n">
        <f aca="false">G712/G706</f>
        <v>0.491032148496306</v>
      </c>
    </row>
    <row r="714" customFormat="false" ht="17.15" hidden="false" customHeight="false" outlineLevel="0" collapsed="false">
      <c r="A714" s="5" t="s">
        <v>498</v>
      </c>
      <c r="B714" s="0" t="s">
        <v>553</v>
      </c>
      <c r="C714" s="13" t="n">
        <f aca="false">a25_ni/1000</f>
        <v>9.6094</v>
      </c>
      <c r="D714" s="13" t="n">
        <f aca="false">a26_ni/1000</f>
        <v>16.3986734727826</v>
      </c>
      <c r="E714" s="13" t="n">
        <f aca="false">E712*nioi</f>
        <v>20.5042523100255</v>
      </c>
      <c r="F714" s="13" t="n">
        <f aca="false">F712*nioi</f>
        <v>24.2905272215898</v>
      </c>
      <c r="G714" s="13" t="n">
        <f aca="false">G712*nioi</f>
        <v>27.2014399850605</v>
      </c>
      <c r="H714" s="8" t="s">
        <v>585</v>
      </c>
    </row>
    <row r="715" customFormat="false" ht="15" hidden="false" customHeight="false" outlineLevel="0" collapsed="false">
      <c r="A715" s="5" t="s">
        <v>586</v>
      </c>
      <c r="B715" s="5" t="s">
        <v>267</v>
      </c>
      <c r="C715" s="16" t="n">
        <f aca="false">a25_shr</f>
        <v>388.572583906187</v>
      </c>
      <c r="D715" s="16" t="n">
        <f aca="false">a26_shr</f>
        <v>383.625</v>
      </c>
      <c r="E715" s="16" t="n">
        <f aca="false">sh_q4*(1-bb_lo)^1</f>
        <v>381.5</v>
      </c>
      <c r="F715" s="16" t="n">
        <f aca="false">sh_q4*(1-bb_lo)^2</f>
        <v>381.5</v>
      </c>
      <c r="G715" s="16" t="n">
        <f aca="false">sh_q4*(1-bb_lo)^3</f>
        <v>381.5</v>
      </c>
    </row>
    <row r="716" customFormat="false" ht="17.15" hidden="false" customHeight="false" outlineLevel="0" collapsed="false">
      <c r="A716" s="0" t="s">
        <v>587</v>
      </c>
      <c r="B716" s="0" t="s">
        <v>392</v>
      </c>
      <c r="C716" s="13" t="n">
        <f aca="false">a25_eps</f>
        <v>24.73</v>
      </c>
      <c r="D716" s="13" t="n">
        <f aca="false">a26_eps</f>
        <v>42.7466235849661</v>
      </c>
      <c r="E716" s="13" t="n">
        <f aca="false">E714*1000/E715</f>
        <v>53.7464018611415</v>
      </c>
      <c r="F716" s="13" t="n">
        <f aca="false">F714*1000/F715</f>
        <v>63.6711067407335</v>
      </c>
      <c r="G716" s="13" t="n">
        <f aca="false">G714*1000/G715</f>
        <v>71.3012843645098</v>
      </c>
    </row>
    <row r="717" customFormat="false" ht="17.15" hidden="false" customHeight="false" outlineLevel="0" collapsed="false">
      <c r="A717" s="1" t="s">
        <v>588</v>
      </c>
    </row>
    <row r="718" customFormat="false" ht="17.15" hidden="false" customHeight="false" outlineLevel="0" collapsed="false">
      <c r="A718" s="0" t="s">
        <v>514</v>
      </c>
      <c r="B718" s="0" t="s">
        <v>553</v>
      </c>
      <c r="C718" s="13" t="n">
        <f aca="false">a25_euv/1000</f>
        <v>11.6</v>
      </c>
      <c r="D718" s="13" t="n">
        <f aca="false">a26_euv/1000</f>
        <v>16.82</v>
      </c>
      <c r="E718" s="13" t="n">
        <f aca="false">E702*euv_sh_27</f>
        <v>21.6930501742632</v>
      </c>
      <c r="F718" s="13" t="n">
        <f aca="false">F702*euv_sh_28</f>
        <v>25.436461014187</v>
      </c>
      <c r="G718" s="13" t="n">
        <f aca="false">G702*euv_sh_29</f>
        <v>27.8157401267796</v>
      </c>
    </row>
    <row r="719" customFormat="false" ht="17.15" hidden="false" customHeight="false" outlineLevel="0" collapsed="false">
      <c r="A719" s="5" t="s">
        <v>589</v>
      </c>
      <c r="B719" s="5" t="s">
        <v>362</v>
      </c>
      <c r="E719" s="20" t="n">
        <f aca="false">(E718*1000-hna_n_27*hna_asp)/lna_asp</f>
        <v>85.8775007921053</v>
      </c>
      <c r="F719" s="20" t="n">
        <f aca="false">(F718*1000-hna_n_28*hna_asp)/lna_asp</f>
        <v>96.5293682463047</v>
      </c>
      <c r="G719" s="20" t="n">
        <f aca="false">(G718*1000-hna_n_29*hna_asp)/lna_asp</f>
        <v>102.571546030816</v>
      </c>
    </row>
    <row r="720" customFormat="false" ht="15" hidden="false" customHeight="false" outlineLevel="0" collapsed="false">
      <c r="A720" s="5" t="s">
        <v>590</v>
      </c>
      <c r="B720" s="0" t="s">
        <v>27</v>
      </c>
      <c r="C720" s="21" t="n">
        <f aca="false">C702*fx_25</f>
        <v>27.655959</v>
      </c>
      <c r="D720" s="21" t="n">
        <f aca="false">D702*fx_f</f>
        <v>37.372184</v>
      </c>
      <c r="E720" s="21" t="n">
        <f aca="false">E702*fx_f</f>
        <v>45.7526149129914</v>
      </c>
      <c r="F720" s="21" t="n">
        <f aca="false">F702*fx_f</f>
        <v>51.7654294323806</v>
      </c>
      <c r="G720" s="21" t="n">
        <f aca="false">G702*fx_f</f>
        <v>55.6314802535591</v>
      </c>
    </row>
    <row r="721" customFormat="false" ht="17.15" hidden="false" customHeight="false" outlineLevel="0" collapsed="false">
      <c r="A721" s="0" t="s">
        <v>591</v>
      </c>
      <c r="B721" s="0" t="s">
        <v>231</v>
      </c>
      <c r="C721" s="10" t="n">
        <f aca="false">C720/Units!C7</f>
        <v>0.236584333071578</v>
      </c>
      <c r="D721" s="10" t="n">
        <f aca="false">D720/Units!D7</f>
        <v>0.239324345993695</v>
      </c>
      <c r="E721" s="10" t="n">
        <f aca="false">E720/Units!E7</f>
        <v>0.237311670552754</v>
      </c>
      <c r="F721" s="10" t="n">
        <f aca="false">F720/Units!F7</f>
        <v>0.238959320909658</v>
      </c>
      <c r="G721" s="10" t="n">
        <f aca="false">G720/Units!G7</f>
        <v>0.243034445014329</v>
      </c>
      <c r="H721" s="5" t="s">
        <v>592</v>
      </c>
    </row>
    <row r="730" customFormat="false" ht="17.15" hidden="false" customHeight="false" outlineLevel="0" collapsed="false">
      <c r="A730" s="3" t="s">
        <v>883</v>
      </c>
    </row>
    <row r="731" customFormat="false" ht="17.15" hidden="false" customHeight="false" outlineLevel="0" collapsed="false">
      <c r="A731" s="6" t="s">
        <v>16</v>
      </c>
      <c r="B731" s="6" t="s">
        <v>17</v>
      </c>
      <c r="C731" s="14" t="s">
        <v>548</v>
      </c>
      <c r="D731" s="14" t="s">
        <v>549</v>
      </c>
      <c r="E731" s="14" t="s">
        <v>550</v>
      </c>
      <c r="F731" s="14" t="s">
        <v>551</v>
      </c>
      <c r="G731" s="14" t="s">
        <v>552</v>
      </c>
      <c r="H731" s="6" t="s">
        <v>534</v>
      </c>
    </row>
    <row r="732" customFormat="false" ht="17.15" hidden="false" customHeight="false" outlineLevel="0" collapsed="false">
      <c r="A732" s="1" t="s">
        <v>561</v>
      </c>
    </row>
    <row r="733" customFormat="false" ht="17.15" hidden="false" customHeight="false" outlineLevel="0" collapsed="false">
      <c r="A733" s="5" t="s">
        <v>562</v>
      </c>
      <c r="B733" s="0" t="s">
        <v>345</v>
      </c>
      <c r="C733" s="25" t="n">
        <f aca="false">Units!C8</f>
        <v>0.797493866282457</v>
      </c>
      <c r="D733" s="25" t="n">
        <f aca="false">Units!D8</f>
        <v>1</v>
      </c>
      <c r="E733" s="25" t="n">
        <f aca="false">Units!E8</f>
        <v>1.1581138943867</v>
      </c>
      <c r="F733" s="25" t="n">
        <f aca="false">Units!F8</f>
        <v>1.30398004155566</v>
      </c>
      <c r="G733" s="25" t="n">
        <f aca="false">Units!G8</f>
        <v>1.39118185447666</v>
      </c>
    </row>
    <row r="734" customFormat="false" ht="17.15" hidden="false" customHeight="false" outlineLevel="0" collapsed="false">
      <c r="A734" s="5" t="s">
        <v>563</v>
      </c>
      <c r="B734" s="0" t="s">
        <v>345</v>
      </c>
      <c r="C734" s="25" t="n">
        <f aca="false">Units!C9</f>
        <v>0.677840887672955</v>
      </c>
      <c r="D734" s="25" t="n">
        <f aca="false">Units!D9</f>
        <v>1</v>
      </c>
      <c r="E734" s="25" t="n">
        <f aca="false">Units!E9</f>
        <v>1.3452955652252</v>
      </c>
      <c r="F734" s="25" t="n">
        <f aca="false">Units!F9</f>
        <v>1.50769200272716</v>
      </c>
      <c r="G734" s="25" t="n">
        <f aca="false">Units!G9</f>
        <v>1.57386738820784</v>
      </c>
    </row>
    <row r="735" customFormat="false" ht="17.15" hidden="false" customHeight="false" outlineLevel="0" collapsed="false">
      <c r="A735" s="5" t="s">
        <v>564</v>
      </c>
      <c r="B735" s="0" t="s">
        <v>345</v>
      </c>
      <c r="D735" s="25" t="n">
        <f aca="false">(1+g_int)^0</f>
        <v>1</v>
      </c>
      <c r="E735" s="25" t="n">
        <f aca="false">(1+g_int)^1</f>
        <v>1.03</v>
      </c>
      <c r="F735" s="25" t="n">
        <f aca="false">(1+g_int)^2</f>
        <v>1.0609</v>
      </c>
      <c r="G735" s="25" t="n">
        <f aca="false">(1+g_int)^3</f>
        <v>1.092727</v>
      </c>
      <c r="H735" s="8" t="s">
        <v>565</v>
      </c>
    </row>
    <row r="736" customFormat="false" ht="17.15" hidden="false" customHeight="false" outlineLevel="0" collapsed="false">
      <c r="A736" s="1" t="s">
        <v>566</v>
      </c>
    </row>
    <row r="737" customFormat="false" ht="17.15" hidden="false" customHeight="false" outlineLevel="0" collapsed="false">
      <c r="A737" s="5" t="s">
        <v>567</v>
      </c>
      <c r="B737" s="0" t="s">
        <v>553</v>
      </c>
      <c r="D737" s="13" t="n">
        <f aca="false">a26_sys/1000*(1-cn_sh26)*log_sh26</f>
        <v>14.0838050971922</v>
      </c>
      <c r="E737" s="13" t="n">
        <f aca="false">$D737*E733*E735</f>
        <v>16.7999698799593</v>
      </c>
      <c r="F737" s="13" t="n">
        <f aca="false">$D737*F733*F735</f>
        <v>19.4834293019328</v>
      </c>
      <c r="G737" s="13" t="n">
        <f aca="false">$D737*G733*G735</f>
        <v>21.4099466382598</v>
      </c>
      <c r="H737" s="8" t="s">
        <v>568</v>
      </c>
    </row>
    <row r="738" customFormat="false" ht="15" hidden="false" customHeight="false" outlineLevel="0" collapsed="false">
      <c r="A738" s="5" t="s">
        <v>569</v>
      </c>
      <c r="B738" s="0" t="s">
        <v>553</v>
      </c>
      <c r="D738" s="13" t="n">
        <f aca="false">a26_sys/1000*(1-cn_sh26)*(1-log_sh26)</f>
        <v>11.6901149028078</v>
      </c>
      <c r="E738" s="13" t="n">
        <f aca="false">$D738*E734*E735</f>
        <v>16.1984595277919</v>
      </c>
      <c r="F738" s="13" t="n">
        <f aca="false">$D738*F734*F735</f>
        <v>18.6984608983954</v>
      </c>
      <c r="G738" s="13" t="n">
        <f aca="false">$D738*G734*G735</f>
        <v>20.1047459941188</v>
      </c>
    </row>
    <row r="739" customFormat="false" ht="17.15" hidden="false" customHeight="false" outlineLevel="0" collapsed="false">
      <c r="A739" s="5" t="s">
        <v>570</v>
      </c>
      <c r="B739" s="0" t="s">
        <v>553</v>
      </c>
      <c r="D739" s="13" t="n">
        <f aca="false">a26_sys/1000*cn_sh26</f>
        <v>6.44348</v>
      </c>
      <c r="E739" s="13" t="n">
        <f aca="false">D739*(1+g_cn_A)</f>
        <v>6.44348</v>
      </c>
      <c r="F739" s="13" t="n">
        <f aca="false">E739*(1+g_cn_A)</f>
        <v>6.44348</v>
      </c>
      <c r="G739" s="13" t="n">
        <f aca="false">F739*(1+g_cn_A)</f>
        <v>6.44348</v>
      </c>
      <c r="H739" s="8" t="s">
        <v>571</v>
      </c>
    </row>
    <row r="740" customFormat="false" ht="15" hidden="false" customHeight="false" outlineLevel="0" collapsed="false">
      <c r="A740" s="5" t="s">
        <v>572</v>
      </c>
      <c r="B740" s="0" t="s">
        <v>553</v>
      </c>
      <c r="D740" s="13" t="n">
        <f aca="false">D737+D738+D739</f>
        <v>32.2174</v>
      </c>
      <c r="E740" s="13" t="n">
        <f aca="false">E737+E738+E739</f>
        <v>39.4419094077512</v>
      </c>
      <c r="F740" s="13" t="n">
        <f aca="false">F737+F738+F739</f>
        <v>44.6253702003281</v>
      </c>
      <c r="G740" s="13" t="n">
        <f aca="false">G737+G738+G739</f>
        <v>47.9581726323786</v>
      </c>
    </row>
    <row r="741" customFormat="false" ht="17.15" hidden="false" customHeight="false" outlineLevel="0" collapsed="false">
      <c r="A741" s="5" t="s">
        <v>573</v>
      </c>
      <c r="B741" s="0" t="s">
        <v>553</v>
      </c>
      <c r="D741" s="13" t="n">
        <f aca="false">a26_sys/1000</f>
        <v>32.2174</v>
      </c>
      <c r="E741" s="13" t="n">
        <f aca="false">$D741*(1+cap_27)*E735</f>
        <v>43.1390986</v>
      </c>
      <c r="F741" s="13" t="n">
        <f aca="false">$D741*(1+cap_27)*(1+cap_28)*F735</f>
        <v>51.0982622917</v>
      </c>
      <c r="G741" s="13" t="n">
        <f aca="false">$D741*(1+cap_27)*(1+cap_28)*(1+cap_29)*G735</f>
        <v>57.8943311764961</v>
      </c>
      <c r="H741" s="5" t="s">
        <v>574</v>
      </c>
    </row>
    <row r="742" customFormat="false" ht="17.15" hidden="false" customHeight="false" outlineLevel="0" collapsed="false">
      <c r="A742" s="5" t="s">
        <v>575</v>
      </c>
      <c r="B742" s="0" t="s">
        <v>553</v>
      </c>
      <c r="C742" s="13" t="n">
        <f aca="false">a25_sys/1000</f>
        <v>24.4743</v>
      </c>
      <c r="D742" s="13" t="n">
        <f aca="false">a26_sys/1000</f>
        <v>32.2174</v>
      </c>
      <c r="E742" s="13" t="n">
        <f aca="false">MIN(E740,E741)</f>
        <v>39.4419094077512</v>
      </c>
      <c r="F742" s="13" t="n">
        <f aca="false">MIN(F740,F741)</f>
        <v>44.6253702003281</v>
      </c>
      <c r="G742" s="13" t="n">
        <f aca="false">MIN(G740,G741)</f>
        <v>47.9581726323786</v>
      </c>
    </row>
    <row r="743" customFormat="false" ht="17.15" hidden="false" customHeight="false" outlineLevel="0" collapsed="false">
      <c r="A743" s="5" t="s">
        <v>576</v>
      </c>
      <c r="E743" s="20" t="n">
        <f aca="false">IF(E740&gt;E741,1,0)</f>
        <v>0</v>
      </c>
      <c r="F743" s="20" t="n">
        <f aca="false">IF(F740&gt;F741,1,0)</f>
        <v>0</v>
      </c>
      <c r="G743" s="20" t="n">
        <f aca="false">IF(G740&gt;G741,1,0)</f>
        <v>0</v>
      </c>
    </row>
    <row r="744" customFormat="false" ht="15" hidden="false" customHeight="false" outlineLevel="0" collapsed="false">
      <c r="A744" s="5" t="s">
        <v>577</v>
      </c>
      <c r="B744" s="0" t="s">
        <v>231</v>
      </c>
      <c r="D744" s="10" t="n">
        <f aca="false">D739/D740</f>
        <v>0.2</v>
      </c>
      <c r="E744" s="10" t="n">
        <f aca="false">E739/E740</f>
        <v>0.163366330300777</v>
      </c>
      <c r="F744" s="10" t="n">
        <f aca="false">F739/F740</f>
        <v>0.144390510847854</v>
      </c>
      <c r="G744" s="10" t="n">
        <f aca="false">G739/G740</f>
        <v>0.134356245167893</v>
      </c>
      <c r="H744" s="5" t="s">
        <v>578</v>
      </c>
    </row>
    <row r="745" customFormat="false" ht="17.15" hidden="false" customHeight="false" outlineLevel="0" collapsed="false">
      <c r="A745" s="5" t="s">
        <v>579</v>
      </c>
      <c r="B745" s="0" t="s">
        <v>553</v>
      </c>
      <c r="C745" s="13" t="n">
        <f aca="false">a25_ibm/1000</f>
        <v>8.193</v>
      </c>
      <c r="D745" s="13" t="n">
        <f aca="false">a26_ibm/1000</f>
        <v>12.238</v>
      </c>
      <c r="E745" s="13" t="n">
        <f aca="false">D745*(1+g_ibm_A)</f>
        <v>13.70656</v>
      </c>
      <c r="F745" s="13" t="n">
        <f aca="false">E745*(1+g_ibm_A)</f>
        <v>15.3513472</v>
      </c>
      <c r="G745" s="13" t="n">
        <f aca="false">F745*(1+g_ibm_A)</f>
        <v>17.193508864</v>
      </c>
    </row>
    <row r="746" customFormat="false" ht="15" hidden="false" customHeight="false" outlineLevel="0" collapsed="false">
      <c r="A746" s="5" t="s">
        <v>481</v>
      </c>
      <c r="B746" s="0" t="s">
        <v>553</v>
      </c>
      <c r="C746" s="13" t="n">
        <f aca="false">C742+C745</f>
        <v>32.6673</v>
      </c>
      <c r="D746" s="13" t="n">
        <f aca="false">D742+D745</f>
        <v>44.4554</v>
      </c>
      <c r="E746" s="13" t="n">
        <f aca="false">E742+E745</f>
        <v>53.1484694077512</v>
      </c>
      <c r="F746" s="13" t="n">
        <f aca="false">F742+F745</f>
        <v>59.9767174003281</v>
      </c>
      <c r="G746" s="13" t="n">
        <f aca="false">G742+G745</f>
        <v>65.1516814963786</v>
      </c>
    </row>
    <row r="747" customFormat="false" ht="15" hidden="false" customHeight="false" outlineLevel="0" collapsed="false">
      <c r="A747" s="5" t="s">
        <v>580</v>
      </c>
      <c r="B747" s="0" t="s">
        <v>231</v>
      </c>
      <c r="D747" s="10" t="n">
        <f aca="false">D746/C746-1</f>
        <v>0.360853207948009</v>
      </c>
      <c r="E747" s="10" t="n">
        <f aca="false">E746/D746-1</f>
        <v>0.195545859620006</v>
      </c>
      <c r="F747" s="10" t="n">
        <f aca="false">F746/E746-1</f>
        <v>0.128474969621253</v>
      </c>
      <c r="G747" s="10" t="n">
        <f aca="false">G746/F746-1</f>
        <v>0.0862828830979356</v>
      </c>
    </row>
    <row r="748" customFormat="false" ht="17.15" hidden="false" customHeight="false" outlineLevel="0" collapsed="false">
      <c r="A748" s="1" t="s">
        <v>581</v>
      </c>
    </row>
    <row r="749" customFormat="false" ht="17.15" hidden="false" customHeight="false" outlineLevel="0" collapsed="false">
      <c r="A749" s="5" t="s">
        <v>486</v>
      </c>
      <c r="B749" s="0" t="s">
        <v>231</v>
      </c>
      <c r="C749" s="10" t="n">
        <f aca="false">a25_gp/a25_rev</f>
        <v>0.528298941142978</v>
      </c>
      <c r="D749" s="10" t="n">
        <f aca="false">a26_gp/a26_rev</f>
        <v>0.556944713128214</v>
      </c>
      <c r="E749" s="10" t="n">
        <f aca="false">$D749+gm_b*LN(E746/$D746)</f>
        <v>0.573549776576898</v>
      </c>
      <c r="F749" s="10" t="n">
        <f aca="false">$D749+gm_b*LN(F746/$D746)</f>
        <v>0.584787034438446</v>
      </c>
      <c r="G749" s="10" t="n">
        <f aca="false">$D749+gm_b*LN(G746/$D746)</f>
        <v>0.592481551270315</v>
      </c>
      <c r="H749" s="8" t="s">
        <v>582</v>
      </c>
    </row>
    <row r="750" customFormat="false" ht="15" hidden="false" customHeight="false" outlineLevel="0" collapsed="false">
      <c r="A750" s="5" t="s">
        <v>484</v>
      </c>
      <c r="B750" s="0" t="s">
        <v>553</v>
      </c>
      <c r="C750" s="13" t="n">
        <f aca="false">C746*C749</f>
        <v>17.2581</v>
      </c>
      <c r="D750" s="13" t="n">
        <f aca="false">D746*D749</f>
        <v>24.7592</v>
      </c>
      <c r="E750" s="13" t="n">
        <f aca="false">E746*E749</f>
        <v>30.4832927542198</v>
      </c>
      <c r="F750" s="13" t="n">
        <f aca="false">F746*F749</f>
        <v>35.0736067038906</v>
      </c>
      <c r="G750" s="13" t="n">
        <f aca="false">G746*G749</f>
        <v>38.6011693208438</v>
      </c>
    </row>
    <row r="751" customFormat="false" ht="17.15" hidden="false" customHeight="false" outlineLevel="0" collapsed="false">
      <c r="A751" s="5" t="s">
        <v>583</v>
      </c>
      <c r="B751" s="0" t="s">
        <v>553</v>
      </c>
      <c r="C751" s="13" t="n">
        <f aca="false">opex25/1000</f>
        <v>5.9565</v>
      </c>
      <c r="D751" s="13" t="n">
        <f aca="false">opex26/1000</f>
        <v>6.1935</v>
      </c>
      <c r="E751" s="13" t="n">
        <f aca="false">$D751*((1-phi)+phi*E746/$D746)</f>
        <v>6.36827434443524</v>
      </c>
      <c r="F751" s="13" t="n">
        <f aca="false">$D751*((1-phi)+phi*F746/$D746)</f>
        <v>6.50555641484869</v>
      </c>
      <c r="G751" s="13" t="n">
        <f aca="false">$D751*((1-phi)+phi*G746/$D746)</f>
        <v>6.60959917753003</v>
      </c>
      <c r="H751" s="8" t="s">
        <v>584</v>
      </c>
    </row>
    <row r="752" customFormat="false" ht="15" hidden="false" customHeight="false" outlineLevel="0" collapsed="false">
      <c r="A752" s="5" t="s">
        <v>490</v>
      </c>
      <c r="B752" s="0" t="s">
        <v>553</v>
      </c>
      <c r="C752" s="13" t="n">
        <f aca="false">C750-C751</f>
        <v>11.3016</v>
      </c>
      <c r="D752" s="13" t="n">
        <f aca="false">D750-D751</f>
        <v>18.5657</v>
      </c>
      <c r="E752" s="13" t="n">
        <f aca="false">E750-E751</f>
        <v>24.1150184097846</v>
      </c>
      <c r="F752" s="13" t="n">
        <f aca="false">F750-F751</f>
        <v>28.5680502890419</v>
      </c>
      <c r="G752" s="13" t="n">
        <f aca="false">G750-G751</f>
        <v>31.9915701433138</v>
      </c>
    </row>
    <row r="753" customFormat="false" ht="15" hidden="false" customHeight="false" outlineLevel="0" collapsed="false">
      <c r="A753" s="5" t="s">
        <v>557</v>
      </c>
      <c r="B753" s="0" t="s">
        <v>231</v>
      </c>
      <c r="C753" s="10" t="n">
        <f aca="false">C752/C746</f>
        <v>0.345960639538621</v>
      </c>
      <c r="D753" s="10" t="n">
        <f aca="false">D752/D746</f>
        <v>0.417625305362228</v>
      </c>
      <c r="E753" s="10" t="n">
        <f aca="false">E752/E746</f>
        <v>0.453729311088451</v>
      </c>
      <c r="F753" s="10" t="n">
        <f aca="false">F752/F746</f>
        <v>0.476319003895429</v>
      </c>
      <c r="G753" s="10" t="n">
        <f aca="false">G752/G746</f>
        <v>0.491032148496306</v>
      </c>
    </row>
    <row r="754" customFormat="false" ht="17.15" hidden="false" customHeight="false" outlineLevel="0" collapsed="false">
      <c r="A754" s="5" t="s">
        <v>498</v>
      </c>
      <c r="B754" s="0" t="s">
        <v>553</v>
      </c>
      <c r="C754" s="13" t="n">
        <f aca="false">a25_ni/1000</f>
        <v>9.6094</v>
      </c>
      <c r="D754" s="13" t="n">
        <f aca="false">a26_ni/1000</f>
        <v>16.3986734727826</v>
      </c>
      <c r="E754" s="13" t="n">
        <f aca="false">E752*nioi</f>
        <v>20.5042523100255</v>
      </c>
      <c r="F754" s="13" t="n">
        <f aca="false">F752*nioi</f>
        <v>24.2905272215898</v>
      </c>
      <c r="G754" s="13" t="n">
        <f aca="false">G752*nioi</f>
        <v>27.2014399850605</v>
      </c>
      <c r="H754" s="8" t="s">
        <v>585</v>
      </c>
    </row>
    <row r="755" customFormat="false" ht="15" hidden="false" customHeight="false" outlineLevel="0" collapsed="false">
      <c r="A755" s="5" t="s">
        <v>586</v>
      </c>
      <c r="B755" s="5" t="s">
        <v>267</v>
      </c>
      <c r="C755" s="16" t="n">
        <f aca="false">a25_shr</f>
        <v>388.572583906187</v>
      </c>
      <c r="D755" s="16" t="n">
        <f aca="false">a26_shr</f>
        <v>383.625</v>
      </c>
      <c r="E755" s="16" t="n">
        <f aca="false">sh_q4*(1-bb_hi)^1</f>
        <v>373.87</v>
      </c>
      <c r="F755" s="16" t="n">
        <f aca="false">sh_q4*(1-bb_hi)^2</f>
        <v>366.3926</v>
      </c>
      <c r="G755" s="16" t="n">
        <f aca="false">sh_q4*(1-bb_hi)^3</f>
        <v>359.064748</v>
      </c>
    </row>
    <row r="756" customFormat="false" ht="17.15" hidden="false" customHeight="false" outlineLevel="0" collapsed="false">
      <c r="A756" s="0" t="s">
        <v>587</v>
      </c>
      <c r="B756" s="0" t="s">
        <v>392</v>
      </c>
      <c r="C756" s="13" t="n">
        <f aca="false">a25_eps</f>
        <v>24.73</v>
      </c>
      <c r="D756" s="13" t="n">
        <f aca="false">a26_eps</f>
        <v>42.7466235849661</v>
      </c>
      <c r="E756" s="13" t="n">
        <f aca="false">E754*1000/E755</f>
        <v>54.8432672052465</v>
      </c>
      <c r="F756" s="13" t="n">
        <f aca="false">F754*1000/F755</f>
        <v>66.2964460024297</v>
      </c>
      <c r="G756" s="13" t="n">
        <f aca="false">G754*1000/G755</f>
        <v>75.7563646572749</v>
      </c>
    </row>
    <row r="757" customFormat="false" ht="17.15" hidden="false" customHeight="false" outlineLevel="0" collapsed="false">
      <c r="A757" s="1" t="s">
        <v>588</v>
      </c>
    </row>
    <row r="758" customFormat="false" ht="17.15" hidden="false" customHeight="false" outlineLevel="0" collapsed="false">
      <c r="A758" s="0" t="s">
        <v>514</v>
      </c>
      <c r="B758" s="0" t="s">
        <v>553</v>
      </c>
      <c r="C758" s="13" t="n">
        <f aca="false">a25_euv/1000</f>
        <v>11.6</v>
      </c>
      <c r="D758" s="13" t="n">
        <f aca="false">a26_euv/1000</f>
        <v>16.82</v>
      </c>
      <c r="E758" s="13" t="n">
        <f aca="false">E742*euv_sh_27</f>
        <v>21.6930501742632</v>
      </c>
      <c r="F758" s="13" t="n">
        <f aca="false">F742*euv_sh_28</f>
        <v>25.436461014187</v>
      </c>
      <c r="G758" s="13" t="n">
        <f aca="false">G742*euv_sh_29</f>
        <v>27.8157401267796</v>
      </c>
    </row>
    <row r="759" customFormat="false" ht="17.15" hidden="false" customHeight="false" outlineLevel="0" collapsed="false">
      <c r="A759" s="5" t="s">
        <v>589</v>
      </c>
      <c r="B759" s="5" t="s">
        <v>362</v>
      </c>
      <c r="E759" s="20" t="n">
        <f aca="false">(E758*1000-hna_n_27*hna_asp)/lna_asp</f>
        <v>85.8775007921053</v>
      </c>
      <c r="F759" s="20" t="n">
        <f aca="false">(F758*1000-hna_n_28*hna_asp)/lna_asp</f>
        <v>96.5293682463047</v>
      </c>
      <c r="G759" s="20" t="n">
        <f aca="false">(G758*1000-hna_n_29*hna_asp)/lna_asp</f>
        <v>102.571546030816</v>
      </c>
    </row>
    <row r="760" customFormat="false" ht="15" hidden="false" customHeight="false" outlineLevel="0" collapsed="false">
      <c r="A760" s="5" t="s">
        <v>590</v>
      </c>
      <c r="B760" s="0" t="s">
        <v>27</v>
      </c>
      <c r="C760" s="21" t="n">
        <f aca="false">C742*fx_25</f>
        <v>27.655959</v>
      </c>
      <c r="D760" s="21" t="n">
        <f aca="false">D742*fx_f</f>
        <v>37.372184</v>
      </c>
      <c r="E760" s="21" t="n">
        <f aca="false">E742*fx_f</f>
        <v>45.7526149129914</v>
      </c>
      <c r="F760" s="21" t="n">
        <f aca="false">F742*fx_f</f>
        <v>51.7654294323806</v>
      </c>
      <c r="G760" s="21" t="n">
        <f aca="false">G742*fx_f</f>
        <v>55.6314802535591</v>
      </c>
    </row>
    <row r="761" customFormat="false" ht="17.15" hidden="false" customHeight="false" outlineLevel="0" collapsed="false">
      <c r="A761" s="0" t="s">
        <v>591</v>
      </c>
      <c r="B761" s="0" t="s">
        <v>231</v>
      </c>
      <c r="C761" s="10" t="n">
        <f aca="false">C760/Units!C7</f>
        <v>0.236584333071578</v>
      </c>
      <c r="D761" s="10" t="n">
        <f aca="false">D760/Units!D7</f>
        <v>0.239324345993695</v>
      </c>
      <c r="E761" s="10" t="n">
        <f aca="false">E760/Units!E7</f>
        <v>0.237311670552754</v>
      </c>
      <c r="F761" s="10" t="n">
        <f aca="false">F760/Units!F7</f>
        <v>0.238959320909658</v>
      </c>
      <c r="G761" s="10" t="n">
        <f aca="false">G760/Units!G7</f>
        <v>0.243034445014329</v>
      </c>
      <c r="H761" s="5" t="s">
        <v>592</v>
      </c>
    </row>
    <row r="764" customFormat="false" ht="17.15" hidden="false" customHeight="false" outlineLevel="0" collapsed="false">
      <c r="A764" s="3" t="s">
        <v>884</v>
      </c>
    </row>
    <row r="765" customFormat="false" ht="17.15" hidden="false" customHeight="false" outlineLevel="0" collapsed="false">
      <c r="A765" s="6" t="s">
        <v>825</v>
      </c>
      <c r="B765" s="6" t="s">
        <v>826</v>
      </c>
      <c r="C765" s="14" t="s">
        <v>885</v>
      </c>
      <c r="D765" s="14" t="s">
        <v>886</v>
      </c>
      <c r="E765" s="6" t="s">
        <v>887</v>
      </c>
      <c r="F765" s="6" t="s">
        <v>829</v>
      </c>
    </row>
    <row r="766" customFormat="false" ht="17.15" hidden="false" customHeight="false" outlineLevel="0" collapsed="false">
      <c r="A766" s="5" t="s">
        <v>19</v>
      </c>
      <c r="B766" s="0" t="s">
        <v>888</v>
      </c>
      <c r="C766" s="13" t="n">
        <f aca="false">(tp_wA*(Val!B84*(1-MIN(tp_g/tp_roe,0.8))/(1+tp_r)^1+Val!B85*(1-MIN(tp_g/tp_roe,0.8))/(1+tp_r)^2+Val!B86*(1-MIN(tp_g/tp_roe,0.8))/(1+tp_r)^3+Val!B87*(1-MIN(tp_g/tp_roe,0.8))/(1+tp_r)^4+Val!B88*(1-MIN(tp_g/tp_roe,0.8))/(1+tp_r)^5+Val!B89*(1-MIN(tp_g/tp_roe,0.8))/(1+tp_r)^6+Val!B89*(1-MIN(tp_g/tp_roe,0.8))*(1+tp_g)/(tp_r-tp_g)/(1+tp_r)^6)+tp_wB*(Val!C84*(1-MIN(tp_g/tp_roe,0.8))/(1+tp_r)^1+Val!C85*(1-MIN(tp_g/tp_roe,0.8))/(1+tp_r)^2+Val!C86*(1-MIN(tp_g/tp_roe,0.8))/(1+tp_r)^3+Val!C87*(1-MIN(tp_g/tp_roe,0.8))/(1+tp_r)^4+Val!C88*(1-MIN(tp_g/tp_roe,0.8))/(1+tp_r)^5+Val!C89*(1-MIN(tp_g/tp_roe,0.8))/(1+tp_r)^6+Val!C89*(1-MIN(tp_g/tp_roe,0.8))*(1+tp_g)/(tp_r-tp_g)/(1+tp_r)^6)+tp_wC*(Val!D84*(1-MIN(tp_g/tp_roe,0.8))/(1+tp_r)^1+Val!D85*(1-MIN(tp_g/tp_roe,0.8))/(1+tp_r)^2+Val!D86*(1-MIN(tp_g/tp_roe,0.8))/(1+tp_r)^3+Val!D87*(1-MIN(tp_g/tp_roe,0.8))/(1+tp_r)^4+Val!D88*(1-MIN(tp_g/tp_roe,0.8))/(1+tp_r)^5+Val!D89*(1-MIN(tp_g/tp_roe,0.8))/(1+tp_r)^6+Val!D89*(1-MIN(tp_g/tp_roe,0.8))*(1+tp_g)/(tp_r-tp_g)/(1+tp_r)^6))*(1+tp_r)</f>
        <v>836.822198366269</v>
      </c>
      <c r="D766" s="13" t="n">
        <f aca="false">Val!B111</f>
        <v>1416.16453860596</v>
      </c>
      <c r="E766" s="13" t="n">
        <f aca="false">tp_w_dcf*C766+(1-tp_w_dcf)*D766</f>
        <v>1126.49336848612</v>
      </c>
      <c r="F766" s="10" t="n">
        <f aca="false">E766/E$766-1</f>
        <v>0</v>
      </c>
    </row>
    <row r="767" customFormat="false" ht="17.15" hidden="false" customHeight="false" outlineLevel="0" collapsed="false">
      <c r="A767" s="5" t="s">
        <v>889</v>
      </c>
      <c r="B767" s="0" t="s">
        <v>890</v>
      </c>
      <c r="C767" s="13" t="n">
        <f aca="false">(tp_wA*(Val!B84*(1-MIN(tp_g/tp_roe,0.8))/(1+(tp_r+0.01))^1+Val!B85*(1-MIN(tp_g/tp_roe,0.8))/(1+(tp_r+0.01))^2+Val!B86*(1-MIN(tp_g/tp_roe,0.8))/(1+(tp_r+0.01))^3+Val!B87*(1-MIN(tp_g/tp_roe,0.8))/(1+(tp_r+0.01))^4+Val!B88*(1-MIN(tp_g/tp_roe,0.8))/(1+(tp_r+0.01))^5+Val!B89*(1-MIN(tp_g/tp_roe,0.8))/(1+(tp_r+0.01))^6+Val!B89*(1-MIN(tp_g/tp_roe,0.8))*(1+tp_g)/((tp_r+0.01)-tp_g)/(1+(tp_r+0.01))^6)+tp_wB*(Val!C84*(1-MIN(tp_g/tp_roe,0.8))/(1+(tp_r+0.01))^1+Val!C85*(1-MIN(tp_g/tp_roe,0.8))/(1+(tp_r+0.01))^2+Val!C86*(1-MIN(tp_g/tp_roe,0.8))/(1+(tp_r+0.01))^3+Val!C87*(1-MIN(tp_g/tp_roe,0.8))/(1+(tp_r+0.01))^4+Val!C88*(1-MIN(tp_g/tp_roe,0.8))/(1+(tp_r+0.01))^5+Val!C89*(1-MIN(tp_g/tp_roe,0.8))/(1+(tp_r+0.01))^6+Val!C89*(1-MIN(tp_g/tp_roe,0.8))*(1+tp_g)/((tp_r+0.01)-tp_g)/(1+(tp_r+0.01))^6)+tp_wC*(Val!D84*(1-MIN(tp_g/tp_roe,0.8))/(1+(tp_r+0.01))^1+Val!D85*(1-MIN(tp_g/tp_roe,0.8))/(1+(tp_r+0.01))^2+Val!D86*(1-MIN(tp_g/tp_roe,0.8))/(1+(tp_r+0.01))^3+Val!D87*(1-MIN(tp_g/tp_roe,0.8))/(1+(tp_r+0.01))^4+Val!D88*(1-MIN(tp_g/tp_roe,0.8))/(1+(tp_r+0.01))^5+Val!D89*(1-MIN(tp_g/tp_roe,0.8))/(1+(tp_r+0.01))^6+Val!D89*(1-MIN(tp_g/tp_roe,0.8))*(1+tp_g)/((tp_r+0.01)-tp_g)/(1+(tp_r+0.01))^6))*(1+(tp_r+0.01))</f>
        <v>725.939722353963</v>
      </c>
      <c r="D767" s="13" t="n">
        <f aca="false">Val!B111</f>
        <v>1416.16453860596</v>
      </c>
      <c r="E767" s="13" t="n">
        <f aca="false">tp_w_dcf*C767+(1-tp_w_dcf)*D767</f>
        <v>1071.05213047996</v>
      </c>
      <c r="F767" s="10" t="n">
        <f aca="false">E767/E$766-1</f>
        <v>-0.0492157695350306</v>
      </c>
    </row>
    <row r="768" customFormat="false" ht="17.15" hidden="false" customHeight="false" outlineLevel="0" collapsed="false">
      <c r="A768" s="5" t="s">
        <v>891</v>
      </c>
      <c r="B768" s="0" t="s">
        <v>892</v>
      </c>
      <c r="C768" s="13" t="n">
        <f aca="false">(tp_wA*(Val!B84*(1-MIN(tp_g/tp_roe,0.8))/(1+(tp_r-0.01))^1+Val!B85*(1-MIN(tp_g/tp_roe,0.8))/(1+(tp_r-0.01))^2+Val!B86*(1-MIN(tp_g/tp_roe,0.8))/(1+(tp_r-0.01))^3+Val!B87*(1-MIN(tp_g/tp_roe,0.8))/(1+(tp_r-0.01))^4+Val!B88*(1-MIN(tp_g/tp_roe,0.8))/(1+(tp_r-0.01))^5+Val!B89*(1-MIN(tp_g/tp_roe,0.8))/(1+(tp_r-0.01))^6+Val!B89*(1-MIN(tp_g/tp_roe,0.8))*(1+tp_g)/((tp_r-0.01)-tp_g)/(1+(tp_r-0.01))^6)+tp_wB*(Val!C84*(1-MIN(tp_g/tp_roe,0.8))/(1+(tp_r-0.01))^1+Val!C85*(1-MIN(tp_g/tp_roe,0.8))/(1+(tp_r-0.01))^2+Val!C86*(1-MIN(tp_g/tp_roe,0.8))/(1+(tp_r-0.01))^3+Val!C87*(1-MIN(tp_g/tp_roe,0.8))/(1+(tp_r-0.01))^4+Val!C88*(1-MIN(tp_g/tp_roe,0.8))/(1+(tp_r-0.01))^5+Val!C89*(1-MIN(tp_g/tp_roe,0.8))/(1+(tp_r-0.01))^6+Val!C89*(1-MIN(tp_g/tp_roe,0.8))*(1+tp_g)/((tp_r-0.01)-tp_g)/(1+(tp_r-0.01))^6)+tp_wC*(Val!D84*(1-MIN(tp_g/tp_roe,0.8))/(1+(tp_r-0.01))^1+Val!D85*(1-MIN(tp_g/tp_roe,0.8))/(1+(tp_r-0.01))^2+Val!D86*(1-MIN(tp_g/tp_roe,0.8))/(1+(tp_r-0.01))^3+Val!D87*(1-MIN(tp_g/tp_roe,0.8))/(1+(tp_r-0.01))^4+Val!D88*(1-MIN(tp_g/tp_roe,0.8))/(1+(tp_r-0.01))^5+Val!D89*(1-MIN(tp_g/tp_roe,0.8))/(1+(tp_r-0.01))^6+Val!D89*(1-MIN(tp_g/tp_roe,0.8))*(1+tp_g)/((tp_r-0.01)-tp_g)/(1+(tp_r-0.01))^6))*(1+(tp_r-0.01))</f>
        <v>991.966467255507</v>
      </c>
      <c r="D768" s="13" t="n">
        <f aca="false">Val!B111</f>
        <v>1416.16453860596</v>
      </c>
      <c r="E768" s="13" t="n">
        <f aca="false">tp_w_dcf*C768+(1-tp_w_dcf)*D768</f>
        <v>1204.06550293074</v>
      </c>
      <c r="F768" s="10" t="n">
        <f aca="false">E768/E$766-1</f>
        <v>0.0688615988471082</v>
      </c>
    </row>
    <row r="769" customFormat="false" ht="17.15" hidden="false" customHeight="false" outlineLevel="0" collapsed="false">
      <c r="A769" s="5" t="s">
        <v>893</v>
      </c>
      <c r="B769" s="0" t="s">
        <v>894</v>
      </c>
      <c r="C769" s="13" t="n">
        <f aca="false">(tp_wA*(Val!B84*(1-MIN((tp_g+0.01)/tp_roe,0.8))/(1+tp_r)^1+Val!B85*(1-MIN((tp_g+0.01)/tp_roe,0.8))/(1+tp_r)^2+Val!B86*(1-MIN((tp_g+0.01)/tp_roe,0.8))/(1+tp_r)^3+Val!B87*(1-MIN((tp_g+0.01)/tp_roe,0.8))/(1+tp_r)^4+Val!B88*(1-MIN((tp_g+0.01)/tp_roe,0.8))/(1+tp_r)^5+Val!B89*(1-MIN((tp_g+0.01)/tp_roe,0.8))/(1+tp_r)^6+Val!B89*(1-MIN((tp_g+0.01)/tp_roe,0.8))*(1+(tp_g+0.01))/(tp_r-(tp_g+0.01))/(1+tp_r)^6)+tp_wB*(Val!C84*(1-MIN((tp_g+0.01)/tp_roe,0.8))/(1+tp_r)^1+Val!C85*(1-MIN((tp_g+0.01)/tp_roe,0.8))/(1+tp_r)^2+Val!C86*(1-MIN((tp_g+0.01)/tp_roe,0.8))/(1+tp_r)^3+Val!C87*(1-MIN((tp_g+0.01)/tp_roe,0.8))/(1+tp_r)^4+Val!C88*(1-MIN((tp_g+0.01)/tp_roe,0.8))/(1+tp_r)^5+Val!C89*(1-MIN((tp_g+0.01)/tp_roe,0.8))/(1+tp_r)^6+Val!C89*(1-MIN((tp_g+0.01)/tp_roe,0.8))*(1+(tp_g+0.01))/(tp_r-(tp_g+0.01))/(1+tp_r)^6)+tp_wC*(Val!D84*(1-MIN((tp_g+0.01)/tp_roe,0.8))/(1+tp_r)^1+Val!D85*(1-MIN((tp_g+0.01)/tp_roe,0.8))/(1+tp_r)^2+Val!D86*(1-MIN((tp_g+0.01)/tp_roe,0.8))/(1+tp_r)^3+Val!D87*(1-MIN((tp_g+0.01)/tp_roe,0.8))/(1+tp_r)^4+Val!D88*(1-MIN((tp_g+0.01)/tp_roe,0.8))/(1+tp_r)^5+Val!D89*(1-MIN((tp_g+0.01)/tp_roe,0.8))/(1+tp_r)^6+Val!D89*(1-MIN((tp_g+0.01)/tp_roe,0.8))*(1+(tp_g+0.01))/(tp_r-(tp_g+0.01))/(1+tp_r)^6))*(1+tp_r)</f>
        <v>942.146247147037</v>
      </c>
      <c r="D769" s="13" t="n">
        <f aca="false">Val!B111</f>
        <v>1416.16453860596</v>
      </c>
      <c r="E769" s="13" t="n">
        <f aca="false">tp_w_dcf*C769+(1-tp_w_dcf)*D769</f>
        <v>1179.1553928765</v>
      </c>
      <c r="F769" s="10" t="n">
        <f aca="false">E769/E$766-1</f>
        <v>0.0467486324053159</v>
      </c>
    </row>
    <row r="770" customFormat="false" ht="17.15" hidden="false" customHeight="false" outlineLevel="0" collapsed="false">
      <c r="A770" s="5" t="s">
        <v>895</v>
      </c>
      <c r="B770" s="0" t="s">
        <v>896</v>
      </c>
      <c r="C770" s="13" t="n">
        <f aca="false">(tp_wA*(Val!B84*(1-MIN((tp_g-0.01)/tp_roe,0.8))/(1+tp_r)^1+Val!B85*(1-MIN((tp_g-0.01)/tp_roe,0.8))/(1+tp_r)^2+Val!B86*(1-MIN((tp_g-0.01)/tp_roe,0.8))/(1+tp_r)^3+Val!B87*(1-MIN((tp_g-0.01)/tp_roe,0.8))/(1+tp_r)^4+Val!B88*(1-MIN((tp_g-0.01)/tp_roe,0.8))/(1+tp_r)^5+Val!B89*(1-MIN((tp_g-0.01)/tp_roe,0.8))/(1+tp_r)^6+Val!B89*(1-MIN((tp_g-0.01)/tp_roe,0.8))*(1+(tp_g-0.01))/(tp_r-(tp_g-0.01))/(1+tp_r)^6)+tp_wB*(Val!C84*(1-MIN((tp_g-0.01)/tp_roe,0.8))/(1+tp_r)^1+Val!C85*(1-MIN((tp_g-0.01)/tp_roe,0.8))/(1+tp_r)^2+Val!C86*(1-MIN((tp_g-0.01)/tp_roe,0.8))/(1+tp_r)^3+Val!C87*(1-MIN((tp_g-0.01)/tp_roe,0.8))/(1+tp_r)^4+Val!C88*(1-MIN((tp_g-0.01)/tp_roe,0.8))/(1+tp_r)^5+Val!C89*(1-MIN((tp_g-0.01)/tp_roe,0.8))/(1+tp_r)^6+Val!C89*(1-MIN((tp_g-0.01)/tp_roe,0.8))*(1+(tp_g-0.01))/(tp_r-(tp_g-0.01))/(1+tp_r)^6)+tp_wC*(Val!D84*(1-MIN((tp_g-0.01)/tp_roe,0.8))/(1+tp_r)^1+Val!D85*(1-MIN((tp_g-0.01)/tp_roe,0.8))/(1+tp_r)^2+Val!D86*(1-MIN((tp_g-0.01)/tp_roe,0.8))/(1+tp_r)^3+Val!D87*(1-MIN((tp_g-0.01)/tp_roe,0.8))/(1+tp_r)^4+Val!D88*(1-MIN((tp_g-0.01)/tp_roe,0.8))/(1+tp_r)^5+Val!D89*(1-MIN((tp_g-0.01)/tp_roe,0.8))/(1+tp_r)^6+Val!D89*(1-MIN((tp_g-0.01)/tp_roe,0.8))*(1+(tp_g-0.01))/(tp_r-(tp_g-0.01))/(1+tp_r)^6))*(1+tp_r)</f>
        <v>762.786279224965</v>
      </c>
      <c r="D770" s="13" t="n">
        <f aca="false">Val!B111</f>
        <v>1416.16453860596</v>
      </c>
      <c r="E770" s="13" t="n">
        <f aca="false">tp_w_dcf*C770+(1-tp_w_dcf)*D770</f>
        <v>1089.47540891546</v>
      </c>
      <c r="F770" s="10" t="n">
        <f aca="false">E770/E$766-1</f>
        <v>-0.0328612316825268</v>
      </c>
    </row>
    <row r="771" customFormat="false" ht="17.15" hidden="false" customHeight="false" outlineLevel="0" collapsed="false">
      <c r="A771" s="0" t="s">
        <v>897</v>
      </c>
      <c r="B771" s="0" t="s">
        <v>898</v>
      </c>
      <c r="C771" s="13" t="n">
        <f aca="false">(tp_wA*(Val!B84*(1-MIN(tp_g/tp_roe,0.8))/(1+tp_r)^1+Val!B85*(1-MIN(tp_g/tp_roe,0.8))/(1+tp_r)^2+Val!B86*(1-MIN(tp_g/tp_roe,0.8))/(1+tp_r)^3+Val!B87*(1-MIN(tp_g/tp_roe,0.8))/(1+tp_r)^4+Val!B88*(1-MIN(tp_g/tp_roe,0.8))/(1+tp_r)^5+Val!B89*(1-MIN(tp_g/tp_roe,0.8))/(1+tp_r)^6+Val!B89*(1-MIN(tp_g/tp_roe,0.8))*(1+tp_g)/(tp_r-tp_g)/(1+tp_r)^6)+tp_wB*(Val!C84*(1-MIN(tp_g/tp_roe,0.8))/(1+tp_r)^1+Val!C85*(1-MIN(tp_g/tp_roe,0.8))/(1+tp_r)^2+Val!C86*(1-MIN(tp_g/tp_roe,0.8))/(1+tp_r)^3+Val!C87*(1-MIN(tp_g/tp_roe,0.8))/(1+tp_r)^4+Val!C88*(1-MIN(tp_g/tp_roe,0.8))/(1+tp_r)^5+Val!C89*(1-MIN(tp_g/tp_roe,0.8))/(1+tp_r)^6+Val!C89*(1-MIN(tp_g/tp_roe,0.8))*(1+tp_g)/(tp_r-tp_g)/(1+tp_r)^6)+tp_wC*(Val!D84*(1-MIN(tp_g/tp_roe,0.8))/(1+tp_r)^1+Val!D85*(1-MIN(tp_g/tp_roe,0.8))/(1+tp_r)^2+Val!D86*(1-MIN(tp_g/tp_roe,0.8))/(1+tp_r)^3+Val!D87*(1-MIN(tp_g/tp_roe,0.8))/(1+tp_r)^4+Val!D88*(1-MIN(tp_g/tp_roe,0.8))/(1+tp_r)^5+Val!D89*(1-MIN(tp_g/tp_roe,0.8))/(1+tp_r)^6+Val!D89*(1-MIN(tp_g/tp_roe,0.8))*(1+tp_g)/(tp_r-tp_g)/(1+tp_r)^6))*(1+tp_r)</f>
        <v>836.822198366269</v>
      </c>
      <c r="D771" s="13" t="n">
        <f aca="false">Val!B111</f>
        <v>1416.16453860596</v>
      </c>
      <c r="E771" s="13" t="n">
        <f aca="false">0.4*C771+(1-0.4)*D771</f>
        <v>1184.42760251009</v>
      </c>
      <c r="F771" s="10" t="n">
        <f aca="false">E771/E$766-1</f>
        <v>0.0514288282955688</v>
      </c>
    </row>
    <row r="772" customFormat="false" ht="17.15" hidden="false" customHeight="false" outlineLevel="0" collapsed="false">
      <c r="A772" s="0" t="s">
        <v>899</v>
      </c>
      <c r="B772" s="0" t="s">
        <v>900</v>
      </c>
      <c r="C772" s="13" t="n">
        <f aca="false">(tp_wA*(Val!B84*(1-MIN(tp_g/tp_roe,0.8))/(1+tp_r)^1+Val!B85*(1-MIN(tp_g/tp_roe,0.8))/(1+tp_r)^2+Val!B86*(1-MIN(tp_g/tp_roe,0.8))/(1+tp_r)^3+Val!B87*(1-MIN(tp_g/tp_roe,0.8))/(1+tp_r)^4+Val!B88*(1-MIN(tp_g/tp_roe,0.8))/(1+tp_r)^5+Val!B89*(1-MIN(tp_g/tp_roe,0.8))/(1+tp_r)^6+Val!B89*(1-MIN(tp_g/tp_roe,0.8))*(1+tp_g)/(tp_r-tp_g)/(1+tp_r)^6)+tp_wB*(Val!C84*(1-MIN(tp_g/tp_roe,0.8))/(1+tp_r)^1+Val!C85*(1-MIN(tp_g/tp_roe,0.8))/(1+tp_r)^2+Val!C86*(1-MIN(tp_g/tp_roe,0.8))/(1+tp_r)^3+Val!C87*(1-MIN(tp_g/tp_roe,0.8))/(1+tp_r)^4+Val!C88*(1-MIN(tp_g/tp_roe,0.8))/(1+tp_r)^5+Val!C89*(1-MIN(tp_g/tp_roe,0.8))/(1+tp_r)^6+Val!C89*(1-MIN(tp_g/tp_roe,0.8))*(1+tp_g)/(tp_r-tp_g)/(1+tp_r)^6)+tp_wC*(Val!D84*(1-MIN(tp_g/tp_roe,0.8))/(1+tp_r)^1+Val!D85*(1-MIN(tp_g/tp_roe,0.8))/(1+tp_r)^2+Val!D86*(1-MIN(tp_g/tp_roe,0.8))/(1+tp_r)^3+Val!D87*(1-MIN(tp_g/tp_roe,0.8))/(1+tp_r)^4+Val!D88*(1-MIN(tp_g/tp_roe,0.8))/(1+tp_r)^5+Val!D89*(1-MIN(tp_g/tp_roe,0.8))/(1+tp_r)^6+Val!D89*(1-MIN(tp_g/tp_roe,0.8))*(1+tp_g)/(tp_r-tp_g)/(1+tp_r)^6))*(1+tp_r)</f>
        <v>836.822198366269</v>
      </c>
      <c r="D772" s="13" t="n">
        <f aca="false">Val!B111</f>
        <v>1416.16453860596</v>
      </c>
      <c r="E772" s="13" t="n">
        <f aca="false">0.8*C772+(1-0.8)*D772</f>
        <v>952.690666414208</v>
      </c>
      <c r="F772" s="10" t="n">
        <f aca="false">E772/E$766-1</f>
        <v>-0.154286484886707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901</v>
      </c>
    </row>
    <row r="2" customFormat="false" ht="17.15" hidden="false" customHeight="false" outlineLevel="0" collapsed="false">
      <c r="A2" s="5" t="s">
        <v>902</v>
      </c>
      <c r="B2" s="0" t="s">
        <v>903</v>
      </c>
    </row>
    <row r="3" customFormat="false" ht="17.15" hidden="false" customHeight="false" outlineLevel="0" collapsed="false">
      <c r="A3" s="5" t="s">
        <v>904</v>
      </c>
      <c r="B3" s="0" t="s">
        <v>905</v>
      </c>
    </row>
    <row r="4" customFormat="false" ht="17.15" hidden="false" customHeight="false" outlineLevel="0" collapsed="false">
      <c r="A4" s="5" t="s">
        <v>906</v>
      </c>
      <c r="B4" s="0" t="s">
        <v>907</v>
      </c>
    </row>
    <row r="5" customFormat="false" ht="17.15" hidden="false" customHeight="false" outlineLevel="0" collapsed="false">
      <c r="A5" s="0" t="s">
        <v>908</v>
      </c>
      <c r="B5" s="0" t="s">
        <v>909</v>
      </c>
    </row>
    <row r="6" customFormat="false" ht="17.15" hidden="false" customHeight="false" outlineLevel="0" collapsed="false">
      <c r="A6" s="0" t="s">
        <v>910</v>
      </c>
      <c r="B6" s="0" t="s">
        <v>911</v>
      </c>
    </row>
    <row r="7" customFormat="false" ht="17.15" hidden="false" customHeight="false" outlineLevel="0" collapsed="false">
      <c r="A7" s="0" t="s">
        <v>912</v>
      </c>
      <c r="B7" s="0" t="s">
        <v>913</v>
      </c>
    </row>
    <row r="8" customFormat="false" ht="17.15" hidden="false" customHeight="false" outlineLevel="0" collapsed="false">
      <c r="A8" s="5" t="s">
        <v>914</v>
      </c>
      <c r="B8" s="0" t="s">
        <v>915</v>
      </c>
    </row>
    <row r="9" customFormat="false" ht="17.15" hidden="false" customHeight="false" outlineLevel="0" collapsed="false">
      <c r="A9" s="5" t="s">
        <v>916</v>
      </c>
      <c r="B9" s="0" t="s">
        <v>917</v>
      </c>
    </row>
    <row r="10" customFormat="false" ht="17.15" hidden="false" customHeight="false" outlineLevel="0" collapsed="false">
      <c r="A10" s="5" t="s">
        <v>918</v>
      </c>
      <c r="B10" s="0" t="s">
        <v>919</v>
      </c>
    </row>
    <row r="11" customFormat="false" ht="17.15" hidden="false" customHeight="false" outlineLevel="0" collapsed="false">
      <c r="A11" s="5" t="s">
        <v>920</v>
      </c>
      <c r="B11" s="0" t="s">
        <v>921</v>
      </c>
    </row>
    <row r="12" customFormat="false" ht="17.15" hidden="false" customHeight="false" outlineLevel="0" collapsed="false">
      <c r="A12" s="0" t="s">
        <v>922</v>
      </c>
      <c r="B12" s="0" t="s">
        <v>923</v>
      </c>
    </row>
    <row r="13" customFormat="false" ht="17.15" hidden="false" customHeight="false" outlineLevel="0" collapsed="false">
      <c r="A13" s="5" t="s">
        <v>924</v>
      </c>
      <c r="B13" s="0" t="s">
        <v>925</v>
      </c>
    </row>
    <row r="14" customFormat="false" ht="17.15" hidden="false" customHeight="false" outlineLevel="0" collapsed="false">
      <c r="A14" s="5" t="s">
        <v>926</v>
      </c>
      <c r="B14" s="0" t="s">
        <v>927</v>
      </c>
    </row>
    <row r="15" customFormat="false" ht="17.15" hidden="false" customHeight="false" outlineLevel="0" collapsed="false">
      <c r="A15" s="5" t="s">
        <v>928</v>
      </c>
      <c r="B15" s="0" t="s">
        <v>929</v>
      </c>
    </row>
    <row r="16" customFormat="false" ht="17.15" hidden="false" customHeight="false" outlineLevel="0" collapsed="false">
      <c r="A16" s="5" t="s">
        <v>930</v>
      </c>
      <c r="B16" s="0" t="s">
        <v>931</v>
      </c>
    </row>
    <row r="17" customFormat="false" ht="17.15" hidden="false" customHeight="false" outlineLevel="0" collapsed="false">
      <c r="A17" s="5" t="s">
        <v>932</v>
      </c>
      <c r="B17" s="0" t="s">
        <v>933</v>
      </c>
    </row>
    <row r="18" customFormat="false" ht="17.15" hidden="false" customHeight="false" outlineLevel="0" collapsed="false">
      <c r="A18" s="0" t="s">
        <v>934</v>
      </c>
      <c r="B18" s="0" t="s">
        <v>935</v>
      </c>
    </row>
    <row r="19" customFormat="false" ht="17.15" hidden="false" customHeight="false" outlineLevel="0" collapsed="false">
      <c r="A19" s="0" t="s">
        <v>936</v>
      </c>
      <c r="B19" s="0" t="s">
        <v>937</v>
      </c>
    </row>
    <row r="20" customFormat="false" ht="17.15" hidden="false" customHeight="false" outlineLevel="0" collapsed="false">
      <c r="A20" s="0" t="s">
        <v>938</v>
      </c>
      <c r="B20" s="0" t="s">
        <v>939</v>
      </c>
    </row>
    <row r="21" customFormat="false" ht="17.15" hidden="false" customHeight="false" outlineLevel="0" collapsed="false">
      <c r="A21" s="0" t="s">
        <v>940</v>
      </c>
      <c r="B21" s="0" t="s">
        <v>941</v>
      </c>
    </row>
    <row r="22" customFormat="false" ht="17.15" hidden="false" customHeight="false" outlineLevel="0" collapsed="false">
      <c r="A22" s="0" t="s">
        <v>942</v>
      </c>
      <c r="B22" s="0" t="s">
        <v>943</v>
      </c>
    </row>
    <row r="23" customFormat="false" ht="17.15" hidden="false" customHeight="false" outlineLevel="0" collapsed="false">
      <c r="A23" s="0" t="s">
        <v>944</v>
      </c>
      <c r="B23" s="0" t="s">
        <v>945</v>
      </c>
    </row>
    <row r="24" customFormat="false" ht="17.15" hidden="false" customHeight="false" outlineLevel="0" collapsed="false">
      <c r="A24" s="0" t="s">
        <v>946</v>
      </c>
      <c r="B24" s="0" t="s">
        <v>947</v>
      </c>
    </row>
    <row r="25" customFormat="false" ht="17.15" hidden="false" customHeight="false" outlineLevel="0" collapsed="false">
      <c r="A25" s="0" t="s">
        <v>948</v>
      </c>
      <c r="B25" s="0" t="s">
        <v>949</v>
      </c>
    </row>
    <row r="26" customFormat="false" ht="17.15" hidden="false" customHeight="false" outlineLevel="0" collapsed="false">
      <c r="A26" s="5" t="s">
        <v>950</v>
      </c>
      <c r="B26" s="0" t="s">
        <v>951</v>
      </c>
    </row>
    <row r="27" customFormat="false" ht="17.15" hidden="false" customHeight="false" outlineLevel="0" collapsed="false">
      <c r="A27" s="0" t="s">
        <v>952</v>
      </c>
      <c r="B27" s="0" t="s">
        <v>953</v>
      </c>
    </row>
    <row r="28" customFormat="false" ht="17.15" hidden="false" customHeight="false" outlineLevel="0" collapsed="false">
      <c r="A28" s="5" t="s">
        <v>954</v>
      </c>
      <c r="B28" s="0" t="s">
        <v>955</v>
      </c>
    </row>
    <row r="29" customFormat="false" ht="15" hidden="false" customHeight="false" outlineLevel="0" collapsed="false">
      <c r="A29" s="0" t="s">
        <v>956</v>
      </c>
      <c r="B29" s="5" t="s">
        <v>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2026-10-25T04:13:22Z</dcterms:created>
  <dc:creator>openpyxl</dc:creator>
  <dc:description/>
  <dc:language>en-US</dc:language>
  <cp:lastModifiedBy/>
  <dcterms:modified xsi:type="dcterms:W3CDTF">2026-10-25T04:13:23Z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