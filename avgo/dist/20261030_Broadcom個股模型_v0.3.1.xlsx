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Q!$B$7</definedName>
    <definedName function="false" hidden="false" name="a25_eps" vbProcedure="false">Q!$B$25</definedName>
    <definedName function="false" hidden="false" name="a25_gp" vbProcedure="false">Q!$B$12</definedName>
    <definedName function="false" hidden="false" name="a25_int" vbProcedure="false">Q!$B$17</definedName>
    <definedName function="false" hidden="false" name="a25_nai" vbProcedure="false">Q!$B$11</definedName>
    <definedName function="false" hidden="false" name="a25_net" vbProcedure="false">Q!$B$8</definedName>
    <definedName function="false" hidden="false" name="a25_ni" vbProcedure="false">Q!$B$22</definedName>
    <definedName function="false" hidden="false" name="a25_oi" vbProcedure="false">Q!$B$15</definedName>
    <definedName function="false" hidden="false" name="a25_opx" vbProcedure="false">Q!$B$14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emi" vbProcedure="false">Q!$B$5</definedName>
    <definedName function="false" hidden="false" name="a25_sh" vbProcedure="false">Q!$B$24</definedName>
    <definedName function="false" hidden="false" name="a25_sw" vbProcedure="false">Q!$B$6</definedName>
    <definedName function="false" hidden="false" name="a25_tax" vbProcedure="false">Q!$B$20</definedName>
    <definedName function="false" hidden="false" name="a25_xpu" vbProcedure="false">Q!$B$9</definedName>
    <definedName function="false" hidden="false" name="a26_ai" vbProcedure="false">Q!$G$7</definedName>
    <definedName function="false" hidden="false" name="a26_eps" vbProcedure="false">Q!$G$25</definedName>
    <definedName function="false" hidden="false" name="a26_gp" vbProcedure="false">Q!$G$12</definedName>
    <definedName function="false" hidden="false" name="a26_int" vbProcedure="false">Q!$G$17</definedName>
    <definedName function="false" hidden="false" name="a26_nai" vbProcedure="false">Q!$G$11</definedName>
    <definedName function="false" hidden="false" name="a26_net" vbProcedure="false">Q!$G$8</definedName>
    <definedName function="false" hidden="false" name="a26_ni" vbProcedure="false">Q!$G$22</definedName>
    <definedName function="false" hidden="false" name="a26_oi" vbProcedure="false">Q!$G$15</definedName>
    <definedName function="false" hidden="false" name="a26_opx" vbProcedure="false">Q!$G$14</definedName>
    <definedName function="false" hidden="false" name="a26_oth" vbProcedure="false">Q!$G$18</definedName>
    <definedName function="false" hidden="false" name="a26_rev" vbProcedure="false">Q!$G$4</definedName>
    <definedName function="false" hidden="false" name="a26_semi" vbProcedure="false">Q!$G$5</definedName>
    <definedName function="false" hidden="false" name="a26_sh" vbProcedure="false">Q!$G$24</definedName>
    <definedName function="false" hidden="false" name="a26_sw" vbProcedure="false">Q!$G$6</definedName>
    <definedName function="false" hidden="false" name="a26_tax" vbProcedure="false">Q!$G$20</definedName>
    <definedName function="false" hidden="false" name="a26_xpu" vbProcedure="false">Q!$G$9</definedName>
    <definedName function="false" hidden="false" name="cons_eps26" vbProcedure="false">In!$E$112</definedName>
    <definedName function="false" hidden="false" name="cons_eps27" vbProcedure="false">In!$E$114</definedName>
    <definedName function="false" hidden="false" name="cons_rev26" vbProcedure="false">In!$E$111</definedName>
    <definedName function="false" hidden="false" name="cons_rev27" vbProcedure="false">In!$E$113</definedName>
    <definedName function="false" hidden="false" name="cons_tp" vbProcedure="false">In!$E$147</definedName>
    <definedName function="false" hidden="false" name="core_oth" vbProcedure="false">In!$E$57</definedName>
    <definedName function="false" hidden="false" name="core_oth_hi" vbProcedure="false">In!$F$57</definedName>
    <definedName function="false" hidden="false" name="core_oth_lo" vbProcedure="false">In!$D$57</definedName>
    <definedName function="false" hidden="false" name="core_tpu" vbProcedure="false">In!$E$56</definedName>
    <definedName function="false" hidden="false" name="core_tpu_hi" vbProcedure="false">In!$F$56</definedName>
    <definedName function="false" hidden="false" name="core_tpu_lo" vbProcedure="false">In!$D$56</definedName>
    <definedName function="false" hidden="false" name="co_ai26" vbProcedure="false">In!$E$107</definedName>
    <definedName function="false" hidden="false" name="co_ai27" vbProcedure="false">In!$E$108</definedName>
    <definedName function="false" hidden="false" name="co_ai28" vbProcedure="false">In!$E$109</definedName>
    <definedName function="false" hidden="false" name="cp_sh27" vbProcedure="false">In!$E$116</definedName>
    <definedName function="false" hidden="false" name="cx_rev" vbProcedure="false">In!$E$151</definedName>
    <definedName function="false" hidden="false" name="da_rev" vbProcedure="false">In!$E$150</definedName>
    <definedName function="false" hidden="false" name="eps_q4_25" vbProcedure="false">In!$E$128</definedName>
    <definedName function="false" hidden="false" name="fin_anth" vbProcedure="false">In!$E$130</definedName>
    <definedName function="false" hidden="false" name="fin_lease" vbProcedure="false">In!$E$132</definedName>
    <definedName function="false" hidden="false" name="fin_oai" vbProcedure="false">In!$E$131</definedName>
    <definedName function="false" hidden="false" name="f_hbm" vbProcedure="false">In!$E$58</definedName>
    <definedName function="false" hidden="false" name="f_hbm_hi" vbProcedure="false">In!$F$58</definedName>
    <definedName function="false" hidden="false" name="f_hbm_lo" vbProcedure="false">In!$D$58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oth_26" vbProcedure="false">In!$E$46</definedName>
    <definedName function="false" hidden="false" name="gb_oth_27" vbProcedure="false">In!$E$47</definedName>
    <definedName function="false" hidden="false" name="gb_oth_28" vbProcedure="false">In!$E$48</definedName>
    <definedName function="false" hidden="false" name="gb_tpu_26" vbProcedure="false">In!$E$43</definedName>
    <definedName function="false" hidden="false" name="gb_tpu_27" vbProcedure="false">In!$E$44</definedName>
    <definedName function="false" hidden="false" name="gb_tpu_28" vbProcedure="false">In!$E$45</definedName>
    <definedName function="false" hidden="false" name="gm_nai" vbProcedure="false">In!$E$82</definedName>
    <definedName function="false" hidden="false" name="gm_nai_hi" vbProcedure="false">In!$F$82</definedName>
    <definedName function="false" hidden="false" name="gm_nai_lo" vbProcedure="false">In!$D$82</definedName>
    <definedName function="false" hidden="false" name="gm_net" vbProcedure="false">In!$E$80</definedName>
    <definedName function="false" hidden="false" name="gm_net_hi" vbProcedure="false">In!$F$80</definedName>
    <definedName function="false" hidden="false" name="gm_net_lo" vbProcedure="false">In!$D$80</definedName>
    <definedName function="false" hidden="false" name="gm_sw" vbProcedure="false">In!$E$83</definedName>
    <definedName function="false" hidden="false" name="gm_sw_hi" vbProcedure="false">In!$F$83</definedName>
    <definedName function="false" hidden="false" name="gm_sw_lo" vbProcedure="false">In!$D$83</definedName>
    <definedName function="false" hidden="false" name="g_nai" vbProcedure="false">In!$E$84</definedName>
    <definedName function="false" hidden="false" name="g_nai_hi" vbProcedure="false">In!$F$84</definedName>
    <definedName function="false" hidden="false" name="g_nai_lo" vbProcedure="false">In!$D$84</definedName>
    <definedName function="false" hidden="false" name="g_opx_min" vbProcedure="false">In!$E$99</definedName>
    <definedName function="false" hidden="false" name="g_opx_min_hi" vbProcedure="false">In!$F$99</definedName>
    <definedName function="false" hidden="false" name="g_opx_min_lo" vbProcedure="false">In!$D$99</definedName>
    <definedName function="false" hidden="false" name="g_sw" vbProcedure="false">In!$E$86</definedName>
    <definedName function="false" hidden="false" name="g_sw27" vbProcedure="false">In!$E$85</definedName>
    <definedName function="false" hidden="false" name="g_sw27_hi" vbProcedure="false">In!$F$85</definedName>
    <definedName function="false" hidden="false" name="g_sw27_lo" vbProcedure="false">In!$D$85</definedName>
    <definedName function="false" hidden="false" name="g_sw_hi" vbProcedure="false">In!$F$86</definedName>
    <definedName function="false" hidden="false" name="g_sw_lo" vbProcedure="false">In!$D$86</definedName>
    <definedName function="false" hidden="false" name="hbm_A_26" vbProcedure="false">In!$E$62</definedName>
    <definedName function="false" hidden="false" name="hbm_A_27" vbProcedure="false">In!$E$63</definedName>
    <definedName function="false" hidden="false" name="hbm_A_28" vbProcedure="false">In!$E$64</definedName>
    <definedName function="false" hidden="false" name="hbm_A_29" vbProcedure="false">In!$E$65</definedName>
    <definedName function="false" hidden="false" name="hbm_B_26" vbProcedure="false">In!$E$66</definedName>
    <definedName function="false" hidden="false" name="hbm_B_27" vbProcedure="false">In!$E$67</definedName>
    <definedName function="false" hidden="false" name="hbm_B_28" vbProcedure="false">In!$E$68</definedName>
    <definedName function="false" hidden="false" name="hbm_B_29" vbProcedure="false">In!$E$69</definedName>
    <definedName function="false" hidden="false" name="hbm_C_26" vbProcedure="false">In!$E$70</definedName>
    <definedName function="false" hidden="false" name="hbm_C_27" vbProcedure="false">In!$E$71</definedName>
    <definedName function="false" hidden="false" name="hbm_C_28" vbProcedure="false">In!$E$72</definedName>
    <definedName function="false" hidden="false" name="hbm_C_29" vbProcedure="false">In!$E$73</definedName>
    <definedName function="false" hidden="false" name="int_f" vbProcedure="false">In!$E$101</definedName>
    <definedName function="false" hidden="false" name="int_f_hi" vbProcedure="false">In!$F$101</definedName>
    <definedName function="false" hidden="false" name="int_f_lo" vbProcedure="false">In!$D$101</definedName>
    <definedName function="false" hidden="false" name="jpm_ai27" vbProcedure="false">In!$E$110</definedName>
    <definedName function="false" hidden="false" name="jpm_u27" vbProcedure="false">In!$E$115</definedName>
    <definedName function="false" hidden="false" name="m_hbm" vbProcedure="false">In!$E$59</definedName>
    <definedName function="false" hidden="false" name="m_hbm_hi" vbProcedure="false">In!$F$59</definedName>
    <definedName function="false" hidden="false" name="m_hbm_lo" vbProcedure="false">In!$D$59</definedName>
    <definedName function="false" hidden="false" name="net_26" vbProcedure="false">In!$E$75</definedName>
    <definedName function="false" hidden="false" name="net_27" vbProcedure="false">In!$E$76</definedName>
    <definedName function="false" hidden="false" name="net_28" vbProcedure="false">In!$E$77</definedName>
    <definedName function="false" hidden="false" name="net_29" vbProcedure="false">In!$E$78</definedName>
    <definedName function="false" hidden="false" name="nm10_k" vbProcedure="false">In!$E$146</definedName>
    <definedName function="false" hidden="false" name="opx_adj" vbProcedure="false">In!$E$100</definedName>
    <definedName function="false" hidden="false" name="opx_adj_hi" vbProcedure="false">In!$F$100</definedName>
    <definedName function="false" hidden="false" name="opx_adj_lo" vbProcedure="false">In!$D$100</definedName>
    <definedName function="false" hidden="false" name="oth_f" vbProcedure="false">In!$E$102</definedName>
    <definedName function="false" hidden="false" name="oth_f_hi" vbProcedure="false">In!$F$102</definedName>
    <definedName function="false" hidden="false" name="oth_f_lo" vbProcedure="false">In!$D$102</definedName>
    <definedName function="false" hidden="false" name="pa_amd" vbProcedure="false">In!$E$122</definedName>
    <definedName function="false" hidden="false" name="pa_trn" vbProcedure="false">In!$E$123</definedName>
    <definedName function="false" hidden="false" name="pe_fair_andy" vbProcedure="false">In!$E$129</definedName>
    <definedName function="false" hidden="false" name="pe_fwd_sa" vbProcedure="false">In!$E$127</definedName>
    <definedName function="false" hidden="false" name="pe_ttm_gaap" vbProcedure="false">In!$E$126</definedName>
    <definedName function="false" hidden="false" name="pfc" vbProcedure="false">In!$E$60</definedName>
    <definedName function="false" hidden="false" name="pfc_hi" vbProcedure="false">In!$F$60</definedName>
    <definedName function="false" hidden="false" name="pfc_lo" vbProcedure="false">In!$D$60</definedName>
    <definedName function="false" hidden="false" name="phi" vbProcedure="false">In!$E$98</definedName>
    <definedName function="false" hidden="false" name="phi_hi" vbProcedure="false">In!$F$98</definedName>
    <definedName function="false" hidden="false" name="phi_lo" vbProcedure="false">In!$D$98</definedName>
    <definedName function="false" hidden="false" name="pk_A" vbProcedure="false">In!$E$133</definedName>
    <definedName function="false" hidden="false" name="pk_B" vbProcedure="false">In!$E$134</definedName>
    <definedName function="false" hidden="false" name="pk_C" vbProcedure="false">In!$E$135</definedName>
    <definedName function="false" hidden="false" name="pm_bw" vbProcedure="false">In!$E$118</definedName>
    <definedName function="false" hidden="false" name="pm_hp" vbProcedure="false">In!$E$121</definedName>
    <definedName function="false" hidden="false" name="pm_rb" vbProcedure="false">In!$E$119</definedName>
    <definedName function="false" hidden="false" name="pm_ru" vbProcedure="false">In!$E$120</definedName>
    <definedName function="false" hidden="false" name="px" vbProcedure="false">In!$E$125</definedName>
    <definedName function="false" hidden="false" name="q4_ai" vbProcedure="false">In!$E$89</definedName>
    <definedName function="false" hidden="false" name="q4_gm" vbProcedure="false">In!$E$91</definedName>
    <definedName function="false" hidden="false" name="q4_gm_hi" vbProcedure="false">In!$F$91</definedName>
    <definedName function="false" hidden="false" name="q4_gm_lo" vbProcedure="false">In!$D$91</definedName>
    <definedName function="false" hidden="false" name="q4_int" vbProcedure="false">In!$E$93</definedName>
    <definedName function="false" hidden="false" name="q4_int_hi" vbProcedure="false">In!$F$93</definedName>
    <definedName function="false" hidden="false" name="q4_int_lo" vbProcedure="false">In!$D$93</definedName>
    <definedName function="false" hidden="false" name="q4_oim" vbProcedure="false">In!$E$92</definedName>
    <definedName function="false" hidden="false" name="q4_oth" vbProcedure="false">In!$E$94</definedName>
    <definedName function="false" hidden="false" name="q4_oth_hi" vbProcedure="false">In!$F$94</definedName>
    <definedName function="false" hidden="false" name="q4_oth_lo" vbProcedure="false">In!$D$94</definedName>
    <definedName function="false" hidden="false" name="q4_rev" vbProcedure="false">In!$E$88</definedName>
    <definedName function="false" hidden="false" name="q4_sh" vbProcedure="false">In!$E$96</definedName>
    <definedName function="false" hidden="false" name="q4_sw" vbProcedure="false">In!$E$90</definedName>
    <definedName function="false" hidden="false" name="q4_sw_hi" vbProcedure="false">In!$F$90</definedName>
    <definedName function="false" hidden="false" name="q4_sw_lo" vbProcedure="false">In!$D$90</definedName>
    <definedName function="false" hidden="false" name="q4_tx" vbProcedure="false">In!$E$95</definedName>
    <definedName function="false" hidden="false" name="q4_tx_hi" vbProcedure="false">In!$F$95</definedName>
    <definedName function="false" hidden="false" name="q4_tx_lo" vbProcedure="false">In!$D$95</definedName>
    <definedName function="false" hidden="false" name="rep_avgo26" vbProcedure="false">In!$E$79</definedName>
    <definedName function="false" hidden="false" name="rep_avgo26_hi" vbProcedure="false">In!$F$79</definedName>
    <definedName function="false" hidden="false" name="rep_avgo26_lo" vbProcedure="false">In!$D$79</definedName>
    <definedName function="false" hidden="false" name="rm_factor" vbProcedure="false">Val!$B$132</definedName>
    <definedName function="false" hidden="false" name="sh_g" vbProcedure="false">In!$E$104</definedName>
    <definedName function="false" hidden="false" name="sh_g_hi" vbProcedure="false">In!$F$104</definedName>
    <definedName function="false" hidden="false" name="sh_g_lo" vbProcedure="false">In!$D$104</definedName>
    <definedName function="false" hidden="false" name="sh_oth_26" vbProcedure="false">In!$E$53</definedName>
    <definedName function="false" hidden="false" name="sh_oth_26_hi" vbProcedure="false">In!$F$53</definedName>
    <definedName function="false" hidden="false" name="sh_oth_26_lo" vbProcedure="false">In!$D$53</definedName>
    <definedName function="false" hidden="false" name="sh_oth_27" vbProcedure="false">In!$E$54</definedName>
    <definedName function="false" hidden="false" name="sh_oth_27_hi" vbProcedure="false">In!$F$54</definedName>
    <definedName function="false" hidden="false" name="sh_oth_27_lo" vbProcedure="false">In!$D$54</definedName>
    <definedName function="false" hidden="false" name="sh_oth_28" vbProcedure="false">In!$E$55</definedName>
    <definedName function="false" hidden="false" name="sh_oth_28_hi" vbProcedure="false">In!$F$55</definedName>
    <definedName function="false" hidden="false" name="sh_oth_28_lo" vbProcedure="false">In!$D$55</definedName>
    <definedName function="false" hidden="false" name="sh_tpu_26" vbProcedure="false">In!$E$50</definedName>
    <definedName function="false" hidden="false" name="sh_tpu_26_hi" vbProcedure="false">In!$F$50</definedName>
    <definedName function="false" hidden="false" name="sh_tpu_26_lo" vbProcedure="false">In!$D$50</definedName>
    <definedName function="false" hidden="false" name="sh_tpu_27" vbProcedure="false">In!$E$51</definedName>
    <definedName function="false" hidden="false" name="sh_tpu_27_hi" vbProcedure="false">In!$F$51</definedName>
    <definedName function="false" hidden="false" name="sh_tpu_27_lo" vbProcedure="false">In!$D$51</definedName>
    <definedName function="false" hidden="false" name="sh_tpu_28" vbProcedure="false">In!$E$52</definedName>
    <definedName function="false" hidden="false" name="sh_tpu_28_hi" vbProcedure="false">In!$F$52</definedName>
    <definedName function="false" hidden="false" name="sh_tpu_28_lo" vbProcedure="false">In!$D$52</definedName>
    <definedName function="false" hidden="false" name="tp_comp_adj" vbProcedure="false">Val!$B$133</definedName>
    <definedName function="false" hidden="false" name="tp_g" vbProcedure="false">In!$E$142</definedName>
    <definedName function="false" hidden="false" name="tp_gd" vbProcedure="false">In!$E$143</definedName>
    <definedName function="false" hidden="false" name="tp_r" vbProcedure="false">In!$E$141</definedName>
    <definedName function="false" hidden="false" name="tp_roe" vbProcedure="false">In!$E$144</definedName>
    <definedName function="false" hidden="false" name="tp_wA" vbProcedure="false">In!$E$137</definedName>
    <definedName function="false" hidden="false" name="tp_wB" vbProcedure="false">In!$E$138</definedName>
    <definedName function="false" hidden="false" name="tp_wC" vbProcedure="false">In!$E$139</definedName>
    <definedName function="false" hidden="false" name="tp_w_dcf" vbProcedure="false">In!$E$145</definedName>
    <definedName function="false" hidden="false" name="tx_f" vbProcedure="false">In!$E$103</definedName>
    <definedName function="false" hidden="false" name="tx_f_hi" vbProcedure="false">In!$F$103</definedName>
    <definedName function="false" hidden="false" name="tx_f_lo" vbProcedure="false">In!$D$103</definedName>
    <definedName function="false" hidden="false" name="uk" vbProcedure="false">In!$E$105</definedName>
    <definedName function="false" hidden="false" name="uk_hi" vbProcedure="false">In!$F$105</definedName>
    <definedName function="false" hidden="false" name="uk_lo" vbProcedure="false">In!$D$105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<sst xmlns="http://schemas.openxmlformats.org/spreadsheetml/2006/main" count="4221" uniqueCount="1104">
  <si>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：運算層第二個樣板，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＋網通）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</si>
  <si>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</si>
  <si>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營收＝各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平台的顆數 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每顆售價（核心＋代購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）＋網通附掛；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年的增量集中在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OpenAI </t>
    </r>
    <r>
      <rPr>
        <sz val="11"/>
        <rFont val="Noto Sans CJK SC"/>
        <family val="2"/>
      </rPr>
      <t xml:space="preserve">兩家靠融資部署的客戶。股價約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：這個折價是在定價客戶信用風險，還是低估了營收？</t>
    </r>
  </si>
  <si>
    <r>
      <rPr>
        <sz val="11"/>
        <rFont val="Noto Sans CJK SC"/>
        <family val="2"/>
      </rPr>
      <t xml:space="preserve">核心問題：以市場層顆數往前推，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能否支撐公司展望（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115B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230B</t>
    </r>
    <r>
      <rPr>
        <sz val="11"/>
        <rFont val="Noto Sans CJK SC"/>
        <family val="2"/>
      </rPr>
      <t xml:space="preserve">）；差距要靠多少額外顆數補上。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</si>
  <si>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月初結束，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 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，不做平移。預測期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</si>
  <si>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</si>
  <si>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與「其他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單價）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實績校準）→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營收。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</si>
  <si>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網通：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網通（本模型歸屬）」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k_n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實際推估校準）。非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半導體、軟體：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</t>
    </r>
  </si>
  <si>
    <r>
      <rPr>
        <sz val="11"/>
        <rFont val="Noto Sans CJK SC"/>
        <family val="2"/>
      </rPr>
      <t xml:space="preserve">毛利率：網通、非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、軟體、代購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起毛利率下滑來自代購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占比上升（</t>
    </r>
    <r>
      <rPr>
        <sz val="11"/>
        <rFont val="Cambria"/>
        <family val="0"/>
        <charset val="1"/>
      </rPr>
      <t xml:space="preserve">HBM 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+80%</t>
    </r>
    <r>
      <rPr>
        <sz val="11"/>
        <rFont val="Noto Sans CJK SC"/>
        <family val="2"/>
      </rPr>
      <t xml:space="preserve">、每顆容量上升）。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</si>
  <si>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Q1–Q3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指引（營收 </t>
    </r>
    <r>
      <rPr>
        <sz val="11"/>
        <rFont val="Cambria"/>
        <family val="0"/>
        <charset val="1"/>
      </rPr>
      <t xml:space="preserve">34.8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21.7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）。不用共識、不用公司對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</si>
  <si>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估值：結論用現價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規則值不適用（攤銷扭曲），前瞻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。循環位置（共用規則，不平移）只作紀錄：設備市場見頂年度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</si>
  <si>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</si>
  <si>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 </t>
    </r>
    <r>
      <rPr>
        <sz val="11"/>
        <rFont val="Noto Sans CJK SC"/>
        <family val="2"/>
      </rPr>
      <t xml:space="preserve">是顆數、份額、核心單價的合併係數，無法分開識別；</t>
    </r>
    <r>
      <rPr>
        <sz val="11"/>
        <rFont val="Cambria"/>
        <family val="0"/>
        <charset val="1"/>
      </rPr>
      <t xml:space="preserve">(2) Broadcom </t>
    </r>
    <r>
      <rPr>
        <sz val="11"/>
        <rFont val="Noto Sans CJK SC"/>
        <family val="2"/>
      </rPr>
      <t xml:space="preserve">各平台份額、核心售價、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代購比例皆為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起的毛利率對代購比例高度敏感（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」含昇騰、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等非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晶片，份額為粗估；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客戶融資曝險不進基準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Recon F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十年倍數待補；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</si>
  <si>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）。本模型無規則值，目標價用十年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non-GAAP EPS</t>
    </r>
    <r>
      <rPr>
        <sz val="11"/>
        <rFont val="Noto Sans CJK SC"/>
        <family val="2"/>
      </rPr>
      <t xml:space="preserve">（偏誤方向為高估，見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頁目標價方法）；其餘儲存格不變。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</si>
  <si>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現價更新到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321.68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目標價參數放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</si>
  <si>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</si>
  <si>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資本支出；不含營運資金變動）」一列（三情境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各年度），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 </t>
    </r>
    <r>
      <rPr>
        <sz val="11"/>
        <color theme="1"/>
        <rFont val="Noto Sans CJK SC"/>
        <family val="2"/>
      </rPr>
      <t xml:space="preserve">兩個比率（最近完整會計年度實績）。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</si>
  <si>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18.08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21.03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17.84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14.82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222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394</t>
    </r>
    <r>
      <rPr>
        <sz val="11"/>
        <color theme="1"/>
        <rFont val="Noto Sans CJK SC"/>
        <family val="2"/>
      </rPr>
      <t xml:space="preserve">；現價約為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18.0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頁末自由現金流（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淨利＋折舊 − 資本支出）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88.8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87.2 </t>
    </r>
    <r>
      <rPr>
        <sz val="11"/>
        <color theme="1"/>
        <rFont val="Noto Sans CJK SC"/>
        <family val="2"/>
      </rPr>
      <t xml:space="preserve">十億美元，與淨利幾乎相同（資本支出約為營收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</si>
  <si>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核心售價（</t>
    </r>
    <r>
      <rPr>
        <sz val="11"/>
        <color theme="1"/>
        <rFont val="Calibri"/>
        <family val="2"/>
        <charset val="1"/>
      </rPr>
      <t xml:space="preserve">±20%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EPS ±8.2%</t>
    </r>
    <r>
      <rPr>
        <sz val="11"/>
        <color theme="1"/>
        <rFont val="Noto Sans CJK SC"/>
        <family val="2"/>
      </rPr>
      <t xml:space="preserve">），其次是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份額（−</t>
    </r>
    <r>
      <rPr>
        <sz val="11"/>
        <color theme="1"/>
        <rFont val="Calibri"/>
        <family val="2"/>
        <charset val="1"/>
      </rPr>
      <t xml:space="preserve">15pt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，聯發科版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放量）與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中旬）的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半導體營收與下一季指引。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</si>
  <si>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</si>
  <si>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</si>
  <si>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US$/GB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</si>
  <si>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investors.broadcom.com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</si>
  <si>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</si>
  <si>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</si>
  <si>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</si>
  <si>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</si>
  <si>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</si>
  <si>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</si>
  <si>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</si>
  <si>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</si>
  <si>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</si>
  <si>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</si>
  <si>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</si>
  <si>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</si>
  <si>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</si>
  <si>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</si>
  <si>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</si>
  <si>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</si>
  <si>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</si>
  <si>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</si>
  <si>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</si>
  <si>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</si>
  <si>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</si>
  <si>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</si>
  <si>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</si>
  <si>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</si>
  <si>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</si>
  <si>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</si>
  <si>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</si>
  <si>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</si>
  <si>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</si>
  <si>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</si>
  <si>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</si>
  <si>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</si>
  <si>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</si>
  <si>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</si>
  <si>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</si>
  <si>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</si>
  <si>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</si>
  <si>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</si>
  <si>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</si>
  <si>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</si>
  <si>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</si>
  <si>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</si>
  <si>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</si>
  <si>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</si>
  <si>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</si>
  <si>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</si>
  <si>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</si>
  <si>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</si>
  <si>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</si>
  <si>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</si>
  <si>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</si>
  <si>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</si>
  <si>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</si>
  <si>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</si>
  <si>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</si>
  <si>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</si>
  <si>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</si>
  <si>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</si>
  <si>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</si>
  <si>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</si>
  <si>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</si>
  <si>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</si>
  <si>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</si>
  <si>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</si>
  <si>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</si>
  <si>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</si>
  <si>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</si>
  <si>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</si>
  <si>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</si>
  <si>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</si>
  <si>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</si>
  <si>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</si>
  <si>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</si>
  <si>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</si>
  <si>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</si>
  <si>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</si>
  <si>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</si>
  <si>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</si>
  <si>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</si>
  <si>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</si>
  <si>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</si>
  <si>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</si>
  <si>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</si>
  <si>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</si>
  <si>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</si>
  <si>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</si>
  <si>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</si>
  <si>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</si>
  <si>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</si>
  <si>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</si>
  <si>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</si>
  <si>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</si>
  <si>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</si>
  <si>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</si>
  <si>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</si>
  <si>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</si>
  <si>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</si>
  <si>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</si>
  <si>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</si>
  <si>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</si>
  <si>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</si>
  <si>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</si>
  <si>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</si>
  <si>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</si>
  <si>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</si>
  <si>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</si>
  <si>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</si>
  <si>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</si>
  <si>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</si>
  <si>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</si>
  <si>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</si>
  <si>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</si>
  <si>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</si>
  <si>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</si>
  <si>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</si>
  <si>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</si>
  <si>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</si>
  <si>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</si>
  <si>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</si>
  <si>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</si>
  <si>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</si>
  <si>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</si>
  <si>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</si>
  <si>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</si>
  <si>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</si>
  <si>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</si>
  <si>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</si>
  <si>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</si>
  <si>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</si>
  <si>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</si>
  <si>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</si>
  <si>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</si>
  <si>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</si>
  <si>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</si>
  <si>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</si>
  <si>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</si>
  <si>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</si>
  <si>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</si>
  <si>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</si>
  <si>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</si>
  <si>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</si>
  <si>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每顆規格（本專案為權威，規則第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條）：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在各平台的顆數份額、每顆核心售價（不含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代購的比例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</si>
  <si>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</si>
  <si>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</si>
  <si>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</si>
  <si>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</si>
  <si>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</si>
  <si>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</si>
  <si>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</si>
  <si>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</si>
  <si>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</si>
  <si>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</si>
  <si>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</si>
  <si>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</si>
  <si>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</si>
  <si>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</si>
  <si>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</si>
  <si>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</si>
  <si>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</si>
  <si>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</si>
  <si>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</si>
  <si>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</si>
  <si>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</si>
  <si>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</si>
  <si>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</si>
  <si>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t xml:space="preserve">US$K</t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</si>
  <si>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</si>
  <si>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</si>
  <si>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</si>
  <si>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</si>
  <si>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</si>
  <si>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</si>
  <si>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</si>
  <si>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</si>
  <si>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</si>
  <si>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</si>
  <si>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</si>
  <si>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</si>
  <si>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t xml:space="preserve">無：未揭露；轉售料件通常低加成</t>
  </si>
  <si>
    <t xml:space="preserve">第二來源：未找到</t>
  </si>
  <si>
    <t xml:space="preserve">pfc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</si>
  <si>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</si>
  <si>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無：新一代（</t>
    </r>
    <r>
      <rPr>
        <sz val="11"/>
        <color theme="1"/>
        <rFont val="Calibri"/>
        <family val="2"/>
        <charset val="1"/>
      </rPr>
      <t xml:space="preserve">TPU v8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新世代）核心單價變化未揭露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</si>
  <si>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</si>
  <si>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</si>
  <si>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</si>
  <si>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</si>
  <si>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</si>
  <si>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</si>
  <si>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</si>
  <si>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</si>
  <si>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</si>
  <si>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</si>
  <si>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</si>
  <si>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</si>
  <si>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</si>
  <si>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</si>
  <si>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</si>
  <si>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</si>
  <si>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</si>
  <si>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</si>
  <si>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</si>
  <si>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</si>
  <si>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</si>
  <si>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</si>
  <si>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</si>
  <si>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</si>
  <si>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</si>
  <si>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</si>
  <si>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</si>
  <si>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</si>
  <si>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</si>
  <si>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</si>
  <si>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</si>
  <si>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</si>
  <si>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</si>
  <si>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</si>
  <si>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</si>
  <si>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</si>
  <si>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Mkt!C35:F35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</si>
  <si>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avgo_su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avgo_so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avgo_opt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</si>
  <si>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</si>
  <si>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</si>
  <si>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</si>
  <si>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</si>
  <si>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</si>
  <si>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</si>
  <si>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</si>
  <si>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</si>
  <si>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In!D121:F121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</si>
  <si>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（法說，二手）→ 網通約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AI 57.6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</si>
  <si>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gm_net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</si>
  <si>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網通毛利率</t>
    </r>
  </si>
  <si>
    <t xml:space="preserve">無：公司不揭露產品別毛利率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</si>
  <si>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半導體與基礎架構軟體（</t>
    </r>
    <r>
      <rPr>
        <b val="true"/>
        <sz val="11"/>
        <rFont val="Cambria"/>
        <family val="0"/>
        <charset val="1"/>
      </rPr>
      <t xml:space="preserve">VMware </t>
    </r>
    <r>
      <rPr>
        <b val="true"/>
        <sz val="11"/>
        <rFont val="Noto Sans CJK SC"/>
        <family val="2"/>
      </rPr>
      <t xml:space="preserve">等）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</si>
  <si>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</si>
  <si>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半導體毛利率</t>
    </r>
  </si>
  <si>
    <r>
      <rPr>
        <sz val="11"/>
        <color theme="1"/>
        <rFont val="Noto Sans CJK SC"/>
        <family val="2"/>
      </rPr>
      <t xml:space="preserve">無：公司不揭露；半導體部門整體毛利率約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更正值，二手）</t>
    </r>
  </si>
  <si>
    <t xml:space="preserve">gm_sw</t>
  </si>
  <si>
    <r>
      <rPr>
        <sz val="11"/>
        <color theme="1"/>
        <rFont val="Noto Sans CJK SC"/>
        <family val="2"/>
      </rPr>
      <t xml:space="preserve">軟體毛利率（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</si>
  <si>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22.191 −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20.839 × 67%) ÷ </t>
    </r>
    <r>
      <rPr>
        <sz val="11"/>
        <color theme="1"/>
        <rFont val="Noto Sans CJK SC"/>
        <family val="2"/>
      </rPr>
      <t xml:space="preserve">軟體 </t>
    </r>
    <r>
      <rPr>
        <sz val="11"/>
        <color theme="1"/>
        <rFont val="Calibri"/>
        <family val="2"/>
        <charset val="1"/>
      </rPr>
      <t xml:space="preserve">8.752 ≈ 94%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為二手）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</si>
  <si>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</si>
  <si>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</si>
  <si>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</si>
  <si>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／季（半導體 </t>
    </r>
    <r>
      <rPr>
        <sz val="11"/>
        <color theme="1"/>
        <rFont val="Calibri"/>
        <family val="2"/>
        <charset val="1"/>
      </rPr>
      <t xml:space="preserve">20.8 − AI 16.7</t>
    </r>
    <r>
      <rPr>
        <sz val="11"/>
        <color theme="1"/>
        <rFont val="Noto Sans CJK SC"/>
        <family val="2"/>
      </rPr>
      <t xml:space="preserve">；公司）</t>
    </r>
  </si>
  <si>
    <t xml:space="preserve">g_sw27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</si>
  <si>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</si>
  <si>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軟體年增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8.7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）（法說，二手）</t>
    </r>
  </si>
  <si>
    <t xml:space="preserve">g_sw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</si>
  <si>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</si>
  <si>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漲價效果遞減（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</si>
  <si>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Q1–Q3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指引）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</si>
  <si>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</si>
  <si>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</si>
  <si>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$34.8B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93%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</si>
  <si>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</si>
  <si>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q4_ai</t>
  </si>
  <si>
    <r>
      <rPr>
        <sz val="11"/>
        <color theme="1"/>
        <rFont val="Calibri"/>
        <family val="2"/>
        <charset val="1"/>
      </rPr>
      <t xml:space="preserve">Q4 FY26 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</si>
  <si>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$21.7B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236%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</si>
  <si>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</si>
  <si>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q4_sw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</si>
  <si>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軟體營收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</si>
  <si>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$8.7B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</si>
  <si>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</si>
  <si>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</si>
  <si>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）</t>
    </r>
  </si>
  <si>
    <t xml:space="preserve">q4_oim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</si>
  <si>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營業利益率指引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</si>
  <si>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</si>
  <si>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</si>
  <si>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q4_int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</si>
  <si>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</si>
  <si>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Q3 FY26 0.703</t>
    </r>
    <r>
      <rPr>
        <sz val="11"/>
        <color theme="1"/>
        <rFont val="Noto Sans CJK SC"/>
        <family val="2"/>
      </rPr>
      <t xml:space="preserve">（公司）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</si>
  <si>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</si>
  <si>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其他收益</t>
    </r>
  </si>
  <si>
    <r>
      <rPr>
        <sz val="11"/>
        <color theme="1"/>
        <rFont val="Calibri"/>
        <family val="2"/>
        <charset val="1"/>
      </rPr>
      <t xml:space="preserve">Q1–Q3 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0.098</t>
    </r>
    <r>
      <rPr>
        <sz val="11"/>
        <color theme="1"/>
        <rFont val="Noto Sans CJK SC"/>
        <family val="2"/>
      </rPr>
      <t xml:space="preserve">（公司）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</si>
  <si>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</si>
  <si>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</si>
  <si>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Q3 FY26 3.118 ÷ 19.490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（公司）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</si>
  <si>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</si>
  <si>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</si>
  <si>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</si>
  <si>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Q3 FY26 4.937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</si>
  <si>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</si>
  <si>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</si>
  <si>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</si>
  <si>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）</t>
    </r>
  </si>
  <si>
    <t xml:space="preserve">g_opx_min</t>
  </si>
  <si>
    <t xml:space="preserve">營業費用年增下限</t>
  </si>
  <si>
    <t xml:space="preserve">無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</si>
  <si>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</si>
  <si>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</si>
  <si>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</si>
  <si>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</si>
  <si>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</si>
  <si>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</si>
  <si>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2.9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59.4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</si>
  <si>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高端：客戶融資若改由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舉債承擔（見 </t>
    </r>
    <r>
      <rPr>
        <sz val="11"/>
        <color theme="1"/>
        <rFont val="Calibri"/>
        <family val="2"/>
        <charset val="1"/>
      </rPr>
      <t xml:space="preserve">Recon F </t>
    </r>
    <r>
      <rPr>
        <sz val="11"/>
        <color theme="1"/>
        <rFont val="Noto Sans CJK SC"/>
        <family val="2"/>
      </rPr>
      <t xml:space="preserve">節）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</si>
  <si>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</si>
  <si>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</si>
  <si>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</si>
  <si>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</si>
  <si>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</si>
  <si>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FY2026 Q1–Q3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15.6–16.5%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</si>
  <si>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</si>
  <si>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</si>
  <si>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4.943 → Q3 FY26 4.937</t>
    </r>
    <r>
      <rPr>
        <sz val="11"/>
        <color theme="1"/>
        <rFont val="Noto Sans CJK SC"/>
        <family val="2"/>
      </rPr>
      <t xml:space="preserve">（公司）</t>
    </r>
  </si>
  <si>
    <t xml:space="preserve">uk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</si>
  <si>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</si>
  <si>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±10%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</si>
  <si>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</si>
  <si>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co_ai26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</si>
  <si>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</si>
  <si>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</t>
    </r>
  </si>
  <si>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指引合計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</si>
  <si>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co_ai27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</si>
  <si>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</si>
  <si>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$115B</t>
    </r>
    <r>
      <rPr>
        <sz val="11"/>
        <color theme="1"/>
        <rFont val="Noto Sans CJK SC"/>
        <family val="2"/>
      </rPr>
      <t xml:space="preserve">；公司稱不會逐季更新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</si>
  <si>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$150B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</si>
  <si>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co_ai28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</si>
  <si>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</si>
  <si>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$230B</t>
    </r>
  </si>
  <si>
    <r>
      <rPr>
        <sz val="11"/>
        <color theme="1"/>
        <rFont val="Calibri"/>
        <family val="2"/>
        <charset val="1"/>
      </rPr>
      <t xml:space="preserve">top1markets 2026-10-22</t>
    </r>
    <r>
      <rPr>
        <sz val="11"/>
        <color theme="1"/>
        <rFont val="Noto Sans CJK SC"/>
        <family val="2"/>
      </rPr>
      <t xml:space="preserve">（二手）同值</t>
    </r>
  </si>
  <si>
    <t xml:space="preserve">jpm_ai27</t>
  </si>
  <si>
    <r>
      <rPr>
        <sz val="11"/>
        <color theme="1"/>
        <rFont val="Calibri"/>
        <family val="2"/>
        <charset val="1"/>
      </rPr>
      <t xml:space="preserve">JPMorgan FY2027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</si>
  <si>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2026-06-22 </t>
    </r>
    <r>
      <rPr>
        <sz val="11"/>
        <color theme="1"/>
        <rFont val="Noto Sans CJK SC"/>
        <family val="2"/>
      </rPr>
      <t xml:space="preserve">轉述）：超過 </t>
    </r>
    <r>
      <rPr>
        <sz val="11"/>
        <color theme="1"/>
        <rFont val="Calibri"/>
        <family val="2"/>
        <charset val="1"/>
      </rPr>
      <t xml:space="preserve">$150B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</si>
  <si>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</si>
  <si>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</si>
  <si>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</si>
  <si>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</si>
  <si>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</si>
  <si>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</si>
  <si>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11.35–12.38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</si>
  <si>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</si>
  <si>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</si>
  <si>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同上（「明年」欄，頁面未標年度）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</si>
  <si>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</si>
  <si>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</si>
  <si>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t xml:space="preserve">jpm_u27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</si>
  <si>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占加速器出貨顆數（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</si>
  <si>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12.5M ÷ 23.3M</t>
    </r>
  </si>
  <si>
    <r>
      <rPr>
        <sz val="11"/>
        <color theme="1"/>
        <rFont val="Noto Sans CJK SC"/>
        <family val="2"/>
      </rPr>
      <t xml:space="preserve">本專案市場層 </t>
    </r>
    <r>
      <rPr>
        <sz val="11"/>
        <color theme="1"/>
        <rFont val="Calibri"/>
        <family val="2"/>
        <charset val="1"/>
      </rPr>
      <t xml:space="preserve">ASIC 2027 12.5M </t>
    </r>
    <r>
      <rPr>
        <sz val="11"/>
        <color theme="1"/>
        <rFont val="Noto Sans CJK SC"/>
        <family val="2"/>
      </rPr>
      <t xml:space="preserve">同一來源</t>
    </r>
  </si>
  <si>
    <t xml:space="preserve">cp_sh27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</si>
  <si>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設計夥伴份額（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</si>
  <si>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2026-01-28 </t>
    </r>
    <r>
      <rPr>
        <sz val="11"/>
        <color theme="1"/>
        <rFont val="Noto Sans CJK SC"/>
        <family val="2"/>
      </rPr>
      <t xml:space="preserve">轉述；口徑未說明）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</si>
  <si>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：高階 </t>
    </r>
    <r>
      <rPr>
        <sz val="11"/>
        <color theme="1"/>
        <rFont val="Calibri"/>
        <family val="2"/>
        <charset val="1"/>
      </rPr>
      <t xml:space="preserve">ASIC 80–85%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</si>
  <si>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加速器每顆價格（金額份額計算用；讀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模型成品，模組層級）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</si>
  <si>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</si>
  <si>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</si>
  <si>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</si>
  <si>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頁（同一套價格；唯讀）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</si>
  <si>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</si>
  <si>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</si>
  <si>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</si>
  <si>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pm_ru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</si>
  <si>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</si>
  <si>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</si>
  <si>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t xml:space="preserve">pm_hp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</si>
  <si>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</si>
  <si>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</si>
  <si>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</si>
  <si>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</si>
  <si>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In!E145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</si>
  <si>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</si>
  <si>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</si>
  <si>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nvidia/dist/20261030_NVIDIA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In!E147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</si>
  <si>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價格、估值與客戶融資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</si>
  <si>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</si>
  <si>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</si>
  <si>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stockscan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統計頁同值（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321.68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</si>
  <si>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323.24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YCharts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</si>
  <si>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</si>
  <si>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</si>
  <si>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</si>
  <si>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月約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月報導）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</si>
  <si>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</si>
  <si>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</si>
  <si>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（口徑未說明）</t>
    </r>
  </si>
  <si>
    <r>
      <rPr>
        <sz val="11"/>
        <color theme="1"/>
        <rFont val="Calibri"/>
        <family val="2"/>
        <charset val="1"/>
      </rPr>
      <t xml:space="preserve">GuruFocus 17.39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valueinvesting.io 49.62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；口徑不明，可能為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或舊預估，不採）</t>
    </r>
  </si>
  <si>
    <t xml:space="preserve">eps_q4_25</t>
  </si>
  <si>
    <r>
      <rPr>
        <sz val="11"/>
        <color theme="1"/>
        <rFont val="Calibri"/>
        <family val="2"/>
        <charset val="1"/>
      </rPr>
      <t xml:space="preserve">Q4 FY25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</si>
  <si>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</si>
  <si>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https://www.sec.gov/Archives/edgar/data/1730168/000173016825000116/avgo-11022025x8kxex99.htm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</si>
  <si>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</si>
  <si>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</si>
  <si>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_Andy_AVGO_20261023 B9b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</si>
  <si>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</si>
  <si>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fin_anth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</si>
  <si>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放款上限（可轉股）</t>
    </r>
  </si>
  <si>
    <r>
      <rPr>
        <sz val="11"/>
        <color theme="1"/>
        <rFont val="Calibri"/>
        <family val="2"/>
        <charset val="1"/>
      </rPr>
      <t xml:space="preserve">top1markets 2026-10-22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IPO </t>
    </r>
    <r>
      <rPr>
        <sz val="11"/>
        <color theme="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</si>
  <si>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：銀行團 </t>
    </r>
    <r>
      <rPr>
        <sz val="11"/>
        <color theme="1"/>
        <rFont val="Calibri"/>
        <family val="2"/>
        <charset val="1"/>
      </rPr>
      <t xml:space="preserve">$60B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$42B </t>
    </r>
    <r>
      <rPr>
        <sz val="11"/>
        <color theme="1"/>
        <rFont val="Noto Sans CJK SC"/>
        <family val="2"/>
      </rPr>
      <t xml:space="preserve">優先擔保部分由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殘值支撐（二手）</t>
    </r>
  </si>
  <si>
    <t xml:space="preserve">fin_oai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</si>
  <si>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安排的融資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</si>
  <si>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$50B</t>
    </r>
  </si>
  <si>
    <t xml:space="preserve">fin_lease</t>
  </si>
  <si>
    <r>
      <rPr>
        <sz val="11"/>
        <color theme="1"/>
        <rFont val="Noto Sans CJK SC"/>
        <family val="2"/>
      </rPr>
      <t xml:space="preserve">一家客戶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機架租賃擔保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</si>
  <si>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季報：最高約 </t>
    </r>
    <r>
      <rPr>
        <sz val="11"/>
        <color theme="1"/>
        <rFont val="Calibri"/>
        <family val="2"/>
        <charset val="1"/>
      </rPr>
      <t xml:space="preserve">$29B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</si>
  <si>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</si>
  <si>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</si>
  <si>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</si>
  <si>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</si>
  <si>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</si>
  <si>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</si>
  <si>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</si>
  <si>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</si>
  <si>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</si>
  <si>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</si>
  <si>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</si>
  <si>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</si>
  <si>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</si>
  <si>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</si>
  <si>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</si>
  <si>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</si>
  <si>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</si>
  <si>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</si>
  <si>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</si>
  <si>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</si>
  <si>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</si>
  <si>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</si>
  <si>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</si>
  <si>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</si>
  <si>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</si>
  <si>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</si>
  <si>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</si>
  <si>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</si>
  <si>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</si>
  <si>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</si>
  <si>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</si>
  <si>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</si>
  <si>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</si>
  <si>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</si>
  <si>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valueinvesting.io AVGO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FY2023 58.70%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28.45%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31.95%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</si>
  <si>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44.25%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淨利含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攤銷，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會更高（再投資率偏高、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偏保守）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</si>
  <si>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</si>
  <si>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</si>
  <si>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</si>
  <si>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</si>
  <si>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</si>
  <si>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</si>
  <si>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</si>
  <si>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22.58%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FY2016–FY2025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13.13%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12.05%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34.62%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39.31%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36.20%</t>
    </r>
    <r>
      <rPr>
        <sz val="11"/>
        <color theme="1"/>
        <rFont val="Noto Sans CJK SC"/>
        <family val="2"/>
      </rPr>
      <t xml:space="preserve">），含攤銷與一次性稅務，口徑不同不採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</si>
  <si>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</si>
  <si>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</si>
  <si>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51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</si>
  <si>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</si>
  <si>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Cambria"/>
        <family val="0"/>
        <charset val="1"/>
      </rPr>
      <t xml:space="preserve">N. </t>
    </r>
    <r>
      <rPr>
        <b val="true"/>
        <sz val="11"/>
        <rFont val="Noto Sans CJK SC"/>
        <family val="2"/>
      </rPr>
      <t xml:space="preserve">自由現金流假設（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實績為錨，各年營收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比率）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</si>
  <si>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</si>
  <si>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營收（只含不動產、廠房設備折舊；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淨利已排除無形資產攤銷，不再加回；自由現金流用）</t>
    </r>
  </si>
  <si>
    <r>
      <rPr>
        <sz val="11"/>
        <color theme="1"/>
        <rFont val="Calibri"/>
        <family val="2"/>
        <charset val="1"/>
      </rPr>
      <t xml:space="preserve">Broadcom FY2025 </t>
    </r>
    <r>
      <rPr>
        <sz val="11"/>
        <color theme="1"/>
        <rFont val="Noto Sans CJK SC"/>
        <family val="2"/>
      </rPr>
      <t xml:space="preserve">年報數字（會計年度至 </t>
    </r>
    <r>
      <rPr>
        <sz val="11"/>
        <color theme="1"/>
        <rFont val="Calibri"/>
        <family val="2"/>
        <charset val="1"/>
      </rPr>
      <t xml:space="preserve">2025-11-02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8-K Exhibit 99.1 </t>
    </r>
    <r>
      <rPr>
        <sz val="11"/>
        <color theme="1"/>
        <rFont val="Noto Sans CJK SC"/>
        <family val="2"/>
      </rPr>
      <t xml:space="preserve">現金流量表，與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相同）：</t>
    </r>
    <r>
      <rPr>
        <sz val="11"/>
        <color theme="1"/>
        <rFont val="Calibri"/>
        <family val="2"/>
        <charset val="1"/>
      </rPr>
      <t xml:space="preserve">Depreciation 574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63,887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</si>
  <si>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各年沿用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：比率不變）；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548 ÷ 51,574</t>
    </r>
    <r>
      <rPr>
        <sz val="11"/>
        <color theme="1"/>
        <rFont val="Noto Sans CJK SC"/>
        <family val="2"/>
      </rPr>
      <t xml:space="preserve">）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</si>
  <si>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</si>
  <si>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營收（購置不動產、廠房設備；自由現金流用）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</si>
  <si>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Purchases of property, plant and equipment 623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63,887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</si>
  <si>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</si>
  <si>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</si>
  <si>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</si>
  <si>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</si>
  <si>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</si>
  <si>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</si>
  <si>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</si>
  <si>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</si>
  <si>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</si>
  <si>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</si>
  <si>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</si>
  <si>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</si>
  <si>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</si>
  <si>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</si>
  <si>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</si>
  <si>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</si>
  <si>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</si>
  <si>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</si>
  <si>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</si>
  <si>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</si>
  <si>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</si>
  <si>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</si>
  <si>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</si>
  <si>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</si>
  <si>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</si>
  <si>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</si>
  <si>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</si>
  <si>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</si>
  <si>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</si>
  <si>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（排除股票薪酬、無形資產攤銷、重組）。藍字＝輸入；黑字＝公式。實績取自 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</si>
  <si>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Q1 8.4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16.7</t>
    </r>
    <r>
      <rPr>
        <sz val="11"/>
        <color theme="1"/>
        <rFont val="Noto Sans CJK SC"/>
        <family val="2"/>
      </rPr>
      <t xml:space="preserve">（公司）、</t>
    </r>
    <r>
      <rPr>
        <sz val="11"/>
        <color theme="1"/>
        <rFont val="Calibri"/>
        <family val="2"/>
        <charset val="1"/>
      </rPr>
      <t xml:space="preserve">Q4 21.7</t>
    </r>
    <r>
      <rPr>
        <sz val="11"/>
        <color theme="1"/>
        <rFont val="Noto Sans CJK SC"/>
        <family val="2"/>
      </rPr>
      <t xml:space="preserve">（公司指引）；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網通取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的實際推估 </t>
    </r>
    <r>
      <rPr>
        <sz val="11"/>
        <color theme="1"/>
        <rFont val="Calibri"/>
        <family val="2"/>
        <charset val="1"/>
      </rPr>
      <t xml:space="preserve">rep_avgo26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</si>
  <si>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</si>
  <si>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2026-02-01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</si>
  <si>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</si>
  <si>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</si>
  <si>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</si>
  <si>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</si>
  <si>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</si>
  <si>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</si>
  <si>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</si>
  <si>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https://www.sec.gov/Archives/edgar/data/1730168/000173016825000116/avgo-11022025x8kxex99.htm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https://www.sec.gov/Archives/edgar/data/1730168/000173016826000011/avgo-02012026x8kxex99.htm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https://www.sec.gov/Archives/edgar/data/1730168/000173016826000051/avgo-05032026x8kxex99.htm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</si>
  <si>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稿的九個月合計（營收 </t>
    </r>
    <r>
      <rPr>
        <sz val="11"/>
        <color theme="1"/>
        <rFont val="Calibri"/>
        <family val="2"/>
        <charset val="1"/>
      </rPr>
      <t xml:space="preserve">71.089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54.168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47.849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38.631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（下方檢查列）</t>
    </r>
  </si>
  <si>
    <t xml:space="preserve">  半導體解決方案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</si>
  <si>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</si>
  <si>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基礎架構軟體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</si>
  <si>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</si>
  <si>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</si>
  <si>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</si>
  <si>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展望 </t>
    </r>
    <r>
      <rPr>
        <sz val="11"/>
        <color theme="1"/>
        <rFont val="Calibri"/>
        <family val="2"/>
        <charset val="1"/>
      </rPr>
      <t xml:space="preserve">58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186%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</si>
  <si>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網通（實際推估；</t>
    </r>
    <r>
      <rPr>
        <sz val="11"/>
        <color theme="1"/>
        <rFont val="Calibri"/>
        <family val="2"/>
        <charset val="1"/>
      </rPr>
      <t xml:space="preserve">markets/network rep_avgo26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</si>
  <si>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73%</t>
    </r>
    <r>
      <rPr>
        <sz val="11"/>
        <color theme="1"/>
        <rFont val="Noto Sans CJK SC"/>
        <family val="2"/>
      </rPr>
      <t xml:space="preserve">（法說，二手，單一來源）</t>
    </r>
  </si>
  <si>
    <r>
      <rPr>
        <sz val="11"/>
        <color theme="1"/>
        <rFont val="Calibri"/>
        <family val="2"/>
        <charset val="1"/>
      </rPr>
      <t xml:space="preserve">  XPU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網通）</t>
    </r>
  </si>
  <si>
    <r>
      <rPr>
        <sz val="11"/>
        <color theme="1"/>
        <rFont val="Calibri"/>
        <family val="2"/>
        <charset val="1"/>
      </rPr>
      <t xml:space="preserve">FY2026 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營收（下一列）</t>
    </r>
  </si>
  <si>
    <t xml:space="preserve">  XPU ÷ AI</t>
  </si>
  <si>
    <r>
      <rPr>
        <sz val="11"/>
        <color theme="1"/>
        <rFont val="Calibri"/>
        <family val="2"/>
        <charset val="1"/>
      </rPr>
      <t xml:space="preserve">Q3 FY26 73%</t>
    </r>
    <r>
      <rPr>
        <sz val="11"/>
        <color theme="1"/>
        <rFont val="Noto Sans CJK SC"/>
        <family val="2"/>
      </rPr>
      <t xml:space="preserve">（法說，二手）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</si>
  <si>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半導體（＝半導體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</si>
  <si>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</si>
  <si>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</si>
  <si>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78.6%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</si>
  <si>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</si>
  <si>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</si>
  <si>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</si>
  <si>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</si>
  <si>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</si>
  <si>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</si>
  <si>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</si>
  <si>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</si>
  <si>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</si>
  <si>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</si>
  <si>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</si>
  <si>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</si>
  <si>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</si>
  <si>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</si>
  <si>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</si>
  <si>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</si>
  <si>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Q3 − </t>
    </r>
    <r>
      <rPr>
        <sz val="11"/>
        <color theme="1"/>
        <rFont val="Noto Sans CJK SC"/>
        <family val="2"/>
      </rPr>
      <t xml:space="preserve">九個月合計（營收、毛利、營業利益、淨利；應為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</si>
  <si>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（九個月欄）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</si>
  <si>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</si>
  <si>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</si>
  <si>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</si>
  <si>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</si>
  <si>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</si>
  <si>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</si>
  <si>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</si>
  <si>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條）與加速器金額份額。顆數：百萬顆（日曆年；與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</si>
  <si>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</si>
  <si>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</si>
  <si>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</si>
  <si>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</si>
  <si>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ASIC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</si>
  <si>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</si>
  <si>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</si>
  <si>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</si>
  <si>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</si>
  <si>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</si>
  <si>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markets/memory UNITS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</si>
  <si>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</si>
  <si>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</si>
  <si>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</si>
  <si>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</si>
  <si>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</si>
  <si>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模組價同口徑（含全部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，不論誰採購）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</si>
  <si>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</si>
  <si>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</si>
  <si>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</si>
  <si>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</si>
  <si>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</si>
  <si>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</si>
  <si>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已發生的實績與當季指引；不用共識、不用公司對 </t>
    </r>
    <r>
      <rPr>
        <b val="true"/>
        <sz val="11"/>
        <rFont val="Cambria"/>
        <family val="0"/>
        <charset val="1"/>
      </rPr>
      <t xml:space="preserve">FY2027–28 </t>
    </r>
    <r>
      <rPr>
        <b val="true"/>
        <sz val="11"/>
        <rFont val="Noto Sans CJK SC"/>
        <family val="2"/>
      </rPr>
      <t xml:space="preserve">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</si>
  <si>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</si>
  <si>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</si>
  <si>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</t>
    </r>
  </si>
  <si>
    <r>
      <rPr>
        <sz val="11"/>
        <color theme="1"/>
        <rFont val="Calibri"/>
        <family val="2"/>
        <charset val="1"/>
      </rPr>
      <t xml:space="preserve">rep_avgo26 ÷ markets/network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</si>
  <si>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</si>
  <si>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</si>
  <si>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</si>
  <si>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Calibri"/>
        <family val="2"/>
        <charset val="1"/>
      </rPr>
      <t xml:space="preserve">AI 57.6 −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17.6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</si>
  <si>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XPU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</si>
  <si>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加速器金額份額（</t>
    </r>
    <r>
      <rPr>
        <b val="true"/>
        <sz val="11"/>
        <rFont val="Cambria"/>
        <family val="0"/>
        <charset val="1"/>
      </rPr>
      <t xml:space="preserve">accel_share</t>
    </r>
    <r>
      <rPr>
        <b val="true"/>
        <sz val="11"/>
        <rFont val="Noto Sans CJK SC"/>
        <family val="2"/>
      </rPr>
      <t xml:space="preserve">；各平台每顆總價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顆數；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用本頁第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節的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每顆總價，其他平台讀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</si>
  <si>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</si>
  <si>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</si>
  <si>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</si>
  <si>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</si>
  <si>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</si>
  <si>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</si>
  <si>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</si>
  <si>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</si>
  <si>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</si>
  <si>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</si>
  <si>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</si>
  <si>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</si>
  <si>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</si>
  <si>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</si>
  <si>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</si>
  <si>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</si>
  <si>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</si>
  <si>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＋其他）金額份額</t>
    </r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</si>
  <si>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合計顆數份額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</si>
  <si>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總價口徑）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</si>
  <si>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顆數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</si>
  <si>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</si>
  <si>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</si>
  <si>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口徑：每顆價為「晶片＋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」的模組層級價（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節總價，含全部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，不論由誰採購），不含系統加價與網通。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每顆價的金額份額以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價套用各年（</t>
    </r>
    <r>
      <rPr>
        <b val="true"/>
        <sz val="11"/>
        <rFont val="Cambria"/>
        <family val="0"/>
        <charset val="1"/>
      </rPr>
      <t xml:space="preserve">accel_share </t>
    </r>
    <r>
      <rPr>
        <b val="true"/>
        <sz val="11"/>
        <rFont val="Noto Sans CJK SC"/>
        <family val="2"/>
      </rPr>
      <t xml:space="preserve">每平台一個價格）。</t>
    </r>
  </si>
  <si>
    <r>
      <rPr>
        <sz val="11"/>
        <color theme="1"/>
        <rFont val="Calibri"/>
        <family val="2"/>
        <charset val="1"/>
      </rPr>
      <t xml:space="preserve">PL — Broadcom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</si>
  <si>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</si>
  <si>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</si>
  <si>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</si>
  <si>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</si>
  <si>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</si>
  <si>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</si>
  <si>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</si>
  <si>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半導體</t>
    </r>
  </si>
  <si>
    <t xml:space="preserve">    XPU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</si>
  <si>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網通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</si>
  <si>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</si>
  <si>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</si>
  <si>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</si>
  <si>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</si>
  <si>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</si>
  <si>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 </t>
    </r>
    <r>
      <rPr>
        <b val="true"/>
        <sz val="11"/>
        <rFont val="Cambria"/>
        <family val="0"/>
        <charset val="1"/>
      </rPr>
      <t xml:space="preserve">XPU −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XPU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k_n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</si>
  <si>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</si>
  <si>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</si>
  <si>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</si>
  <si>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</si>
  <si>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</si>
  <si>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</si>
  <si>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</si>
  <si>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</si>
  <si>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</si>
  <si>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</si>
  <si>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</si>
  <si>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</si>
  <si>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</si>
  <si>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</si>
  <si>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</si>
  <si>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</si>
  <si>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：以已發生的實績（</t>
    </r>
    <r>
      <rPr>
        <sz val="11"/>
        <color theme="1"/>
        <rFont val="Calibri"/>
        <family val="2"/>
        <charset val="1"/>
      </rPr>
      <t xml:space="preserve">Q1–Q3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起沿用。顆數層、份額與核心單價無法分開識別，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是合併係數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</si>
  <si>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</si>
  <si>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</si>
  <si>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</si>
  <si>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</si>
  <si>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網通、非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半導體、軟體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</si>
  <si>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情境顆數係數）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</si>
  <si>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 </t>
    </r>
    <r>
      <rPr>
        <sz val="11"/>
        <color theme="1"/>
        <rFont val="Noto Sans CJK SC"/>
        <family val="2"/>
      </rPr>
      <t xml:space="preserve">＝ 實際推估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</si>
  <si>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</si>
  <si>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網通營收</t>
    </r>
  </si>
  <si>
    <t xml:space="preserve">XPU ÷ 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</si>
  <si>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</t>
    </r>
  </si>
  <si>
    <t xml:space="preserve">基礎架構軟體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</si>
  <si>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</si>
  <si>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應等於錨點）</t>
    </r>
  </si>
  <si>
    <r>
      <rPr>
        <sz val="11"/>
        <color theme="1"/>
        <rFont val="Noto Sans CJK SC"/>
        <family val="2"/>
      </rPr>
      <t xml:space="preserve">半導體解決方案營收（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半導體）</t>
    </r>
  </si>
  <si>
    <r>
      <rPr>
        <sz val="11"/>
        <color theme="1"/>
        <rFont val="Noto Sans CJK SC"/>
        <family val="2"/>
      </rPr>
      <t xml:space="preserve">官方分部 </t>
    </r>
    <r>
      <rPr>
        <sz val="11"/>
        <color theme="1"/>
        <rFont val="Calibri"/>
        <family val="2"/>
        <charset val="1"/>
      </rPr>
      <t xml:space="preserve">Semiconductor solutions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</si>
  <si>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</si>
  <si>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</si>
  <si>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</si>
  <si>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毛利：網通＋非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＋軟體＋代購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</si>
  <si>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</si>
  <si>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起的毛利率變化來自營收組合（代購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漲價與容量上升）</t>
    </r>
  </si>
  <si>
    <t xml:space="preserve">毛利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</si>
  <si>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</si>
  <si>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</si>
  <si>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</si>
  <si>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</si>
  <si>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利息費用</t>
  </si>
  <si>
    <t xml:space="preserve">其他收益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</si>
  <si>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</si>
  <si>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</si>
  <si>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</si>
  <si>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</si>
  <si>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</si>
  <si>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</si>
  <si>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</si>
  <si>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</si>
  <si>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</si>
  <si>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</si>
  <si>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</si>
  <si>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</si>
  <si>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</si>
  <si>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</si>
  <si>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</si>
  <si>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</si>
  <si>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</si>
  <si>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</si>
  <si>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</si>
  <si>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</si>
  <si>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</si>
  <si>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新增：每年自由現金流＝淨利（延伸表）＋營收 </t>
    </r>
    <r>
      <rPr>
        <b val="true"/>
        <sz val="11"/>
        <rFont val="Cambria"/>
        <family val="0"/>
        <charset val="1"/>
      </rPr>
      <t xml:space="preserve">× da_rev −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cx_rev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節；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比率沿用）；不含營運資金變動。欄位：各情境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各年度</t>
    </r>
  </si>
  <si>
    <t xml:space="preserve">FY2026 A</t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</si>
  <si>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</si>
  <si>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</si>
  <si>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</si>
  <si>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</si>
  <si>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</si>
  <si>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</si>
  <si>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FY2026 B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</si>
  <si>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</si>
  <si>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</si>
  <si>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</si>
  <si>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</si>
  <si>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</si>
  <si>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</si>
  <si>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FY2026 C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</si>
  <si>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</si>
  <si>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</si>
  <si>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</si>
  <si>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</si>
  <si>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</si>
  <si>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</si>
  <si>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</si>
  <si>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淨利＝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延伸表「淨利（延伸表）」，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（排除股票薪酬、無形資產攤銷等）：股票薪酬為非現金費用，排除後接近現金口徑；無形資產攤銷已不在淨利內，故折舊只加回不動產、廠房設備折舊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</si>
  <si>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（模型與共識）」。十年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規則值本版不適用：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受無形資產攤銷扭曲（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年為負、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</si>
  <si>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，不平移），見頂年度讀設備市場模型；本版只記錄判定，倍數待前瞻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</si>
  <si>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</si>
  <si>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</si>
  <si>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</si>
  <si>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</si>
  <si>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</si>
  <si>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</si>
  <si>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</si>
  <si>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</si>
  <si>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</si>
  <si>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</si>
  <si>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</si>
  <si>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</si>
  <si>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</si>
  <si>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</si>
  <si>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</si>
  <si>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</si>
  <si>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期內占比 </t>
    </r>
    <r>
      <rPr>
        <sz val="11"/>
        <color theme="1"/>
        <rFont val="Calibri"/>
        <family val="2"/>
        <charset val="1"/>
      </rPr>
      <t xml:space="preserve">10/12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年底後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</si>
  <si>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</si>
  <si>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</si>
  <si>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</si>
  <si>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</si>
  <si>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</si>
  <si>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</si>
  <si>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</si>
  <si>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</si>
  <si>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</si>
  <si>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</si>
  <si>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</si>
  <si>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</si>
  <si>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</si>
  <si>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</si>
  <si>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</si>
  <si>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</si>
  <si>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</si>
  <si>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</si>
  <si>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NVIDIA</t>
  </si>
  <si>
    <t xml:space="preserve">NVDA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</si>
  <si>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</si>
  <si>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</si>
  <si>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</si>
  <si>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AMD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</si>
  <si>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</si>
  <si>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Marvell</t>
  </si>
  <si>
    <t xml:space="preserve">MRVL</t>
  </si>
  <si>
    <t xml:space="preserve">Qualcomm</t>
  </si>
  <si>
    <t xml:space="preserve">QCOM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</si>
  <si>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ADR</t>
    </r>
  </si>
  <si>
    <t xml:space="preserve">TSM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</si>
  <si>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</si>
  <si>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半導體大型股同業（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、代工）；不含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</si>
  <si>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</si>
  <si>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</si>
  <si>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1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</si>
  <si>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</si>
  <si>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</si>
  <si>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</si>
  <si>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</si>
  <si>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</si>
  <si>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</si>
  <si>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</si>
  <si>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</si>
  <si>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</si>
  <si>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</si>
  <si>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</si>
  <si>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</si>
  <si>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</si>
  <si>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</si>
  <si>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</si>
  <si>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</si>
  <si>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</si>
  <si>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</si>
  <si>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</si>
  <si>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</si>
  <si>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Val!B90:B99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</si>
  <si>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</si>
  <si>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GAAP ROE 32%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10/12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FY2028 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（攤銷扭曲，只作檢查）；永續價值占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</si>
  <si>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</si>
  <si>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</si>
  <si>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</si>
  <si>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</si>
  <si>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</si>
  <si>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</si>
  <si>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</si>
  <si>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</si>
  <si>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</si>
  <si>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Q1–Q3 FY26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</si>
  <si>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B9a </t>
    </r>
    <r>
      <rPr>
        <sz val="11"/>
        <color theme="1"/>
        <rFont val="Noto Sans CJK SC"/>
        <family val="2"/>
      </rPr>
      <t xml:space="preserve">答「前瞻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」：接近近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倍數，而非前瞻倍數（見 </t>
    </r>
    <r>
      <rPr>
        <sz val="11"/>
        <color theme="1"/>
        <rFont val="Calibri"/>
        <family val="2"/>
        <charset val="1"/>
      </rPr>
      <t xml:space="preserve">Recon 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</si>
  <si>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</si>
  <si>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；口徑未說明）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</si>
  <si>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</t>
    </r>
    <r>
      <rPr>
        <b val="true"/>
        <sz val="11"/>
        <rFont val="Noto Sans CJK SC"/>
        <family val="2"/>
      </rPr>
      <t xml:space="preserve">）——只記錄判定；倍數待前瞻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歷史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</si>
  <si>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</si>
  <si>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</si>
  <si>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</si>
  <si>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</si>
  <si>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</si>
  <si>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</si>
  <si>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</si>
  <si>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</si>
  <si>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</si>
  <si>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</si>
  <si>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</si>
  <si>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</si>
  <si>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共識 </t>
    </r>
    <r>
      <rPr>
        <b val="true"/>
        <sz val="11"/>
        <rFont val="Cambria"/>
        <family val="0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</si>
  <si>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。所需倍數愈低，現價愈便宜；倍數是否合理，待前瞻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</si>
  <si>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</si>
  <si>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</si>
  <si>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</si>
  <si>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</si>
  <si>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</si>
  <si>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日；不適用——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受攤銷扭曲，只作紀錄）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</si>
  <si>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</si>
  <si>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落後）</t>
    </r>
  </si>
  <si>
    <t xml:space="preserve">2016</t>
  </si>
  <si>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</si>
  <si>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</si>
  <si>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</si>
  <si>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</si>
  <si>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</si>
  <si>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</si>
  <si>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</si>
  <si>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</si>
  <si>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</si>
  <si>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</si>
  <si>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Noto Sans CJK SC"/>
        <family val="2"/>
      </rPr>
      <t xml:space="preserve">頁面資料只到 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：未找到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</si>
  <si>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macrotrends.net/stocks/charts/AVGO/broadcom/pe-ratio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Interested-party</t>
    </r>
    <r>
      <rPr>
        <i val="true"/>
        <sz val="11"/>
        <rFont val="Noto Sans CJK SC"/>
        <family val="2"/>
      </rPr>
      <t xml:space="preserve">，資料商）；第二來源：未找到。前瞻 </t>
    </r>
    <r>
      <rPr>
        <i val="true"/>
        <sz val="11"/>
        <rFont val="Cambria"/>
        <family val="0"/>
        <charset val="1"/>
      </rPr>
      <t xml:space="preserve">P/E </t>
    </r>
    <r>
      <rPr>
        <i val="true"/>
        <sz val="11"/>
        <rFont val="Noto Sans CJK SC"/>
        <family val="2"/>
      </rPr>
      <t xml:space="preserve">歷史待 </t>
    </r>
    <r>
      <rPr>
        <i val="true"/>
        <sz val="11"/>
        <rFont val="Cambria"/>
        <family val="0"/>
        <charset val="1"/>
      </rPr>
      <t xml:space="preserve">Bloomberg </t>
    </r>
    <r>
      <rPr>
        <i val="true"/>
        <sz val="11"/>
        <rFont val="Noto Sans CJK SC"/>
        <family val="2"/>
      </rPr>
      <t xml:space="preserve">抓取單（</t>
    </r>
    <r>
      <rPr>
        <i val="true"/>
        <sz val="11"/>
        <rFont val="Cambria"/>
        <family val="0"/>
        <charset val="1"/>
      </rPr>
      <t xml:space="preserve">10-27</t>
    </r>
    <r>
      <rPr>
        <i val="true"/>
        <sz val="1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</si>
  <si>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</si>
  <si>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</si>
  <si>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</si>
  <si>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</si>
  <si>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</si>
  <si>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</si>
  <si>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</si>
  <si>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</si>
  <si>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</si>
  <si>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</si>
  <si>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</si>
  <si>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</si>
  <si>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</si>
  <si>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月底會計年度年底）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2016 GAAP EPS </t>
    </r>
    <r>
      <rPr>
        <sz val="11"/>
        <color theme="1"/>
        <rFont val="Noto Sans CJK SC"/>
        <family val="2"/>
      </rPr>
      <t xml:space="preserve">為負、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未找到，取有值的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）。本模型無規則值（前瞻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歷史待補），依工作單改用此備案。偏誤方向為高估：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受併購無形資產攤銷壓低，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年併購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後約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），乘在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上偏高；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）的價格、未折現。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</si>
  <si>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</si>
  <si>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</si>
  <si>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</si>
  <si>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</si>
  <si>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</si>
  <si>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</si>
  <si>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</si>
  <si>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</si>
  <si>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</si>
  <si>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</si>
  <si>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</si>
  <si>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</si>
  <si>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</si>
  <si>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</si>
  <si>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</si>
  <si>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</si>
  <si>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</si>
  <si>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</si>
  <si>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</si>
  <si>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</si>
  <si>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</si>
  <si>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Broadcom</t>
  </si>
  <si>
    <t xml:space="preserve">AVGO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</si>
  <si>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</si>
  <si>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</si>
  <si>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</si>
  <si>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NVDA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</si>
  <si>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AMD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</si>
  <si>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</si>
  <si>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QCOM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</si>
  <si>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TSM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</si>
  <si>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</si>
  <si>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</si>
  <si>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</si>
  <si>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</si>
  <si>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</si>
  <si>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</si>
  <si>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</si>
  <si>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</si>
  <si>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</si>
  <si>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</si>
  <si>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</si>
  <si>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</si>
  <si>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</si>
  <si>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</si>
  <si>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公司展望、共識、市場層。只作事後對照，不為對上數字而調參數。公司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營收展望（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</si>
  <si>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</si>
  <si>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</si>
  <si>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</si>
  <si>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</si>
  <si>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</si>
  <si>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</si>
  <si>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</si>
  <si>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</si>
  <si>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；校準未使用）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</si>
  <si>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</t>
    </r>
  </si>
  <si>
    <t xml:space="preserve">公司（法說）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</si>
  <si>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</si>
  <si>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115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</si>
  <si>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JPMorgan 150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</si>
  <si>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</si>
  <si>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230</t>
    </r>
  </si>
  <si>
    <r>
      <rPr>
        <sz val="11"/>
        <color theme="1"/>
        <rFont val="Noto Sans CJK SC"/>
        <family val="2"/>
      </rPr>
      <t xml:space="preserve">差距主要在顆數：公司說法含 </t>
    </r>
    <r>
      <rPr>
        <sz val="11"/>
        <color theme="1"/>
        <rFont val="Calibri"/>
        <family val="2"/>
        <charset val="1"/>
      </rPr>
      <t xml:space="preserve">Anthropic 2028 </t>
    </r>
    <r>
      <rPr>
        <sz val="11"/>
        <color theme="1"/>
        <rFont val="Noto Sans CJK SC"/>
        <family val="2"/>
      </rPr>
      <t xml:space="preserve">年再加約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5 GW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</si>
  <si>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：要達到公司展望，</t>
    </r>
    <r>
      <rPr>
        <b val="true"/>
        <sz val="11"/>
        <rFont val="Cambria"/>
        <family val="0"/>
        <charset val="1"/>
      </rPr>
      <t xml:space="preserve">Broadcom XPU </t>
    </r>
    <r>
      <rPr>
        <b val="true"/>
        <sz val="11"/>
        <rFont val="Noto Sans CJK SC"/>
        <family val="2"/>
      </rPr>
      <t xml:space="preserve">顆數需要是模型的幾倍（網通、核心售價、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不變）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</si>
  <si>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</si>
  <si>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</si>
  <si>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</si>
  <si>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顆數（百萬顆）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</si>
  <si>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對照值＝模型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</si>
  <si>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</si>
  <si>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</si>
  <si>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</si>
  <si>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</si>
  <si>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</si>
  <si>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</si>
  <si>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</si>
  <si>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營收（共識營收 − 模型非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模型軟體）</t>
    </r>
  </si>
  <si>
    <t xml:space="preserve">推導</t>
  </si>
  <si>
    <r>
      <rPr>
        <sz val="11"/>
        <color theme="1"/>
        <rFont val="Noto Sans CJK SC"/>
        <family val="2"/>
      </rPr>
      <t xml:space="preserve">與公司展望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比較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</si>
  <si>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份額與顆數（先驗比對的機制檢查）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</si>
  <si>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金額份額（模組層級）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14–19%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</si>
  <si>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_AVGO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</si>
  <si>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顆數份額 </t>
    </r>
    <r>
      <rPr>
        <sz val="11"/>
        <color theme="1"/>
        <rFont val="Calibri"/>
        <family val="2"/>
        <charset val="1"/>
      </rPr>
      <t xml:space="preserve">vs JPMorgan 53.6%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</si>
  <si>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（二手）；市場層同一來源</t>
    </r>
  </si>
  <si>
    <r>
      <rPr>
        <sz val="11"/>
        <color theme="1"/>
        <rFont val="Noto Sans CJK SC"/>
        <family val="2"/>
      </rPr>
      <t xml:space="preserve">非獨立檢驗（市場層顆數即取自 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</si>
  <si>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</si>
  <si>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（二手；口徑未說明）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</si>
  <si>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</si>
  <si>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</si>
  <si>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t xml:space="preserve">accel_share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</si>
  <si>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</t>
    </r>
  </si>
  <si>
    <r>
      <rPr>
        <sz val="11"/>
        <color theme="1"/>
        <rFont val="Noto Sans CJK SC"/>
        <family val="2"/>
      </rPr>
      <t xml:space="preserve">每顆價差：</t>
    </r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總價（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</t>
    </r>
  </si>
  <si>
    <t xml:space="preserve">顆數份額約為金額份額數倍的原因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</si>
  <si>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 vs Andy </t>
    </r>
    <r>
      <rPr>
        <sz val="11"/>
        <color theme="1"/>
        <rFont val="Noto Sans CJK SC"/>
        <family val="2"/>
      </rPr>
      <t xml:space="preserve">先驗「前瞻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</si>
  <si>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 B9a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</si>
  <si>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35x </t>
    </r>
    <r>
      <rPr>
        <sz val="11"/>
        <color theme="1"/>
        <rFont val="Noto Sans CJK SC"/>
        <family val="2"/>
      </rPr>
      <t xml:space="preserve">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月倍數；前瞻（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）倍數見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</si>
  <si>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校準與網通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</si>
  <si>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</si>
  <si>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</si>
  <si>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假設單價與實績一致</t>
    </r>
  </si>
  <si>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（網通校準係數）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</si>
  <si>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歸屬比例偏低（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</si>
  <si>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</si>
  <si>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</si>
  <si>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高＝設計與邏輯晶片加價高；代購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稀釋整體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</si>
  <si>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</si>
  <si>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，續降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</si>
  <si>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共識隱含（約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19.40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</si>
  <si>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</si>
  <si>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客戶融資曝險（資訊；不進基準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</si>
  <si>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融資安排（標題值）</t>
    </r>
    <r>
      <rPr>
        <sz val="11"/>
        <color theme="1"/>
        <rFont val="Calibri"/>
        <family val="2"/>
        <charset val="1"/>
      </rPr>
      <t xml:space="preserve">vs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</si>
  <si>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</si>
  <si>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92B ≈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目標的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；非資產負債表曝險，部分在銀行團；另有一家客戶機架租賃擔保約 </t>
    </r>
    <r>
      <rPr>
        <sz val="11"/>
        <color theme="1"/>
        <rFont val="Calibri"/>
        <family val="2"/>
        <charset val="1"/>
      </rPr>
      <t xml:space="preserve">29B</t>
    </r>
    <r>
      <rPr>
        <sz val="11"/>
        <color theme="1"/>
        <rFont val="Noto Sans CJK SC"/>
        <family val="2"/>
      </rPr>
      <t xml:space="preserve">（季報），可能與上列重疊，不加總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</si>
  <si>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</si>
  <si>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淨利（模型）</t>
    </r>
  </si>
  <si>
    <t xml:space="preserve">若全數損失的量級（不含回收與銀行團分擔）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</si>
  <si>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</si>
  <si>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IF_NonNV_Hold_TPU </t>
    </r>
    <r>
      <rPr>
        <sz val="11"/>
        <color theme="1"/>
        <rFont val="Noto Sans CJK SC"/>
        <family val="2"/>
      </rPr>
      <t xml:space="preserve">等比例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</si>
  <si>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</si>
  <si>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</si>
  <si>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</si>
  <si>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</si>
  <si>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</si>
  <si>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</si>
  <si>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</si>
  <si>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</si>
  <si>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</si>
  <si>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</si>
  <si>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</si>
  <si>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</si>
  <si>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</si>
  <si>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</si>
  <si>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</si>
  <si>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</si>
  <si>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×1.1</t>
    </r>
  </si>
  <si>
    <t xml:space="preserve">×1.1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</si>
  <si>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</si>
  <si>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版放量）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</si>
  <si>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</si>
  <si>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個百分點（上限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</si>
  <si>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</si>
  <si>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</si>
  <si>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+15pt</t>
    </r>
  </si>
  <si>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</si>
  <si>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</si>
  <si>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</si>
  <si>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</si>
  <si>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</si>
  <si>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</si>
  <si>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</si>
  <si>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1.0</t>
    </r>
  </si>
  <si>
    <t xml:space="preserve">全部代購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</si>
  <si>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0%</t>
    </r>
  </si>
  <si>
    <t xml:space="preserve">零加成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</si>
  <si>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</t>
    </r>
  </si>
  <si>
    <t xml:space="preserve">20%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</si>
  <si>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</si>
  <si>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</si>
  <si>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×1.2</t>
    </r>
  </si>
  <si>
    <t xml:space="preserve">軟體成長 低</t>
  </si>
  <si>
    <r>
      <rPr>
        <sz val="11"/>
        <color theme="1"/>
        <rFont val="Calibri"/>
        <family val="2"/>
        <charset val="1"/>
      </rPr>
      <t xml:space="preserve">FY2027 +8%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+4%</t>
    </r>
  </si>
  <si>
    <t xml:space="preserve">軟體成長 高</t>
  </si>
  <si>
    <r>
      <rPr>
        <sz val="11"/>
        <color theme="1"/>
        <rFont val="Calibri"/>
        <family val="2"/>
        <charset val="1"/>
      </rPr>
      <t xml:space="preserve">FY2027 +18%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</si>
  <si>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</si>
  <si>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</si>
  <si>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</si>
  <si>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</si>
  <si>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</si>
  <si>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</si>
  <si>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</si>
  <si>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</si>
  <si>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</si>
  <si>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</si>
  <si>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</si>
  <si>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</si>
  <si>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</si>
  <si>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</si>
  <si>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</si>
  <si>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</si>
  <si>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</si>
  <si>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</si>
  <si>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</si>
  <si>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</si>
  <si>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</si>
  <si>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</si>
  <si>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</si>
  <si>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</si>
  <si>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</si>
  <si>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</si>
  <si>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</si>
  <si>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</si>
  <si>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</si>
  <si>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</si>
  <si>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</si>
  <si>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</si>
  <si>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</si>
  <si>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</si>
  <si>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</si>
  <si>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</si>
  <si>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</si>
  <si>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</si>
  <si>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Broadcom 8-K </t>
    </r>
    <r>
      <rPr>
        <b val="true"/>
        <sz val="11"/>
        <rFont val="Noto Sans CJK SC"/>
        <family val="2"/>
      </rPr>
      <t xml:space="preserve">新聞稿，已逐份抓取；法說逐字稿只經二手轉述）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</si>
  <si>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</si>
  <si>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</si>
  <si>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https://www.sec.gov/Archives/edgar/data/1730168/000173016826000011/avgo-02012026x8kxex99.htm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</si>
  <si>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</si>
  <si>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https://www.sec.gov/Archives/edgar/data/1730168/000173016826000051/avgo-05032026x8kxex99.htm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</si>
  <si>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指引、九個月合計）</t>
    </r>
  </si>
  <si>
    <t xml:space="preserve">https://investors.broadcom.com/news-releases/news-release-details/broadcom-inc-announces-third-quarter-fiscal-year-2026-financial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</si>
  <si>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XPU 73%</t>
    </r>
    <r>
      <rPr>
        <sz val="11"/>
        <color theme="1"/>
        <rFont val="Noto Sans CJK SC"/>
        <family val="2"/>
      </rPr>
      <t xml:space="preserve">、客戶、毛利率路徑、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展望）</t>
    </r>
  </si>
  <si>
    <t xml:space="preserve">https://www.investing.com/news/transcripts/earnings-call-transcript-broadcom-tops-q3-2026-estimates-as-ai-sales-surge-93CH-4886849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</si>
  <si>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法說摘要</t>
    </r>
  </si>
  <si>
    <t xml:space="preserve">https://finance.biggo.com/news/US_AVGO_2026-09-02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</si>
  <si>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共識、現價、前瞻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</si>
  <si>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https://stockanalysis.com/stocks/avgo/forecast/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</si>
  <si>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</si>
  <si>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https://www.gurufocus.com/term/forward-pe-ratio/AVGO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</si>
  <si>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49.62</t>
    </r>
    <r>
      <rPr>
        <sz val="11"/>
        <color theme="1"/>
        <rFont val="Noto Sans CJK SC"/>
        <family val="2"/>
      </rPr>
      <t xml:space="preserve">（口徑不明，不採）</t>
    </r>
  </si>
  <si>
    <t xml:space="preserve">https://valueinvesting.io/AVGO/metric/forward-pe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</si>
  <si>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客戶融資與股價（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</si>
  <si>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https://www.top1markets.com/news/broadcom-stock-ai-revenue-230-billion-financing-risk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</si>
  <si>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</t>
    </r>
  </si>
  <si>
    <t xml:space="preserve">https://www.kucoin.com/news/flash/jpmorgan-ai-custom-chip-shipments-to-surpass-gpus-by-2027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</si>
  <si>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Broadcom 2027 ASIC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60%</t>
    </r>
  </si>
  <si>
    <t xml:space="preserve">https://finance.yahoo.com/news/broadcom-set-dominate-custom-ai-163116560.html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</si>
  <si>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 GAAP P/E</t>
    </r>
  </si>
  <si>
    <t xml:space="preserve">https://www.macrotrends.net/stocks/charts/AVGO/broadcom/pe-ratio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</si>
  <si>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</si>
  <si>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）；各客戶營收；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產品別毛利率；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</si>
  <si>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</si>
  <si>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</si>
  <si>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</si>
  <si>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Noto Sans CJK SC"/>
        <family val="2"/>
      </rPr>
      <t xml:space="preserve">自由現金流假設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FY2025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</si>
  <si>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https://investors.broadcom.com/static-files/dd25b8a9-a65a-4125-b02b-b1a6eb154cde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Depreciation 574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Amortization of intangible and right-of-use assets 8,201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623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63,887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https://www.sec.gov/Archives/edgar/data/1730168/000173016825000121/avgo-20251102.htm</t>
    </r>
  </si>
  <si>
    <r>
      <rPr>
        <sz val="11"/>
        <color theme="1"/>
        <rFont val="Noto Sans CJK SC"/>
        <family val="2"/>
      </rPr>
      <t xml:space="preserve">自由現金流各年比率沿用 </t>
    </r>
    <r>
      <rPr>
        <sz val="11"/>
        <color theme="1"/>
        <rFont val="Calibri"/>
        <family val="2"/>
        <charset val="1"/>
      </rPr>
      <t xml:space="preserve">FY2025 [Assumed]</t>
    </r>
  </si>
  <si>
    <r>
      <rPr>
        <sz val="11"/>
        <color theme="1"/>
        <rFont val="Noto Sans CJK SC"/>
        <family val="2"/>
      </rPr>
      <t xml:space="preserve">折舊、資本支出占營收比例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起不變；未含營運資金變動；淨利為 </t>
    </r>
    <r>
      <rPr>
        <sz val="11"/>
        <color theme="1"/>
        <rFont val="Calibri"/>
        <family val="2"/>
        <charset val="1"/>
      </rPr>
      <t xml:space="preserve">non-GAAP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</si>
</sst>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0"/>
    <numFmt numFmtId="167" formatCode="0.0%"/>
    <numFmt numFmtId="168" formatCode="0.000"/>
    <numFmt numFmtId="169" formatCode="0.00"/>
    <numFmt numFmtId="170" formatCode="0"/>
    <numFmt numFmtId="171" formatCode="0.0"/>
    <numFmt numFmtId="172" formatCode="#,##0.0"/>
    <numFmt numFmtId="173" formatCode="0.0000"/>
    <numFmt numFmtId="174" formatCode="#,##0.00"/>
    <numFmt numFmtId="175" formatCode="0%"/>
    <numFmt numFmtId="17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4" t="s">
        <v>13</v>
      </c>
    </row>
    <row r="17" customFormat="false" ht="17.15" hidden="false" customHeight="false" outlineLevel="0" collapsed="false">
      <c r="A17" s="0" t="s">
        <v>14</v>
      </c>
    </row>
    <row r="18" customFormat="false" ht="17.15" hidden="false" customHeight="false" outlineLevel="0" collapsed="false">
      <c r="A18" s="5" t="s">
        <v>15</v>
      </c>
    </row>
    <row r="19" customFormat="false" ht="17.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1" t="str">
        <f aca="false">"投資建議："&amp;Val!B113&amp;"（依上檔空間固定規則）"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US$"&amp;TEXT(Val!$B$40,"#,##0.00")&amp;"（DCF "&amp;TEXT(Val!$B$23,"#,##0.00")&amp;"、Comparable（相對倍數調整後）"&amp;TEXT(tp_comp_adj,"#,##0.00")&amp;"；DCF 權重 "&amp;TEXT(tp_w_dcf,"0%")&amp;"），比現價 "&amp;TEXT(px,"#,##0.00")&amp;"（2026-10-23）"&amp;IF(Val!$B$43&gt;=0,"高 "&amp;TEXT(Val!$B$43,"0.0%"),"低 "&amp;TEXT(-Val!$B$43,"0.0%"))&amp;"，級距 "&amp;Val!$B$112&amp;"、投資建議 "&amp;Val!$B$113&amp;"。相對倍數調整係數 "&amp;TEXT(rm_factor,"0.00")&amp;"（本公司 10 年前瞻倍數中位數 ÷ 同業的中位數，夾在 0.5–2.0；Val 第 0.5 節），調整前加權上檔空間 "&amp;TEXT((tp_w_dcf*Val!$B$23+(1-tp_w_dcf)*Val!$B$36)/px-1,"+0.0%;−0.0%")&amp;"；Comparable 單獨（市場主流同業法、未調整）為 "&amp;TEXT(Val!$B$44,"+0.0%;−0.0%")&amp;"。"&amp;"以下為 2026-10-29 相對倍數調整前撰寫的說明，其中數字為調整前：與共識目標價 529.1 的差距主要在倍數：本模型 FY2027 EPS 18.08 只比共識 19.40 低 6.8%，但共識目標價隱含 27.3 倍共識 EPS，比同業（NVIDIA、AMD、Marvell、Qualcomm、台積電 ADR）前瞻 P/E 中位數 19.6 倍高 39.1%；現價隱含 16.6 倍。"</f>
        <v>重點觀察 1：目標價 US$273.11（DCF 324.56、Comparable（相對倍數調整後）221.65；DCF 權重 50%），比現價 321.68（2026-10-23）低 15.1%，級距 0%～−25%、投資建議 中立。相對倍數調整係數 0.62（本公司 10 年前瞻倍數中位數 ÷ 同業的中位數，夾在 0.5–2.0；Val 第 0.5 節），調整前加權上檔空間 +5.9%；Comparable 單獨（市場主流同業法、未調整）為 +10.9%。以下為 2026-10-29 相對倍數調整前撰寫的說明，其中數字為調整前：與共識目標價 529.1 的差距主要在倍數：本模型 FY2027 EPS 18.08 只比共識 19.40 低 6.8%，但共識目標價隱含 27.3 倍共識 EPS，比同業（NVIDIA、AMD、Marvell、Qualcomm、台積電 ADR）前瞻 P/E 中位數 19.6 倍高 39.1%；現價隱含 16.6 倍。</v>
      </c>
    </row>
    <row r="22" customFormat="false" ht="17.15" hidden="false" customHeight="false" outlineLevel="0" collapsed="false">
      <c r="A22" s="5" t="s">
        <v>17</v>
      </c>
    </row>
    <row r="23" customFormat="false" ht="17.15" hidden="false" customHeight="false" outlineLevel="0" collapsed="false">
      <c r="A23" s="5" t="s">
        <v>18</v>
      </c>
    </row>
    <row r="25" customFormat="false" ht="17.15" hidden="false" customHeight="false" outlineLevel="0" collapsed="false">
      <c r="A25" s="0" t="s">
        <v>19</v>
      </c>
    </row>
    <row r="27" customFormat="false" ht="17.15" hidden="false" customHeight="false" outlineLevel="0" collapsed="false">
      <c r="A27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5" t="s">
        <v>22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</row>
    <row r="4" customFormat="false" ht="17.15" hidden="false" customHeight="false" outlineLevel="0" collapsed="false">
      <c r="A4" s="1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5" t="s">
        <v>35</v>
      </c>
      <c r="E5" s="7" t="n">
        <v>5.4</v>
      </c>
      <c r="G5" s="8" t="s">
        <v>36</v>
      </c>
      <c r="H5" s="8" t="s">
        <v>37</v>
      </c>
      <c r="I5" s="5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5" t="s">
        <v>35</v>
      </c>
      <c r="E6" s="7" t="n">
        <v>2.4</v>
      </c>
      <c r="G6" s="8" t="s">
        <v>36</v>
      </c>
      <c r="H6" s="5" t="s">
        <v>41</v>
      </c>
      <c r="I6" s="5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5" t="s">
        <v>35</v>
      </c>
      <c r="E7" s="7" t="n">
        <v>0.5</v>
      </c>
      <c r="G7" s="8" t="s">
        <v>36</v>
      </c>
      <c r="H7" s="5" t="s">
        <v>41</v>
      </c>
      <c r="I7" s="5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46</v>
      </c>
      <c r="E8" s="7" t="n">
        <v>-0.5</v>
      </c>
      <c r="G8" s="8" t="s">
        <v>47</v>
      </c>
      <c r="H8" s="8" t="s">
        <v>48</v>
      </c>
      <c r="I8" s="8" t="s">
        <v>49</v>
      </c>
    </row>
    <row r="9" customFormat="false" ht="17.15" hidden="false" customHeight="false" outlineLevel="0" collapsed="false">
      <c r="A9" s="0" t="s">
        <v>50</v>
      </c>
      <c r="B9" s="0" t="s">
        <v>51</v>
      </c>
      <c r="C9" s="5" t="s">
        <v>35</v>
      </c>
      <c r="E9" s="7" t="n">
        <v>1.7</v>
      </c>
      <c r="G9" s="8" t="s">
        <v>36</v>
      </c>
      <c r="H9" s="8" t="s">
        <v>52</v>
      </c>
      <c r="I9" s="5" t="s">
        <v>53</v>
      </c>
    </row>
    <row r="10" customFormat="false" ht="17.15" hidden="false" customHeight="false" outlineLevel="0" collapsed="false">
      <c r="A10" s="0" t="s">
        <v>54</v>
      </c>
      <c r="B10" s="0" t="s">
        <v>55</v>
      </c>
      <c r="C10" s="5" t="s">
        <v>35</v>
      </c>
      <c r="E10" s="7" t="n">
        <v>7</v>
      </c>
      <c r="G10" s="8" t="s">
        <v>36</v>
      </c>
      <c r="H10" s="5" t="s">
        <v>41</v>
      </c>
      <c r="I10" s="5" t="s">
        <v>41</v>
      </c>
    </row>
    <row r="11" customFormat="false" ht="17.15" hidden="false" customHeight="false" outlineLevel="0" collapsed="false">
      <c r="A11" s="0" t="s">
        <v>56</v>
      </c>
      <c r="B11" s="0" t="s">
        <v>57</v>
      </c>
      <c r="C11" s="5" t="s">
        <v>35</v>
      </c>
      <c r="E11" s="7" t="n">
        <v>7</v>
      </c>
      <c r="G11" s="8" t="s">
        <v>36</v>
      </c>
      <c r="H11" s="5" t="s">
        <v>41</v>
      </c>
      <c r="I11" s="5" t="s">
        <v>41</v>
      </c>
    </row>
    <row r="12" customFormat="false" ht="17.15" hidden="false" customHeight="false" outlineLevel="0" collapsed="false">
      <c r="A12" s="0" t="s">
        <v>58</v>
      </c>
      <c r="B12" s="0" t="s">
        <v>59</v>
      </c>
      <c r="C12" s="0" t="s">
        <v>46</v>
      </c>
      <c r="E12" s="7" t="n">
        <v>0.15</v>
      </c>
      <c r="G12" s="8" t="s">
        <v>47</v>
      </c>
      <c r="H12" s="8" t="s">
        <v>60</v>
      </c>
      <c r="I12" s="8" t="s">
        <v>49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5" t="s">
        <v>35</v>
      </c>
      <c r="E13" s="7" t="n">
        <v>0</v>
      </c>
      <c r="G13" s="8" t="s">
        <v>47</v>
      </c>
      <c r="H13" s="8" t="s">
        <v>63</v>
      </c>
      <c r="I13" s="5" t="s">
        <v>64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5" t="s">
        <v>35</v>
      </c>
      <c r="E14" s="7" t="n">
        <v>0.3</v>
      </c>
      <c r="G14" s="8" t="s">
        <v>47</v>
      </c>
      <c r="H14" s="5" t="s">
        <v>41</v>
      </c>
      <c r="I14" s="5" t="s">
        <v>41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5" t="s">
        <v>35</v>
      </c>
      <c r="E15" s="7" t="n">
        <v>2</v>
      </c>
      <c r="G15" s="8" t="s">
        <v>47</v>
      </c>
      <c r="H15" s="5" t="s">
        <v>41</v>
      </c>
      <c r="I15" s="5" t="s">
        <v>41</v>
      </c>
    </row>
    <row r="16" customFormat="false" ht="17.15" hidden="false" customHeight="false" outlineLevel="0" collapsed="false">
      <c r="A16" s="0" t="s">
        <v>69</v>
      </c>
      <c r="B16" s="0" t="s">
        <v>70</v>
      </c>
      <c r="C16" s="0" t="s">
        <v>46</v>
      </c>
      <c r="E16" s="7" t="n">
        <v>0.15</v>
      </c>
      <c r="G16" s="8" t="s">
        <v>47</v>
      </c>
      <c r="H16" s="8" t="s">
        <v>71</v>
      </c>
      <c r="I16" s="8" t="s">
        <v>49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5" t="s">
        <v>35</v>
      </c>
      <c r="E17" s="7" t="n">
        <v>0.5</v>
      </c>
      <c r="G17" s="8" t="s">
        <v>36</v>
      </c>
      <c r="H17" s="8" t="s">
        <v>74</v>
      </c>
      <c r="I17" s="5" t="s">
        <v>75</v>
      </c>
    </row>
    <row r="18" customFormat="false" ht="17.15" hidden="false" customHeight="false" outlineLevel="0" collapsed="false">
      <c r="A18" s="0" t="s">
        <v>76</v>
      </c>
      <c r="B18" s="0" t="s">
        <v>77</v>
      </c>
      <c r="C18" s="5" t="s">
        <v>35</v>
      </c>
      <c r="E18" s="7" t="n">
        <v>0</v>
      </c>
      <c r="G18" s="8" t="s">
        <v>36</v>
      </c>
      <c r="H18" s="5" t="s">
        <v>41</v>
      </c>
      <c r="I18" s="5" t="s">
        <v>41</v>
      </c>
    </row>
    <row r="19" customFormat="false" ht="17.15" hidden="false" customHeight="false" outlineLevel="0" collapsed="false">
      <c r="A19" s="0" t="s">
        <v>78</v>
      </c>
      <c r="B19" s="0" t="s">
        <v>79</v>
      </c>
      <c r="C19" s="5" t="s">
        <v>35</v>
      </c>
      <c r="E19" s="7" t="n">
        <v>0</v>
      </c>
      <c r="G19" s="8" t="s">
        <v>36</v>
      </c>
      <c r="H19" s="5" t="s">
        <v>41</v>
      </c>
      <c r="I19" s="5" t="s">
        <v>41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46</v>
      </c>
      <c r="E20" s="7" t="n">
        <v>0</v>
      </c>
      <c r="G20" s="8" t="s">
        <v>47</v>
      </c>
      <c r="H20" s="8" t="s">
        <v>82</v>
      </c>
      <c r="I20" s="8" t="s">
        <v>49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5" t="s">
        <v>35</v>
      </c>
      <c r="E21" s="7" t="n">
        <v>0.75</v>
      </c>
      <c r="G21" s="8" t="s">
        <v>85</v>
      </c>
      <c r="H21" s="8" t="s">
        <v>86</v>
      </c>
      <c r="I21" s="5" t="s">
        <v>87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5" t="s">
        <v>35</v>
      </c>
      <c r="E22" s="7" t="n">
        <v>1.5</v>
      </c>
      <c r="G22" s="8" t="s">
        <v>85</v>
      </c>
      <c r="H22" s="5" t="s">
        <v>41</v>
      </c>
      <c r="I22" s="5" t="s">
        <v>41</v>
      </c>
    </row>
    <row r="23" customFormat="false" ht="17.15" hidden="false" customHeight="false" outlineLevel="0" collapsed="false">
      <c r="A23" s="0" t="s">
        <v>90</v>
      </c>
      <c r="B23" s="0" t="s">
        <v>91</v>
      </c>
      <c r="C23" s="5" t="s">
        <v>35</v>
      </c>
      <c r="E23" s="7" t="n">
        <v>2</v>
      </c>
      <c r="G23" s="8" t="s">
        <v>85</v>
      </c>
      <c r="H23" s="5" t="s">
        <v>41</v>
      </c>
      <c r="I23" s="5" t="s">
        <v>41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46</v>
      </c>
      <c r="E24" s="7" t="n">
        <v>0.15</v>
      </c>
      <c r="G24" s="8" t="s">
        <v>47</v>
      </c>
      <c r="H24" s="8" t="s">
        <v>94</v>
      </c>
      <c r="I24" s="8" t="s">
        <v>49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5" t="s">
        <v>35</v>
      </c>
      <c r="E25" s="7" t="n">
        <v>3.85</v>
      </c>
      <c r="G25" s="8" t="s">
        <v>36</v>
      </c>
      <c r="H25" s="8" t="s">
        <v>97</v>
      </c>
      <c r="I25" s="5" t="s">
        <v>98</v>
      </c>
    </row>
    <row r="26" customFormat="false" ht="17.15" hidden="false" customHeight="false" outlineLevel="0" collapsed="false">
      <c r="A26" s="0" t="s">
        <v>99</v>
      </c>
      <c r="B26" s="0" t="s">
        <v>100</v>
      </c>
      <c r="C26" s="5" t="s">
        <v>35</v>
      </c>
      <c r="E26" s="7" t="n">
        <v>5.5</v>
      </c>
      <c r="G26" s="8" t="s">
        <v>36</v>
      </c>
      <c r="H26" s="5" t="s">
        <v>41</v>
      </c>
      <c r="I26" s="5" t="s">
        <v>41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5" t="s">
        <v>35</v>
      </c>
      <c r="E27" s="7" t="n">
        <v>7</v>
      </c>
      <c r="G27" s="8" t="s">
        <v>36</v>
      </c>
      <c r="H27" s="5" t="s">
        <v>41</v>
      </c>
      <c r="I27" s="5" t="s">
        <v>41</v>
      </c>
    </row>
    <row r="28" customFormat="false" ht="17.15" hidden="false" customHeight="false" outlineLevel="0" collapsed="false">
      <c r="A28" s="0" t="s">
        <v>103</v>
      </c>
      <c r="B28" s="0" t="s">
        <v>104</v>
      </c>
      <c r="C28" s="0" t="s">
        <v>46</v>
      </c>
      <c r="E28" s="7" t="n">
        <v>0.15</v>
      </c>
      <c r="G28" s="8" t="s">
        <v>47</v>
      </c>
      <c r="H28" s="8" t="s">
        <v>105</v>
      </c>
      <c r="I28" s="8" t="s">
        <v>49</v>
      </c>
    </row>
    <row r="29" customFormat="false" ht="17.15" hidden="false" customHeight="false" outlineLevel="0" collapsed="false">
      <c r="A29" s="0" t="s">
        <v>106</v>
      </c>
      <c r="B29" s="0" t="s">
        <v>107</v>
      </c>
      <c r="C29" s="5" t="s">
        <v>35</v>
      </c>
      <c r="E29" s="7" t="n">
        <v>2</v>
      </c>
      <c r="G29" s="8" t="s">
        <v>47</v>
      </c>
      <c r="H29" s="8" t="s">
        <v>108</v>
      </c>
      <c r="I29" s="5" t="s">
        <v>109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5" t="s">
        <v>35</v>
      </c>
      <c r="E30" s="7" t="n">
        <v>2.5</v>
      </c>
      <c r="G30" s="8" t="s">
        <v>47</v>
      </c>
      <c r="H30" s="5" t="s">
        <v>41</v>
      </c>
      <c r="I30" s="5" t="s">
        <v>41</v>
      </c>
    </row>
    <row r="31" customFormat="false" ht="17.15" hidden="false" customHeight="false" outlineLevel="0" collapsed="false">
      <c r="A31" s="0" t="s">
        <v>112</v>
      </c>
      <c r="B31" s="0" t="s">
        <v>113</v>
      </c>
      <c r="C31" s="5" t="s">
        <v>35</v>
      </c>
      <c r="E31" s="7" t="n">
        <v>3</v>
      </c>
      <c r="G31" s="8" t="s">
        <v>47</v>
      </c>
      <c r="H31" s="5" t="s">
        <v>41</v>
      </c>
      <c r="I31" s="5" t="s">
        <v>41</v>
      </c>
    </row>
    <row r="32" customFormat="false" ht="17.15" hidden="false" customHeight="false" outlineLevel="0" collapsed="false">
      <c r="A32" s="0" t="s">
        <v>114</v>
      </c>
      <c r="B32" s="0" t="s">
        <v>115</v>
      </c>
      <c r="C32" s="0" t="s">
        <v>46</v>
      </c>
      <c r="E32" s="7" t="n">
        <v>0.15</v>
      </c>
      <c r="G32" s="8" t="s">
        <v>47</v>
      </c>
      <c r="H32" s="8" t="s">
        <v>116</v>
      </c>
      <c r="I32" s="8" t="s">
        <v>49</v>
      </c>
    </row>
    <row r="33" customFormat="false" ht="17.15" hidden="false" customHeight="false" outlineLevel="0" collapsed="false">
      <c r="A33" s="0" t="s">
        <v>117</v>
      </c>
      <c r="B33" s="5" t="s">
        <v>118</v>
      </c>
      <c r="C33" s="5" t="s">
        <v>35</v>
      </c>
      <c r="E33" s="7" t="n">
        <v>1</v>
      </c>
      <c r="G33" s="8" t="s">
        <v>119</v>
      </c>
      <c r="H33" s="8" t="s">
        <v>120</v>
      </c>
      <c r="I33" s="5" t="s">
        <v>121</v>
      </c>
    </row>
    <row r="34" customFormat="false" ht="17.15" hidden="false" customHeight="false" outlineLevel="0" collapsed="false">
      <c r="A34" s="0" t="s">
        <v>122</v>
      </c>
      <c r="B34" s="5" t="s">
        <v>123</v>
      </c>
      <c r="C34" s="5" t="s">
        <v>35</v>
      </c>
      <c r="E34" s="7" t="n">
        <v>4.5</v>
      </c>
      <c r="G34" s="8" t="s">
        <v>119</v>
      </c>
      <c r="H34" s="5" t="s">
        <v>41</v>
      </c>
      <c r="I34" s="5" t="s">
        <v>41</v>
      </c>
    </row>
    <row r="35" customFormat="false" ht="17.15" hidden="false" customHeight="false" outlineLevel="0" collapsed="false">
      <c r="A35" s="0" t="s">
        <v>124</v>
      </c>
      <c r="B35" s="5" t="s">
        <v>125</v>
      </c>
      <c r="C35" s="5" t="s">
        <v>35</v>
      </c>
      <c r="E35" s="7" t="n">
        <v>5</v>
      </c>
      <c r="G35" s="8" t="s">
        <v>119</v>
      </c>
      <c r="H35" s="5" t="s">
        <v>41</v>
      </c>
      <c r="I35" s="5" t="s">
        <v>41</v>
      </c>
    </row>
    <row r="36" customFormat="false" ht="17.15" hidden="false" customHeight="false" outlineLevel="0" collapsed="false">
      <c r="A36" s="0" t="s">
        <v>126</v>
      </c>
      <c r="B36" s="5" t="s">
        <v>127</v>
      </c>
      <c r="C36" s="0" t="s">
        <v>46</v>
      </c>
      <c r="E36" s="7" t="n">
        <v>0.15</v>
      </c>
      <c r="G36" s="8" t="s">
        <v>47</v>
      </c>
      <c r="H36" s="8" t="s">
        <v>128</v>
      </c>
      <c r="I36" s="8" t="s">
        <v>49</v>
      </c>
    </row>
    <row r="37" customFormat="false" ht="17.15" hidden="false" customHeight="false" outlineLevel="0" collapsed="false">
      <c r="A37" s="0" t="s">
        <v>129</v>
      </c>
      <c r="B37" s="5" t="s">
        <v>130</v>
      </c>
      <c r="C37" s="0" t="s">
        <v>131</v>
      </c>
      <c r="E37" s="7" t="n">
        <v>1</v>
      </c>
      <c r="G37" s="8" t="s">
        <v>47</v>
      </c>
      <c r="H37" s="8" t="s">
        <v>132</v>
      </c>
      <c r="I37" s="8" t="s">
        <v>133</v>
      </c>
    </row>
    <row r="38" customFormat="false" ht="17.15" hidden="false" customHeight="false" outlineLevel="0" collapsed="false">
      <c r="A38" s="0" t="s">
        <v>134</v>
      </c>
      <c r="B38" s="5" t="s">
        <v>135</v>
      </c>
      <c r="C38" s="0" t="s">
        <v>131</v>
      </c>
      <c r="E38" s="7" t="n">
        <v>1</v>
      </c>
      <c r="G38" s="8" t="s">
        <v>47</v>
      </c>
      <c r="H38" s="8" t="s">
        <v>136</v>
      </c>
      <c r="I38" s="5" t="s">
        <v>41</v>
      </c>
    </row>
    <row r="39" customFormat="false" ht="17.15" hidden="false" customHeight="false" outlineLevel="0" collapsed="false">
      <c r="A39" s="0" t="s">
        <v>137</v>
      </c>
      <c r="B39" s="5" t="s">
        <v>138</v>
      </c>
      <c r="C39" s="0" t="s">
        <v>131</v>
      </c>
      <c r="E39" s="7" t="n">
        <v>0.8</v>
      </c>
      <c r="G39" s="8" t="s">
        <v>47</v>
      </c>
      <c r="H39" s="8" t="s">
        <v>139</v>
      </c>
      <c r="I39" s="8" t="s">
        <v>133</v>
      </c>
    </row>
    <row r="40" customFormat="false" ht="17.15" hidden="false" customHeight="false" outlineLevel="0" collapsed="false">
      <c r="A40" s="0" t="s">
        <v>140</v>
      </c>
      <c r="B40" s="5" t="s">
        <v>141</v>
      </c>
      <c r="C40" s="0" t="s">
        <v>131</v>
      </c>
      <c r="E40" s="7" t="n">
        <v>0.85</v>
      </c>
      <c r="G40" s="8" t="s">
        <v>47</v>
      </c>
      <c r="H40" s="8" t="s">
        <v>142</v>
      </c>
      <c r="I40" s="5" t="s">
        <v>41</v>
      </c>
    </row>
    <row r="41" customFormat="false" ht="17.15" hidden="false" customHeight="false" outlineLevel="0" collapsed="false">
      <c r="A41" s="0" t="s">
        <v>143</v>
      </c>
      <c r="B41" s="5" t="s">
        <v>144</v>
      </c>
      <c r="C41" s="0" t="s">
        <v>131</v>
      </c>
      <c r="E41" s="7" t="n">
        <v>0.6</v>
      </c>
      <c r="G41" s="8" t="s">
        <v>47</v>
      </c>
      <c r="H41" s="8" t="s">
        <v>145</v>
      </c>
      <c r="I41" s="8" t="s">
        <v>133</v>
      </c>
    </row>
    <row r="42" customFormat="false" ht="17.15" hidden="false" customHeight="false" outlineLevel="0" collapsed="false">
      <c r="A42" s="0" t="s">
        <v>146</v>
      </c>
      <c r="B42" s="5" t="s">
        <v>147</v>
      </c>
      <c r="C42" s="0" t="s">
        <v>131</v>
      </c>
      <c r="E42" s="7" t="n">
        <v>0.6</v>
      </c>
      <c r="G42" s="8" t="s">
        <v>47</v>
      </c>
      <c r="H42" s="8" t="s">
        <v>148</v>
      </c>
      <c r="I42" s="5" t="s">
        <v>41</v>
      </c>
    </row>
    <row r="43" customFormat="false" ht="17.15" hidden="false" customHeight="false" outlineLevel="0" collapsed="false">
      <c r="A43" s="0" t="s">
        <v>149</v>
      </c>
      <c r="B43" s="0" t="s">
        <v>150</v>
      </c>
      <c r="C43" s="0" t="s">
        <v>151</v>
      </c>
      <c r="E43" s="7" t="n">
        <v>192</v>
      </c>
      <c r="G43" s="8" t="s">
        <v>36</v>
      </c>
      <c r="H43" s="8" t="s">
        <v>152</v>
      </c>
      <c r="I43" s="8" t="s">
        <v>153</v>
      </c>
    </row>
    <row r="44" customFormat="false" ht="17.15" hidden="false" customHeight="false" outlineLevel="0" collapsed="false">
      <c r="A44" s="0" t="s">
        <v>154</v>
      </c>
      <c r="B44" s="0" t="s">
        <v>155</v>
      </c>
      <c r="C44" s="0" t="s">
        <v>151</v>
      </c>
      <c r="E44" s="7" t="n">
        <v>250</v>
      </c>
      <c r="G44" s="8" t="s">
        <v>36</v>
      </c>
      <c r="H44" s="8" t="s">
        <v>152</v>
      </c>
      <c r="I44" s="5" t="s">
        <v>41</v>
      </c>
    </row>
    <row r="45" customFormat="false" ht="17.15" hidden="false" customHeight="false" outlineLevel="0" collapsed="false">
      <c r="A45" s="0" t="s">
        <v>156</v>
      </c>
      <c r="B45" s="0" t="s">
        <v>157</v>
      </c>
      <c r="C45" s="0" t="s">
        <v>151</v>
      </c>
      <c r="E45" s="7" t="n">
        <v>288</v>
      </c>
      <c r="G45" s="8" t="s">
        <v>36</v>
      </c>
      <c r="H45" s="8" t="s">
        <v>152</v>
      </c>
      <c r="I45" s="5" t="s">
        <v>41</v>
      </c>
    </row>
    <row r="46" customFormat="false" ht="17.15" hidden="false" customHeight="false" outlineLevel="0" collapsed="false">
      <c r="A46" s="0" t="s">
        <v>158</v>
      </c>
      <c r="B46" s="5" t="s">
        <v>159</v>
      </c>
      <c r="C46" s="0" t="s">
        <v>151</v>
      </c>
      <c r="E46" s="7" t="n">
        <v>150</v>
      </c>
      <c r="G46" s="8" t="s">
        <v>119</v>
      </c>
      <c r="H46" s="8" t="s">
        <v>152</v>
      </c>
      <c r="I46" s="8" t="s">
        <v>153</v>
      </c>
    </row>
    <row r="47" customFormat="false" ht="17.15" hidden="false" customHeight="false" outlineLevel="0" collapsed="false">
      <c r="A47" s="0" t="s">
        <v>160</v>
      </c>
      <c r="B47" s="5" t="s">
        <v>161</v>
      </c>
      <c r="C47" s="0" t="s">
        <v>151</v>
      </c>
      <c r="E47" s="7" t="n">
        <v>200</v>
      </c>
      <c r="G47" s="8" t="s">
        <v>119</v>
      </c>
      <c r="H47" s="8" t="s">
        <v>152</v>
      </c>
      <c r="I47" s="5" t="s">
        <v>41</v>
      </c>
    </row>
    <row r="48" customFormat="false" ht="17.15" hidden="false" customHeight="false" outlineLevel="0" collapsed="false">
      <c r="A48" s="0" t="s">
        <v>162</v>
      </c>
      <c r="B48" s="5" t="s">
        <v>163</v>
      </c>
      <c r="C48" s="0" t="s">
        <v>151</v>
      </c>
      <c r="E48" s="7" t="n">
        <v>250</v>
      </c>
      <c r="G48" s="8" t="s">
        <v>119</v>
      </c>
      <c r="H48" s="8" t="s">
        <v>152</v>
      </c>
      <c r="I48" s="5" t="s">
        <v>41</v>
      </c>
    </row>
    <row r="49" customFormat="false" ht="17.15" hidden="false" customHeight="false" outlineLevel="0" collapsed="false">
      <c r="A49" s="1" t="s">
        <v>164</v>
      </c>
    </row>
    <row r="50" customFormat="false" ht="17.15" hidden="false" customHeight="false" outlineLevel="0" collapsed="false">
      <c r="A50" s="0" t="s">
        <v>165</v>
      </c>
      <c r="B50" s="0" t="s">
        <v>166</v>
      </c>
      <c r="C50" s="0" t="s">
        <v>46</v>
      </c>
      <c r="D50" s="7" t="n">
        <v>0.8</v>
      </c>
      <c r="E50" s="7" t="n">
        <v>0.9</v>
      </c>
      <c r="F50" s="7" t="n">
        <v>1</v>
      </c>
      <c r="G50" s="8" t="s">
        <v>47</v>
      </c>
      <c r="H50" s="8" t="s">
        <v>167</v>
      </c>
      <c r="I50" s="5" t="s">
        <v>168</v>
      </c>
    </row>
    <row r="51" customFormat="false" ht="17.15" hidden="false" customHeight="false" outlineLevel="0" collapsed="false">
      <c r="A51" s="0" t="s">
        <v>169</v>
      </c>
      <c r="B51" s="0" t="s">
        <v>170</v>
      </c>
      <c r="C51" s="0" t="s">
        <v>46</v>
      </c>
      <c r="D51" s="7" t="n">
        <v>0.6</v>
      </c>
      <c r="E51" s="7" t="n">
        <v>0.8</v>
      </c>
      <c r="F51" s="7" t="n">
        <v>0.9</v>
      </c>
      <c r="G51" s="8" t="s">
        <v>47</v>
      </c>
      <c r="H51" s="5" t="s">
        <v>171</v>
      </c>
      <c r="I51" s="8" t="s">
        <v>172</v>
      </c>
    </row>
    <row r="52" customFormat="false" ht="17.15" hidden="false" customHeight="false" outlineLevel="0" collapsed="false">
      <c r="A52" s="0" t="s">
        <v>173</v>
      </c>
      <c r="B52" s="0" t="s">
        <v>174</v>
      </c>
      <c r="C52" s="0" t="s">
        <v>46</v>
      </c>
      <c r="D52" s="7" t="n">
        <v>0.5</v>
      </c>
      <c r="E52" s="7" t="n">
        <v>0.75</v>
      </c>
      <c r="F52" s="7" t="n">
        <v>0.9</v>
      </c>
      <c r="G52" s="8" t="s">
        <v>47</v>
      </c>
      <c r="H52" s="5" t="s">
        <v>41</v>
      </c>
      <c r="I52" s="8" t="s">
        <v>175</v>
      </c>
    </row>
    <row r="53" customFormat="false" ht="17.15" hidden="false" customHeight="false" outlineLevel="0" collapsed="false">
      <c r="A53" s="0" t="s">
        <v>176</v>
      </c>
      <c r="B53" s="0" t="s">
        <v>177</v>
      </c>
      <c r="C53" s="0" t="s">
        <v>46</v>
      </c>
      <c r="D53" s="7" t="n">
        <v>0.2</v>
      </c>
      <c r="E53" s="7" t="n">
        <v>0.35</v>
      </c>
      <c r="F53" s="7" t="n">
        <v>0.5</v>
      </c>
      <c r="G53" s="8" t="s">
        <v>47</v>
      </c>
      <c r="H53" s="5" t="s">
        <v>178</v>
      </c>
      <c r="I53" s="8" t="s">
        <v>179</v>
      </c>
    </row>
    <row r="54" customFormat="false" ht="17.15" hidden="false" customHeight="false" outlineLevel="0" collapsed="false">
      <c r="A54" s="0" t="s">
        <v>180</v>
      </c>
      <c r="B54" s="0" t="s">
        <v>181</v>
      </c>
      <c r="C54" s="0" t="s">
        <v>46</v>
      </c>
      <c r="D54" s="7" t="n">
        <v>0.4</v>
      </c>
      <c r="E54" s="7" t="n">
        <v>0.55</v>
      </c>
      <c r="F54" s="7" t="n">
        <v>0.7</v>
      </c>
      <c r="G54" s="8" t="s">
        <v>47</v>
      </c>
      <c r="H54" s="8" t="s">
        <v>182</v>
      </c>
      <c r="I54" s="8" t="s">
        <v>175</v>
      </c>
    </row>
    <row r="55" customFormat="false" ht="17.15" hidden="false" customHeight="false" outlineLevel="0" collapsed="false">
      <c r="A55" s="0" t="s">
        <v>183</v>
      </c>
      <c r="B55" s="0" t="s">
        <v>184</v>
      </c>
      <c r="C55" s="0" t="s">
        <v>46</v>
      </c>
      <c r="D55" s="7" t="n">
        <v>0.4</v>
      </c>
      <c r="E55" s="7" t="n">
        <v>0.55</v>
      </c>
      <c r="F55" s="7" t="n">
        <v>0.7</v>
      </c>
      <c r="G55" s="8" t="s">
        <v>47</v>
      </c>
      <c r="H55" s="8" t="s">
        <v>185</v>
      </c>
      <c r="I55" s="8" t="s">
        <v>175</v>
      </c>
    </row>
    <row r="56" customFormat="false" ht="17.15" hidden="false" customHeight="false" outlineLevel="0" collapsed="false">
      <c r="A56" s="0" t="s">
        <v>186</v>
      </c>
      <c r="B56" s="0" t="s">
        <v>187</v>
      </c>
      <c r="C56" s="0" t="s">
        <v>188</v>
      </c>
      <c r="D56" s="7" t="n">
        <v>6</v>
      </c>
      <c r="E56" s="7" t="n">
        <v>8</v>
      </c>
      <c r="F56" s="7" t="n">
        <v>11</v>
      </c>
      <c r="G56" s="8" t="s">
        <v>47</v>
      </c>
      <c r="H56" s="5" t="s">
        <v>189</v>
      </c>
      <c r="I56" s="8" t="s">
        <v>190</v>
      </c>
    </row>
    <row r="57" customFormat="false" ht="17.15" hidden="false" customHeight="false" outlineLevel="0" collapsed="false">
      <c r="A57" s="0" t="s">
        <v>191</v>
      </c>
      <c r="B57" s="5" t="s">
        <v>192</v>
      </c>
      <c r="C57" s="0" t="s">
        <v>188</v>
      </c>
      <c r="D57" s="7" t="n">
        <v>4</v>
      </c>
      <c r="E57" s="7" t="n">
        <v>6</v>
      </c>
      <c r="F57" s="7" t="n">
        <v>9</v>
      </c>
      <c r="G57" s="8" t="s">
        <v>47</v>
      </c>
      <c r="H57" s="5" t="s">
        <v>193</v>
      </c>
      <c r="I57" s="8" t="s">
        <v>194</v>
      </c>
    </row>
    <row r="58" customFormat="false" ht="17.15" hidden="false" customHeight="false" outlineLevel="0" collapsed="false">
      <c r="A58" s="0" t="s">
        <v>195</v>
      </c>
      <c r="B58" s="0" t="s">
        <v>196</v>
      </c>
      <c r="C58" s="0" t="s">
        <v>131</v>
      </c>
      <c r="D58" s="7" t="n">
        <v>0.3</v>
      </c>
      <c r="E58" s="7" t="n">
        <v>0.6</v>
      </c>
      <c r="F58" s="7" t="n">
        <v>1</v>
      </c>
      <c r="G58" s="8" t="s">
        <v>47</v>
      </c>
      <c r="H58" s="5" t="s">
        <v>197</v>
      </c>
      <c r="I58" s="5" t="s">
        <v>198</v>
      </c>
    </row>
    <row r="59" customFormat="false" ht="17.15" hidden="false" customHeight="false" outlineLevel="0" collapsed="false">
      <c r="A59" s="0" t="s">
        <v>199</v>
      </c>
      <c r="B59" s="5" t="s">
        <v>200</v>
      </c>
      <c r="C59" s="0" t="s">
        <v>131</v>
      </c>
      <c r="D59" s="7" t="n">
        <v>0</v>
      </c>
      <c r="E59" s="7" t="n">
        <v>0.1</v>
      </c>
      <c r="F59" s="7" t="n">
        <v>0.2</v>
      </c>
      <c r="G59" s="8" t="s">
        <v>47</v>
      </c>
      <c r="H59" s="5" t="s">
        <v>201</v>
      </c>
      <c r="I59" s="5" t="s">
        <v>202</v>
      </c>
    </row>
    <row r="60" customFormat="false" ht="17.15" hidden="false" customHeight="false" outlineLevel="0" collapsed="false">
      <c r="A60" s="0" t="s">
        <v>203</v>
      </c>
      <c r="B60" s="0" t="s">
        <v>204</v>
      </c>
      <c r="C60" s="0" t="s">
        <v>131</v>
      </c>
      <c r="D60" s="7" t="n">
        <v>0.8</v>
      </c>
      <c r="E60" s="7" t="n">
        <v>1</v>
      </c>
      <c r="F60" s="7" t="n">
        <v>1.2</v>
      </c>
      <c r="G60" s="8" t="s">
        <v>47</v>
      </c>
      <c r="H60" s="5" t="s">
        <v>205</v>
      </c>
      <c r="I60" s="8" t="s">
        <v>206</v>
      </c>
    </row>
    <row r="61" customFormat="false" ht="17.15" hidden="false" customHeight="false" outlineLevel="0" collapsed="false">
      <c r="A61" s="1" t="s">
        <v>207</v>
      </c>
    </row>
    <row r="62" customFormat="false" ht="17.15" hidden="false" customHeight="false" outlineLevel="0" collapsed="false">
      <c r="A62" s="0" t="s">
        <v>208</v>
      </c>
      <c r="B62" s="0" t="s">
        <v>209</v>
      </c>
      <c r="C62" s="0" t="s">
        <v>210</v>
      </c>
      <c r="E62" s="7" t="n">
        <v>14.6</v>
      </c>
      <c r="G62" s="8" t="s">
        <v>211</v>
      </c>
      <c r="H62" s="8" t="s">
        <v>212</v>
      </c>
      <c r="I62" s="8" t="s">
        <v>213</v>
      </c>
    </row>
    <row r="63" customFormat="false" ht="17.15" hidden="false" customHeight="false" outlineLevel="0" collapsed="false">
      <c r="A63" s="0" t="s">
        <v>214</v>
      </c>
      <c r="B63" s="0" t="s">
        <v>215</v>
      </c>
      <c r="C63" s="0" t="s">
        <v>210</v>
      </c>
      <c r="E63" s="7" t="n">
        <v>26.28</v>
      </c>
      <c r="G63" s="8" t="s">
        <v>211</v>
      </c>
      <c r="H63" s="8" t="s">
        <v>212</v>
      </c>
      <c r="I63" s="5" t="s">
        <v>41</v>
      </c>
    </row>
    <row r="64" customFormat="false" ht="17.15" hidden="false" customHeight="false" outlineLevel="0" collapsed="false">
      <c r="A64" s="0" t="s">
        <v>216</v>
      </c>
      <c r="B64" s="0" t="s">
        <v>217</v>
      </c>
      <c r="C64" s="0" t="s">
        <v>210</v>
      </c>
      <c r="E64" s="7" t="n">
        <v>28.908</v>
      </c>
      <c r="G64" s="8" t="s">
        <v>211</v>
      </c>
      <c r="H64" s="8" t="s">
        <v>212</v>
      </c>
      <c r="I64" s="5" t="s">
        <v>41</v>
      </c>
    </row>
    <row r="65" customFormat="false" ht="17.15" hidden="false" customHeight="false" outlineLevel="0" collapsed="false">
      <c r="A65" s="0" t="s">
        <v>218</v>
      </c>
      <c r="B65" s="0" t="s">
        <v>219</v>
      </c>
      <c r="C65" s="0" t="s">
        <v>210</v>
      </c>
      <c r="E65" s="7" t="n">
        <v>27.4626</v>
      </c>
      <c r="G65" s="8" t="s">
        <v>211</v>
      </c>
      <c r="H65" s="8" t="s">
        <v>212</v>
      </c>
      <c r="I65" s="5" t="s">
        <v>41</v>
      </c>
    </row>
    <row r="66" customFormat="false" ht="17.15" hidden="false" customHeight="false" outlineLevel="0" collapsed="false">
      <c r="A66" s="0" t="s">
        <v>220</v>
      </c>
      <c r="B66" s="0" t="s">
        <v>221</v>
      </c>
      <c r="C66" s="0" t="s">
        <v>210</v>
      </c>
      <c r="E66" s="7" t="n">
        <v>14.6</v>
      </c>
      <c r="G66" s="8" t="s">
        <v>211</v>
      </c>
      <c r="H66" s="8" t="s">
        <v>222</v>
      </c>
      <c r="I66" s="5" t="s">
        <v>41</v>
      </c>
    </row>
    <row r="67" customFormat="false" ht="17.15" hidden="false" customHeight="false" outlineLevel="0" collapsed="false">
      <c r="A67" s="0" t="s">
        <v>223</v>
      </c>
      <c r="B67" s="0" t="s">
        <v>224</v>
      </c>
      <c r="C67" s="0" t="s">
        <v>210</v>
      </c>
      <c r="E67" s="7" t="n">
        <v>26.28</v>
      </c>
      <c r="G67" s="8" t="s">
        <v>211</v>
      </c>
      <c r="H67" s="8" t="s">
        <v>222</v>
      </c>
      <c r="I67" s="5" t="s">
        <v>41</v>
      </c>
    </row>
    <row r="68" customFormat="false" ht="17.15" hidden="false" customHeight="false" outlineLevel="0" collapsed="false">
      <c r="A68" s="0" t="s">
        <v>225</v>
      </c>
      <c r="B68" s="0" t="s">
        <v>226</v>
      </c>
      <c r="C68" s="0" t="s">
        <v>210</v>
      </c>
      <c r="E68" s="7" t="n">
        <v>19.71</v>
      </c>
      <c r="G68" s="8" t="s">
        <v>211</v>
      </c>
      <c r="H68" s="8" t="s">
        <v>222</v>
      </c>
      <c r="I68" s="5" t="s">
        <v>41</v>
      </c>
    </row>
    <row r="69" customFormat="false" ht="17.15" hidden="false" customHeight="false" outlineLevel="0" collapsed="false">
      <c r="A69" s="0" t="s">
        <v>227</v>
      </c>
      <c r="B69" s="0" t="s">
        <v>228</v>
      </c>
      <c r="C69" s="0" t="s">
        <v>210</v>
      </c>
      <c r="E69" s="7" t="n">
        <v>19.71</v>
      </c>
      <c r="G69" s="8" t="s">
        <v>211</v>
      </c>
      <c r="H69" s="8" t="s">
        <v>222</v>
      </c>
      <c r="I69" s="5" t="s">
        <v>41</v>
      </c>
    </row>
    <row r="70" customFormat="false" ht="17.15" hidden="false" customHeight="false" outlineLevel="0" collapsed="false">
      <c r="A70" s="0" t="s">
        <v>229</v>
      </c>
      <c r="B70" s="0" t="s">
        <v>230</v>
      </c>
      <c r="C70" s="0" t="s">
        <v>210</v>
      </c>
      <c r="E70" s="7" t="n">
        <v>14.6</v>
      </c>
      <c r="G70" s="8" t="s">
        <v>211</v>
      </c>
      <c r="H70" s="8" t="s">
        <v>231</v>
      </c>
      <c r="I70" s="5" t="s">
        <v>41</v>
      </c>
    </row>
    <row r="71" customFormat="false" ht="17.15" hidden="false" customHeight="false" outlineLevel="0" collapsed="false">
      <c r="A71" s="0" t="s">
        <v>232</v>
      </c>
      <c r="B71" s="0" t="s">
        <v>233</v>
      </c>
      <c r="C71" s="0" t="s">
        <v>210</v>
      </c>
      <c r="E71" s="7" t="n">
        <v>26.28</v>
      </c>
      <c r="G71" s="8" t="s">
        <v>211</v>
      </c>
      <c r="H71" s="8" t="s">
        <v>231</v>
      </c>
      <c r="I71" s="5" t="s">
        <v>41</v>
      </c>
    </row>
    <row r="72" customFormat="false" ht="17.15" hidden="false" customHeight="false" outlineLevel="0" collapsed="false">
      <c r="A72" s="0" t="s">
        <v>234</v>
      </c>
      <c r="B72" s="0" t="s">
        <v>235</v>
      </c>
      <c r="C72" s="0" t="s">
        <v>210</v>
      </c>
      <c r="E72" s="7" t="n">
        <v>15.768</v>
      </c>
      <c r="G72" s="8" t="s">
        <v>211</v>
      </c>
      <c r="H72" s="8" t="s">
        <v>231</v>
      </c>
      <c r="I72" s="5" t="s">
        <v>41</v>
      </c>
    </row>
    <row r="73" customFormat="false" ht="17.15" hidden="false" customHeight="false" outlineLevel="0" collapsed="false">
      <c r="A73" s="0" t="s">
        <v>236</v>
      </c>
      <c r="B73" s="0" t="s">
        <v>237</v>
      </c>
      <c r="C73" s="0" t="s">
        <v>210</v>
      </c>
      <c r="E73" s="7" t="n">
        <v>16.5564</v>
      </c>
      <c r="G73" s="8" t="s">
        <v>211</v>
      </c>
      <c r="H73" s="8" t="s">
        <v>231</v>
      </c>
      <c r="I73" s="5" t="s">
        <v>41</v>
      </c>
    </row>
    <row r="74" customFormat="false" ht="17.15" hidden="false" customHeight="false" outlineLevel="0" collapsed="false">
      <c r="A74" s="1" t="s">
        <v>238</v>
      </c>
    </row>
    <row r="75" customFormat="false" ht="17.15" hidden="false" customHeight="false" outlineLevel="0" collapsed="false">
      <c r="A75" s="0" t="s">
        <v>239</v>
      </c>
      <c r="B75" s="0" t="s">
        <v>240</v>
      </c>
      <c r="C75" s="0" t="s">
        <v>241</v>
      </c>
      <c r="E75" s="7" t="n">
        <v>12.6075726</v>
      </c>
      <c r="G75" s="8" t="s">
        <v>211</v>
      </c>
      <c r="H75" s="8" t="s">
        <v>242</v>
      </c>
      <c r="I75" s="5" t="s">
        <v>243</v>
      </c>
    </row>
    <row r="76" customFormat="false" ht="17.15" hidden="false" customHeight="false" outlineLevel="0" collapsed="false">
      <c r="A76" s="0" t="s">
        <v>244</v>
      </c>
      <c r="B76" s="0" t="s">
        <v>245</v>
      </c>
      <c r="C76" s="0" t="s">
        <v>241</v>
      </c>
      <c r="E76" s="7" t="n">
        <v>26.959549</v>
      </c>
      <c r="G76" s="8" t="s">
        <v>211</v>
      </c>
      <c r="H76" s="8" t="s">
        <v>242</v>
      </c>
      <c r="I76" s="5" t="s">
        <v>41</v>
      </c>
    </row>
    <row r="77" customFormat="false" ht="17.15" hidden="false" customHeight="false" outlineLevel="0" collapsed="false">
      <c r="A77" s="0" t="s">
        <v>246</v>
      </c>
      <c r="B77" s="0" t="s">
        <v>247</v>
      </c>
      <c r="C77" s="0" t="s">
        <v>241</v>
      </c>
      <c r="E77" s="7" t="n">
        <v>32.094922</v>
      </c>
      <c r="G77" s="8" t="s">
        <v>211</v>
      </c>
      <c r="H77" s="8" t="s">
        <v>242</v>
      </c>
      <c r="I77" s="5" t="s">
        <v>41</v>
      </c>
    </row>
    <row r="78" customFormat="false" ht="17.15" hidden="false" customHeight="false" outlineLevel="0" collapsed="false">
      <c r="A78" s="0" t="s">
        <v>248</v>
      </c>
      <c r="B78" s="0" t="s">
        <v>249</v>
      </c>
      <c r="C78" s="0" t="s">
        <v>241</v>
      </c>
      <c r="E78" s="7" t="n">
        <v>37.8328169</v>
      </c>
      <c r="G78" s="8" t="s">
        <v>211</v>
      </c>
      <c r="H78" s="8" t="s">
        <v>242</v>
      </c>
      <c r="I78" s="5" t="s">
        <v>41</v>
      </c>
    </row>
    <row r="79" customFormat="false" ht="17.15" hidden="false" customHeight="false" outlineLevel="0" collapsed="false">
      <c r="A79" s="0" t="s">
        <v>250</v>
      </c>
      <c r="B79" s="0" t="s">
        <v>251</v>
      </c>
      <c r="C79" s="0" t="s">
        <v>241</v>
      </c>
      <c r="D79" s="7" t="n">
        <v>16</v>
      </c>
      <c r="E79" s="7" t="n">
        <v>17.6</v>
      </c>
      <c r="F79" s="7" t="n">
        <v>20</v>
      </c>
      <c r="G79" s="8" t="s">
        <v>211</v>
      </c>
      <c r="H79" s="8" t="s">
        <v>252</v>
      </c>
      <c r="I79" s="8" t="s">
        <v>253</v>
      </c>
    </row>
    <row r="80" customFormat="false" ht="17.15" hidden="false" customHeight="false" outlineLevel="0" collapsed="false">
      <c r="A80" s="0" t="s">
        <v>254</v>
      </c>
      <c r="B80" s="0" t="s">
        <v>255</v>
      </c>
      <c r="C80" s="0" t="s">
        <v>131</v>
      </c>
      <c r="D80" s="7" t="n">
        <v>0.65</v>
      </c>
      <c r="E80" s="7" t="n">
        <v>0.72</v>
      </c>
      <c r="F80" s="7" t="n">
        <v>0.8</v>
      </c>
      <c r="G80" s="8" t="s">
        <v>47</v>
      </c>
      <c r="H80" s="5" t="s">
        <v>256</v>
      </c>
      <c r="I80" s="5" t="s">
        <v>202</v>
      </c>
    </row>
    <row r="81" customFormat="false" ht="17.15" hidden="false" customHeight="false" outlineLevel="0" collapsed="false">
      <c r="A81" s="1" t="s">
        <v>257</v>
      </c>
    </row>
    <row r="82" customFormat="false" ht="17.15" hidden="false" customHeight="false" outlineLevel="0" collapsed="false">
      <c r="A82" s="0" t="s">
        <v>258</v>
      </c>
      <c r="B82" s="5" t="s">
        <v>259</v>
      </c>
      <c r="C82" s="0" t="s">
        <v>131</v>
      </c>
      <c r="D82" s="7" t="n">
        <v>0.6</v>
      </c>
      <c r="E82" s="7" t="n">
        <v>0.65</v>
      </c>
      <c r="F82" s="7" t="n">
        <v>0.7</v>
      </c>
      <c r="G82" s="8" t="s">
        <v>47</v>
      </c>
      <c r="H82" s="5" t="s">
        <v>260</v>
      </c>
      <c r="I82" s="5" t="s">
        <v>202</v>
      </c>
    </row>
    <row r="83" customFormat="false" ht="17.15" hidden="false" customHeight="false" outlineLevel="0" collapsed="false">
      <c r="A83" s="0" t="s">
        <v>261</v>
      </c>
      <c r="B83" s="5" t="s">
        <v>262</v>
      </c>
      <c r="C83" s="0" t="s">
        <v>131</v>
      </c>
      <c r="D83" s="7" t="n">
        <v>0.9</v>
      </c>
      <c r="E83" s="7" t="n">
        <v>0.93</v>
      </c>
      <c r="F83" s="7" t="n">
        <v>0.95</v>
      </c>
      <c r="G83" s="8" t="s">
        <v>211</v>
      </c>
      <c r="H83" s="8" t="s">
        <v>263</v>
      </c>
      <c r="I83" s="5" t="s">
        <v>264</v>
      </c>
    </row>
    <row r="84" customFormat="false" ht="17.15" hidden="false" customHeight="false" outlineLevel="0" collapsed="false">
      <c r="A84" s="0" t="s">
        <v>265</v>
      </c>
      <c r="B84" s="5" t="s">
        <v>266</v>
      </c>
      <c r="C84" s="0" t="s">
        <v>46</v>
      </c>
      <c r="D84" s="7" t="n">
        <v>-0.05</v>
      </c>
      <c r="E84" s="7" t="n">
        <v>0.03</v>
      </c>
      <c r="F84" s="7" t="n">
        <v>0.08</v>
      </c>
      <c r="G84" s="8" t="s">
        <v>47</v>
      </c>
      <c r="H84" s="8" t="s">
        <v>267</v>
      </c>
      <c r="I84" s="5" t="s">
        <v>202</v>
      </c>
    </row>
    <row r="85" customFormat="false" ht="17.15" hidden="false" customHeight="false" outlineLevel="0" collapsed="false">
      <c r="A85" s="0" t="s">
        <v>268</v>
      </c>
      <c r="B85" s="5" t="s">
        <v>269</v>
      </c>
      <c r="C85" s="0" t="s">
        <v>46</v>
      </c>
      <c r="D85" s="7" t="n">
        <v>0.08</v>
      </c>
      <c r="E85" s="7" t="n">
        <v>0.12</v>
      </c>
      <c r="F85" s="7" t="n">
        <v>0.18</v>
      </c>
      <c r="G85" s="8" t="s">
        <v>47</v>
      </c>
      <c r="H85" s="5" t="s">
        <v>270</v>
      </c>
      <c r="I85" s="5" t="s">
        <v>202</v>
      </c>
    </row>
    <row r="86" customFormat="false" ht="17.15" hidden="false" customHeight="false" outlineLevel="0" collapsed="false">
      <c r="A86" s="0" t="s">
        <v>271</v>
      </c>
      <c r="B86" s="5" t="s">
        <v>272</v>
      </c>
      <c r="C86" s="0" t="s">
        <v>46</v>
      </c>
      <c r="D86" s="7" t="n">
        <v>0.04</v>
      </c>
      <c r="E86" s="7" t="n">
        <v>0.08</v>
      </c>
      <c r="F86" s="7" t="n">
        <v>0.12</v>
      </c>
      <c r="G86" s="8" t="s">
        <v>47</v>
      </c>
      <c r="H86" s="8" t="s">
        <v>273</v>
      </c>
      <c r="I86" s="8" t="s">
        <v>175</v>
      </c>
    </row>
    <row r="87" customFormat="false" ht="17.15" hidden="false" customHeight="false" outlineLevel="0" collapsed="false">
      <c r="A87" s="1" t="s">
        <v>274</v>
      </c>
    </row>
    <row r="88" customFormat="false" ht="17.15" hidden="false" customHeight="false" outlineLevel="0" collapsed="false">
      <c r="A88" s="0" t="s">
        <v>275</v>
      </c>
      <c r="B88" s="0" t="s">
        <v>276</v>
      </c>
      <c r="C88" s="0" t="s">
        <v>241</v>
      </c>
      <c r="E88" s="7" t="n">
        <v>34.8</v>
      </c>
      <c r="G88" s="8" t="s">
        <v>36</v>
      </c>
      <c r="H88" s="8" t="s">
        <v>277</v>
      </c>
      <c r="I88" s="8" t="s">
        <v>278</v>
      </c>
    </row>
    <row r="89" customFormat="false" ht="17.15" hidden="false" customHeight="false" outlineLevel="0" collapsed="false">
      <c r="A89" s="0" t="s">
        <v>279</v>
      </c>
      <c r="B89" s="0" t="s">
        <v>280</v>
      </c>
      <c r="C89" s="0" t="s">
        <v>241</v>
      </c>
      <c r="E89" s="7" t="n">
        <v>21.7</v>
      </c>
      <c r="G89" s="8" t="s">
        <v>36</v>
      </c>
      <c r="H89" s="8" t="s">
        <v>281</v>
      </c>
      <c r="I89" s="8" t="s">
        <v>282</v>
      </c>
    </row>
    <row r="90" customFormat="false" ht="17.15" hidden="false" customHeight="false" outlineLevel="0" collapsed="false">
      <c r="A90" s="0" t="s">
        <v>283</v>
      </c>
      <c r="B90" s="0" t="s">
        <v>284</v>
      </c>
      <c r="C90" s="0" t="s">
        <v>241</v>
      </c>
      <c r="D90" s="7" t="n">
        <v>8.5</v>
      </c>
      <c r="E90" s="7" t="n">
        <v>8.7</v>
      </c>
      <c r="F90" s="7" t="n">
        <v>8.9</v>
      </c>
      <c r="G90" s="8" t="s">
        <v>36</v>
      </c>
      <c r="H90" s="5" t="s">
        <v>285</v>
      </c>
      <c r="I90" s="5" t="s">
        <v>202</v>
      </c>
    </row>
    <row r="91" customFormat="false" ht="17.15" hidden="false" customHeight="false" outlineLevel="0" collapsed="false">
      <c r="A91" s="0" t="s">
        <v>286</v>
      </c>
      <c r="B91" s="0" t="s">
        <v>287</v>
      </c>
      <c r="C91" s="0" t="s">
        <v>46</v>
      </c>
      <c r="D91" s="7" t="n">
        <v>0.72</v>
      </c>
      <c r="E91" s="7" t="n">
        <v>0.73</v>
      </c>
      <c r="F91" s="7" t="n">
        <v>0.74</v>
      </c>
      <c r="G91" s="8" t="s">
        <v>36</v>
      </c>
      <c r="H91" s="5" t="s">
        <v>288</v>
      </c>
      <c r="I91" s="5" t="s">
        <v>202</v>
      </c>
    </row>
    <row r="92" customFormat="false" ht="17.15" hidden="false" customHeight="false" outlineLevel="0" collapsed="false">
      <c r="A92" s="0" t="s">
        <v>289</v>
      </c>
      <c r="B92" s="0" t="s">
        <v>290</v>
      </c>
      <c r="C92" s="0" t="s">
        <v>46</v>
      </c>
      <c r="E92" s="7" t="n">
        <v>0.66</v>
      </c>
      <c r="G92" s="8" t="s">
        <v>36</v>
      </c>
      <c r="H92" s="8" t="s">
        <v>291</v>
      </c>
      <c r="I92" s="8" t="s">
        <v>292</v>
      </c>
    </row>
    <row r="93" customFormat="false" ht="17.15" hidden="false" customHeight="false" outlineLevel="0" collapsed="false">
      <c r="A93" s="0" t="s">
        <v>293</v>
      </c>
      <c r="B93" s="0" t="s">
        <v>294</v>
      </c>
      <c r="C93" s="0" t="s">
        <v>241</v>
      </c>
      <c r="D93" s="7" t="n">
        <v>0.65</v>
      </c>
      <c r="E93" s="7" t="n">
        <v>0.7</v>
      </c>
      <c r="F93" s="7" t="n">
        <v>0.75</v>
      </c>
      <c r="G93" s="8" t="s">
        <v>211</v>
      </c>
      <c r="H93" s="8" t="s">
        <v>295</v>
      </c>
      <c r="I93" s="8" t="s">
        <v>175</v>
      </c>
    </row>
    <row r="94" customFormat="false" ht="17.15" hidden="false" customHeight="false" outlineLevel="0" collapsed="false">
      <c r="A94" s="0" t="s">
        <v>296</v>
      </c>
      <c r="B94" s="0" t="s">
        <v>297</v>
      </c>
      <c r="C94" s="0" t="s">
        <v>241</v>
      </c>
      <c r="D94" s="7" t="n">
        <v>0.05</v>
      </c>
      <c r="E94" s="7" t="n">
        <v>0.1</v>
      </c>
      <c r="F94" s="7" t="n">
        <v>0.15</v>
      </c>
      <c r="G94" s="8" t="s">
        <v>211</v>
      </c>
      <c r="H94" s="8" t="s">
        <v>298</v>
      </c>
      <c r="I94" s="8" t="s">
        <v>175</v>
      </c>
    </row>
    <row r="95" customFormat="false" ht="17.15" hidden="false" customHeight="false" outlineLevel="0" collapsed="false">
      <c r="A95" s="0" t="s">
        <v>299</v>
      </c>
      <c r="B95" s="0" t="s">
        <v>300</v>
      </c>
      <c r="C95" s="0" t="s">
        <v>46</v>
      </c>
      <c r="D95" s="7" t="n">
        <v>0.155</v>
      </c>
      <c r="E95" s="7" t="n">
        <v>0.16</v>
      </c>
      <c r="F95" s="7" t="n">
        <v>0.165</v>
      </c>
      <c r="G95" s="8" t="s">
        <v>211</v>
      </c>
      <c r="H95" s="8" t="s">
        <v>301</v>
      </c>
      <c r="I95" s="8" t="s">
        <v>175</v>
      </c>
    </row>
    <row r="96" customFormat="false" ht="17.15" hidden="false" customHeight="false" outlineLevel="0" collapsed="false">
      <c r="A96" s="0" t="s">
        <v>302</v>
      </c>
      <c r="B96" s="0" t="s">
        <v>303</v>
      </c>
      <c r="C96" s="5" t="s">
        <v>304</v>
      </c>
      <c r="E96" s="7" t="n">
        <v>4.94</v>
      </c>
      <c r="G96" s="8" t="s">
        <v>211</v>
      </c>
      <c r="H96" s="8" t="s">
        <v>305</v>
      </c>
      <c r="I96" s="8" t="s">
        <v>175</v>
      </c>
    </row>
    <row r="97" customFormat="false" ht="17.15" hidden="false" customHeight="false" outlineLevel="0" collapsed="false">
      <c r="A97" s="1" t="s">
        <v>306</v>
      </c>
    </row>
    <row r="98" customFormat="false" ht="17.15" hidden="false" customHeight="false" outlineLevel="0" collapsed="false">
      <c r="A98" s="0" t="s">
        <v>307</v>
      </c>
      <c r="B98" s="5" t="s">
        <v>308</v>
      </c>
      <c r="C98" s="0" t="s">
        <v>131</v>
      </c>
      <c r="D98" s="7" t="n">
        <v>0.05</v>
      </c>
      <c r="E98" s="7" t="n">
        <v>0.1</v>
      </c>
      <c r="F98" s="7" t="n">
        <v>0.3</v>
      </c>
      <c r="G98" s="8" t="s">
        <v>211</v>
      </c>
      <c r="H98" s="8" t="s">
        <v>309</v>
      </c>
      <c r="I98" s="5" t="s">
        <v>264</v>
      </c>
    </row>
    <row r="99" customFormat="false" ht="15" hidden="false" customHeight="false" outlineLevel="0" collapsed="false">
      <c r="A99" s="0" t="s">
        <v>310</v>
      </c>
      <c r="B99" s="5" t="s">
        <v>311</v>
      </c>
      <c r="C99" s="0" t="s">
        <v>46</v>
      </c>
      <c r="D99" s="7" t="n">
        <v>0</v>
      </c>
      <c r="E99" s="7" t="n">
        <v>0.03</v>
      </c>
      <c r="F99" s="7" t="n">
        <v>0.06</v>
      </c>
      <c r="G99" s="8" t="s">
        <v>47</v>
      </c>
      <c r="H99" s="5" t="s">
        <v>312</v>
      </c>
      <c r="I99" s="8" t="s">
        <v>175</v>
      </c>
    </row>
    <row r="100" customFormat="false" ht="17.15" hidden="false" customHeight="false" outlineLevel="0" collapsed="false">
      <c r="A100" s="0" t="s">
        <v>313</v>
      </c>
      <c r="B100" s="5" t="s">
        <v>314</v>
      </c>
      <c r="C100" s="0" t="s">
        <v>315</v>
      </c>
      <c r="D100" s="7" t="n">
        <v>-0.02</v>
      </c>
      <c r="E100" s="7" t="n">
        <v>0</v>
      </c>
      <c r="F100" s="7" t="n">
        <v>0.02</v>
      </c>
      <c r="G100" s="8" t="s">
        <v>47</v>
      </c>
      <c r="H100" s="5" t="s">
        <v>312</v>
      </c>
      <c r="I100" s="8" t="s">
        <v>316</v>
      </c>
    </row>
    <row r="101" customFormat="false" ht="17.15" hidden="false" customHeight="false" outlineLevel="0" collapsed="false">
      <c r="A101" s="0" t="s">
        <v>317</v>
      </c>
      <c r="B101" s="0" t="s">
        <v>318</v>
      </c>
      <c r="C101" s="0" t="s">
        <v>241</v>
      </c>
      <c r="D101" s="7" t="n">
        <v>2.5</v>
      </c>
      <c r="E101" s="7" t="n">
        <v>2.8</v>
      </c>
      <c r="F101" s="7" t="n">
        <v>4</v>
      </c>
      <c r="G101" s="8" t="s">
        <v>47</v>
      </c>
      <c r="H101" s="8" t="s">
        <v>319</v>
      </c>
      <c r="I101" s="5" t="s">
        <v>320</v>
      </c>
    </row>
    <row r="102" customFormat="false" ht="17.15" hidden="false" customHeight="false" outlineLevel="0" collapsed="false">
      <c r="A102" s="0" t="s">
        <v>321</v>
      </c>
      <c r="B102" s="0" t="s">
        <v>322</v>
      </c>
      <c r="C102" s="0" t="s">
        <v>241</v>
      </c>
      <c r="D102" s="7" t="n">
        <v>0.2</v>
      </c>
      <c r="E102" s="7" t="n">
        <v>0.4</v>
      </c>
      <c r="F102" s="7" t="n">
        <v>0.6</v>
      </c>
      <c r="G102" s="8" t="s">
        <v>47</v>
      </c>
      <c r="H102" s="8" t="s">
        <v>323</v>
      </c>
      <c r="I102" s="8" t="s">
        <v>175</v>
      </c>
    </row>
    <row r="103" customFormat="false" ht="17.15" hidden="false" customHeight="false" outlineLevel="0" collapsed="false">
      <c r="A103" s="0" t="s">
        <v>324</v>
      </c>
      <c r="B103" s="0" t="s">
        <v>325</v>
      </c>
      <c r="C103" s="0" t="s">
        <v>46</v>
      </c>
      <c r="D103" s="7" t="n">
        <v>0.15</v>
      </c>
      <c r="E103" s="7" t="n">
        <v>0.16</v>
      </c>
      <c r="F103" s="7" t="n">
        <v>0.18</v>
      </c>
      <c r="G103" s="8" t="s">
        <v>211</v>
      </c>
      <c r="H103" s="8" t="s">
        <v>326</v>
      </c>
      <c r="I103" s="8" t="s">
        <v>175</v>
      </c>
    </row>
    <row r="104" customFormat="false" ht="17.15" hidden="false" customHeight="false" outlineLevel="0" collapsed="false">
      <c r="A104" s="0" t="s">
        <v>327</v>
      </c>
      <c r="B104" s="5" t="s">
        <v>328</v>
      </c>
      <c r="C104" s="0" t="s">
        <v>46</v>
      </c>
      <c r="D104" s="7" t="n">
        <v>-0.015</v>
      </c>
      <c r="E104" s="7" t="n">
        <v>-0.005</v>
      </c>
      <c r="F104" s="7" t="n">
        <v>0</v>
      </c>
      <c r="G104" s="8" t="s">
        <v>211</v>
      </c>
      <c r="H104" s="8" t="s">
        <v>329</v>
      </c>
      <c r="I104" s="5" t="s">
        <v>264</v>
      </c>
    </row>
    <row r="105" customFormat="false" ht="17.15" hidden="false" customHeight="false" outlineLevel="0" collapsed="false">
      <c r="A105" s="0" t="s">
        <v>330</v>
      </c>
      <c r="B105" s="0" t="s">
        <v>331</v>
      </c>
      <c r="C105" s="0" t="s">
        <v>131</v>
      </c>
      <c r="D105" s="7" t="n">
        <v>0.9</v>
      </c>
      <c r="E105" s="7" t="n">
        <v>1</v>
      </c>
      <c r="F105" s="7" t="n">
        <v>1.1</v>
      </c>
      <c r="G105" s="8" t="s">
        <v>47</v>
      </c>
      <c r="H105" s="5" t="s">
        <v>312</v>
      </c>
      <c r="I105" s="8" t="s">
        <v>332</v>
      </c>
    </row>
    <row r="106" customFormat="false" ht="17.15" hidden="false" customHeight="false" outlineLevel="0" collapsed="false">
      <c r="A106" s="1" t="s">
        <v>333</v>
      </c>
    </row>
    <row r="107" customFormat="false" ht="17.15" hidden="false" customHeight="false" outlineLevel="0" collapsed="false">
      <c r="A107" s="0" t="s">
        <v>334</v>
      </c>
      <c r="B107" s="5" t="s">
        <v>335</v>
      </c>
      <c r="C107" s="0" t="s">
        <v>241</v>
      </c>
      <c r="E107" s="7" t="n">
        <v>58</v>
      </c>
      <c r="G107" s="8" t="s">
        <v>36</v>
      </c>
      <c r="H107" s="5" t="s">
        <v>336</v>
      </c>
      <c r="I107" s="8" t="s">
        <v>337</v>
      </c>
    </row>
    <row r="108" customFormat="false" ht="17.15" hidden="false" customHeight="false" outlineLevel="0" collapsed="false">
      <c r="A108" s="0" t="s">
        <v>338</v>
      </c>
      <c r="B108" s="5" t="s">
        <v>339</v>
      </c>
      <c r="C108" s="0" t="s">
        <v>241</v>
      </c>
      <c r="E108" s="7" t="n">
        <v>115</v>
      </c>
      <c r="G108" s="8" t="s">
        <v>36</v>
      </c>
      <c r="H108" s="5" t="s">
        <v>340</v>
      </c>
      <c r="I108" s="8" t="s">
        <v>341</v>
      </c>
    </row>
    <row r="109" customFormat="false" ht="17.15" hidden="false" customHeight="false" outlineLevel="0" collapsed="false">
      <c r="A109" s="0" t="s">
        <v>342</v>
      </c>
      <c r="B109" s="5" t="s">
        <v>343</v>
      </c>
      <c r="C109" s="0" t="s">
        <v>241</v>
      </c>
      <c r="E109" s="7" t="n">
        <v>230</v>
      </c>
      <c r="G109" s="8" t="s">
        <v>36</v>
      </c>
      <c r="H109" s="5" t="s">
        <v>344</v>
      </c>
      <c r="I109" s="8" t="s">
        <v>345</v>
      </c>
    </row>
    <row r="110" customFormat="false" ht="17.15" hidden="false" customHeight="false" outlineLevel="0" collapsed="false">
      <c r="A110" s="0" t="s">
        <v>346</v>
      </c>
      <c r="B110" s="0" t="s">
        <v>347</v>
      </c>
      <c r="C110" s="0" t="s">
        <v>241</v>
      </c>
      <c r="E110" s="7" t="n">
        <v>150</v>
      </c>
      <c r="G110" s="8" t="s">
        <v>36</v>
      </c>
      <c r="H110" s="8" t="s">
        <v>348</v>
      </c>
      <c r="I110" s="8" t="s">
        <v>175</v>
      </c>
    </row>
    <row r="111" customFormat="false" ht="17.15" hidden="false" customHeight="false" outlineLevel="0" collapsed="false">
      <c r="A111" s="0" t="s">
        <v>349</v>
      </c>
      <c r="B111" s="5" t="s">
        <v>350</v>
      </c>
      <c r="C111" s="0" t="s">
        <v>241</v>
      </c>
      <c r="E111" s="7" t="n">
        <v>105.98</v>
      </c>
      <c r="G111" s="8" t="s">
        <v>36</v>
      </c>
      <c r="H111" s="8" t="s">
        <v>351</v>
      </c>
      <c r="I111" s="8" t="s">
        <v>175</v>
      </c>
    </row>
    <row r="112" customFormat="false" ht="17.15" hidden="false" customHeight="false" outlineLevel="0" collapsed="false">
      <c r="A112" s="0" t="s">
        <v>352</v>
      </c>
      <c r="B112" s="5" t="s">
        <v>353</v>
      </c>
      <c r="C112" s="0" t="s">
        <v>354</v>
      </c>
      <c r="E112" s="7" t="n">
        <v>11.66</v>
      </c>
      <c r="G112" s="8" t="s">
        <v>36</v>
      </c>
      <c r="H112" s="5" t="s">
        <v>355</v>
      </c>
      <c r="I112" s="8" t="s">
        <v>175</v>
      </c>
    </row>
    <row r="113" customFormat="false" ht="17.15" hidden="false" customHeight="false" outlineLevel="0" collapsed="false">
      <c r="A113" s="0" t="s">
        <v>356</v>
      </c>
      <c r="B113" s="5" t="s">
        <v>357</v>
      </c>
      <c r="C113" s="0" t="s">
        <v>241</v>
      </c>
      <c r="E113" s="7" t="n">
        <v>173.97</v>
      </c>
      <c r="G113" s="8" t="s">
        <v>36</v>
      </c>
      <c r="H113" s="5" t="s">
        <v>358</v>
      </c>
      <c r="I113" s="8" t="s">
        <v>175</v>
      </c>
    </row>
    <row r="114" customFormat="false" ht="17.15" hidden="false" customHeight="false" outlineLevel="0" collapsed="false">
      <c r="A114" s="0" t="s">
        <v>359</v>
      </c>
      <c r="B114" s="5" t="s">
        <v>360</v>
      </c>
      <c r="C114" s="0" t="s">
        <v>354</v>
      </c>
      <c r="E114" s="7" t="n">
        <v>19.4</v>
      </c>
      <c r="G114" s="8" t="s">
        <v>36</v>
      </c>
      <c r="H114" s="5" t="s">
        <v>41</v>
      </c>
      <c r="I114" s="8" t="s">
        <v>175</v>
      </c>
    </row>
    <row r="115" customFormat="false" ht="17.15" hidden="false" customHeight="false" outlineLevel="0" collapsed="false">
      <c r="A115" s="0" t="s">
        <v>361</v>
      </c>
      <c r="B115" s="0" t="s">
        <v>362</v>
      </c>
      <c r="C115" s="0" t="s">
        <v>46</v>
      </c>
      <c r="E115" s="7" t="n">
        <v>0.536</v>
      </c>
      <c r="G115" s="8" t="s">
        <v>36</v>
      </c>
      <c r="H115" s="8" t="s">
        <v>363</v>
      </c>
      <c r="I115" s="5" t="s">
        <v>364</v>
      </c>
    </row>
    <row r="116" customFormat="false" ht="17.15" hidden="false" customHeight="false" outlineLevel="0" collapsed="false">
      <c r="A116" s="0" t="s">
        <v>365</v>
      </c>
      <c r="B116" s="0" t="s">
        <v>366</v>
      </c>
      <c r="C116" s="0" t="s">
        <v>46</v>
      </c>
      <c r="E116" s="7" t="n">
        <v>0.6</v>
      </c>
      <c r="G116" s="8" t="s">
        <v>36</v>
      </c>
      <c r="H116" s="8" t="s">
        <v>367</v>
      </c>
      <c r="I116" s="8" t="s">
        <v>368</v>
      </c>
    </row>
    <row r="117" customFormat="false" ht="17.15" hidden="false" customHeight="false" outlineLevel="0" collapsed="false">
      <c r="A117" s="1" t="s">
        <v>369</v>
      </c>
    </row>
    <row r="118" customFormat="false" ht="17.15" hidden="false" customHeight="false" outlineLevel="0" collapsed="false">
      <c r="A118" s="0" t="s">
        <v>370</v>
      </c>
      <c r="B118" s="0" t="s">
        <v>371</v>
      </c>
      <c r="C118" s="0" t="s">
        <v>188</v>
      </c>
      <c r="E118" s="7" t="n">
        <v>40.4</v>
      </c>
      <c r="G118" s="8" t="s">
        <v>211</v>
      </c>
      <c r="H118" s="8" t="s">
        <v>372</v>
      </c>
      <c r="I118" s="8" t="s">
        <v>373</v>
      </c>
    </row>
    <row r="119" customFormat="false" ht="17.15" hidden="false" customHeight="false" outlineLevel="0" collapsed="false">
      <c r="A119" s="0" t="s">
        <v>374</v>
      </c>
      <c r="B119" s="0" t="s">
        <v>375</v>
      </c>
      <c r="C119" s="0" t="s">
        <v>188</v>
      </c>
      <c r="E119" s="7" t="n">
        <v>55</v>
      </c>
      <c r="G119" s="8" t="s">
        <v>211</v>
      </c>
      <c r="H119" s="8" t="s">
        <v>376</v>
      </c>
      <c r="I119" s="8" t="s">
        <v>373</v>
      </c>
    </row>
    <row r="120" customFormat="false" ht="17.15" hidden="false" customHeight="false" outlineLevel="0" collapsed="false">
      <c r="A120" s="0" t="s">
        <v>377</v>
      </c>
      <c r="B120" s="0" t="s">
        <v>378</v>
      </c>
      <c r="C120" s="0" t="s">
        <v>188</v>
      </c>
      <c r="E120" s="7" t="n">
        <v>75</v>
      </c>
      <c r="G120" s="8" t="s">
        <v>211</v>
      </c>
      <c r="H120" s="8" t="s">
        <v>379</v>
      </c>
      <c r="I120" s="8" t="s">
        <v>373</v>
      </c>
    </row>
    <row r="121" customFormat="false" ht="17.15" hidden="false" customHeight="false" outlineLevel="0" collapsed="false">
      <c r="A121" s="0" t="s">
        <v>380</v>
      </c>
      <c r="B121" s="0" t="s">
        <v>381</v>
      </c>
      <c r="C121" s="0" t="s">
        <v>188</v>
      </c>
      <c r="E121" s="7" t="n">
        <v>30</v>
      </c>
      <c r="G121" s="8" t="s">
        <v>211</v>
      </c>
      <c r="H121" s="8" t="s">
        <v>382</v>
      </c>
      <c r="I121" s="8" t="s">
        <v>373</v>
      </c>
    </row>
    <row r="122" customFormat="false" ht="17.15" hidden="false" customHeight="false" outlineLevel="0" collapsed="false">
      <c r="A122" s="0" t="s">
        <v>383</v>
      </c>
      <c r="B122" s="0" t="s">
        <v>384</v>
      </c>
      <c r="C122" s="0" t="s">
        <v>188</v>
      </c>
      <c r="E122" s="7" t="n">
        <v>30</v>
      </c>
      <c r="G122" s="8" t="s">
        <v>211</v>
      </c>
      <c r="H122" s="8" t="s">
        <v>385</v>
      </c>
      <c r="I122" s="8" t="s">
        <v>373</v>
      </c>
    </row>
    <row r="123" customFormat="false" ht="17.15" hidden="false" customHeight="false" outlineLevel="0" collapsed="false">
      <c r="A123" s="0" t="s">
        <v>386</v>
      </c>
      <c r="B123" s="0" t="s">
        <v>387</v>
      </c>
      <c r="C123" s="0" t="s">
        <v>188</v>
      </c>
      <c r="E123" s="7" t="n">
        <v>8</v>
      </c>
      <c r="G123" s="8" t="s">
        <v>211</v>
      </c>
      <c r="H123" s="8" t="s">
        <v>388</v>
      </c>
      <c r="I123" s="8" t="s">
        <v>373</v>
      </c>
    </row>
    <row r="124" customFormat="false" ht="17.15" hidden="false" customHeight="false" outlineLevel="0" collapsed="false">
      <c r="A124" s="1" t="s">
        <v>389</v>
      </c>
    </row>
    <row r="125" customFormat="false" ht="17.15" hidden="false" customHeight="false" outlineLevel="0" collapsed="false">
      <c r="A125" s="0" t="s">
        <v>390</v>
      </c>
      <c r="B125" s="5" t="s">
        <v>391</v>
      </c>
      <c r="C125" s="0" t="s">
        <v>354</v>
      </c>
      <c r="E125" s="7" t="n">
        <v>321.68</v>
      </c>
      <c r="G125" s="8" t="s">
        <v>36</v>
      </c>
      <c r="H125" s="8" t="s">
        <v>392</v>
      </c>
      <c r="I125" s="8" t="s">
        <v>393</v>
      </c>
    </row>
    <row r="126" customFormat="false" ht="17.15" hidden="false" customHeight="false" outlineLevel="0" collapsed="false">
      <c r="A126" s="0" t="s">
        <v>394</v>
      </c>
      <c r="B126" s="5" t="s">
        <v>395</v>
      </c>
      <c r="C126" s="0" t="s">
        <v>131</v>
      </c>
      <c r="E126" s="7" t="n">
        <v>41.26</v>
      </c>
      <c r="G126" s="8" t="s">
        <v>36</v>
      </c>
      <c r="H126" s="8" t="s">
        <v>396</v>
      </c>
      <c r="I126" s="8" t="s">
        <v>397</v>
      </c>
    </row>
    <row r="127" customFormat="false" ht="17.15" hidden="false" customHeight="false" outlineLevel="0" collapsed="false">
      <c r="A127" s="0" t="s">
        <v>398</v>
      </c>
      <c r="B127" s="5" t="s">
        <v>399</v>
      </c>
      <c r="C127" s="0" t="s">
        <v>131</v>
      </c>
      <c r="E127" s="7" t="n">
        <v>18.61</v>
      </c>
      <c r="G127" s="8" t="s">
        <v>36</v>
      </c>
      <c r="H127" s="8" t="s">
        <v>400</v>
      </c>
      <c r="I127" s="8" t="s">
        <v>401</v>
      </c>
    </row>
    <row r="128" customFormat="false" ht="17.15" hidden="false" customHeight="false" outlineLevel="0" collapsed="false">
      <c r="A128" s="0" t="s">
        <v>402</v>
      </c>
      <c r="B128" s="0" t="s">
        <v>403</v>
      </c>
      <c r="C128" s="0" t="s">
        <v>354</v>
      </c>
      <c r="E128" s="7" t="n">
        <v>1.95</v>
      </c>
      <c r="G128" s="8" t="s">
        <v>404</v>
      </c>
      <c r="H128" s="8" t="s">
        <v>405</v>
      </c>
      <c r="I128" s="8" t="s">
        <v>175</v>
      </c>
    </row>
    <row r="129" customFormat="false" ht="17.15" hidden="false" customHeight="false" outlineLevel="0" collapsed="false">
      <c r="A129" s="0" t="s">
        <v>406</v>
      </c>
      <c r="B129" s="0" t="s">
        <v>407</v>
      </c>
      <c r="C129" s="0" t="s">
        <v>131</v>
      </c>
      <c r="E129" s="7" t="n">
        <v>25</v>
      </c>
      <c r="G129" s="8" t="s">
        <v>47</v>
      </c>
      <c r="H129" s="5" t="s">
        <v>408</v>
      </c>
      <c r="I129" s="5" t="s">
        <v>409</v>
      </c>
    </row>
    <row r="130" customFormat="false" ht="17.15" hidden="false" customHeight="false" outlineLevel="0" collapsed="false">
      <c r="A130" s="0" t="s">
        <v>410</v>
      </c>
      <c r="B130" s="0" t="s">
        <v>411</v>
      </c>
      <c r="C130" s="0" t="s">
        <v>241</v>
      </c>
      <c r="E130" s="7" t="n">
        <v>42</v>
      </c>
      <c r="G130" s="8" t="s">
        <v>36</v>
      </c>
      <c r="H130" s="8" t="s">
        <v>412</v>
      </c>
      <c r="I130" s="8" t="s">
        <v>413</v>
      </c>
    </row>
    <row r="131" customFormat="false" ht="17.15" hidden="false" customHeight="false" outlineLevel="0" collapsed="false">
      <c r="A131" s="0" t="s">
        <v>414</v>
      </c>
      <c r="B131" s="0" t="s">
        <v>415</v>
      </c>
      <c r="C131" s="0" t="s">
        <v>241</v>
      </c>
      <c r="E131" s="7" t="n">
        <v>50</v>
      </c>
      <c r="G131" s="8" t="s">
        <v>36</v>
      </c>
      <c r="H131" s="8" t="s">
        <v>416</v>
      </c>
      <c r="I131" s="8" t="s">
        <v>175</v>
      </c>
    </row>
    <row r="132" customFormat="false" ht="17.15" hidden="false" customHeight="false" outlineLevel="0" collapsed="false">
      <c r="A132" s="0" t="s">
        <v>417</v>
      </c>
      <c r="B132" s="5" t="s">
        <v>418</v>
      </c>
      <c r="C132" s="0" t="s">
        <v>241</v>
      </c>
      <c r="E132" s="7" t="n">
        <v>29</v>
      </c>
      <c r="G132" s="8" t="s">
        <v>36</v>
      </c>
      <c r="H132" s="8" t="s">
        <v>419</v>
      </c>
      <c r="I132" s="8" t="s">
        <v>175</v>
      </c>
    </row>
    <row r="133" customFormat="false" ht="17.15" hidden="false" customHeight="false" outlineLevel="0" collapsed="false">
      <c r="A133" s="0" t="s">
        <v>420</v>
      </c>
      <c r="B133" s="5" t="s">
        <v>421</v>
      </c>
      <c r="C133" s="5" t="s">
        <v>422</v>
      </c>
      <c r="E133" s="7" t="n">
        <v>2029</v>
      </c>
      <c r="G133" s="8" t="s">
        <v>211</v>
      </c>
      <c r="H133" s="8" t="s">
        <v>423</v>
      </c>
      <c r="I133" s="5" t="s">
        <v>424</v>
      </c>
    </row>
    <row r="134" customFormat="false" ht="17.15" hidden="false" customHeight="false" outlineLevel="0" collapsed="false">
      <c r="A134" s="0" t="s">
        <v>425</v>
      </c>
      <c r="B134" s="5" t="s">
        <v>426</v>
      </c>
      <c r="C134" s="5" t="s">
        <v>422</v>
      </c>
      <c r="E134" s="7" t="n">
        <v>2028</v>
      </c>
      <c r="G134" s="8" t="s">
        <v>211</v>
      </c>
      <c r="H134" s="8" t="s">
        <v>427</v>
      </c>
      <c r="I134" s="5" t="s">
        <v>41</v>
      </c>
    </row>
    <row r="135" customFormat="false" ht="17.15" hidden="false" customHeight="false" outlineLevel="0" collapsed="false">
      <c r="A135" s="0" t="s">
        <v>428</v>
      </c>
      <c r="B135" s="5" t="s">
        <v>429</v>
      </c>
      <c r="C135" s="5" t="s">
        <v>422</v>
      </c>
      <c r="E135" s="7" t="n">
        <v>2027</v>
      </c>
      <c r="G135" s="8" t="s">
        <v>211</v>
      </c>
      <c r="H135" s="8" t="s">
        <v>430</v>
      </c>
      <c r="I135" s="5" t="s">
        <v>41</v>
      </c>
    </row>
    <row r="136" customFormat="false" ht="17.15" hidden="false" customHeight="false" outlineLevel="0" collapsed="false">
      <c r="A136" s="3" t="s">
        <v>431</v>
      </c>
    </row>
    <row r="137" customFormat="false" ht="17.15" hidden="false" customHeight="false" outlineLevel="0" collapsed="false">
      <c r="A137" s="9" t="s">
        <v>432</v>
      </c>
      <c r="B137" s="10" t="s">
        <v>433</v>
      </c>
      <c r="C137" s="9" t="s">
        <v>46</v>
      </c>
      <c r="D137" s="9"/>
      <c r="E137" s="11" t="n">
        <v>0.3</v>
      </c>
      <c r="F137" s="9"/>
      <c r="G137" s="9" t="s">
        <v>47</v>
      </c>
      <c r="H137" s="9" t="s">
        <v>434</v>
      </c>
      <c r="I137" s="10" t="s">
        <v>435</v>
      </c>
    </row>
    <row r="138" customFormat="false" ht="17.15" hidden="false" customHeight="false" outlineLevel="0" collapsed="false">
      <c r="A138" s="9" t="s">
        <v>436</v>
      </c>
      <c r="B138" s="10" t="s">
        <v>437</v>
      </c>
      <c r="C138" s="9" t="s">
        <v>46</v>
      </c>
      <c r="D138" s="9"/>
      <c r="E138" s="11" t="n">
        <v>0.5</v>
      </c>
      <c r="F138" s="9"/>
      <c r="G138" s="9" t="s">
        <v>47</v>
      </c>
      <c r="H138" s="9" t="s">
        <v>434</v>
      </c>
      <c r="I138" s="10" t="s">
        <v>435</v>
      </c>
    </row>
    <row r="139" customFormat="false" ht="17.15" hidden="false" customHeight="false" outlineLevel="0" collapsed="false">
      <c r="A139" s="9" t="s">
        <v>438</v>
      </c>
      <c r="B139" s="10" t="s">
        <v>439</v>
      </c>
      <c r="C139" s="9" t="s">
        <v>46</v>
      </c>
      <c r="D139" s="9"/>
      <c r="E139" s="11" t="n">
        <v>0.2</v>
      </c>
      <c r="F139" s="9"/>
      <c r="G139" s="9" t="s">
        <v>47</v>
      </c>
      <c r="H139" s="9" t="s">
        <v>434</v>
      </c>
      <c r="I139" s="10" t="s">
        <v>435</v>
      </c>
    </row>
    <row r="140" customFormat="false" ht="17.15" hidden="false" customHeight="false" outlineLevel="0" collapsed="false">
      <c r="A140" s="3" t="s">
        <v>440</v>
      </c>
    </row>
    <row r="141" customFormat="false" ht="17.15" hidden="false" customHeight="false" outlineLevel="0" collapsed="false">
      <c r="A141" s="9" t="s">
        <v>441</v>
      </c>
      <c r="B141" s="9" t="s">
        <v>442</v>
      </c>
      <c r="C141" s="9" t="s">
        <v>46</v>
      </c>
      <c r="D141" s="9"/>
      <c r="E141" s="11" t="n">
        <v>0.1</v>
      </c>
      <c r="F141" s="9"/>
      <c r="G141" s="9" t="s">
        <v>47</v>
      </c>
      <c r="H141" s="9" t="s">
        <v>443</v>
      </c>
      <c r="I141" s="9" t="s">
        <v>444</v>
      </c>
    </row>
    <row r="142" customFormat="false" ht="17.15" hidden="false" customHeight="false" outlineLevel="0" collapsed="false">
      <c r="A142" s="9" t="s">
        <v>445</v>
      </c>
      <c r="B142" s="10" t="s">
        <v>446</v>
      </c>
      <c r="C142" s="9" t="s">
        <v>46</v>
      </c>
      <c r="D142" s="9"/>
      <c r="E142" s="11" t="n">
        <v>0.04</v>
      </c>
      <c r="F142" s="9"/>
      <c r="G142" s="9" t="s">
        <v>47</v>
      </c>
      <c r="H142" s="9" t="s">
        <v>447</v>
      </c>
      <c r="I142" s="9" t="s">
        <v>448</v>
      </c>
    </row>
    <row r="143" customFormat="false" ht="17.15" hidden="false" customHeight="false" outlineLevel="0" collapsed="false">
      <c r="A143" s="9" t="s">
        <v>449</v>
      </c>
      <c r="B143" s="10" t="s">
        <v>450</v>
      </c>
      <c r="C143" s="9" t="s">
        <v>315</v>
      </c>
      <c r="D143" s="9"/>
      <c r="E143" s="11" t="n">
        <v>0.02</v>
      </c>
      <c r="F143" s="9"/>
      <c r="G143" s="9" t="s">
        <v>47</v>
      </c>
      <c r="H143" s="10" t="s">
        <v>451</v>
      </c>
      <c r="I143" s="9" t="s">
        <v>175</v>
      </c>
    </row>
    <row r="144" customFormat="false" ht="17.15" hidden="false" customHeight="false" outlineLevel="0" collapsed="false">
      <c r="A144" s="9" t="s">
        <v>452</v>
      </c>
      <c r="B144" s="10" t="s">
        <v>453</v>
      </c>
      <c r="C144" s="9" t="s">
        <v>46</v>
      </c>
      <c r="D144" s="9"/>
      <c r="E144" s="11" t="n">
        <v>0.3195</v>
      </c>
      <c r="F144" s="9"/>
      <c r="G144" s="9" t="s">
        <v>211</v>
      </c>
      <c r="H144" s="9" t="s">
        <v>454</v>
      </c>
      <c r="I144" s="9" t="s">
        <v>455</v>
      </c>
    </row>
    <row r="145" customFormat="false" ht="17.15" hidden="false" customHeight="false" outlineLevel="0" collapsed="false">
      <c r="A145" s="9" t="s">
        <v>456</v>
      </c>
      <c r="B145" s="10" t="s">
        <v>457</v>
      </c>
      <c r="C145" s="9" t="s">
        <v>46</v>
      </c>
      <c r="D145" s="9"/>
      <c r="E145" s="11" t="n">
        <v>0.5</v>
      </c>
      <c r="F145" s="9"/>
      <c r="G145" s="9" t="s">
        <v>47</v>
      </c>
      <c r="H145" s="9" t="s">
        <v>458</v>
      </c>
      <c r="I145" s="9" t="s">
        <v>459</v>
      </c>
    </row>
    <row r="146" customFormat="false" ht="17.15" hidden="false" customHeight="false" outlineLevel="0" collapsed="false">
      <c r="A146" s="9" t="s">
        <v>460</v>
      </c>
      <c r="B146" s="10" t="s">
        <v>461</v>
      </c>
      <c r="C146" s="9" t="s">
        <v>131</v>
      </c>
      <c r="D146" s="9"/>
      <c r="E146" s="11" t="n">
        <v>0.8</v>
      </c>
      <c r="F146" s="9"/>
      <c r="G146" s="9" t="s">
        <v>47</v>
      </c>
      <c r="H146" s="10" t="s">
        <v>462</v>
      </c>
      <c r="I146" s="10" t="s">
        <v>463</v>
      </c>
    </row>
    <row r="147" customFormat="false" ht="17.15" hidden="false" customHeight="false" outlineLevel="0" collapsed="false">
      <c r="A147" s="0" t="s">
        <v>464</v>
      </c>
      <c r="B147" s="5" t="s">
        <v>465</v>
      </c>
      <c r="C147" s="0" t="s">
        <v>354</v>
      </c>
      <c r="E147" s="7" t="n">
        <v>529.1</v>
      </c>
      <c r="G147" s="8" t="s">
        <v>36</v>
      </c>
      <c r="H147" s="8" t="s">
        <v>466</v>
      </c>
      <c r="I147" s="5" t="s">
        <v>467</v>
      </c>
    </row>
    <row r="149" customFormat="false" ht="17.15" hidden="false" customHeight="false" outlineLevel="0" collapsed="false">
      <c r="A149" s="1" t="s">
        <v>468</v>
      </c>
    </row>
    <row r="150" customFormat="false" ht="17.15" hidden="false" customHeight="false" outlineLevel="0" collapsed="false">
      <c r="A150" s="0" t="s">
        <v>469</v>
      </c>
      <c r="B150" s="5" t="s">
        <v>470</v>
      </c>
      <c r="C150" s="0" t="s">
        <v>46</v>
      </c>
      <c r="E150" s="12" t="n">
        <f aca="false">0.574/63.887</f>
        <v>0.00898461345813702</v>
      </c>
      <c r="G150" s="8" t="s">
        <v>404</v>
      </c>
      <c r="H150" s="8" t="s">
        <v>471</v>
      </c>
      <c r="I150" s="5" t="s">
        <v>472</v>
      </c>
    </row>
    <row r="151" customFormat="false" ht="17.15" hidden="false" customHeight="false" outlineLevel="0" collapsed="false">
      <c r="A151" s="0" t="s">
        <v>473</v>
      </c>
      <c r="B151" s="5" t="s">
        <v>474</v>
      </c>
      <c r="C151" s="0" t="s">
        <v>46</v>
      </c>
      <c r="E151" s="12" t="n">
        <f aca="false">0.623/63.887</f>
        <v>0.00975159265578287</v>
      </c>
      <c r="G151" s="8" t="s">
        <v>404</v>
      </c>
      <c r="H151" s="5" t="s">
        <v>475</v>
      </c>
      <c r="I151" s="5" t="s">
        <v>472</v>
      </c>
    </row>
    <row r="153" customFormat="false" ht="17.15" hidden="false" customHeight="false" outlineLevel="0" collapsed="false">
      <c r="A153" s="3" t="s">
        <v>476</v>
      </c>
    </row>
    <row r="154" customFormat="false" ht="17.15" hidden="false" customHeight="false" outlineLevel="0" collapsed="false">
      <c r="A154" s="3" t="s">
        <v>23</v>
      </c>
      <c r="B154" s="3" t="s">
        <v>24</v>
      </c>
      <c r="C154" s="3" t="s">
        <v>25</v>
      </c>
      <c r="D154" s="3" t="s">
        <v>477</v>
      </c>
      <c r="E154" s="3" t="s">
        <v>478</v>
      </c>
      <c r="F154" s="3" t="s">
        <v>479</v>
      </c>
      <c r="G154" s="3" t="s">
        <v>29</v>
      </c>
      <c r="H154" s="3" t="s">
        <v>480</v>
      </c>
    </row>
    <row r="155" customFormat="false" ht="17.15" hidden="false" customHeight="false" outlineLevel="0" collapsed="false">
      <c r="A155" s="0" t="s">
        <v>481</v>
      </c>
      <c r="B155" s="0" t="s">
        <v>482</v>
      </c>
      <c r="C155" s="0" t="s">
        <v>131</v>
      </c>
      <c r="D155" s="0" t="n">
        <f aca="false">E37</f>
        <v>1</v>
      </c>
      <c r="E155" s="0" t="n">
        <f aca="false">E39</f>
        <v>0.8</v>
      </c>
      <c r="F155" s="0" t="n">
        <f aca="false">E41</f>
        <v>0.6</v>
      </c>
      <c r="G155" s="0" t="s">
        <v>211</v>
      </c>
      <c r="H155" s="5" t="s">
        <v>483</v>
      </c>
    </row>
    <row r="156" customFormat="false" ht="17.15" hidden="false" customHeight="false" outlineLevel="0" collapsed="false">
      <c r="A156" s="0" t="s">
        <v>484</v>
      </c>
      <c r="B156" s="0" t="s">
        <v>485</v>
      </c>
      <c r="C156" s="0" t="s">
        <v>131</v>
      </c>
      <c r="D156" s="0" t="n">
        <f aca="false">E38</f>
        <v>1</v>
      </c>
      <c r="E156" s="0" t="n">
        <f aca="false">E40</f>
        <v>0.85</v>
      </c>
      <c r="F156" s="0" t="n">
        <f aca="false">E42</f>
        <v>0.6</v>
      </c>
      <c r="G156" s="0" t="s">
        <v>211</v>
      </c>
      <c r="H156" s="5" t="s">
        <v>486</v>
      </c>
    </row>
    <row r="157" customFormat="false" ht="17.15" hidden="false" customHeight="false" outlineLevel="0" collapsed="false">
      <c r="A157" s="0" t="s">
        <v>487</v>
      </c>
      <c r="B157" s="0" t="s">
        <v>488</v>
      </c>
      <c r="C157" s="0" t="s">
        <v>210</v>
      </c>
      <c r="D157" s="0" t="n">
        <f aca="false">E62</f>
        <v>14.6</v>
      </c>
      <c r="E157" s="0" t="n">
        <f aca="false">E66</f>
        <v>14.6</v>
      </c>
      <c r="F157" s="0" t="n">
        <f aca="false">E70</f>
        <v>14.6</v>
      </c>
      <c r="G157" s="0" t="s">
        <v>211</v>
      </c>
      <c r="H157" s="5" t="s">
        <v>489</v>
      </c>
    </row>
    <row r="158" customFormat="false" ht="17.15" hidden="false" customHeight="false" outlineLevel="0" collapsed="false">
      <c r="A158" s="0" t="s">
        <v>490</v>
      </c>
      <c r="B158" s="0" t="s">
        <v>491</v>
      </c>
      <c r="C158" s="0" t="s">
        <v>210</v>
      </c>
      <c r="D158" s="0" t="n">
        <f aca="false">E63</f>
        <v>26.28</v>
      </c>
      <c r="E158" s="0" t="n">
        <f aca="false">E67</f>
        <v>26.28</v>
      </c>
      <c r="F158" s="0" t="n">
        <f aca="false">E71</f>
        <v>26.28</v>
      </c>
      <c r="G158" s="0" t="s">
        <v>211</v>
      </c>
      <c r="H158" s="5" t="s">
        <v>492</v>
      </c>
    </row>
    <row r="159" customFormat="false" ht="17.15" hidden="false" customHeight="false" outlineLevel="0" collapsed="false">
      <c r="A159" s="0" t="s">
        <v>493</v>
      </c>
      <c r="B159" s="0" t="s">
        <v>494</v>
      </c>
      <c r="C159" s="0" t="s">
        <v>210</v>
      </c>
      <c r="D159" s="0" t="n">
        <f aca="false">E64</f>
        <v>28.908</v>
      </c>
      <c r="E159" s="0" t="n">
        <f aca="false">E68</f>
        <v>19.71</v>
      </c>
      <c r="F159" s="0" t="n">
        <f aca="false">E72</f>
        <v>15.768</v>
      </c>
      <c r="G159" s="0" t="s">
        <v>211</v>
      </c>
      <c r="H159" s="5" t="s">
        <v>495</v>
      </c>
    </row>
    <row r="160" customFormat="false" ht="17.15" hidden="false" customHeight="false" outlineLevel="0" collapsed="false">
      <c r="A160" s="0" t="s">
        <v>496</v>
      </c>
      <c r="B160" s="0" t="s">
        <v>497</v>
      </c>
      <c r="C160" s="0" t="s">
        <v>210</v>
      </c>
      <c r="D160" s="0" t="n">
        <f aca="false">E65</f>
        <v>27.4626</v>
      </c>
      <c r="E160" s="0" t="n">
        <f aca="false">E69</f>
        <v>19.71</v>
      </c>
      <c r="F160" s="0" t="n">
        <f aca="false">E73</f>
        <v>16.5564</v>
      </c>
      <c r="G160" s="0" t="s">
        <v>211</v>
      </c>
      <c r="H160" s="5" t="s">
        <v>498</v>
      </c>
    </row>
    <row r="161" customFormat="false" ht="17.15" hidden="false" customHeight="false" outlineLevel="0" collapsed="false">
      <c r="A161" s="0" t="s">
        <v>499</v>
      </c>
      <c r="B161" s="5" t="s">
        <v>500</v>
      </c>
      <c r="C161" s="5" t="s">
        <v>422</v>
      </c>
      <c r="D161" s="0" t="n">
        <f aca="false">E133</f>
        <v>2029</v>
      </c>
      <c r="E161" s="0" t="n">
        <f aca="false">E134</f>
        <v>2028</v>
      </c>
      <c r="F161" s="0" t="n">
        <f aca="false">E135</f>
        <v>2027</v>
      </c>
      <c r="G161" s="0" t="s">
        <v>211</v>
      </c>
      <c r="H161" s="5" t="s">
        <v>501</v>
      </c>
    </row>
    <row r="162" customFormat="false" ht="17.15" hidden="false" customHeight="false" outlineLevel="0" collapsed="false">
      <c r="A162" s="0" t="s">
        <v>502</v>
      </c>
      <c r="B162" s="5" t="s">
        <v>503</v>
      </c>
      <c r="C162" s="0" t="s">
        <v>46</v>
      </c>
      <c r="D162" s="0" t="n">
        <f aca="false">E137</f>
        <v>0.3</v>
      </c>
      <c r="E162" s="0" t="n">
        <f aca="false">E138</f>
        <v>0.5</v>
      </c>
      <c r="F162" s="0" t="n">
        <f aca="false">E139</f>
        <v>0.2</v>
      </c>
      <c r="G162" s="0" t="s">
        <v>211</v>
      </c>
      <c r="H162" s="5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505</v>
      </c>
    </row>
    <row r="2" customFormat="false" ht="17.15" hidden="false" customHeight="false" outlineLevel="0" collapsed="false">
      <c r="A2" s="0" t="s">
        <v>506</v>
      </c>
    </row>
    <row r="3" customFormat="false" ht="17.15" hidden="false" customHeight="false" outlineLevel="0" collapsed="false">
      <c r="A3" s="6" t="s">
        <v>24</v>
      </c>
      <c r="B3" s="13" t="s">
        <v>507</v>
      </c>
      <c r="C3" s="13" t="s">
        <v>508</v>
      </c>
      <c r="D3" s="13" t="s">
        <v>509</v>
      </c>
      <c r="E3" s="13" t="s">
        <v>510</v>
      </c>
      <c r="F3" s="13" t="s">
        <v>511</v>
      </c>
      <c r="G3" s="13" t="s">
        <v>512</v>
      </c>
      <c r="H3" s="6" t="s">
        <v>29</v>
      </c>
      <c r="I3" s="6" t="s">
        <v>513</v>
      </c>
      <c r="J3" s="6" t="s">
        <v>31</v>
      </c>
    </row>
    <row r="4" customFormat="false" ht="17.15" hidden="false" customHeight="false" outlineLevel="0" collapsed="false">
      <c r="A4" s="5" t="s">
        <v>514</v>
      </c>
      <c r="B4" s="14" t="n">
        <v>63.887</v>
      </c>
      <c r="C4" s="14" t="n">
        <v>19.311</v>
      </c>
      <c r="D4" s="14" t="n">
        <v>22.187</v>
      </c>
      <c r="E4" s="14" t="n">
        <v>29.591</v>
      </c>
      <c r="F4" s="15" t="n">
        <f aca="false">q4_rev</f>
        <v>34.8</v>
      </c>
      <c r="G4" s="15" t="n">
        <f aca="false">SUM(C4:F4)</f>
        <v>105.889</v>
      </c>
      <c r="H4" s="8" t="s">
        <v>515</v>
      </c>
      <c r="I4" s="8" t="s">
        <v>516</v>
      </c>
      <c r="J4" s="5" t="s">
        <v>517</v>
      </c>
    </row>
    <row r="5" customFormat="false" ht="17.15" hidden="false" customHeight="false" outlineLevel="0" collapsed="false">
      <c r="A5" s="5" t="s">
        <v>518</v>
      </c>
      <c r="B5" s="14" t="n">
        <v>36.858</v>
      </c>
      <c r="C5" s="14" t="n">
        <v>12.515</v>
      </c>
      <c r="D5" s="14" t="n">
        <v>15.009</v>
      </c>
      <c r="E5" s="14" t="n">
        <v>20.839</v>
      </c>
      <c r="F5" s="15" t="n">
        <f aca="false">F4-F6</f>
        <v>26.1</v>
      </c>
      <c r="G5" s="15" t="n">
        <f aca="false">SUM(C5:F5)</f>
        <v>74.463</v>
      </c>
      <c r="H5" s="8" t="s">
        <v>519</v>
      </c>
      <c r="I5" s="8" t="s">
        <v>516</v>
      </c>
      <c r="J5" s="5" t="s">
        <v>517</v>
      </c>
    </row>
    <row r="6" customFormat="false" ht="17.15" hidden="false" customHeight="false" outlineLevel="0" collapsed="false">
      <c r="A6" s="5" t="s">
        <v>520</v>
      </c>
      <c r="B6" s="14" t="n">
        <v>27.029</v>
      </c>
      <c r="C6" s="14" t="n">
        <v>6.796</v>
      </c>
      <c r="D6" s="14" t="n">
        <v>7.178</v>
      </c>
      <c r="E6" s="14" t="n">
        <v>8.752</v>
      </c>
      <c r="F6" s="15" t="n">
        <f aca="false">q4_sw</f>
        <v>8.7</v>
      </c>
      <c r="G6" s="15" t="n">
        <f aca="false">SUM(C6:F6)</f>
        <v>31.426</v>
      </c>
      <c r="H6" s="8" t="s">
        <v>521</v>
      </c>
      <c r="I6" s="8" t="s">
        <v>516</v>
      </c>
      <c r="J6" s="5" t="s">
        <v>517</v>
      </c>
    </row>
    <row r="7" customFormat="false" ht="17.15" hidden="false" customHeight="false" outlineLevel="0" collapsed="false">
      <c r="A7" s="0" t="s">
        <v>522</v>
      </c>
      <c r="B7" s="15" t="n">
        <f aca="false">co_ai26/(1+1.86)</f>
        <v>20.2797202797203</v>
      </c>
      <c r="C7" s="14" t="n">
        <v>8.4</v>
      </c>
      <c r="D7" s="14" t="n">
        <v>10.8</v>
      </c>
      <c r="E7" s="14" t="n">
        <v>16.7</v>
      </c>
      <c r="F7" s="15" t="n">
        <f aca="false">q4_ai</f>
        <v>21.7</v>
      </c>
      <c r="G7" s="15" t="n">
        <f aca="false">SUM(C7:F7)</f>
        <v>57.6</v>
      </c>
      <c r="H7" s="8" t="s">
        <v>523</v>
      </c>
      <c r="I7" s="8" t="s">
        <v>516</v>
      </c>
      <c r="J7" s="8" t="s">
        <v>524</v>
      </c>
    </row>
    <row r="8" customFormat="false" ht="17.15" hidden="false" customHeight="false" outlineLevel="0" collapsed="false">
      <c r="A8" s="0" t="s">
        <v>525</v>
      </c>
      <c r="G8" s="15" t="n">
        <f aca="false">rep_avgo26</f>
        <v>17.6</v>
      </c>
      <c r="H8" s="8" t="s">
        <v>211</v>
      </c>
      <c r="I8" s="8" t="s">
        <v>252</v>
      </c>
      <c r="J8" s="8" t="s">
        <v>526</v>
      </c>
    </row>
    <row r="9" customFormat="false" ht="17.15" hidden="false" customHeight="false" outlineLevel="0" collapsed="false">
      <c r="A9" s="0" t="s">
        <v>527</v>
      </c>
      <c r="G9" s="15" t="n">
        <f aca="false">G7-G8</f>
        <v>40</v>
      </c>
      <c r="H9" s="8" t="s">
        <v>211</v>
      </c>
      <c r="I9" s="8" t="s">
        <v>175</v>
      </c>
      <c r="J9" s="8" t="s">
        <v>528</v>
      </c>
    </row>
    <row r="10" customFormat="false" ht="17.15" hidden="false" customHeight="false" outlineLevel="0" collapsed="false">
      <c r="A10" s="0" t="s">
        <v>529</v>
      </c>
      <c r="G10" s="16" t="n">
        <f aca="false">G9/G7</f>
        <v>0.694444444444444</v>
      </c>
      <c r="H10" s="8" t="s">
        <v>211</v>
      </c>
      <c r="I10" s="8" t="s">
        <v>175</v>
      </c>
      <c r="J10" s="8" t="s">
        <v>530</v>
      </c>
    </row>
    <row r="11" customFormat="false" ht="17.15" hidden="false" customHeight="false" outlineLevel="0" collapsed="false">
      <c r="A11" s="5" t="s">
        <v>531</v>
      </c>
      <c r="B11" s="15" t="n">
        <f aca="false">B5-B7</f>
        <v>16.5782797202797</v>
      </c>
      <c r="C11" s="15" t="n">
        <f aca="false">C5-C7</f>
        <v>4.115</v>
      </c>
      <c r="D11" s="15" t="n">
        <f aca="false">D5-D7</f>
        <v>4.209</v>
      </c>
      <c r="E11" s="15" t="n">
        <f aca="false">E5-E7</f>
        <v>4.139</v>
      </c>
      <c r="F11" s="15" t="n">
        <f aca="false">F5-F7</f>
        <v>4.4</v>
      </c>
      <c r="G11" s="15" t="n">
        <f aca="false">SUM(C11:F11)</f>
        <v>16.863</v>
      </c>
      <c r="H11" s="8" t="s">
        <v>211</v>
      </c>
      <c r="I11" s="8" t="s">
        <v>516</v>
      </c>
      <c r="J11" s="5" t="s">
        <v>517</v>
      </c>
    </row>
    <row r="12" customFormat="false" ht="17.15" hidden="false" customHeight="false" outlineLevel="0" collapsed="false">
      <c r="A12" s="0" t="s">
        <v>532</v>
      </c>
      <c r="B12" s="14" t="n">
        <v>50.245</v>
      </c>
      <c r="C12" s="14" t="n">
        <v>14.868</v>
      </c>
      <c r="D12" s="14" t="n">
        <v>17.109</v>
      </c>
      <c r="E12" s="14" t="n">
        <v>22.191</v>
      </c>
      <c r="F12" s="15" t="n">
        <f aca="false">F4*q4_gm</f>
        <v>25.404</v>
      </c>
      <c r="G12" s="15" t="n">
        <f aca="false">SUM(C12:F12)</f>
        <v>79.572</v>
      </c>
      <c r="H12" s="8" t="s">
        <v>521</v>
      </c>
      <c r="I12" s="8" t="s">
        <v>516</v>
      </c>
      <c r="J12" s="5" t="s">
        <v>517</v>
      </c>
    </row>
    <row r="13" customFormat="false" ht="17.15" hidden="false" customHeight="false" outlineLevel="0" collapsed="false">
      <c r="A13" s="5" t="s">
        <v>533</v>
      </c>
      <c r="B13" s="16" t="n">
        <f aca="false">B12/B4</f>
        <v>0.786466730320723</v>
      </c>
      <c r="C13" s="16" t="n">
        <f aca="false">C12/C4</f>
        <v>0.769923877582725</v>
      </c>
      <c r="D13" s="16" t="n">
        <f aca="false">D12/D4</f>
        <v>0.771127236670122</v>
      </c>
      <c r="E13" s="16" t="n">
        <f aca="false">E12/E4</f>
        <v>0.74992396336724</v>
      </c>
      <c r="F13" s="16" t="n">
        <f aca="false">F12/F4</f>
        <v>0.73</v>
      </c>
      <c r="G13" s="16" t="n">
        <f aca="false">G12/G4</f>
        <v>0.751466157957862</v>
      </c>
      <c r="H13" s="8" t="s">
        <v>211</v>
      </c>
      <c r="I13" s="8" t="s">
        <v>175</v>
      </c>
      <c r="J13" s="8" t="s">
        <v>534</v>
      </c>
    </row>
    <row r="14" customFormat="false" ht="17.15" hidden="false" customHeight="false" outlineLevel="0" collapsed="false">
      <c r="A14" s="0" t="s">
        <v>535</v>
      </c>
      <c r="B14" s="14" t="n">
        <v>8.248</v>
      </c>
      <c r="C14" s="14" t="n">
        <v>2.042</v>
      </c>
      <c r="D14" s="14" t="n">
        <v>2.181</v>
      </c>
      <c r="E14" s="14" t="n">
        <v>2.096</v>
      </c>
      <c r="F14" s="15" t="n">
        <f aca="false">F12-F15</f>
        <v>2.436</v>
      </c>
      <c r="G14" s="15" t="n">
        <f aca="false">SUM(C14:F14)</f>
        <v>8.755</v>
      </c>
      <c r="H14" s="8" t="s">
        <v>536</v>
      </c>
      <c r="I14" s="8" t="s">
        <v>516</v>
      </c>
      <c r="J14" s="5" t="s">
        <v>517</v>
      </c>
    </row>
    <row r="15" customFormat="false" ht="17.15" hidden="false" customHeight="false" outlineLevel="0" collapsed="false">
      <c r="A15" s="0" t="s">
        <v>537</v>
      </c>
      <c r="B15" s="14" t="n">
        <v>41.997</v>
      </c>
      <c r="C15" s="14" t="n">
        <v>12.826</v>
      </c>
      <c r="D15" s="14" t="n">
        <v>14.928</v>
      </c>
      <c r="E15" s="14" t="n">
        <v>20.095</v>
      </c>
      <c r="F15" s="15" t="n">
        <f aca="false">F4*q4_oim</f>
        <v>22.968</v>
      </c>
      <c r="G15" s="15" t="n">
        <f aca="false">SUM(C15:F15)</f>
        <v>70.817</v>
      </c>
      <c r="H15" s="8" t="s">
        <v>521</v>
      </c>
      <c r="I15" s="8" t="s">
        <v>516</v>
      </c>
      <c r="J15" s="5" t="s">
        <v>517</v>
      </c>
    </row>
    <row r="16" customFormat="false" ht="15" hidden="false" customHeight="false" outlineLevel="0" collapsed="false">
      <c r="A16" s="5" t="s">
        <v>538</v>
      </c>
      <c r="B16" s="16" t="n">
        <f aca="false">B15/B4</f>
        <v>0.657363782929235</v>
      </c>
      <c r="C16" s="16" t="n">
        <f aca="false">C15/C4</f>
        <v>0.664181036714826</v>
      </c>
      <c r="D16" s="16" t="n">
        <f aca="false">D15/D4</f>
        <v>0.672826429891378</v>
      </c>
      <c r="E16" s="16" t="n">
        <f aca="false">E15/E4</f>
        <v>0.679091615693961</v>
      </c>
      <c r="F16" s="16" t="n">
        <f aca="false">F15/F4</f>
        <v>0.66</v>
      </c>
      <c r="G16" s="16" t="n">
        <f aca="false">G15/G4</f>
        <v>0.66878523737121</v>
      </c>
      <c r="H16" s="8" t="s">
        <v>211</v>
      </c>
      <c r="I16" s="8" t="s">
        <v>175</v>
      </c>
      <c r="J16" s="8" t="s">
        <v>175</v>
      </c>
    </row>
    <row r="17" customFormat="false" ht="17.15" hidden="false" customHeight="false" outlineLevel="0" collapsed="false">
      <c r="A17" s="0" t="s">
        <v>539</v>
      </c>
      <c r="B17" s="14" t="n">
        <v>3.072</v>
      </c>
      <c r="C17" s="14" t="n">
        <v>0.746</v>
      </c>
      <c r="D17" s="14" t="n">
        <v>0.745</v>
      </c>
      <c r="E17" s="14" t="n">
        <v>0.703</v>
      </c>
      <c r="F17" s="15" t="n">
        <f aca="false">q4_int</f>
        <v>0.7</v>
      </c>
      <c r="G17" s="15" t="n">
        <f aca="false">SUM(C17:F17)</f>
        <v>2.894</v>
      </c>
      <c r="H17" s="8" t="s">
        <v>519</v>
      </c>
      <c r="I17" s="8" t="s">
        <v>516</v>
      </c>
      <c r="J17" s="5" t="s">
        <v>517</v>
      </c>
    </row>
    <row r="18" customFormat="false" ht="17.15" hidden="false" customHeight="false" outlineLevel="0" collapsed="false">
      <c r="A18" s="0" t="s">
        <v>540</v>
      </c>
      <c r="B18" s="14" t="n">
        <v>0.294</v>
      </c>
      <c r="C18" s="14" t="n">
        <v>0.118</v>
      </c>
      <c r="D18" s="14" t="n">
        <v>0.118</v>
      </c>
      <c r="E18" s="14" t="n">
        <v>0.098</v>
      </c>
      <c r="F18" s="15" t="n">
        <f aca="false">q4_oth</f>
        <v>0.1</v>
      </c>
      <c r="G18" s="15" t="n">
        <f aca="false">SUM(C18:F18)</f>
        <v>0.434</v>
      </c>
      <c r="H18" s="8" t="s">
        <v>519</v>
      </c>
      <c r="I18" s="8" t="s">
        <v>516</v>
      </c>
      <c r="J18" s="5" t="s">
        <v>517</v>
      </c>
    </row>
    <row r="19" customFormat="false" ht="17.15" hidden="false" customHeight="false" outlineLevel="0" collapsed="false">
      <c r="A19" s="5" t="s">
        <v>541</v>
      </c>
      <c r="B19" s="15" t="n">
        <f aca="false">B15-B17+B18</f>
        <v>39.219</v>
      </c>
      <c r="C19" s="15" t="n">
        <f aca="false">C15-C17+C18</f>
        <v>12.198</v>
      </c>
      <c r="D19" s="15" t="n">
        <f aca="false">D15-D17+D18</f>
        <v>14.301</v>
      </c>
      <c r="E19" s="15" t="n">
        <f aca="false">E15-E17+E18</f>
        <v>19.49</v>
      </c>
      <c r="F19" s="15" t="n">
        <f aca="false">F15-F17+F18</f>
        <v>22.368</v>
      </c>
      <c r="G19" s="15" t="n">
        <f aca="false">SUM(C19:F19)</f>
        <v>68.357</v>
      </c>
      <c r="H19" s="8" t="s">
        <v>211</v>
      </c>
      <c r="I19" s="8" t="s">
        <v>516</v>
      </c>
      <c r="J19" s="5" t="s">
        <v>517</v>
      </c>
    </row>
    <row r="20" customFormat="false" ht="17.15" hidden="false" customHeight="false" outlineLevel="0" collapsed="false">
      <c r="A20" s="0" t="s">
        <v>542</v>
      </c>
      <c r="B20" s="14" t="n">
        <v>5.491</v>
      </c>
      <c r="C20" s="14" t="n">
        <v>2.013</v>
      </c>
      <c r="D20" s="14" t="n">
        <v>2.227</v>
      </c>
      <c r="E20" s="14" t="n">
        <v>3.118</v>
      </c>
      <c r="F20" s="15" t="n">
        <f aca="false">F19*q4_tx</f>
        <v>3.57888</v>
      </c>
      <c r="G20" s="15" t="n">
        <f aca="false">SUM(C20:F20)</f>
        <v>10.93688</v>
      </c>
      <c r="H20" s="8" t="s">
        <v>519</v>
      </c>
      <c r="I20" s="8" t="s">
        <v>516</v>
      </c>
      <c r="J20" s="5" t="s">
        <v>517</v>
      </c>
    </row>
    <row r="21" customFormat="false" ht="15" hidden="false" customHeight="false" outlineLevel="0" collapsed="false">
      <c r="A21" s="5" t="s">
        <v>543</v>
      </c>
      <c r="B21" s="16" t="n">
        <f aca="false">B20/B19</f>
        <v>0.140008669267447</v>
      </c>
      <c r="C21" s="16" t="n">
        <f aca="false">C20/C19</f>
        <v>0.165027053615347</v>
      </c>
      <c r="D21" s="16" t="n">
        <f aca="false">D20/D19</f>
        <v>0.155723375987693</v>
      </c>
      <c r="E21" s="16" t="n">
        <f aca="false">E20/E19</f>
        <v>0.159979476654695</v>
      </c>
      <c r="F21" s="16" t="n">
        <f aca="false">F20/F19</f>
        <v>0.16</v>
      </c>
      <c r="G21" s="16" t="n">
        <f aca="false">G20/G19</f>
        <v>0.159996489020876</v>
      </c>
      <c r="H21" s="8" t="s">
        <v>211</v>
      </c>
      <c r="I21" s="8" t="s">
        <v>175</v>
      </c>
      <c r="J21" s="8" t="s">
        <v>175</v>
      </c>
    </row>
    <row r="22" customFormat="false" ht="17.15" hidden="false" customHeight="false" outlineLevel="0" collapsed="false">
      <c r="A22" s="0" t="s">
        <v>544</v>
      </c>
      <c r="B22" s="15" t="n">
        <f aca="false">B19-B20</f>
        <v>33.728</v>
      </c>
      <c r="C22" s="15" t="n">
        <f aca="false">C19-C20</f>
        <v>10.185</v>
      </c>
      <c r="D22" s="15" t="n">
        <f aca="false">D19-D20</f>
        <v>12.074</v>
      </c>
      <c r="E22" s="15" t="n">
        <f aca="false">E19-E20</f>
        <v>16.372</v>
      </c>
      <c r="F22" s="15" t="n">
        <f aca="false">F19-F20</f>
        <v>18.78912</v>
      </c>
      <c r="G22" s="15" t="n">
        <f aca="false">SUM(C22:F22)</f>
        <v>57.42012</v>
      </c>
      <c r="H22" s="8" t="s">
        <v>211</v>
      </c>
      <c r="I22" s="8" t="s">
        <v>516</v>
      </c>
      <c r="J22" s="5" t="s">
        <v>517</v>
      </c>
    </row>
    <row r="23" customFormat="false" ht="17.15" hidden="false" customHeight="false" outlineLevel="0" collapsed="false">
      <c r="A23" s="5" t="s">
        <v>545</v>
      </c>
      <c r="B23" s="14" t="n">
        <v>33.728</v>
      </c>
      <c r="C23" s="14" t="n">
        <v>10.185</v>
      </c>
      <c r="D23" s="14" t="n">
        <v>12.074</v>
      </c>
      <c r="E23" s="14" t="n">
        <v>16.372</v>
      </c>
      <c r="H23" s="8" t="s">
        <v>404</v>
      </c>
      <c r="I23" s="8" t="s">
        <v>516</v>
      </c>
      <c r="J23" s="5" t="s">
        <v>517</v>
      </c>
    </row>
    <row r="24" customFormat="false" ht="17.15" hidden="false" customHeight="false" outlineLevel="0" collapsed="false">
      <c r="A24" s="0" t="s">
        <v>546</v>
      </c>
      <c r="B24" s="14" t="n">
        <v>4.943</v>
      </c>
      <c r="C24" s="14" t="n">
        <v>4.957</v>
      </c>
      <c r="D24" s="14" t="n">
        <v>4.94</v>
      </c>
      <c r="E24" s="14" t="n">
        <v>4.937</v>
      </c>
      <c r="F24" s="15" t="n">
        <f aca="false">q4_sh</f>
        <v>4.94</v>
      </c>
      <c r="G24" s="15" t="n">
        <f aca="false">AVERAGE(C24:F24)</f>
        <v>4.9435</v>
      </c>
      <c r="H24" s="8" t="s">
        <v>519</v>
      </c>
      <c r="I24" s="8" t="s">
        <v>516</v>
      </c>
      <c r="J24" s="5" t="s">
        <v>517</v>
      </c>
    </row>
    <row r="25" customFormat="false" ht="17.15" hidden="false" customHeight="false" outlineLevel="0" collapsed="false">
      <c r="A25" s="0" t="s">
        <v>547</v>
      </c>
      <c r="B25" s="17" t="n">
        <f aca="false">B22/B24</f>
        <v>6.82338660732349</v>
      </c>
      <c r="C25" s="17" t="n">
        <f aca="false">C22/C24</f>
        <v>2.05467016340529</v>
      </c>
      <c r="D25" s="17" t="n">
        <f aca="false">D22/D24</f>
        <v>2.44412955465587</v>
      </c>
      <c r="E25" s="17" t="n">
        <f aca="false">E22/E24</f>
        <v>3.31618391735872</v>
      </c>
      <c r="F25" s="17" t="n">
        <f aca="false">F22/F24</f>
        <v>3.80346558704453</v>
      </c>
      <c r="G25" s="17" t="n">
        <f aca="false">G22/G24</f>
        <v>11.6152766258724</v>
      </c>
      <c r="H25" s="8" t="s">
        <v>211</v>
      </c>
      <c r="I25" s="5" t="s">
        <v>548</v>
      </c>
      <c r="J25" s="8" t="s">
        <v>175</v>
      </c>
    </row>
    <row r="26" customFormat="false" ht="17.15" hidden="false" customHeight="false" outlineLevel="0" collapsed="false">
      <c r="A26" s="5" t="s">
        <v>549</v>
      </c>
      <c r="B26" s="18" t="n">
        <v>6.82</v>
      </c>
      <c r="C26" s="18" t="n">
        <v>2.05</v>
      </c>
      <c r="D26" s="18" t="n">
        <v>2.44</v>
      </c>
      <c r="E26" s="18" t="n">
        <v>3.32</v>
      </c>
      <c r="H26" s="8" t="s">
        <v>404</v>
      </c>
      <c r="I26" s="8" t="s">
        <v>516</v>
      </c>
      <c r="J26" s="5" t="s">
        <v>517</v>
      </c>
    </row>
    <row r="27" customFormat="false" ht="17.15" hidden="false" customHeight="false" outlineLevel="0" collapsed="false">
      <c r="A27" s="5" t="s">
        <v>550</v>
      </c>
      <c r="B27" s="17" t="n">
        <f aca="false">B22-B23</f>
        <v>0</v>
      </c>
      <c r="C27" s="17" t="n">
        <f aca="false">C22-C23</f>
        <v>0</v>
      </c>
      <c r="D27" s="17" t="n">
        <f aca="false">D22-D23</f>
        <v>0</v>
      </c>
      <c r="E27" s="17" t="n">
        <f aca="false">E22-E23</f>
        <v>0</v>
      </c>
      <c r="H27" s="8" t="s">
        <v>175</v>
      </c>
      <c r="I27" s="8" t="s">
        <v>175</v>
      </c>
      <c r="J27" s="8" t="s">
        <v>175</v>
      </c>
    </row>
    <row r="28" customFormat="false" ht="17.15" hidden="false" customHeight="false" outlineLevel="0" collapsed="false">
      <c r="A28" s="5" t="s">
        <v>551</v>
      </c>
      <c r="G28" s="17" t="n">
        <f aca="false">(C4+D4+E4-71.089)+(C12+D12+E12-54.168)+(C15+D15+E15-47.849)+(C22+D22+E22-38.631)</f>
        <v>0</v>
      </c>
      <c r="H28" s="8" t="s">
        <v>175</v>
      </c>
      <c r="I28" s="8" t="s">
        <v>552</v>
      </c>
      <c r="J28" s="8" t="s">
        <v>175</v>
      </c>
    </row>
    <row r="30" customFormat="false" ht="17.15" hidden="false" customHeight="false" outlineLevel="0" collapsed="false">
      <c r="A30" s="1" t="s">
        <v>553</v>
      </c>
    </row>
    <row r="31" customFormat="false" ht="17.15" hidden="false" customHeight="false" outlineLevel="0" collapsed="false">
      <c r="A31" s="0" t="s">
        <v>554</v>
      </c>
      <c r="B31" s="16" t="n">
        <f aca="false">G4/cons_rev26-1</f>
        <v>-0.000858652575957852</v>
      </c>
    </row>
    <row r="32" customFormat="false" ht="17.15" hidden="false" customHeight="false" outlineLevel="0" collapsed="false">
      <c r="A32" s="0" t="s">
        <v>555</v>
      </c>
      <c r="B32" s="16" t="n">
        <f aca="false">G25/cons_eps26-1</f>
        <v>-0.00383562385314273</v>
      </c>
    </row>
    <row r="33" customFormat="false" ht="17.15" hidden="false" customHeight="false" outlineLevel="0" collapsed="false">
      <c r="A33" s="0" t="s">
        <v>556</v>
      </c>
      <c r="B33" s="16" t="n">
        <f aca="false">G7/co_ai26-1</f>
        <v>-0.00689655172413806</v>
      </c>
    </row>
    <row r="34" customFormat="false" ht="17.15" hidden="false" customHeight="false" outlineLevel="0" collapsed="false">
      <c r="A34" s="0" t="s">
        <v>557</v>
      </c>
      <c r="B34" s="16" t="n">
        <f aca="false">G4/B4-1</f>
        <v>0.657442046112668</v>
      </c>
    </row>
    <row r="35" customFormat="false" ht="17.15" hidden="false" customHeight="false" outlineLevel="0" collapsed="false">
      <c r="A35" s="0" t="s">
        <v>558</v>
      </c>
      <c r="B35" s="16" t="n">
        <f aca="false">G14/B14-1</f>
        <v>0.0614694471386998</v>
      </c>
    </row>
    <row r="36" customFormat="false" ht="17.15" hidden="false" customHeight="false" outlineLevel="0" collapsed="false">
      <c r="A36" s="5" t="s">
        <v>559</v>
      </c>
      <c r="B36" s="19" t="n">
        <f aca="false">B35/B34</f>
        <v>0.0934978946085929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560</v>
      </c>
    </row>
    <row r="3" customFormat="false" ht="17.15" hidden="false" customHeight="false" outlineLevel="0" collapsed="false">
      <c r="A3" s="6" t="s">
        <v>24</v>
      </c>
      <c r="B3" s="6" t="s">
        <v>25</v>
      </c>
      <c r="C3" s="13" t="s">
        <v>561</v>
      </c>
      <c r="D3" s="13" t="s">
        <v>562</v>
      </c>
      <c r="E3" s="13" t="s">
        <v>563</v>
      </c>
      <c r="F3" s="13" t="s">
        <v>564</v>
      </c>
      <c r="G3" s="6" t="s">
        <v>480</v>
      </c>
    </row>
    <row r="4" customFormat="false" ht="17.15" hidden="false" customHeight="false" outlineLevel="0" collapsed="false">
      <c r="A4" s="1" t="s">
        <v>565</v>
      </c>
    </row>
    <row r="5" customFormat="false" ht="17.15" hidden="false" customHeight="false" outlineLevel="0" collapsed="false">
      <c r="A5" s="0" t="s">
        <v>566</v>
      </c>
      <c r="B5" s="0" t="s">
        <v>46</v>
      </c>
      <c r="C5" s="16" t="n">
        <f aca="false">PL!D75</f>
        <v>0.9</v>
      </c>
      <c r="D5" s="16" t="n">
        <f aca="false">PL!E75</f>
        <v>0.8</v>
      </c>
      <c r="E5" s="16" t="n">
        <f aca="false">PL!F75</f>
        <v>0.75</v>
      </c>
      <c r="F5" s="16" t="n">
        <f aca="false">PL!G75</f>
        <v>0.75</v>
      </c>
      <c r="G5" s="8" t="s">
        <v>567</v>
      </c>
    </row>
    <row r="6" customFormat="false" ht="17.15" hidden="false" customHeight="false" outlineLevel="0" collapsed="false">
      <c r="A6" s="0" t="s">
        <v>568</v>
      </c>
      <c r="B6" s="5" t="s">
        <v>35</v>
      </c>
      <c r="C6" s="19" t="n">
        <f aca="false">PL!D77</f>
        <v>3.465</v>
      </c>
      <c r="D6" s="19" t="n">
        <f aca="false">PL!E77</f>
        <v>4.4</v>
      </c>
      <c r="E6" s="19" t="n">
        <f aca="false">PL!F77</f>
        <v>5.25</v>
      </c>
      <c r="F6" s="19" t="n">
        <f aca="false">PL!G77</f>
        <v>6.0375</v>
      </c>
      <c r="G6" s="5" t="s">
        <v>569</v>
      </c>
    </row>
    <row r="7" customFormat="false" ht="17.15" hidden="false" customHeight="false" outlineLevel="0" collapsed="false">
      <c r="A7" s="5" t="s">
        <v>570</v>
      </c>
      <c r="B7" s="0" t="s">
        <v>151</v>
      </c>
      <c r="C7" s="20" t="n">
        <f aca="false">PL!D79</f>
        <v>192</v>
      </c>
      <c r="D7" s="20" t="n">
        <f aca="false">PL!E79</f>
        <v>250</v>
      </c>
      <c r="E7" s="20" t="n">
        <f aca="false">PL!F79</f>
        <v>288</v>
      </c>
      <c r="F7" s="20" t="n">
        <f aca="false">PL!G79</f>
        <v>288</v>
      </c>
      <c r="G7" s="8" t="s">
        <v>571</v>
      </c>
    </row>
    <row r="8" customFormat="false" ht="17.15" hidden="false" customHeight="false" outlineLevel="0" collapsed="false">
      <c r="A8" s="5" t="s">
        <v>572</v>
      </c>
      <c r="B8" s="0" t="s">
        <v>188</v>
      </c>
      <c r="C8" s="19" t="n">
        <f aca="false">PL!D84</f>
        <v>2.8032</v>
      </c>
      <c r="D8" s="19" t="n">
        <f aca="false">PL!E84</f>
        <v>6.57</v>
      </c>
      <c r="E8" s="19" t="n">
        <f aca="false">PL!F84</f>
        <v>8.325504</v>
      </c>
      <c r="F8" s="19" t="n">
        <f aca="false">PL!G84</f>
        <v>7.9092288</v>
      </c>
      <c r="G8" s="5" t="s">
        <v>573</v>
      </c>
    </row>
    <row r="9" customFormat="false" ht="17.15" hidden="false" customHeight="false" outlineLevel="0" collapsed="false">
      <c r="A9" s="5" t="s">
        <v>574</v>
      </c>
      <c r="B9" s="0" t="s">
        <v>188</v>
      </c>
      <c r="C9" s="19" t="n">
        <f aca="false">PL!D86*PL!$D$89</f>
        <v>10.7255857805695</v>
      </c>
      <c r="D9" s="19" t="n">
        <f aca="false">PL!E86*PL!$D$89</f>
        <v>13.2292918544629</v>
      </c>
      <c r="E9" s="19" t="n">
        <f aca="false">PL!F86*PL!$D$89</f>
        <v>14.3961353363425</v>
      </c>
      <c r="F9" s="19" t="n">
        <f aca="false">PL!G86*PL!$D$89</f>
        <v>14.119446702316</v>
      </c>
      <c r="G9" s="5" t="s">
        <v>575</v>
      </c>
    </row>
    <row r="10" customFormat="false" ht="17.15" hidden="false" customHeight="false" outlineLevel="0" collapsed="false">
      <c r="A10" s="5" t="s">
        <v>576</v>
      </c>
      <c r="B10" s="0" t="s">
        <v>188</v>
      </c>
      <c r="C10" s="19" t="n">
        <f aca="false">PL!D82*PL!$D$89+PL!D84</f>
        <v>11.6655626558117</v>
      </c>
      <c r="D10" s="19" t="n">
        <f aca="false">PL!E82*PL!$D$89+PL!E84</f>
        <v>15.4323626558117</v>
      </c>
      <c r="E10" s="19" t="n">
        <f aca="false">PL!F82*PL!$D$89+PL!F84</f>
        <v>17.1878666558117</v>
      </c>
      <c r="F10" s="19" t="n">
        <f aca="false">PL!G82*PL!$D$89+PL!G84</f>
        <v>16.7715914558117</v>
      </c>
      <c r="G10" s="5" t="s">
        <v>577</v>
      </c>
    </row>
    <row r="11" customFormat="false" ht="17.15" hidden="false" customHeight="false" outlineLevel="0" collapsed="false">
      <c r="A11" s="0" t="s">
        <v>578</v>
      </c>
      <c r="B11" s="0" t="s">
        <v>46</v>
      </c>
      <c r="C11" s="16" t="n">
        <f aca="false">PL!D76</f>
        <v>0.35</v>
      </c>
      <c r="D11" s="16" t="n">
        <f aca="false">PL!E76</f>
        <v>0.55</v>
      </c>
      <c r="E11" s="16" t="n">
        <f aca="false">PL!F76</f>
        <v>0.55</v>
      </c>
      <c r="F11" s="16" t="n">
        <f aca="false">PL!G76</f>
        <v>0.55</v>
      </c>
      <c r="G11" s="8" t="s">
        <v>567</v>
      </c>
    </row>
    <row r="12" customFormat="false" ht="17.15" hidden="false" customHeight="false" outlineLevel="0" collapsed="false">
      <c r="A12" s="0" t="s">
        <v>579</v>
      </c>
      <c r="B12" s="5" t="s">
        <v>35</v>
      </c>
      <c r="C12" s="19" t="n">
        <f aca="false">PL!D78</f>
        <v>0.35</v>
      </c>
      <c r="D12" s="19" t="n">
        <f aca="false">PL!E78</f>
        <v>2.475</v>
      </c>
      <c r="E12" s="19" t="n">
        <f aca="false">PL!F78</f>
        <v>2.75</v>
      </c>
      <c r="F12" s="19" t="n">
        <f aca="false">PL!G78</f>
        <v>3.1625</v>
      </c>
      <c r="G12" s="5" t="s">
        <v>569</v>
      </c>
    </row>
    <row r="13" customFormat="false" ht="17.15" hidden="false" customHeight="false" outlineLevel="0" collapsed="false">
      <c r="A13" s="5" t="s">
        <v>580</v>
      </c>
      <c r="B13" s="0" t="s">
        <v>151</v>
      </c>
      <c r="C13" s="20" t="n">
        <f aca="false">PL!D80</f>
        <v>150</v>
      </c>
      <c r="D13" s="20" t="n">
        <f aca="false">PL!E80</f>
        <v>200</v>
      </c>
      <c r="E13" s="20" t="n">
        <f aca="false">PL!F80</f>
        <v>250</v>
      </c>
      <c r="F13" s="20" t="n">
        <f aca="false">PL!G80</f>
        <v>250</v>
      </c>
      <c r="G13" s="8" t="s">
        <v>571</v>
      </c>
    </row>
    <row r="14" customFormat="false" ht="17.15" hidden="false" customHeight="false" outlineLevel="0" collapsed="false">
      <c r="A14" s="5" t="s">
        <v>581</v>
      </c>
      <c r="B14" s="0" t="s">
        <v>188</v>
      </c>
      <c r="C14" s="19" t="n">
        <f aca="false">PL!D85</f>
        <v>2.19</v>
      </c>
      <c r="D14" s="19" t="n">
        <f aca="false">PL!E85</f>
        <v>5.256</v>
      </c>
      <c r="E14" s="19" t="n">
        <f aca="false">PL!F85</f>
        <v>7.227</v>
      </c>
      <c r="F14" s="19" t="n">
        <f aca="false">PL!G85</f>
        <v>6.86565</v>
      </c>
      <c r="G14" s="5" t="s">
        <v>573</v>
      </c>
    </row>
    <row r="15" customFormat="false" ht="17.15" hidden="false" customHeight="false" outlineLevel="0" collapsed="false">
      <c r="A15" s="5" t="s">
        <v>582</v>
      </c>
      <c r="B15" s="0" t="s">
        <v>188</v>
      </c>
      <c r="C15" s="19" t="n">
        <f aca="false">PL!D87*PL!$D$89</f>
        <v>8.10241505807584</v>
      </c>
      <c r="D15" s="19" t="n">
        <f aca="false">PL!E87*PL!$D$89</f>
        <v>10.1403153507797</v>
      </c>
      <c r="E15" s="19" t="n">
        <f aca="false">PL!F87*PL!$D$89</f>
        <v>11.4503941103751</v>
      </c>
      <c r="F15" s="19" t="n">
        <f aca="false">PL!G87*PL!$D$89</f>
        <v>11.2102130044493</v>
      </c>
      <c r="G15" s="5" t="s">
        <v>575</v>
      </c>
    </row>
    <row r="16" customFormat="false" ht="17.15" hidden="false" customHeight="false" outlineLevel="0" collapsed="false">
      <c r="A16" s="5" t="s">
        <v>583</v>
      </c>
      <c r="B16" s="0" t="s">
        <v>188</v>
      </c>
      <c r="C16" s="19" t="n">
        <f aca="false">PL!D83*PL!$D$89+PL!D85</f>
        <v>8.83677199185877</v>
      </c>
      <c r="D16" s="19" t="n">
        <f aca="false">PL!E83*PL!$D$89+PL!E85</f>
        <v>11.9027719918588</v>
      </c>
      <c r="E16" s="19" t="n">
        <f aca="false">PL!F83*PL!$D$89+PL!F85</f>
        <v>13.8737719918588</v>
      </c>
      <c r="F16" s="19" t="n">
        <f aca="false">PL!G83*PL!$D$89+PL!G85</f>
        <v>13.5124219918588</v>
      </c>
      <c r="G16" s="5" t="s">
        <v>577</v>
      </c>
    </row>
    <row r="18" customFormat="false" ht="17.15" hidden="false" customHeight="false" outlineLevel="0" collapsed="false">
      <c r="A18" s="1" t="s">
        <v>584</v>
      </c>
    </row>
    <row r="19" customFormat="false" ht="17.15" hidden="false" customHeight="false" outlineLevel="0" collapsed="false">
      <c r="A19" s="0" t="s">
        <v>585</v>
      </c>
      <c r="C19" s="17" t="n">
        <f aca="false">PL!D89</f>
        <v>1.10779533197646</v>
      </c>
      <c r="G19" s="8" t="s">
        <v>586</v>
      </c>
    </row>
    <row r="20" customFormat="false" ht="17.15" hidden="false" customHeight="false" outlineLevel="0" collapsed="false">
      <c r="A20" s="5" t="s">
        <v>587</v>
      </c>
      <c r="C20" s="17" t="n">
        <f aca="false">PL!D96</f>
        <v>1.39598640899359</v>
      </c>
      <c r="G20" s="8" t="s">
        <v>588</v>
      </c>
    </row>
    <row r="21" customFormat="false" ht="17.15" hidden="false" customHeight="false" outlineLevel="0" collapsed="false">
      <c r="A21" s="0" t="s">
        <v>589</v>
      </c>
      <c r="C21" s="16" t="n">
        <f aca="false">PL!D110</f>
        <v>0.787550884757324</v>
      </c>
      <c r="G21" s="5" t="s">
        <v>590</v>
      </c>
    </row>
    <row r="22" customFormat="false" ht="17.15" hidden="false" customHeight="false" outlineLevel="0" collapsed="false">
      <c r="A22" s="0" t="s">
        <v>591</v>
      </c>
      <c r="C22" s="21" t="n">
        <f aca="false">a26_xpu</f>
        <v>40</v>
      </c>
      <c r="G22" s="8" t="s">
        <v>592</v>
      </c>
    </row>
    <row r="23" customFormat="false" ht="17.15" hidden="false" customHeight="false" outlineLevel="0" collapsed="false">
      <c r="A23" s="0" t="s">
        <v>593</v>
      </c>
      <c r="C23" s="21" t="n">
        <f aca="false">PL!D88</f>
        <v>36.1077528</v>
      </c>
    </row>
    <row r="25" customFormat="false" ht="17.15" hidden="false" customHeight="false" outlineLevel="0" collapsed="false">
      <c r="A25" s="1" t="s">
        <v>594</v>
      </c>
    </row>
    <row r="26" customFormat="false" ht="17.15" hidden="false" customHeight="false" outlineLevel="0" collapsed="false">
      <c r="A26" s="3" t="s">
        <v>595</v>
      </c>
    </row>
    <row r="27" customFormat="false" ht="15" hidden="false" customHeight="false" outlineLevel="0" collapsed="false">
      <c r="A27" s="3" t="s">
        <v>596</v>
      </c>
    </row>
    <row r="28" customFormat="false" ht="17.15" hidden="false" customHeight="false" outlineLevel="0" collapsed="false">
      <c r="A28" s="0" t="s">
        <v>597</v>
      </c>
      <c r="B28" s="5" t="s">
        <v>35</v>
      </c>
      <c r="C28" s="19" t="n">
        <f aca="false">u_bw_26</f>
        <v>5.4</v>
      </c>
      <c r="D28" s="19" t="n">
        <f aca="false">u_bw_27</f>
        <v>2.4</v>
      </c>
      <c r="E28" s="19" t="n">
        <f aca="false">u_bw_28*um28_A</f>
        <v>0.5</v>
      </c>
      <c r="F28" s="19" t="n">
        <f aca="false">u_bw_28*(1+g29_bw)*um29_A</f>
        <v>0.25</v>
      </c>
    </row>
    <row r="29" customFormat="false" ht="15" hidden="false" customHeight="false" outlineLevel="0" collapsed="false">
      <c r="A29" s="0" t="s">
        <v>598</v>
      </c>
      <c r="B29" s="5" t="s">
        <v>35</v>
      </c>
      <c r="C29" s="19" t="n">
        <f aca="false">u_rb_26</f>
        <v>1.7</v>
      </c>
      <c r="D29" s="19" t="n">
        <f aca="false">u_rb_27</f>
        <v>7</v>
      </c>
      <c r="E29" s="19" t="n">
        <f aca="false">u_rb_28*um28_A</f>
        <v>7</v>
      </c>
      <c r="F29" s="19" t="n">
        <f aca="false">u_rb_28*(1+g29_rb)*um29_A</f>
        <v>8.05</v>
      </c>
    </row>
    <row r="30" customFormat="false" ht="15" hidden="false" customHeight="false" outlineLevel="0" collapsed="false">
      <c r="A30" s="0" t="s">
        <v>599</v>
      </c>
      <c r="B30" s="5" t="s">
        <v>35</v>
      </c>
      <c r="C30" s="19" t="n">
        <f aca="false">u_ru_26</f>
        <v>0</v>
      </c>
      <c r="D30" s="19" t="n">
        <f aca="false">u_ru_27</f>
        <v>0.3</v>
      </c>
      <c r="E30" s="19" t="n">
        <f aca="false">u_ru_28*um28_A</f>
        <v>2</v>
      </c>
      <c r="F30" s="19" t="n">
        <f aca="false">u_ru_28*(1+g29_ru)*um29_A</f>
        <v>2.3</v>
      </c>
    </row>
    <row r="31" customFormat="false" ht="17.15" hidden="false" customHeight="false" outlineLevel="0" collapsed="false">
      <c r="A31" s="0" t="s">
        <v>600</v>
      </c>
      <c r="B31" s="5" t="s">
        <v>35</v>
      </c>
      <c r="C31" s="19" t="n">
        <f aca="false">u_hp_26</f>
        <v>0.5</v>
      </c>
      <c r="D31" s="19" t="n">
        <f aca="false">u_hp_27</f>
        <v>0</v>
      </c>
      <c r="E31" s="19" t="n">
        <f aca="false">u_hp_28*um28_A</f>
        <v>0</v>
      </c>
      <c r="F31" s="19" t="n">
        <f aca="false">u_hp_28*(1+g29_hp)*um29_A</f>
        <v>0</v>
      </c>
    </row>
    <row r="32" customFormat="false" ht="15" hidden="false" customHeight="false" outlineLevel="0" collapsed="false">
      <c r="A32" s="0" t="s">
        <v>601</v>
      </c>
      <c r="B32" s="5" t="s">
        <v>35</v>
      </c>
      <c r="C32" s="19" t="n">
        <f aca="false">u_amd_26</f>
        <v>0.75</v>
      </c>
      <c r="D32" s="19" t="n">
        <f aca="false">u_amd_27</f>
        <v>1.5</v>
      </c>
      <c r="E32" s="19" t="n">
        <f aca="false">u_amd_28*um28_A</f>
        <v>2</v>
      </c>
      <c r="F32" s="19" t="n">
        <f aca="false">u_amd_28*(1+g29_amd)*um29_A</f>
        <v>2.3</v>
      </c>
    </row>
    <row r="33" customFormat="false" ht="15" hidden="false" customHeight="false" outlineLevel="0" collapsed="false">
      <c r="A33" s="0" t="s">
        <v>602</v>
      </c>
      <c r="B33" s="5" t="s">
        <v>35</v>
      </c>
      <c r="C33" s="19" t="n">
        <f aca="false">u_tpu_26</f>
        <v>3.85</v>
      </c>
      <c r="D33" s="19" t="n">
        <f aca="false">u_tpu_27</f>
        <v>5.5</v>
      </c>
      <c r="E33" s="19" t="n">
        <f aca="false">u_tpu_28*um28_A</f>
        <v>7</v>
      </c>
      <c r="F33" s="19" t="n">
        <f aca="false">u_tpu_28*(1+g29_tpu)*um29_A</f>
        <v>8.05</v>
      </c>
    </row>
    <row r="34" customFormat="false" ht="15" hidden="false" customHeight="false" outlineLevel="0" collapsed="false">
      <c r="A34" s="0" t="s">
        <v>603</v>
      </c>
      <c r="B34" s="5" t="s">
        <v>35</v>
      </c>
      <c r="C34" s="19" t="n">
        <f aca="false">u_trn_26</f>
        <v>2</v>
      </c>
      <c r="D34" s="19" t="n">
        <f aca="false">u_trn_27</f>
        <v>2.5</v>
      </c>
      <c r="E34" s="19" t="n">
        <f aca="false">u_trn_28*um28_A</f>
        <v>3</v>
      </c>
      <c r="F34" s="19" t="n">
        <f aca="false">u_trn_28*(1+g29_trn)*um29_A</f>
        <v>3.45</v>
      </c>
    </row>
    <row r="35" customFormat="false" ht="17.15" hidden="false" customHeight="false" outlineLevel="0" collapsed="false">
      <c r="A35" s="5" t="s">
        <v>604</v>
      </c>
      <c r="B35" s="5" t="s">
        <v>35</v>
      </c>
      <c r="C35" s="19" t="n">
        <f aca="false">u_oth_26</f>
        <v>1</v>
      </c>
      <c r="D35" s="19" t="n">
        <f aca="false">u_oth_27</f>
        <v>4.5</v>
      </c>
      <c r="E35" s="19" t="n">
        <f aca="false">u_oth_28*um28_A</f>
        <v>5</v>
      </c>
      <c r="F35" s="19" t="n">
        <f aca="false">u_oth_28*(1+g29_oth)*um29_A</f>
        <v>5.75</v>
      </c>
    </row>
    <row r="36" customFormat="false" ht="15" hidden="false" customHeight="false" outlineLevel="0" collapsed="false">
      <c r="A36" s="3" t="s">
        <v>605</v>
      </c>
      <c r="B36" s="5" t="s">
        <v>35</v>
      </c>
      <c r="C36" s="19" t="n">
        <f aca="false">SUM(C28:C35)</f>
        <v>15.2</v>
      </c>
      <c r="D36" s="19" t="n">
        <f aca="false">SUM(D28:D35)</f>
        <v>23.7</v>
      </c>
      <c r="E36" s="19" t="n">
        <f aca="false">SUM(E28:E35)</f>
        <v>26.5</v>
      </c>
      <c r="F36" s="19" t="n">
        <f aca="false">SUM(F28:F35)</f>
        <v>30.15</v>
      </c>
    </row>
    <row r="37" customFormat="false" ht="17.15" hidden="false" customHeight="false" outlineLevel="0" collapsed="false">
      <c r="A37" s="3" t="s">
        <v>606</v>
      </c>
    </row>
    <row r="38" customFormat="false" ht="17.15" hidden="false" customHeight="false" outlineLevel="0" collapsed="false">
      <c r="A38" s="0" t="s">
        <v>597</v>
      </c>
      <c r="B38" s="0" t="s">
        <v>241</v>
      </c>
      <c r="C38" s="21" t="n">
        <f aca="false">u_bw_26*(pm_bw)</f>
        <v>218.16</v>
      </c>
      <c r="D38" s="21" t="n">
        <f aca="false">u_bw_27*(pm_bw)</f>
        <v>96.96</v>
      </c>
      <c r="E38" s="21" t="n">
        <f aca="false">u_bw_28*um28_A*(pm_bw)</f>
        <v>20.2</v>
      </c>
      <c r="F38" s="21" t="n">
        <f aca="false">u_bw_28*(1+g29_bw)*um29_A*(pm_bw)</f>
        <v>10.1</v>
      </c>
    </row>
    <row r="39" customFormat="false" ht="15" hidden="false" customHeight="false" outlineLevel="0" collapsed="false">
      <c r="A39" s="0" t="s">
        <v>598</v>
      </c>
      <c r="B39" s="0" t="s">
        <v>241</v>
      </c>
      <c r="C39" s="21" t="n">
        <f aca="false">u_rb_26*(pm_rb)</f>
        <v>93.5</v>
      </c>
      <c r="D39" s="21" t="n">
        <f aca="false">u_rb_27*(pm_rb)</f>
        <v>385</v>
      </c>
      <c r="E39" s="21" t="n">
        <f aca="false">u_rb_28*um28_A*(pm_rb)</f>
        <v>385</v>
      </c>
      <c r="F39" s="21" t="n">
        <f aca="false">u_rb_28*(1+g29_rb)*um29_A*(pm_rb)</f>
        <v>442.75</v>
      </c>
    </row>
    <row r="40" customFormat="false" ht="15" hidden="false" customHeight="false" outlineLevel="0" collapsed="false">
      <c r="A40" s="0" t="s">
        <v>599</v>
      </c>
      <c r="B40" s="0" t="s">
        <v>241</v>
      </c>
      <c r="C40" s="21" t="n">
        <f aca="false">u_ru_26*(pm_ru)</f>
        <v>0</v>
      </c>
      <c r="D40" s="21" t="n">
        <f aca="false">u_ru_27*(pm_ru)</f>
        <v>22.5</v>
      </c>
      <c r="E40" s="21" t="n">
        <f aca="false">u_ru_28*um28_A*(pm_ru)</f>
        <v>150</v>
      </c>
      <c r="F40" s="21" t="n">
        <f aca="false">u_ru_28*(1+g29_ru)*um29_A*(pm_ru)</f>
        <v>172.5</v>
      </c>
    </row>
    <row r="41" customFormat="false" ht="17.15" hidden="false" customHeight="false" outlineLevel="0" collapsed="false">
      <c r="A41" s="0" t="s">
        <v>600</v>
      </c>
      <c r="B41" s="0" t="s">
        <v>241</v>
      </c>
      <c r="C41" s="21" t="n">
        <f aca="false">u_hp_26*(pm_hp)</f>
        <v>15</v>
      </c>
      <c r="D41" s="21" t="n">
        <f aca="false">u_hp_27*(pm_hp)</f>
        <v>0</v>
      </c>
      <c r="E41" s="21" t="n">
        <f aca="false">u_hp_28*um28_A*(pm_hp)</f>
        <v>0</v>
      </c>
      <c r="F41" s="21" t="n">
        <f aca="false">u_hp_28*(1+g29_hp)*um29_A*(pm_hp)</f>
        <v>0</v>
      </c>
    </row>
    <row r="42" customFormat="false" ht="15" hidden="false" customHeight="false" outlineLevel="0" collapsed="false">
      <c r="A42" s="0" t="s">
        <v>601</v>
      </c>
      <c r="B42" s="0" t="s">
        <v>241</v>
      </c>
      <c r="C42" s="21" t="n">
        <f aca="false">u_amd_26*(pa_amd)</f>
        <v>22.5</v>
      </c>
      <c r="D42" s="21" t="n">
        <f aca="false">u_amd_27*(pa_amd)</f>
        <v>45</v>
      </c>
      <c r="E42" s="21" t="n">
        <f aca="false">u_amd_28*um28_A*(pa_amd)</f>
        <v>60</v>
      </c>
      <c r="F42" s="21" t="n">
        <f aca="false">u_amd_28*(1+g29_amd)*um29_A*(pa_amd)</f>
        <v>69</v>
      </c>
    </row>
    <row r="43" customFormat="false" ht="15" hidden="false" customHeight="false" outlineLevel="0" collapsed="false">
      <c r="A43" s="0" t="s">
        <v>602</v>
      </c>
      <c r="B43" s="0" t="s">
        <v>241</v>
      </c>
      <c r="C43" s="21" t="n">
        <f aca="false">u_tpu_26*(Units!$D$10)</f>
        <v>59.414596224875</v>
      </c>
      <c r="D43" s="21" t="n">
        <f aca="false">u_tpu_27*(Units!$D$10)</f>
        <v>84.8779946069643</v>
      </c>
      <c r="E43" s="21" t="n">
        <f aca="false">u_tpu_28*um28_A*(Units!$D$10)</f>
        <v>108.026538590682</v>
      </c>
      <c r="F43" s="21" t="n">
        <f aca="false">u_tpu_28*(1+g29_tpu)*um29_A*(Units!$D$10)</f>
        <v>124.230519379284</v>
      </c>
    </row>
    <row r="44" customFormat="false" ht="15" hidden="false" customHeight="false" outlineLevel="0" collapsed="false">
      <c r="A44" s="0" t="s">
        <v>603</v>
      </c>
      <c r="B44" s="0" t="s">
        <v>241</v>
      </c>
      <c r="C44" s="21" t="n">
        <f aca="false">u_trn_26*(pa_trn)</f>
        <v>16</v>
      </c>
      <c r="D44" s="21" t="n">
        <f aca="false">u_trn_27*(pa_trn)</f>
        <v>20</v>
      </c>
      <c r="E44" s="21" t="n">
        <f aca="false">u_trn_28*um28_A*(pa_trn)</f>
        <v>24</v>
      </c>
      <c r="F44" s="21" t="n">
        <f aca="false">u_trn_28*(1+g29_trn)*um29_A*(pa_trn)</f>
        <v>27.6</v>
      </c>
    </row>
    <row r="45" customFormat="false" ht="17.15" hidden="false" customHeight="false" outlineLevel="0" collapsed="false">
      <c r="A45" s="5" t="s">
        <v>604</v>
      </c>
      <c r="B45" s="0" t="s">
        <v>241</v>
      </c>
      <c r="C45" s="21" t="n">
        <f aca="false">u_oth_26*(Units!$D$16)</f>
        <v>11.9027719918588</v>
      </c>
      <c r="D45" s="21" t="n">
        <f aca="false">u_oth_27*(Units!$D$16)</f>
        <v>53.5624739633645</v>
      </c>
      <c r="E45" s="21" t="n">
        <f aca="false">u_oth_28*um28_A*(Units!$D$16)</f>
        <v>59.5138599592938</v>
      </c>
      <c r="F45" s="21" t="n">
        <f aca="false">u_oth_28*(1+g29_oth)*um29_A*(Units!$D$16)</f>
        <v>68.4409389531879</v>
      </c>
    </row>
    <row r="46" customFormat="false" ht="15" hidden="false" customHeight="false" outlineLevel="0" collapsed="false">
      <c r="A46" s="3" t="s">
        <v>605</v>
      </c>
      <c r="B46" s="8" t="s">
        <v>241</v>
      </c>
      <c r="C46" s="21" t="n">
        <f aca="false">SUM(C38:C45)</f>
        <v>436.477368216734</v>
      </c>
      <c r="D46" s="21" t="n">
        <f aca="false">SUM(D38:D45)</f>
        <v>707.900468570329</v>
      </c>
      <c r="E46" s="21" t="n">
        <f aca="false">SUM(E38:E45)</f>
        <v>806.740398549976</v>
      </c>
      <c r="F46" s="21" t="n">
        <f aca="false">SUM(F38:F45)</f>
        <v>914.621458332472</v>
      </c>
    </row>
    <row r="47" customFormat="false" ht="15" hidden="false" customHeight="false" outlineLevel="0" collapsed="false">
      <c r="A47" s="3" t="s">
        <v>607</v>
      </c>
    </row>
    <row r="48" customFormat="false" ht="15" hidden="false" customHeight="false" outlineLevel="0" collapsed="false">
      <c r="A48" s="0" t="s">
        <v>608</v>
      </c>
      <c r="B48" s="0" t="s">
        <v>46</v>
      </c>
      <c r="C48" s="16" t="n">
        <f aca="false">(C28+C29+C30+C31)/C36</f>
        <v>0.5</v>
      </c>
      <c r="D48" s="16" t="n">
        <f aca="false">(D28+D29+D30+D31)/D36</f>
        <v>0.409282700421941</v>
      </c>
      <c r="E48" s="16" t="n">
        <f aca="false">(E28+E29+E30+E31)/E36</f>
        <v>0.358490566037736</v>
      </c>
      <c r="F48" s="16" t="n">
        <f aca="false">(F28+F29+F30+F31)/F36</f>
        <v>0.351575456053068</v>
      </c>
    </row>
    <row r="49" customFormat="false" ht="15" hidden="false" customHeight="false" outlineLevel="0" collapsed="false">
      <c r="A49" s="0" t="s">
        <v>609</v>
      </c>
      <c r="B49" s="0" t="s">
        <v>46</v>
      </c>
      <c r="C49" s="16" t="n">
        <f aca="false">(C32)/C36</f>
        <v>0.0493421052631579</v>
      </c>
      <c r="D49" s="16" t="n">
        <f aca="false">(D32)/D36</f>
        <v>0.0632911392405063</v>
      </c>
      <c r="E49" s="16" t="n">
        <f aca="false">(E32)/E36</f>
        <v>0.0754716981132075</v>
      </c>
      <c r="F49" s="16" t="n">
        <f aca="false">(F32)/F36</f>
        <v>0.0762852404643449</v>
      </c>
    </row>
    <row r="50" customFormat="false" ht="15" hidden="false" customHeight="false" outlineLevel="0" collapsed="false">
      <c r="A50" s="0" t="s">
        <v>602</v>
      </c>
      <c r="B50" s="0" t="s">
        <v>46</v>
      </c>
      <c r="C50" s="16" t="n">
        <f aca="false">(C33)/C36</f>
        <v>0.253289473684211</v>
      </c>
      <c r="D50" s="16" t="n">
        <f aca="false">(D33)/D36</f>
        <v>0.232067510548523</v>
      </c>
      <c r="E50" s="16" t="n">
        <f aca="false">(E33)/E36</f>
        <v>0.264150943396226</v>
      </c>
      <c r="F50" s="16" t="n">
        <f aca="false">(F33)/F36</f>
        <v>0.266998341625207</v>
      </c>
    </row>
    <row r="51" customFormat="false" ht="15" hidden="false" customHeight="false" outlineLevel="0" collapsed="false">
      <c r="A51" s="0" t="s">
        <v>603</v>
      </c>
      <c r="B51" s="0" t="s">
        <v>46</v>
      </c>
      <c r="C51" s="16" t="n">
        <f aca="false">(C34)/C36</f>
        <v>0.131578947368421</v>
      </c>
      <c r="D51" s="16" t="n">
        <f aca="false">(D34)/D36</f>
        <v>0.105485232067511</v>
      </c>
      <c r="E51" s="16" t="n">
        <f aca="false">(E34)/E36</f>
        <v>0.113207547169811</v>
      </c>
      <c r="F51" s="16" t="n">
        <f aca="false">(F34)/F36</f>
        <v>0.114427860696517</v>
      </c>
    </row>
    <row r="52" customFormat="false" ht="17.15" hidden="false" customHeight="false" outlineLevel="0" collapsed="false">
      <c r="A52" s="5" t="s">
        <v>610</v>
      </c>
      <c r="B52" s="0" t="s">
        <v>46</v>
      </c>
      <c r="C52" s="16" t="n">
        <f aca="false">(C35)/C36</f>
        <v>0.0657894736842105</v>
      </c>
      <c r="D52" s="16" t="n">
        <f aca="false">(D35)/D36</f>
        <v>0.189873417721519</v>
      </c>
      <c r="E52" s="16" t="n">
        <f aca="false">(E35)/E36</f>
        <v>0.188679245283019</v>
      </c>
      <c r="F52" s="16" t="n">
        <f aca="false">(F35)/F36</f>
        <v>0.190713101160862</v>
      </c>
    </row>
    <row r="53" customFormat="false" ht="15" hidden="false" customHeight="false" outlineLevel="0" collapsed="false">
      <c r="A53" s="3" t="s">
        <v>611</v>
      </c>
    </row>
    <row r="54" customFormat="false" ht="15" hidden="false" customHeight="false" outlineLevel="0" collapsed="false">
      <c r="A54" s="0" t="s">
        <v>608</v>
      </c>
      <c r="B54" s="0" t="s">
        <v>46</v>
      </c>
      <c r="C54" s="16" t="n">
        <f aca="false">(C38+C39+C40+C41)/C46</f>
        <v>0.748400773526009</v>
      </c>
      <c r="D54" s="16" t="n">
        <f aca="false">(D38+D39+D40+D41)/D46</f>
        <v>0.712614304407517</v>
      </c>
      <c r="E54" s="16" t="n">
        <f aca="false">(E38+E39+E40+E41)/E46</f>
        <v>0.688201559011931</v>
      </c>
      <c r="F54" s="16" t="n">
        <f aca="false">(F38+F39+F40+F41)/F46</f>
        <v>0.683725484792508</v>
      </c>
    </row>
    <row r="55" customFormat="false" ht="15" hidden="false" customHeight="false" outlineLevel="0" collapsed="false">
      <c r="A55" s="0" t="s">
        <v>609</v>
      </c>
      <c r="B55" s="0" t="s">
        <v>46</v>
      </c>
      <c r="C55" s="16" t="n">
        <f aca="false">(C42)/C46</f>
        <v>0.0515490644839748</v>
      </c>
      <c r="D55" s="16" t="n">
        <f aca="false">(D42)/D46</f>
        <v>0.0635682585305837</v>
      </c>
      <c r="E55" s="16" t="n">
        <f aca="false">(E42)/E46</f>
        <v>0.0743733673283787</v>
      </c>
      <c r="F55" s="16" t="n">
        <f aca="false">(F42)/F46</f>
        <v>0.0754410465350333</v>
      </c>
    </row>
    <row r="56" customFormat="false" ht="15" hidden="false" customHeight="false" outlineLevel="0" collapsed="false">
      <c r="A56" s="0" t="s">
        <v>602</v>
      </c>
      <c r="B56" s="0" t="s">
        <v>46</v>
      </c>
      <c r="C56" s="16" t="n">
        <f aca="false">(C43)/C46</f>
        <v>0.136122971203796</v>
      </c>
      <c r="D56" s="16" t="n">
        <f aca="false">(D43)/D46</f>
        <v>0.119901028994067</v>
      </c>
      <c r="E56" s="16" t="n">
        <f aca="false">(E43)/E46</f>
        <v>0.133904957263634</v>
      </c>
      <c r="F56" s="16" t="n">
        <f aca="false">(F43)/F46</f>
        <v>0.135827252080637</v>
      </c>
    </row>
    <row r="57" customFormat="false" ht="15" hidden="false" customHeight="false" outlineLevel="0" collapsed="false">
      <c r="A57" s="0" t="s">
        <v>603</v>
      </c>
      <c r="B57" s="0" t="s">
        <v>46</v>
      </c>
      <c r="C57" s="16" t="n">
        <f aca="false">(C44)/C46</f>
        <v>0.0366571125219376</v>
      </c>
      <c r="D57" s="16" t="n">
        <f aca="false">(D44)/D46</f>
        <v>0.0282525593469261</v>
      </c>
      <c r="E57" s="16" t="n">
        <f aca="false">(E44)/E46</f>
        <v>0.0297493469313515</v>
      </c>
      <c r="F57" s="16" t="n">
        <f aca="false">(F44)/F46</f>
        <v>0.0301764186140133</v>
      </c>
    </row>
    <row r="58" customFormat="false" ht="17.15" hidden="false" customHeight="false" outlineLevel="0" collapsed="false">
      <c r="A58" s="5" t="s">
        <v>610</v>
      </c>
      <c r="B58" s="0" t="s">
        <v>46</v>
      </c>
      <c r="C58" s="16" t="n">
        <f aca="false">(C45)/C46</f>
        <v>0.0272700782642834</v>
      </c>
      <c r="D58" s="16" t="n">
        <f aca="false">(D45)/D46</f>
        <v>0.0756638487209069</v>
      </c>
      <c r="E58" s="16" t="n">
        <f aca="false">(E45)/E46</f>
        <v>0.0737707694647042</v>
      </c>
      <c r="F58" s="16" t="n">
        <f aca="false">(F45)/F46</f>
        <v>0.074829797977809</v>
      </c>
    </row>
    <row r="59" customFormat="false" ht="17.15" hidden="false" customHeight="false" outlineLevel="0" collapsed="false">
      <c r="A59" s="1" t="s">
        <v>612</v>
      </c>
      <c r="C59" s="16" t="n">
        <f aca="false">C56+C57+C58</f>
        <v>0.200050161990017</v>
      </c>
      <c r="D59" s="16" t="n">
        <f aca="false">D56+D57+D58</f>
        <v>0.2238174370619</v>
      </c>
      <c r="E59" s="16" t="n">
        <f aca="false">E56+E57+E58</f>
        <v>0.23742507365969</v>
      </c>
      <c r="F59" s="16" t="n">
        <f aca="false">F56+F57+F58</f>
        <v>0.240833468672459</v>
      </c>
    </row>
    <row r="60" customFormat="false" ht="17.15" hidden="false" customHeight="false" outlineLevel="0" collapsed="false">
      <c r="A60" s="1" t="s">
        <v>613</v>
      </c>
      <c r="C60" s="16" t="n">
        <f aca="false">C50+C51+C52</f>
        <v>0.450657894736842</v>
      </c>
      <c r="D60" s="16" t="n">
        <f aca="false">D50+D51+D52</f>
        <v>0.527426160337553</v>
      </c>
      <c r="E60" s="16" t="n">
        <f aca="false">E50+E51+E52</f>
        <v>0.566037735849057</v>
      </c>
      <c r="F60" s="16" t="n">
        <f aca="false">F50+F51+F52</f>
        <v>0.572139303482587</v>
      </c>
    </row>
    <row r="61" customFormat="false" ht="17.15" hidden="false" customHeight="false" outlineLevel="0" collapsed="false">
      <c r="A61" s="1" t="s">
        <v>614</v>
      </c>
      <c r="C61" s="16" t="n">
        <f aca="false">(PL!D77*C10+PL!D78*C16)/(C43+C44+C45)</f>
        <v>0.498343521892806</v>
      </c>
      <c r="D61" s="16" t="n">
        <f aca="false">(PL!E77*D10+PL!E78*D16)/(D43+D44+D45)</f>
        <v>0.614500558121013</v>
      </c>
      <c r="E61" s="16" t="n">
        <f aca="false">(PL!F77*E10+PL!F78*E16)/(E43+E44+E45)</f>
        <v>0.670298140196907</v>
      </c>
      <c r="F61" s="16" t="n">
        <f aca="false">(PL!G77*F10+PL!G78*F16)/(F43+F44+F45)</f>
        <v>0.653700298049416</v>
      </c>
    </row>
    <row r="62" customFormat="false" ht="17.15" hidden="false" customHeight="false" outlineLevel="0" collapsed="false">
      <c r="A62" s="1" t="s">
        <v>615</v>
      </c>
      <c r="C62" s="16" t="n">
        <f aca="false">PL!D93/(C33+C34+C35)</f>
        <v>0.556934306569343</v>
      </c>
      <c r="D62" s="16" t="n">
        <f aca="false">PL!E93/(D33+D34+D35)</f>
        <v>0.55</v>
      </c>
      <c r="E62" s="16" t="n">
        <f aca="false">PL!F93/(E33+E34+E35)</f>
        <v>0.533333333333333</v>
      </c>
      <c r="F62" s="16" t="n">
        <f aca="false">PL!G93/(F33+F34+F35)</f>
        <v>0.533333333333333</v>
      </c>
    </row>
    <row r="64" customFormat="false" ht="17.15" hidden="false" customHeight="false" outlineLevel="0" collapsed="false">
      <c r="A64" s="3" t="s">
        <v>616</v>
      </c>
    </row>
    <row r="65" customFormat="false" ht="15" hidden="false" customHeight="false" outlineLevel="0" collapsed="false">
      <c r="A65" s="3" t="s">
        <v>596</v>
      </c>
    </row>
    <row r="66" customFormat="false" ht="17.15" hidden="false" customHeight="false" outlineLevel="0" collapsed="false">
      <c r="A66" s="0" t="s">
        <v>597</v>
      </c>
      <c r="B66" s="5" t="s">
        <v>35</v>
      </c>
      <c r="C66" s="19" t="n">
        <f aca="false">u_bw_26</f>
        <v>5.4</v>
      </c>
      <c r="D66" s="19" t="n">
        <f aca="false">u_bw_27</f>
        <v>2.4</v>
      </c>
      <c r="E66" s="19" t="n">
        <f aca="false">u_bw_28*um28_B</f>
        <v>0.4</v>
      </c>
      <c r="F66" s="19" t="n">
        <f aca="false">u_bw_28*(1+g29_bw)*um29_B</f>
        <v>0.2125</v>
      </c>
    </row>
    <row r="67" customFormat="false" ht="15" hidden="false" customHeight="false" outlineLevel="0" collapsed="false">
      <c r="A67" s="0" t="s">
        <v>598</v>
      </c>
      <c r="B67" s="5" t="s">
        <v>35</v>
      </c>
      <c r="C67" s="19" t="n">
        <f aca="false">u_rb_26</f>
        <v>1.7</v>
      </c>
      <c r="D67" s="19" t="n">
        <f aca="false">u_rb_27</f>
        <v>7</v>
      </c>
      <c r="E67" s="19" t="n">
        <f aca="false">u_rb_28*um28_B</f>
        <v>5.6</v>
      </c>
      <c r="F67" s="19" t="n">
        <f aca="false">u_rb_28*(1+g29_rb)*um29_B</f>
        <v>6.8425</v>
      </c>
    </row>
    <row r="68" customFormat="false" ht="15" hidden="false" customHeight="false" outlineLevel="0" collapsed="false">
      <c r="A68" s="0" t="s">
        <v>599</v>
      </c>
      <c r="B68" s="5" t="s">
        <v>35</v>
      </c>
      <c r="C68" s="19" t="n">
        <f aca="false">u_ru_26</f>
        <v>0</v>
      </c>
      <c r="D68" s="19" t="n">
        <f aca="false">u_ru_27</f>
        <v>0.3</v>
      </c>
      <c r="E68" s="19" t="n">
        <f aca="false">u_ru_28*um28_B</f>
        <v>1.6</v>
      </c>
      <c r="F68" s="19" t="n">
        <f aca="false">u_ru_28*(1+g29_ru)*um29_B</f>
        <v>1.955</v>
      </c>
    </row>
    <row r="69" customFormat="false" ht="17.15" hidden="false" customHeight="false" outlineLevel="0" collapsed="false">
      <c r="A69" s="0" t="s">
        <v>600</v>
      </c>
      <c r="B69" s="5" t="s">
        <v>35</v>
      </c>
      <c r="C69" s="19" t="n">
        <f aca="false">u_hp_26</f>
        <v>0.5</v>
      </c>
      <c r="D69" s="19" t="n">
        <f aca="false">u_hp_27</f>
        <v>0</v>
      </c>
      <c r="E69" s="19" t="n">
        <f aca="false">u_hp_28*um28_B</f>
        <v>0</v>
      </c>
      <c r="F69" s="19" t="n">
        <f aca="false">u_hp_28*(1+g29_hp)*um29_B</f>
        <v>0</v>
      </c>
    </row>
    <row r="70" customFormat="false" ht="15" hidden="false" customHeight="false" outlineLevel="0" collapsed="false">
      <c r="A70" s="0" t="s">
        <v>601</v>
      </c>
      <c r="B70" s="5" t="s">
        <v>35</v>
      </c>
      <c r="C70" s="19" t="n">
        <f aca="false">u_amd_26</f>
        <v>0.75</v>
      </c>
      <c r="D70" s="19" t="n">
        <f aca="false">u_amd_27</f>
        <v>1.5</v>
      </c>
      <c r="E70" s="19" t="n">
        <f aca="false">u_amd_28*um28_B</f>
        <v>1.6</v>
      </c>
      <c r="F70" s="19" t="n">
        <f aca="false">u_amd_28*(1+g29_amd)*um29_B</f>
        <v>1.955</v>
      </c>
    </row>
    <row r="71" customFormat="false" ht="15" hidden="false" customHeight="false" outlineLevel="0" collapsed="false">
      <c r="A71" s="0" t="s">
        <v>602</v>
      </c>
      <c r="B71" s="5" t="s">
        <v>35</v>
      </c>
      <c r="C71" s="19" t="n">
        <f aca="false">u_tpu_26</f>
        <v>3.85</v>
      </c>
      <c r="D71" s="19" t="n">
        <f aca="false">u_tpu_27</f>
        <v>5.5</v>
      </c>
      <c r="E71" s="19" t="n">
        <f aca="false">u_tpu_28*um28_B</f>
        <v>5.6</v>
      </c>
      <c r="F71" s="19" t="n">
        <f aca="false">u_tpu_28*(1+g29_tpu)*um29_B</f>
        <v>6.8425</v>
      </c>
    </row>
    <row r="72" customFormat="false" ht="15" hidden="false" customHeight="false" outlineLevel="0" collapsed="false">
      <c r="A72" s="0" t="s">
        <v>603</v>
      </c>
      <c r="B72" s="5" t="s">
        <v>35</v>
      </c>
      <c r="C72" s="19" t="n">
        <f aca="false">u_trn_26</f>
        <v>2</v>
      </c>
      <c r="D72" s="19" t="n">
        <f aca="false">u_trn_27</f>
        <v>2.5</v>
      </c>
      <c r="E72" s="19" t="n">
        <f aca="false">u_trn_28*um28_B</f>
        <v>2.4</v>
      </c>
      <c r="F72" s="19" t="n">
        <f aca="false">u_trn_28*(1+g29_trn)*um29_B</f>
        <v>2.9325</v>
      </c>
    </row>
    <row r="73" customFormat="false" ht="17.15" hidden="false" customHeight="false" outlineLevel="0" collapsed="false">
      <c r="A73" s="5" t="s">
        <v>604</v>
      </c>
      <c r="B73" s="5" t="s">
        <v>35</v>
      </c>
      <c r="C73" s="19" t="n">
        <f aca="false">u_oth_26</f>
        <v>1</v>
      </c>
      <c r="D73" s="19" t="n">
        <f aca="false">u_oth_27</f>
        <v>4.5</v>
      </c>
      <c r="E73" s="19" t="n">
        <f aca="false">u_oth_28*um28_B</f>
        <v>4</v>
      </c>
      <c r="F73" s="19" t="n">
        <f aca="false">u_oth_28*(1+g29_oth)*um29_B</f>
        <v>4.8875</v>
      </c>
    </row>
    <row r="74" customFormat="false" ht="15" hidden="false" customHeight="false" outlineLevel="0" collapsed="false">
      <c r="A74" s="3" t="s">
        <v>605</v>
      </c>
      <c r="B74" s="5" t="s">
        <v>35</v>
      </c>
      <c r="C74" s="19" t="n">
        <f aca="false">SUM(C66:C73)</f>
        <v>15.2</v>
      </c>
      <c r="D74" s="19" t="n">
        <f aca="false">SUM(D66:D73)</f>
        <v>23.7</v>
      </c>
      <c r="E74" s="19" t="n">
        <f aca="false">SUM(E66:E73)</f>
        <v>21.2</v>
      </c>
      <c r="F74" s="19" t="n">
        <f aca="false">SUM(F66:F73)</f>
        <v>25.6275</v>
      </c>
    </row>
    <row r="75" customFormat="false" ht="17.15" hidden="false" customHeight="false" outlineLevel="0" collapsed="false">
      <c r="A75" s="3" t="s">
        <v>606</v>
      </c>
    </row>
    <row r="76" customFormat="false" ht="17.15" hidden="false" customHeight="false" outlineLevel="0" collapsed="false">
      <c r="A76" s="0" t="s">
        <v>597</v>
      </c>
      <c r="B76" s="0" t="s">
        <v>241</v>
      </c>
      <c r="C76" s="21" t="n">
        <f aca="false">u_bw_26*(pm_bw)</f>
        <v>218.16</v>
      </c>
      <c r="D76" s="21" t="n">
        <f aca="false">u_bw_27*(pm_bw)</f>
        <v>96.96</v>
      </c>
      <c r="E76" s="21" t="n">
        <f aca="false">u_bw_28*um28_B*(pm_bw)</f>
        <v>16.16</v>
      </c>
      <c r="F76" s="21" t="n">
        <f aca="false">u_bw_28*(1+g29_bw)*um29_B*(pm_bw)</f>
        <v>8.585</v>
      </c>
    </row>
    <row r="77" customFormat="false" ht="15" hidden="false" customHeight="false" outlineLevel="0" collapsed="false">
      <c r="A77" s="0" t="s">
        <v>598</v>
      </c>
      <c r="B77" s="0" t="s">
        <v>241</v>
      </c>
      <c r="C77" s="21" t="n">
        <f aca="false">u_rb_26*(pm_rb)</f>
        <v>93.5</v>
      </c>
      <c r="D77" s="21" t="n">
        <f aca="false">u_rb_27*(pm_rb)</f>
        <v>385</v>
      </c>
      <c r="E77" s="21" t="n">
        <f aca="false">u_rb_28*um28_B*(pm_rb)</f>
        <v>308</v>
      </c>
      <c r="F77" s="21" t="n">
        <f aca="false">u_rb_28*(1+g29_rb)*um29_B*(pm_rb)</f>
        <v>376.3375</v>
      </c>
    </row>
    <row r="78" customFormat="false" ht="15" hidden="false" customHeight="false" outlineLevel="0" collapsed="false">
      <c r="A78" s="0" t="s">
        <v>599</v>
      </c>
      <c r="B78" s="0" t="s">
        <v>241</v>
      </c>
      <c r="C78" s="21" t="n">
        <f aca="false">u_ru_26*(pm_ru)</f>
        <v>0</v>
      </c>
      <c r="D78" s="21" t="n">
        <f aca="false">u_ru_27*(pm_ru)</f>
        <v>22.5</v>
      </c>
      <c r="E78" s="21" t="n">
        <f aca="false">u_ru_28*um28_B*(pm_ru)</f>
        <v>120</v>
      </c>
      <c r="F78" s="21" t="n">
        <f aca="false">u_ru_28*(1+g29_ru)*um29_B*(pm_ru)</f>
        <v>146.625</v>
      </c>
    </row>
    <row r="79" customFormat="false" ht="17.15" hidden="false" customHeight="false" outlineLevel="0" collapsed="false">
      <c r="A79" s="0" t="s">
        <v>600</v>
      </c>
      <c r="B79" s="0" t="s">
        <v>241</v>
      </c>
      <c r="C79" s="21" t="n">
        <f aca="false">u_hp_26*(pm_hp)</f>
        <v>15</v>
      </c>
      <c r="D79" s="21" t="n">
        <f aca="false">u_hp_27*(pm_hp)</f>
        <v>0</v>
      </c>
      <c r="E79" s="21" t="n">
        <f aca="false">u_hp_28*um28_B*(pm_hp)</f>
        <v>0</v>
      </c>
      <c r="F79" s="21" t="n">
        <f aca="false">u_hp_28*(1+g29_hp)*um29_B*(pm_hp)</f>
        <v>0</v>
      </c>
    </row>
    <row r="80" customFormat="false" ht="15" hidden="false" customHeight="false" outlineLevel="0" collapsed="false">
      <c r="A80" s="0" t="s">
        <v>601</v>
      </c>
      <c r="B80" s="0" t="s">
        <v>241</v>
      </c>
      <c r="C80" s="21" t="n">
        <f aca="false">u_amd_26*(pa_amd)</f>
        <v>22.5</v>
      </c>
      <c r="D80" s="21" t="n">
        <f aca="false">u_amd_27*(pa_amd)</f>
        <v>45</v>
      </c>
      <c r="E80" s="21" t="n">
        <f aca="false">u_amd_28*um28_B*(pa_amd)</f>
        <v>48</v>
      </c>
      <c r="F80" s="21" t="n">
        <f aca="false">u_amd_28*(1+g29_amd)*um29_B*(pa_amd)</f>
        <v>58.65</v>
      </c>
    </row>
    <row r="81" customFormat="false" ht="15" hidden="false" customHeight="false" outlineLevel="0" collapsed="false">
      <c r="A81" s="0" t="s">
        <v>602</v>
      </c>
      <c r="B81" s="0" t="s">
        <v>241</v>
      </c>
      <c r="C81" s="21" t="n">
        <f aca="false">u_tpu_26*(Units!$D$10)</f>
        <v>59.414596224875</v>
      </c>
      <c r="D81" s="21" t="n">
        <f aca="false">u_tpu_27*(Units!$D$10)</f>
        <v>84.8779946069643</v>
      </c>
      <c r="E81" s="21" t="n">
        <f aca="false">u_tpu_28*um28_B*(Units!$D$10)</f>
        <v>86.4212308725455</v>
      </c>
      <c r="F81" s="21" t="n">
        <f aca="false">u_tpu_28*(1+g29_tpu)*um29_B*(Units!$D$10)</f>
        <v>105.595941472391</v>
      </c>
    </row>
    <row r="82" customFormat="false" ht="15" hidden="false" customHeight="false" outlineLevel="0" collapsed="false">
      <c r="A82" s="0" t="s">
        <v>603</v>
      </c>
      <c r="B82" s="0" t="s">
        <v>241</v>
      </c>
      <c r="C82" s="21" t="n">
        <f aca="false">u_trn_26*(pa_trn)</f>
        <v>16</v>
      </c>
      <c r="D82" s="21" t="n">
        <f aca="false">u_trn_27*(pa_trn)</f>
        <v>20</v>
      </c>
      <c r="E82" s="21" t="n">
        <f aca="false">u_trn_28*um28_B*(pa_trn)</f>
        <v>19.2</v>
      </c>
      <c r="F82" s="21" t="n">
        <f aca="false">u_trn_28*(1+g29_trn)*um29_B*(pa_trn)</f>
        <v>23.46</v>
      </c>
    </row>
    <row r="83" customFormat="false" ht="17.15" hidden="false" customHeight="false" outlineLevel="0" collapsed="false">
      <c r="A83" s="5" t="s">
        <v>604</v>
      </c>
      <c r="B83" s="0" t="s">
        <v>241</v>
      </c>
      <c r="C83" s="21" t="n">
        <f aca="false">u_oth_26*(Units!$D$16)</f>
        <v>11.9027719918588</v>
      </c>
      <c r="D83" s="21" t="n">
        <f aca="false">u_oth_27*(Units!$D$16)</f>
        <v>53.5624739633645</v>
      </c>
      <c r="E83" s="21" t="n">
        <f aca="false">u_oth_28*um28_B*(Units!$D$16)</f>
        <v>47.6110879674351</v>
      </c>
      <c r="F83" s="21" t="n">
        <f aca="false">u_oth_28*(1+g29_oth)*um29_B*(Units!$D$16)</f>
        <v>58.1747981102097</v>
      </c>
    </row>
    <row r="84" customFormat="false" ht="15" hidden="false" customHeight="false" outlineLevel="0" collapsed="false">
      <c r="A84" s="3" t="s">
        <v>605</v>
      </c>
      <c r="B84" s="8" t="s">
        <v>241</v>
      </c>
      <c r="C84" s="21" t="n">
        <f aca="false">SUM(C76:C83)</f>
        <v>436.477368216734</v>
      </c>
      <c r="D84" s="21" t="n">
        <f aca="false">SUM(D76:D83)</f>
        <v>707.900468570329</v>
      </c>
      <c r="E84" s="21" t="n">
        <f aca="false">SUM(E76:E83)</f>
        <v>645.392318839981</v>
      </c>
      <c r="F84" s="21" t="n">
        <f aca="false">SUM(F76:F83)</f>
        <v>777.428239582601</v>
      </c>
    </row>
    <row r="85" customFormat="false" ht="15" hidden="false" customHeight="false" outlineLevel="0" collapsed="false">
      <c r="A85" s="3" t="s">
        <v>607</v>
      </c>
    </row>
    <row r="86" customFormat="false" ht="15" hidden="false" customHeight="false" outlineLevel="0" collapsed="false">
      <c r="A86" s="0" t="s">
        <v>608</v>
      </c>
      <c r="B86" s="0" t="s">
        <v>46</v>
      </c>
      <c r="C86" s="16" t="n">
        <f aca="false">(C66+C67+C68+C69)/C74</f>
        <v>0.5</v>
      </c>
      <c r="D86" s="16" t="n">
        <f aca="false">(D66+D67+D68+D69)/D74</f>
        <v>0.409282700421941</v>
      </c>
      <c r="E86" s="16" t="n">
        <f aca="false">(E66+E67+E68+E69)/E74</f>
        <v>0.358490566037736</v>
      </c>
      <c r="F86" s="16" t="n">
        <f aca="false">(F66+F67+F68+F69)/F74</f>
        <v>0.351575456053068</v>
      </c>
    </row>
    <row r="87" customFormat="false" ht="15" hidden="false" customHeight="false" outlineLevel="0" collapsed="false">
      <c r="A87" s="0" t="s">
        <v>609</v>
      </c>
      <c r="B87" s="0" t="s">
        <v>46</v>
      </c>
      <c r="C87" s="16" t="n">
        <f aca="false">(C70)/C74</f>
        <v>0.0493421052631579</v>
      </c>
      <c r="D87" s="16" t="n">
        <f aca="false">(D70)/D74</f>
        <v>0.0632911392405063</v>
      </c>
      <c r="E87" s="16" t="n">
        <f aca="false">(E70)/E74</f>
        <v>0.0754716981132075</v>
      </c>
      <c r="F87" s="16" t="n">
        <f aca="false">(F70)/F74</f>
        <v>0.076285240464345</v>
      </c>
    </row>
    <row r="88" customFormat="false" ht="15" hidden="false" customHeight="false" outlineLevel="0" collapsed="false">
      <c r="A88" s="0" t="s">
        <v>602</v>
      </c>
      <c r="B88" s="0" t="s">
        <v>46</v>
      </c>
      <c r="C88" s="16" t="n">
        <f aca="false">(C71)/C74</f>
        <v>0.253289473684211</v>
      </c>
      <c r="D88" s="16" t="n">
        <f aca="false">(D71)/D74</f>
        <v>0.232067510548523</v>
      </c>
      <c r="E88" s="16" t="n">
        <f aca="false">(E71)/E74</f>
        <v>0.264150943396226</v>
      </c>
      <c r="F88" s="16" t="n">
        <f aca="false">(F71)/F74</f>
        <v>0.266998341625207</v>
      </c>
    </row>
    <row r="89" customFormat="false" ht="15" hidden="false" customHeight="false" outlineLevel="0" collapsed="false">
      <c r="A89" s="0" t="s">
        <v>603</v>
      </c>
      <c r="B89" s="0" t="s">
        <v>46</v>
      </c>
      <c r="C89" s="16" t="n">
        <f aca="false">(C72)/C74</f>
        <v>0.131578947368421</v>
      </c>
      <c r="D89" s="16" t="n">
        <f aca="false">(D72)/D74</f>
        <v>0.105485232067511</v>
      </c>
      <c r="E89" s="16" t="n">
        <f aca="false">(E72)/E74</f>
        <v>0.113207547169811</v>
      </c>
      <c r="F89" s="16" t="n">
        <f aca="false">(F72)/F74</f>
        <v>0.114427860696517</v>
      </c>
    </row>
    <row r="90" customFormat="false" ht="17.15" hidden="false" customHeight="false" outlineLevel="0" collapsed="false">
      <c r="A90" s="5" t="s">
        <v>610</v>
      </c>
      <c r="B90" s="0" t="s">
        <v>46</v>
      </c>
      <c r="C90" s="16" t="n">
        <f aca="false">(C73)/C74</f>
        <v>0.0657894736842105</v>
      </c>
      <c r="D90" s="16" t="n">
        <f aca="false">(D73)/D74</f>
        <v>0.189873417721519</v>
      </c>
      <c r="E90" s="16" t="n">
        <f aca="false">(E73)/E74</f>
        <v>0.188679245283019</v>
      </c>
      <c r="F90" s="16" t="n">
        <f aca="false">(F73)/F74</f>
        <v>0.190713101160862</v>
      </c>
    </row>
    <row r="91" customFormat="false" ht="15" hidden="false" customHeight="false" outlineLevel="0" collapsed="false">
      <c r="A91" s="3" t="s">
        <v>611</v>
      </c>
    </row>
    <row r="92" customFormat="false" ht="15" hidden="false" customHeight="false" outlineLevel="0" collapsed="false">
      <c r="A92" s="0" t="s">
        <v>608</v>
      </c>
      <c r="B92" s="0" t="s">
        <v>46</v>
      </c>
      <c r="C92" s="16" t="n">
        <f aca="false">(C76+C77+C78+C79)/C84</f>
        <v>0.748400773526009</v>
      </c>
      <c r="D92" s="16" t="n">
        <f aca="false">(D76+D77+D78+D79)/D84</f>
        <v>0.712614304407517</v>
      </c>
      <c r="E92" s="16" t="n">
        <f aca="false">(E76+E77+E78+E79)/E84</f>
        <v>0.688201559011931</v>
      </c>
      <c r="F92" s="16" t="n">
        <f aca="false">(F76+F77+F78+F79)/F84</f>
        <v>0.683725484792508</v>
      </c>
    </row>
    <row r="93" customFormat="false" ht="15" hidden="false" customHeight="false" outlineLevel="0" collapsed="false">
      <c r="A93" s="0" t="s">
        <v>609</v>
      </c>
      <c r="B93" s="0" t="s">
        <v>46</v>
      </c>
      <c r="C93" s="16" t="n">
        <f aca="false">(C80)/C84</f>
        <v>0.0515490644839748</v>
      </c>
      <c r="D93" s="16" t="n">
        <f aca="false">(D80)/D84</f>
        <v>0.0635682585305837</v>
      </c>
      <c r="E93" s="16" t="n">
        <f aca="false">(E80)/E84</f>
        <v>0.0743733673283787</v>
      </c>
      <c r="F93" s="16" t="n">
        <f aca="false">(F80)/F84</f>
        <v>0.0754410465350333</v>
      </c>
    </row>
    <row r="94" customFormat="false" ht="15" hidden="false" customHeight="false" outlineLevel="0" collapsed="false">
      <c r="A94" s="0" t="s">
        <v>602</v>
      </c>
      <c r="B94" s="0" t="s">
        <v>46</v>
      </c>
      <c r="C94" s="16" t="n">
        <f aca="false">(C81)/C84</f>
        <v>0.136122971203796</v>
      </c>
      <c r="D94" s="16" t="n">
        <f aca="false">(D81)/D84</f>
        <v>0.119901028994067</v>
      </c>
      <c r="E94" s="16" t="n">
        <f aca="false">(E81)/E84</f>
        <v>0.133904957263634</v>
      </c>
      <c r="F94" s="16" t="n">
        <f aca="false">(F81)/F84</f>
        <v>0.135827252080637</v>
      </c>
    </row>
    <row r="95" customFormat="false" ht="15" hidden="false" customHeight="false" outlineLevel="0" collapsed="false">
      <c r="A95" s="0" t="s">
        <v>603</v>
      </c>
      <c r="B95" s="0" t="s">
        <v>46</v>
      </c>
      <c r="C95" s="16" t="n">
        <f aca="false">(C82)/C84</f>
        <v>0.0366571125219376</v>
      </c>
      <c r="D95" s="16" t="n">
        <f aca="false">(D82)/D84</f>
        <v>0.0282525593469261</v>
      </c>
      <c r="E95" s="16" t="n">
        <f aca="false">(E82)/E84</f>
        <v>0.0297493469313515</v>
      </c>
      <c r="F95" s="16" t="n">
        <f aca="false">(F82)/F84</f>
        <v>0.0301764186140133</v>
      </c>
    </row>
    <row r="96" customFormat="false" ht="17.15" hidden="false" customHeight="false" outlineLevel="0" collapsed="false">
      <c r="A96" s="5" t="s">
        <v>610</v>
      </c>
      <c r="B96" s="0" t="s">
        <v>46</v>
      </c>
      <c r="C96" s="16" t="n">
        <f aca="false">(C83)/C84</f>
        <v>0.0272700782642834</v>
      </c>
      <c r="D96" s="16" t="n">
        <f aca="false">(D83)/D84</f>
        <v>0.0756638487209069</v>
      </c>
      <c r="E96" s="16" t="n">
        <f aca="false">(E83)/E84</f>
        <v>0.0737707694647042</v>
      </c>
      <c r="F96" s="16" t="n">
        <f aca="false">(F83)/F84</f>
        <v>0.074829797977809</v>
      </c>
    </row>
    <row r="97" customFormat="false" ht="17.15" hidden="false" customHeight="false" outlineLevel="0" collapsed="false">
      <c r="A97" s="1" t="s">
        <v>612</v>
      </c>
      <c r="C97" s="16" t="n">
        <f aca="false">C94+C95+C96</f>
        <v>0.200050161990017</v>
      </c>
      <c r="D97" s="16" t="n">
        <f aca="false">D94+D95+D96</f>
        <v>0.2238174370619</v>
      </c>
      <c r="E97" s="16" t="n">
        <f aca="false">E94+E95+E96</f>
        <v>0.23742507365969</v>
      </c>
      <c r="F97" s="16" t="n">
        <f aca="false">F94+F95+F96</f>
        <v>0.240833468672459</v>
      </c>
    </row>
    <row r="98" customFormat="false" ht="17.15" hidden="false" customHeight="false" outlineLevel="0" collapsed="false">
      <c r="A98" s="1" t="s">
        <v>613</v>
      </c>
      <c r="C98" s="16" t="n">
        <f aca="false">C88+C89+C90</f>
        <v>0.450657894736842</v>
      </c>
      <c r="D98" s="16" t="n">
        <f aca="false">D88+D89+D90</f>
        <v>0.527426160337553</v>
      </c>
      <c r="E98" s="16" t="n">
        <f aca="false">E88+E89+E90</f>
        <v>0.566037735849057</v>
      </c>
      <c r="F98" s="16" t="n">
        <f aca="false">F88+F89+F90</f>
        <v>0.572139303482587</v>
      </c>
    </row>
    <row r="99" customFormat="false" ht="17.15" hidden="false" customHeight="false" outlineLevel="0" collapsed="false">
      <c r="A99" s="1" t="s">
        <v>614</v>
      </c>
      <c r="C99" s="16" t="n">
        <f aca="false">(PL!D134*C10+PL!D135*C16)/(C81+C82+C83)</f>
        <v>0.498343521892806</v>
      </c>
      <c r="D99" s="16" t="n">
        <f aca="false">(PL!E134*D10+PL!E135*D16)/(D81+D82+D83)</f>
        <v>0.614500558121013</v>
      </c>
      <c r="E99" s="16" t="n">
        <f aca="false">(PL!F134*E10+PL!F135*E16)/(E81+E82+E83)</f>
        <v>0.670298140196907</v>
      </c>
      <c r="F99" s="16" t="n">
        <f aca="false">(PL!G134*F10+PL!G135*F16)/(F81+F82+F83)</f>
        <v>0.653700298049416</v>
      </c>
    </row>
    <row r="100" customFormat="false" ht="17.15" hidden="false" customHeight="false" outlineLevel="0" collapsed="false">
      <c r="A100" s="1" t="s">
        <v>615</v>
      </c>
      <c r="C100" s="16" t="n">
        <f aca="false">PL!D150/(C71+C72+C73)</f>
        <v>0.556934306569343</v>
      </c>
      <c r="D100" s="16" t="n">
        <f aca="false">PL!E150/(D71+D72+D73)</f>
        <v>0.55</v>
      </c>
      <c r="E100" s="16" t="n">
        <f aca="false">PL!F150/(E71+E72+E73)</f>
        <v>0.533333333333333</v>
      </c>
      <c r="F100" s="16" t="n">
        <f aca="false">PL!G150/(F71+F72+F73)</f>
        <v>0.533333333333333</v>
      </c>
    </row>
    <row r="102" customFormat="false" ht="17.15" hidden="false" customHeight="false" outlineLevel="0" collapsed="false">
      <c r="A102" s="3" t="s">
        <v>617</v>
      </c>
    </row>
    <row r="103" customFormat="false" ht="15" hidden="false" customHeight="false" outlineLevel="0" collapsed="false">
      <c r="A103" s="3" t="s">
        <v>596</v>
      </c>
    </row>
    <row r="104" customFormat="false" ht="17.15" hidden="false" customHeight="false" outlineLevel="0" collapsed="false">
      <c r="A104" s="0" t="s">
        <v>597</v>
      </c>
      <c r="B104" s="5" t="s">
        <v>35</v>
      </c>
      <c r="C104" s="19" t="n">
        <f aca="false">u_bw_26</f>
        <v>5.4</v>
      </c>
      <c r="D104" s="19" t="n">
        <f aca="false">u_bw_27</f>
        <v>2.4</v>
      </c>
      <c r="E104" s="19" t="n">
        <f aca="false">u_bw_28*um28_C</f>
        <v>0.3</v>
      </c>
      <c r="F104" s="19" t="n">
        <f aca="false">u_bw_28*(1+g29_bw)*um29_C</f>
        <v>0.15</v>
      </c>
    </row>
    <row r="105" customFormat="false" ht="15" hidden="false" customHeight="false" outlineLevel="0" collapsed="false">
      <c r="A105" s="0" t="s">
        <v>598</v>
      </c>
      <c r="B105" s="5" t="s">
        <v>35</v>
      </c>
      <c r="C105" s="19" t="n">
        <f aca="false">u_rb_26</f>
        <v>1.7</v>
      </c>
      <c r="D105" s="19" t="n">
        <f aca="false">u_rb_27</f>
        <v>7</v>
      </c>
      <c r="E105" s="19" t="n">
        <f aca="false">u_rb_28*um28_C</f>
        <v>4.2</v>
      </c>
      <c r="F105" s="19" t="n">
        <f aca="false">u_rb_28*(1+g29_rb)*um29_C</f>
        <v>4.83</v>
      </c>
    </row>
    <row r="106" customFormat="false" ht="15" hidden="false" customHeight="false" outlineLevel="0" collapsed="false">
      <c r="A106" s="0" t="s">
        <v>599</v>
      </c>
      <c r="B106" s="5" t="s">
        <v>35</v>
      </c>
      <c r="C106" s="19" t="n">
        <f aca="false">u_ru_26</f>
        <v>0</v>
      </c>
      <c r="D106" s="19" t="n">
        <f aca="false">u_ru_27</f>
        <v>0.3</v>
      </c>
      <c r="E106" s="19" t="n">
        <f aca="false">u_ru_28*um28_C</f>
        <v>1.2</v>
      </c>
      <c r="F106" s="19" t="n">
        <f aca="false">u_ru_28*(1+g29_ru)*um29_C</f>
        <v>1.38</v>
      </c>
    </row>
    <row r="107" customFormat="false" ht="17.15" hidden="false" customHeight="false" outlineLevel="0" collapsed="false">
      <c r="A107" s="0" t="s">
        <v>600</v>
      </c>
      <c r="B107" s="5" t="s">
        <v>35</v>
      </c>
      <c r="C107" s="19" t="n">
        <f aca="false">u_hp_26</f>
        <v>0.5</v>
      </c>
      <c r="D107" s="19" t="n">
        <f aca="false">u_hp_27</f>
        <v>0</v>
      </c>
      <c r="E107" s="19" t="n">
        <f aca="false">u_hp_28*um28_C</f>
        <v>0</v>
      </c>
      <c r="F107" s="19" t="n">
        <f aca="false">u_hp_28*(1+g29_hp)*um29_C</f>
        <v>0</v>
      </c>
    </row>
    <row r="108" customFormat="false" ht="15" hidden="false" customHeight="false" outlineLevel="0" collapsed="false">
      <c r="A108" s="0" t="s">
        <v>601</v>
      </c>
      <c r="B108" s="5" t="s">
        <v>35</v>
      </c>
      <c r="C108" s="19" t="n">
        <f aca="false">u_amd_26</f>
        <v>0.75</v>
      </c>
      <c r="D108" s="19" t="n">
        <f aca="false">u_amd_27</f>
        <v>1.5</v>
      </c>
      <c r="E108" s="19" t="n">
        <f aca="false">u_amd_28*um28_C</f>
        <v>1.2</v>
      </c>
      <c r="F108" s="19" t="n">
        <f aca="false">u_amd_28*(1+g29_amd)*um29_C</f>
        <v>1.38</v>
      </c>
    </row>
    <row r="109" customFormat="false" ht="15" hidden="false" customHeight="false" outlineLevel="0" collapsed="false">
      <c r="A109" s="0" t="s">
        <v>602</v>
      </c>
      <c r="B109" s="5" t="s">
        <v>35</v>
      </c>
      <c r="C109" s="19" t="n">
        <f aca="false">u_tpu_26</f>
        <v>3.85</v>
      </c>
      <c r="D109" s="19" t="n">
        <f aca="false">u_tpu_27</f>
        <v>5.5</v>
      </c>
      <c r="E109" s="19" t="n">
        <f aca="false">u_tpu_28*um28_C</f>
        <v>4.2</v>
      </c>
      <c r="F109" s="19" t="n">
        <f aca="false">u_tpu_28*(1+g29_tpu)*um29_C</f>
        <v>4.83</v>
      </c>
    </row>
    <row r="110" customFormat="false" ht="15" hidden="false" customHeight="false" outlineLevel="0" collapsed="false">
      <c r="A110" s="0" t="s">
        <v>603</v>
      </c>
      <c r="B110" s="5" t="s">
        <v>35</v>
      </c>
      <c r="C110" s="19" t="n">
        <f aca="false">u_trn_26</f>
        <v>2</v>
      </c>
      <c r="D110" s="19" t="n">
        <f aca="false">u_trn_27</f>
        <v>2.5</v>
      </c>
      <c r="E110" s="19" t="n">
        <f aca="false">u_trn_28*um28_C</f>
        <v>1.8</v>
      </c>
      <c r="F110" s="19" t="n">
        <f aca="false">u_trn_28*(1+g29_trn)*um29_C</f>
        <v>2.07</v>
      </c>
    </row>
    <row r="111" customFormat="false" ht="17.15" hidden="false" customHeight="false" outlineLevel="0" collapsed="false">
      <c r="A111" s="5" t="s">
        <v>604</v>
      </c>
      <c r="B111" s="5" t="s">
        <v>35</v>
      </c>
      <c r="C111" s="19" t="n">
        <f aca="false">u_oth_26</f>
        <v>1</v>
      </c>
      <c r="D111" s="19" t="n">
        <f aca="false">u_oth_27</f>
        <v>4.5</v>
      </c>
      <c r="E111" s="19" t="n">
        <f aca="false">u_oth_28*um28_C</f>
        <v>3</v>
      </c>
      <c r="F111" s="19" t="n">
        <f aca="false">u_oth_28*(1+g29_oth)*um29_C</f>
        <v>3.45</v>
      </c>
    </row>
    <row r="112" customFormat="false" ht="15" hidden="false" customHeight="false" outlineLevel="0" collapsed="false">
      <c r="A112" s="3" t="s">
        <v>605</v>
      </c>
      <c r="B112" s="5" t="s">
        <v>35</v>
      </c>
      <c r="C112" s="19" t="n">
        <f aca="false">SUM(C104:C111)</f>
        <v>15.2</v>
      </c>
      <c r="D112" s="19" t="n">
        <f aca="false">SUM(D104:D111)</f>
        <v>23.7</v>
      </c>
      <c r="E112" s="19" t="n">
        <f aca="false">SUM(E104:E111)</f>
        <v>15.9</v>
      </c>
      <c r="F112" s="19" t="n">
        <f aca="false">SUM(F104:F111)</f>
        <v>18.09</v>
      </c>
    </row>
    <row r="113" customFormat="false" ht="17.15" hidden="false" customHeight="false" outlineLevel="0" collapsed="false">
      <c r="A113" s="3" t="s">
        <v>606</v>
      </c>
    </row>
    <row r="114" customFormat="false" ht="17.15" hidden="false" customHeight="false" outlineLevel="0" collapsed="false">
      <c r="A114" s="0" t="s">
        <v>597</v>
      </c>
      <c r="B114" s="0" t="s">
        <v>241</v>
      </c>
      <c r="C114" s="21" t="n">
        <f aca="false">u_bw_26*(pm_bw)</f>
        <v>218.16</v>
      </c>
      <c r="D114" s="21" t="n">
        <f aca="false">u_bw_27*(pm_bw)</f>
        <v>96.96</v>
      </c>
      <c r="E114" s="21" t="n">
        <f aca="false">u_bw_28*um28_C*(pm_bw)</f>
        <v>12.12</v>
      </c>
      <c r="F114" s="21" t="n">
        <f aca="false">u_bw_28*(1+g29_bw)*um29_C*(pm_bw)</f>
        <v>6.06</v>
      </c>
    </row>
    <row r="115" customFormat="false" ht="15" hidden="false" customHeight="false" outlineLevel="0" collapsed="false">
      <c r="A115" s="0" t="s">
        <v>598</v>
      </c>
      <c r="B115" s="0" t="s">
        <v>241</v>
      </c>
      <c r="C115" s="21" t="n">
        <f aca="false">u_rb_26*(pm_rb)</f>
        <v>93.5</v>
      </c>
      <c r="D115" s="21" t="n">
        <f aca="false">u_rb_27*(pm_rb)</f>
        <v>385</v>
      </c>
      <c r="E115" s="21" t="n">
        <f aca="false">u_rb_28*um28_C*(pm_rb)</f>
        <v>231</v>
      </c>
      <c r="F115" s="21" t="n">
        <f aca="false">u_rb_28*(1+g29_rb)*um29_C*(pm_rb)</f>
        <v>265.65</v>
      </c>
    </row>
    <row r="116" customFormat="false" ht="15" hidden="false" customHeight="false" outlineLevel="0" collapsed="false">
      <c r="A116" s="0" t="s">
        <v>599</v>
      </c>
      <c r="B116" s="0" t="s">
        <v>241</v>
      </c>
      <c r="C116" s="21" t="n">
        <f aca="false">u_ru_26*(pm_ru)</f>
        <v>0</v>
      </c>
      <c r="D116" s="21" t="n">
        <f aca="false">u_ru_27*(pm_ru)</f>
        <v>22.5</v>
      </c>
      <c r="E116" s="21" t="n">
        <f aca="false">u_ru_28*um28_C*(pm_ru)</f>
        <v>90</v>
      </c>
      <c r="F116" s="21" t="n">
        <f aca="false">u_ru_28*(1+g29_ru)*um29_C*(pm_ru)</f>
        <v>103.5</v>
      </c>
    </row>
    <row r="117" customFormat="false" ht="17.15" hidden="false" customHeight="false" outlineLevel="0" collapsed="false">
      <c r="A117" s="0" t="s">
        <v>600</v>
      </c>
      <c r="B117" s="0" t="s">
        <v>241</v>
      </c>
      <c r="C117" s="21" t="n">
        <f aca="false">u_hp_26*(pm_hp)</f>
        <v>15</v>
      </c>
      <c r="D117" s="21" t="n">
        <f aca="false">u_hp_27*(pm_hp)</f>
        <v>0</v>
      </c>
      <c r="E117" s="21" t="n">
        <f aca="false">u_hp_28*um28_C*(pm_hp)</f>
        <v>0</v>
      </c>
      <c r="F117" s="21" t="n">
        <f aca="false">u_hp_28*(1+g29_hp)*um29_C*(pm_hp)</f>
        <v>0</v>
      </c>
    </row>
    <row r="118" customFormat="false" ht="15" hidden="false" customHeight="false" outlineLevel="0" collapsed="false">
      <c r="A118" s="0" t="s">
        <v>601</v>
      </c>
      <c r="B118" s="0" t="s">
        <v>241</v>
      </c>
      <c r="C118" s="21" t="n">
        <f aca="false">u_amd_26*(pa_amd)</f>
        <v>22.5</v>
      </c>
      <c r="D118" s="21" t="n">
        <f aca="false">u_amd_27*(pa_amd)</f>
        <v>45</v>
      </c>
      <c r="E118" s="21" t="n">
        <f aca="false">u_amd_28*um28_C*(pa_amd)</f>
        <v>36</v>
      </c>
      <c r="F118" s="21" t="n">
        <f aca="false">u_amd_28*(1+g29_amd)*um29_C*(pa_amd)</f>
        <v>41.4</v>
      </c>
    </row>
    <row r="119" customFormat="false" ht="15" hidden="false" customHeight="false" outlineLevel="0" collapsed="false">
      <c r="A119" s="0" t="s">
        <v>602</v>
      </c>
      <c r="B119" s="0" t="s">
        <v>241</v>
      </c>
      <c r="C119" s="21" t="n">
        <f aca="false">u_tpu_26*(Units!$D$10)</f>
        <v>59.414596224875</v>
      </c>
      <c r="D119" s="21" t="n">
        <f aca="false">u_tpu_27*(Units!$D$10)</f>
        <v>84.8779946069643</v>
      </c>
      <c r="E119" s="21" t="n">
        <f aca="false">u_tpu_28*um28_C*(Units!$D$10)</f>
        <v>64.8159231544091</v>
      </c>
      <c r="F119" s="21" t="n">
        <f aca="false">u_tpu_28*(1+g29_tpu)*um29_C*(Units!$D$10)</f>
        <v>74.5383116275705</v>
      </c>
    </row>
    <row r="120" customFormat="false" ht="15" hidden="false" customHeight="false" outlineLevel="0" collapsed="false">
      <c r="A120" s="0" t="s">
        <v>603</v>
      </c>
      <c r="B120" s="0" t="s">
        <v>241</v>
      </c>
      <c r="C120" s="21" t="n">
        <f aca="false">u_trn_26*(pa_trn)</f>
        <v>16</v>
      </c>
      <c r="D120" s="21" t="n">
        <f aca="false">u_trn_27*(pa_trn)</f>
        <v>20</v>
      </c>
      <c r="E120" s="21" t="n">
        <f aca="false">u_trn_28*um28_C*(pa_trn)</f>
        <v>14.4</v>
      </c>
      <c r="F120" s="21" t="n">
        <f aca="false">u_trn_28*(1+g29_trn)*um29_C*(pa_trn)</f>
        <v>16.56</v>
      </c>
    </row>
    <row r="121" customFormat="false" ht="17.15" hidden="false" customHeight="false" outlineLevel="0" collapsed="false">
      <c r="A121" s="5" t="s">
        <v>604</v>
      </c>
      <c r="B121" s="0" t="s">
        <v>241</v>
      </c>
      <c r="C121" s="21" t="n">
        <f aca="false">u_oth_26*(Units!$D$16)</f>
        <v>11.9027719918588</v>
      </c>
      <c r="D121" s="21" t="n">
        <f aca="false">u_oth_27*(Units!$D$16)</f>
        <v>53.5624739633645</v>
      </c>
      <c r="E121" s="21" t="n">
        <f aca="false">u_oth_28*um28_C*(Units!$D$16)</f>
        <v>35.7083159755763</v>
      </c>
      <c r="F121" s="21" t="n">
        <f aca="false">u_oth_28*(1+g29_oth)*um29_C*(Units!$D$16)</f>
        <v>41.0645633719127</v>
      </c>
    </row>
    <row r="122" customFormat="false" ht="15" hidden="false" customHeight="false" outlineLevel="0" collapsed="false">
      <c r="A122" s="3" t="s">
        <v>605</v>
      </c>
      <c r="B122" s="8" t="s">
        <v>241</v>
      </c>
      <c r="C122" s="21" t="n">
        <f aca="false">SUM(C114:C121)</f>
        <v>436.477368216734</v>
      </c>
      <c r="D122" s="21" t="n">
        <f aca="false">SUM(D114:D121)</f>
        <v>707.900468570329</v>
      </c>
      <c r="E122" s="21" t="n">
        <f aca="false">SUM(E114:E121)</f>
        <v>484.044239129985</v>
      </c>
      <c r="F122" s="21" t="n">
        <f aca="false">SUM(F114:F121)</f>
        <v>548.772874999483</v>
      </c>
    </row>
    <row r="123" customFormat="false" ht="15" hidden="false" customHeight="false" outlineLevel="0" collapsed="false">
      <c r="A123" s="3" t="s">
        <v>607</v>
      </c>
    </row>
    <row r="124" customFormat="false" ht="15" hidden="false" customHeight="false" outlineLevel="0" collapsed="false">
      <c r="A124" s="0" t="s">
        <v>608</v>
      </c>
      <c r="B124" s="0" t="s">
        <v>46</v>
      </c>
      <c r="C124" s="16" t="n">
        <f aca="false">(C104+C105+C106+C107)/C112</f>
        <v>0.5</v>
      </c>
      <c r="D124" s="16" t="n">
        <f aca="false">(D104+D105+D106+D107)/D112</f>
        <v>0.409282700421941</v>
      </c>
      <c r="E124" s="16" t="n">
        <f aca="false">(E104+E105+E106+E107)/E112</f>
        <v>0.358490566037736</v>
      </c>
      <c r="F124" s="16" t="n">
        <f aca="false">(F104+F105+F106+F107)/F112</f>
        <v>0.351575456053068</v>
      </c>
    </row>
    <row r="125" customFormat="false" ht="15" hidden="false" customHeight="false" outlineLevel="0" collapsed="false">
      <c r="A125" s="0" t="s">
        <v>609</v>
      </c>
      <c r="B125" s="0" t="s">
        <v>46</v>
      </c>
      <c r="C125" s="16" t="n">
        <f aca="false">(C108)/C112</f>
        <v>0.0493421052631579</v>
      </c>
      <c r="D125" s="16" t="n">
        <f aca="false">(D108)/D112</f>
        <v>0.0632911392405063</v>
      </c>
      <c r="E125" s="16" t="n">
        <f aca="false">(E108)/E112</f>
        <v>0.0754716981132075</v>
      </c>
      <c r="F125" s="16" t="n">
        <f aca="false">(F108)/F112</f>
        <v>0.0762852404643449</v>
      </c>
    </row>
    <row r="126" customFormat="false" ht="15" hidden="false" customHeight="false" outlineLevel="0" collapsed="false">
      <c r="A126" s="0" t="s">
        <v>602</v>
      </c>
      <c r="B126" s="0" t="s">
        <v>46</v>
      </c>
      <c r="C126" s="16" t="n">
        <f aca="false">(C109)/C112</f>
        <v>0.253289473684211</v>
      </c>
      <c r="D126" s="16" t="n">
        <f aca="false">(D109)/D112</f>
        <v>0.232067510548523</v>
      </c>
      <c r="E126" s="16" t="n">
        <f aca="false">(E109)/E112</f>
        <v>0.264150943396226</v>
      </c>
      <c r="F126" s="16" t="n">
        <f aca="false">(F109)/F112</f>
        <v>0.266998341625207</v>
      </c>
    </row>
    <row r="127" customFormat="false" ht="15" hidden="false" customHeight="false" outlineLevel="0" collapsed="false">
      <c r="A127" s="0" t="s">
        <v>603</v>
      </c>
      <c r="B127" s="0" t="s">
        <v>46</v>
      </c>
      <c r="C127" s="16" t="n">
        <f aca="false">(C110)/C112</f>
        <v>0.131578947368421</v>
      </c>
      <c r="D127" s="16" t="n">
        <f aca="false">(D110)/D112</f>
        <v>0.105485232067511</v>
      </c>
      <c r="E127" s="16" t="n">
        <f aca="false">(E110)/E112</f>
        <v>0.113207547169811</v>
      </c>
      <c r="F127" s="16" t="n">
        <f aca="false">(F110)/F112</f>
        <v>0.114427860696517</v>
      </c>
    </row>
    <row r="128" customFormat="false" ht="17.15" hidden="false" customHeight="false" outlineLevel="0" collapsed="false">
      <c r="A128" s="5" t="s">
        <v>610</v>
      </c>
      <c r="B128" s="0" t="s">
        <v>46</v>
      </c>
      <c r="C128" s="16" t="n">
        <f aca="false">(C111)/C112</f>
        <v>0.0657894736842105</v>
      </c>
      <c r="D128" s="16" t="n">
        <f aca="false">(D111)/D112</f>
        <v>0.189873417721519</v>
      </c>
      <c r="E128" s="16" t="n">
        <f aca="false">(E111)/E112</f>
        <v>0.188679245283019</v>
      </c>
      <c r="F128" s="16" t="n">
        <f aca="false">(F111)/F112</f>
        <v>0.190713101160862</v>
      </c>
    </row>
    <row r="129" customFormat="false" ht="15" hidden="false" customHeight="false" outlineLevel="0" collapsed="false">
      <c r="A129" s="3" t="s">
        <v>611</v>
      </c>
    </row>
    <row r="130" customFormat="false" ht="15" hidden="false" customHeight="false" outlineLevel="0" collapsed="false">
      <c r="A130" s="0" t="s">
        <v>608</v>
      </c>
      <c r="B130" s="0" t="s">
        <v>46</v>
      </c>
      <c r="C130" s="16" t="n">
        <f aca="false">(C114+C115+C116+C117)/C122</f>
        <v>0.748400773526009</v>
      </c>
      <c r="D130" s="16" t="n">
        <f aca="false">(D114+D115+D116+D117)/D122</f>
        <v>0.712614304407517</v>
      </c>
      <c r="E130" s="16" t="n">
        <f aca="false">(E114+E115+E116+E117)/E122</f>
        <v>0.688201559011931</v>
      </c>
      <c r="F130" s="16" t="n">
        <f aca="false">(F114+F115+F116+F117)/F122</f>
        <v>0.683725484792508</v>
      </c>
    </row>
    <row r="131" customFormat="false" ht="15" hidden="false" customHeight="false" outlineLevel="0" collapsed="false">
      <c r="A131" s="0" t="s">
        <v>609</v>
      </c>
      <c r="B131" s="0" t="s">
        <v>46</v>
      </c>
      <c r="C131" s="16" t="n">
        <f aca="false">(C118)/C122</f>
        <v>0.0515490644839748</v>
      </c>
      <c r="D131" s="16" t="n">
        <f aca="false">(D118)/D122</f>
        <v>0.0635682585305837</v>
      </c>
      <c r="E131" s="16" t="n">
        <f aca="false">(E118)/E122</f>
        <v>0.0743733673283787</v>
      </c>
      <c r="F131" s="16" t="n">
        <f aca="false">(F118)/F122</f>
        <v>0.0754410465350333</v>
      </c>
    </row>
    <row r="132" customFormat="false" ht="15" hidden="false" customHeight="false" outlineLevel="0" collapsed="false">
      <c r="A132" s="0" t="s">
        <v>602</v>
      </c>
      <c r="B132" s="0" t="s">
        <v>46</v>
      </c>
      <c r="C132" s="16" t="n">
        <f aca="false">(C119)/C122</f>
        <v>0.136122971203796</v>
      </c>
      <c r="D132" s="16" t="n">
        <f aca="false">(D119)/D122</f>
        <v>0.119901028994067</v>
      </c>
      <c r="E132" s="16" t="n">
        <f aca="false">(E119)/E122</f>
        <v>0.133904957263634</v>
      </c>
      <c r="F132" s="16" t="n">
        <f aca="false">(F119)/F122</f>
        <v>0.135827252080637</v>
      </c>
    </row>
    <row r="133" customFormat="false" ht="15" hidden="false" customHeight="false" outlineLevel="0" collapsed="false">
      <c r="A133" s="0" t="s">
        <v>603</v>
      </c>
      <c r="B133" s="0" t="s">
        <v>46</v>
      </c>
      <c r="C133" s="16" t="n">
        <f aca="false">(C120)/C122</f>
        <v>0.0366571125219376</v>
      </c>
      <c r="D133" s="16" t="n">
        <f aca="false">(D120)/D122</f>
        <v>0.0282525593469261</v>
      </c>
      <c r="E133" s="16" t="n">
        <f aca="false">(E120)/E122</f>
        <v>0.0297493469313515</v>
      </c>
      <c r="F133" s="16" t="n">
        <f aca="false">(F120)/F122</f>
        <v>0.0301764186140133</v>
      </c>
    </row>
    <row r="134" customFormat="false" ht="17.15" hidden="false" customHeight="false" outlineLevel="0" collapsed="false">
      <c r="A134" s="5" t="s">
        <v>610</v>
      </c>
      <c r="B134" s="0" t="s">
        <v>46</v>
      </c>
      <c r="C134" s="16" t="n">
        <f aca="false">(C121)/C122</f>
        <v>0.0272700782642834</v>
      </c>
      <c r="D134" s="16" t="n">
        <f aca="false">(D121)/D122</f>
        <v>0.0756638487209069</v>
      </c>
      <c r="E134" s="16" t="n">
        <f aca="false">(E121)/E122</f>
        <v>0.0737707694647042</v>
      </c>
      <c r="F134" s="16" t="n">
        <f aca="false">(F121)/F122</f>
        <v>0.074829797977809</v>
      </c>
    </row>
    <row r="135" customFormat="false" ht="17.15" hidden="false" customHeight="false" outlineLevel="0" collapsed="false">
      <c r="A135" s="1" t="s">
        <v>612</v>
      </c>
      <c r="C135" s="16" t="n">
        <f aca="false">C132+C133+C134</f>
        <v>0.200050161990017</v>
      </c>
      <c r="D135" s="16" t="n">
        <f aca="false">D132+D133+D134</f>
        <v>0.2238174370619</v>
      </c>
      <c r="E135" s="16" t="n">
        <f aca="false">E132+E133+E134</f>
        <v>0.23742507365969</v>
      </c>
      <c r="F135" s="16" t="n">
        <f aca="false">F132+F133+F134</f>
        <v>0.240833468672459</v>
      </c>
    </row>
    <row r="136" customFormat="false" ht="17.15" hidden="false" customHeight="false" outlineLevel="0" collapsed="false">
      <c r="A136" s="1" t="s">
        <v>613</v>
      </c>
      <c r="C136" s="16" t="n">
        <f aca="false">C126+C127+C128</f>
        <v>0.450657894736842</v>
      </c>
      <c r="D136" s="16" t="n">
        <f aca="false">D126+D127+D128</f>
        <v>0.527426160337553</v>
      </c>
      <c r="E136" s="16" t="n">
        <f aca="false">E126+E127+E128</f>
        <v>0.566037735849057</v>
      </c>
      <c r="F136" s="16" t="n">
        <f aca="false">F126+F127+F128</f>
        <v>0.572139303482587</v>
      </c>
    </row>
    <row r="137" customFormat="false" ht="17.15" hidden="false" customHeight="false" outlineLevel="0" collapsed="false">
      <c r="A137" s="1" t="s">
        <v>614</v>
      </c>
      <c r="C137" s="16" t="n">
        <f aca="false">(PL!D191*C10+PL!D192*C16)/(C119+C120+C121)</f>
        <v>0.498343521892806</v>
      </c>
      <c r="D137" s="16" t="n">
        <f aca="false">(PL!E191*D10+PL!E192*D16)/(D119+D120+D121)</f>
        <v>0.614500558121013</v>
      </c>
      <c r="E137" s="16" t="n">
        <f aca="false">(PL!F191*E10+PL!F192*E16)/(E119+E120+E121)</f>
        <v>0.670298140196907</v>
      </c>
      <c r="F137" s="16" t="n">
        <f aca="false">(PL!G191*F10+PL!G192*F16)/(F119+F120+F121)</f>
        <v>0.653700298049416</v>
      </c>
    </row>
    <row r="138" customFormat="false" ht="17.15" hidden="false" customHeight="false" outlineLevel="0" collapsed="false">
      <c r="A138" s="1" t="s">
        <v>615</v>
      </c>
      <c r="C138" s="16" t="n">
        <f aca="false">PL!D207/(C109+C110+C111)</f>
        <v>0.556934306569343</v>
      </c>
      <c r="D138" s="16" t="n">
        <f aca="false">PL!E207/(D109+D110+D111)</f>
        <v>0.55</v>
      </c>
      <c r="E138" s="16" t="n">
        <f aca="false">PL!F207/(E109+E110+E111)</f>
        <v>0.533333333333333</v>
      </c>
      <c r="F138" s="16" t="n">
        <f aca="false">PL!G207/(F109+F110+F111)</f>
        <v>0.533333333333333</v>
      </c>
    </row>
    <row r="140" customFormat="false" ht="17.15" hidden="false" customHeight="false" outlineLevel="0" collapsed="false">
      <c r="A140" s="3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619</v>
      </c>
    </row>
    <row r="3" customFormat="false" ht="17.15" hidden="false" customHeight="false" outlineLevel="0" collapsed="false">
      <c r="A3" s="6" t="s">
        <v>620</v>
      </c>
      <c r="B3" s="6" t="s">
        <v>25</v>
      </c>
      <c r="C3" s="13" t="s">
        <v>507</v>
      </c>
      <c r="D3" s="13" t="s">
        <v>621</v>
      </c>
      <c r="E3" s="13" t="s">
        <v>622</v>
      </c>
      <c r="F3" s="13" t="s">
        <v>623</v>
      </c>
      <c r="G3" s="13" t="s">
        <v>624</v>
      </c>
      <c r="H3" s="6" t="s">
        <v>480</v>
      </c>
    </row>
    <row r="4" customFormat="false" ht="17.15" hidden="false" customHeight="false" outlineLevel="0" collapsed="false">
      <c r="A4" s="3" t="s">
        <v>625</v>
      </c>
    </row>
    <row r="5" customFormat="false" ht="15" hidden="false" customHeight="false" outlineLevel="0" collapsed="false">
      <c r="A5" s="5" t="s">
        <v>514</v>
      </c>
      <c r="B5" s="0" t="s">
        <v>241</v>
      </c>
      <c r="C5" s="22" t="n">
        <f aca="false">C103</f>
        <v>63.887</v>
      </c>
      <c r="D5" s="22" t="n">
        <f aca="false">D103</f>
        <v>105.889</v>
      </c>
      <c r="E5" s="22" t="n">
        <f aca="false">E103</f>
        <v>173.507338649413</v>
      </c>
      <c r="F5" s="22" t="n">
        <f aca="false">F103</f>
        <v>207.775215529039</v>
      </c>
      <c r="G5" s="22" t="n">
        <f aca="false">G103</f>
        <v>232.993132467147</v>
      </c>
    </row>
    <row r="6" customFormat="false" ht="15" hidden="false" customHeight="false" outlineLevel="0" collapsed="false">
      <c r="A6" s="5" t="s">
        <v>626</v>
      </c>
      <c r="B6" s="0" t="s">
        <v>46</v>
      </c>
      <c r="D6" s="16" t="n">
        <f aca="false">D107</f>
        <v>0.657442046112668</v>
      </c>
      <c r="E6" s="16" t="n">
        <f aca="false">E107</f>
        <v>0.638577554320216</v>
      </c>
      <c r="F6" s="16" t="n">
        <f aca="false">F107</f>
        <v>0.197501022990543</v>
      </c>
      <c r="G6" s="16" t="n">
        <f aca="false">G107</f>
        <v>0.121371150422813</v>
      </c>
    </row>
    <row r="7" customFormat="false" ht="17.15" hidden="false" customHeight="false" outlineLevel="0" collapsed="false">
      <c r="A7" s="0" t="s">
        <v>627</v>
      </c>
      <c r="B7" s="0" t="s">
        <v>241</v>
      </c>
      <c r="C7" s="22" t="n">
        <f aca="false">C98</f>
        <v>20.2797202797203</v>
      </c>
      <c r="D7" s="22" t="n">
        <f aca="false">D98</f>
        <v>57.6</v>
      </c>
      <c r="E7" s="22" t="n">
        <f aca="false">E98</f>
        <v>120.941328649413</v>
      </c>
      <c r="F7" s="22" t="n">
        <f aca="false">F98</f>
        <v>151.872369229039</v>
      </c>
      <c r="G7" s="22" t="n">
        <f aca="false">G98</f>
        <v>173.512556298147</v>
      </c>
    </row>
    <row r="8" customFormat="false" ht="15" hidden="false" customHeight="false" outlineLevel="0" collapsed="false">
      <c r="A8" s="0" t="s">
        <v>628</v>
      </c>
      <c r="B8" s="0" t="s">
        <v>241</v>
      </c>
      <c r="D8" s="22" t="n">
        <f aca="false">D90</f>
        <v>40</v>
      </c>
      <c r="E8" s="22" t="n">
        <f aca="false">E90</f>
        <v>83.3061646528166</v>
      </c>
      <c r="F8" s="22" t="n">
        <f aca="false">F90</f>
        <v>107.06829431933</v>
      </c>
      <c r="G8" s="22" t="n">
        <f aca="false">G90</f>
        <v>120.698458091803</v>
      </c>
    </row>
    <row r="9" customFormat="false" ht="17.15" hidden="false" customHeight="false" outlineLevel="0" collapsed="false">
      <c r="A9" s="0" t="s">
        <v>629</v>
      </c>
      <c r="B9" s="0" t="s">
        <v>241</v>
      </c>
      <c r="D9" s="22" t="n">
        <f aca="false">D97</f>
        <v>17.6</v>
      </c>
      <c r="E9" s="22" t="n">
        <f aca="false">E97</f>
        <v>37.6351639965968</v>
      </c>
      <c r="F9" s="22" t="n">
        <f aca="false">F97</f>
        <v>44.8040749097094</v>
      </c>
      <c r="G9" s="22" t="n">
        <f aca="false">G97</f>
        <v>52.8140982063431</v>
      </c>
    </row>
    <row r="10" customFormat="false" ht="15" hidden="false" customHeight="false" outlineLevel="0" collapsed="false">
      <c r="A10" s="5" t="s">
        <v>520</v>
      </c>
      <c r="B10" s="0" t="s">
        <v>241</v>
      </c>
      <c r="C10" s="22" t="n">
        <f aca="false">C101</f>
        <v>27.029</v>
      </c>
      <c r="D10" s="22" t="n">
        <f aca="false">D101</f>
        <v>31.426</v>
      </c>
      <c r="E10" s="22" t="n">
        <f aca="false">E101</f>
        <v>35.19712</v>
      </c>
      <c r="F10" s="22" t="n">
        <f aca="false">F101</f>
        <v>38.0128896</v>
      </c>
      <c r="G10" s="22" t="n">
        <f aca="false">G101</f>
        <v>41.053920768</v>
      </c>
    </row>
    <row r="11" customFormat="false" ht="15" hidden="false" customHeight="false" outlineLevel="0" collapsed="false">
      <c r="A11" s="5" t="s">
        <v>533</v>
      </c>
      <c r="B11" s="0" t="s">
        <v>46</v>
      </c>
      <c r="C11" s="16" t="n">
        <f aca="false">C112</f>
        <v>0.786466730320723</v>
      </c>
      <c r="D11" s="16" t="n">
        <f aca="false">D112</f>
        <v>0.751466157957862</v>
      </c>
      <c r="E11" s="16" t="n">
        <f aca="false">E112</f>
        <v>0.677622064130386</v>
      </c>
      <c r="F11" s="16" t="n">
        <f aca="false">F112</f>
        <v>0.647351818908384</v>
      </c>
      <c r="G11" s="16" t="n">
        <f aca="false">G112</f>
        <v>0.650210263956653</v>
      </c>
    </row>
    <row r="12" customFormat="false" ht="15" hidden="false" customHeight="false" outlineLevel="0" collapsed="false">
      <c r="A12" s="5" t="s">
        <v>538</v>
      </c>
      <c r="B12" s="0" t="s">
        <v>46</v>
      </c>
      <c r="C12" s="16" t="n">
        <f aca="false">C117</f>
        <v>0.657363782929235</v>
      </c>
      <c r="D12" s="16" t="n">
        <f aca="false">D117</f>
        <v>0.66878523737121</v>
      </c>
      <c r="E12" s="16" t="n">
        <f aca="false">E117</f>
        <v>0.623940907348728</v>
      </c>
      <c r="F12" s="16" t="n">
        <f aca="false">F117</f>
        <v>0.601179339366758</v>
      </c>
      <c r="G12" s="16" t="n">
        <f aca="false">G117</f>
        <v>0.607799993360746</v>
      </c>
    </row>
    <row r="13" customFormat="false" ht="17.15" hidden="false" customHeight="false" outlineLevel="0" collapsed="false">
      <c r="A13" s="5" t="s">
        <v>630</v>
      </c>
      <c r="B13" s="0" t="s">
        <v>241</v>
      </c>
      <c r="C13" s="22" t="n">
        <f aca="false">C121</f>
        <v>33.728</v>
      </c>
      <c r="D13" s="22" t="n">
        <f aca="false">D121</f>
        <v>57.42012</v>
      </c>
      <c r="E13" s="22" t="n">
        <f aca="false">E121</f>
        <v>88.9209940992055</v>
      </c>
      <c r="F13" s="22" t="n">
        <f aca="false">F121</f>
        <v>102.908540119168</v>
      </c>
      <c r="G13" s="22" t="n">
        <f aca="false">G121</f>
        <v>116.93910846797</v>
      </c>
    </row>
    <row r="14" customFormat="false" ht="17.15" hidden="false" customHeight="false" outlineLevel="0" collapsed="false">
      <c r="A14" s="0" t="s">
        <v>631</v>
      </c>
      <c r="B14" s="0" t="s">
        <v>354</v>
      </c>
      <c r="C14" s="19" t="n">
        <f aca="false">C123</f>
        <v>6.82338660732349</v>
      </c>
      <c r="D14" s="19" t="n">
        <f aca="false">D123</f>
        <v>11.6152766258724</v>
      </c>
      <c r="E14" s="19" t="n">
        <f aca="false">E123</f>
        <v>18.0778463164829</v>
      </c>
      <c r="F14" s="19" t="n">
        <f aca="false">F123</f>
        <v>21.0266805782682</v>
      </c>
      <c r="G14" s="19" t="n">
        <f aca="false">G123</f>
        <v>24.0135295315415</v>
      </c>
    </row>
    <row r="15" customFormat="false" ht="17.15" hidden="false" customHeight="false" outlineLevel="0" collapsed="false">
      <c r="A15" s="0" t="s">
        <v>632</v>
      </c>
      <c r="B15" s="0" t="s">
        <v>46</v>
      </c>
      <c r="D15" s="16" t="n">
        <f aca="false">D124</f>
        <v>0.702274441463682</v>
      </c>
      <c r="E15" s="16" t="n">
        <f aca="false">E124</f>
        <v>0.556385344815253</v>
      </c>
      <c r="F15" s="16" t="n">
        <f aca="false">F124</f>
        <v>0.163118670784176</v>
      </c>
      <c r="G15" s="16" t="n">
        <f aca="false">G124</f>
        <v>0.142050426939965</v>
      </c>
    </row>
    <row r="17" customFormat="false" ht="17.15" hidden="false" customHeight="false" outlineLevel="0" collapsed="false">
      <c r="A17" s="3" t="s">
        <v>633</v>
      </c>
    </row>
    <row r="18" customFormat="false" ht="15" hidden="false" customHeight="false" outlineLevel="0" collapsed="false">
      <c r="A18" s="5" t="s">
        <v>514</v>
      </c>
      <c r="B18" s="0" t="s">
        <v>241</v>
      </c>
      <c r="C18" s="22" t="n">
        <f aca="false">C160</f>
        <v>63.887</v>
      </c>
      <c r="D18" s="22" t="n">
        <f aca="false">D160</f>
        <v>105.889</v>
      </c>
      <c r="E18" s="22" t="n">
        <f aca="false">E160</f>
        <v>173.507338649413</v>
      </c>
      <c r="F18" s="22" t="n">
        <f aca="false">F160</f>
        <v>166.643073618106</v>
      </c>
      <c r="G18" s="22" t="n">
        <f aca="false">G160</f>
        <v>195.887291674461</v>
      </c>
    </row>
    <row r="19" customFormat="false" ht="15" hidden="false" customHeight="false" outlineLevel="0" collapsed="false">
      <c r="A19" s="5" t="s">
        <v>626</v>
      </c>
      <c r="B19" s="0" t="s">
        <v>46</v>
      </c>
      <c r="D19" s="16" t="n">
        <f aca="false">D164</f>
        <v>0.657442046112668</v>
      </c>
      <c r="E19" s="16" t="n">
        <f aca="false">E164</f>
        <v>0.638577554320216</v>
      </c>
      <c r="F19" s="16" t="n">
        <f aca="false">F164</f>
        <v>-0.0395618138387638</v>
      </c>
      <c r="G19" s="16" t="n">
        <f aca="false">G164</f>
        <v>0.175490150423978</v>
      </c>
    </row>
    <row r="20" customFormat="false" ht="17.15" hidden="false" customHeight="false" outlineLevel="0" collapsed="false">
      <c r="A20" s="0" t="s">
        <v>627</v>
      </c>
      <c r="B20" s="0" t="s">
        <v>241</v>
      </c>
      <c r="C20" s="22" t="n">
        <f aca="false">C155</f>
        <v>20.2797202797203</v>
      </c>
      <c r="D20" s="22" t="n">
        <f aca="false">D155</f>
        <v>57.6</v>
      </c>
      <c r="E20" s="22" t="n">
        <f aca="false">E155</f>
        <v>120.941328649413</v>
      </c>
      <c r="F20" s="22" t="n">
        <f aca="false">F155</f>
        <v>110.740227318106</v>
      </c>
      <c r="G20" s="22" t="n">
        <f aca="false">G155</f>
        <v>136.406715505461</v>
      </c>
    </row>
    <row r="21" customFormat="false" ht="15" hidden="false" customHeight="false" outlineLevel="0" collapsed="false">
      <c r="A21" s="0" t="s">
        <v>628</v>
      </c>
      <c r="B21" s="0" t="s">
        <v>241</v>
      </c>
      <c r="D21" s="22" t="n">
        <f aca="false">D147</f>
        <v>40</v>
      </c>
      <c r="E21" s="22" t="n">
        <f aca="false">E147</f>
        <v>83.3061646528166</v>
      </c>
      <c r="F21" s="22" t="n">
        <f aca="false">F147</f>
        <v>74.8969673903384</v>
      </c>
      <c r="G21" s="22" t="n">
        <f aca="false">G147</f>
        <v>91.5147320300697</v>
      </c>
    </row>
    <row r="22" customFormat="false" ht="17.15" hidden="false" customHeight="false" outlineLevel="0" collapsed="false">
      <c r="A22" s="0" t="s">
        <v>629</v>
      </c>
      <c r="B22" s="0" t="s">
        <v>241</v>
      </c>
      <c r="D22" s="22" t="n">
        <f aca="false">D154</f>
        <v>17.6</v>
      </c>
      <c r="E22" s="22" t="n">
        <f aca="false">E154</f>
        <v>37.6351639965968</v>
      </c>
      <c r="F22" s="22" t="n">
        <f aca="false">F154</f>
        <v>35.8432599277675</v>
      </c>
      <c r="G22" s="22" t="n">
        <f aca="false">G154</f>
        <v>44.8919834753916</v>
      </c>
    </row>
    <row r="23" customFormat="false" ht="15" hidden="false" customHeight="false" outlineLevel="0" collapsed="false">
      <c r="A23" s="5" t="s">
        <v>520</v>
      </c>
      <c r="B23" s="0" t="s">
        <v>241</v>
      </c>
      <c r="C23" s="22" t="n">
        <f aca="false">C158</f>
        <v>27.029</v>
      </c>
      <c r="D23" s="22" t="n">
        <f aca="false">D158</f>
        <v>31.426</v>
      </c>
      <c r="E23" s="22" t="n">
        <f aca="false">E158</f>
        <v>35.19712</v>
      </c>
      <c r="F23" s="22" t="n">
        <f aca="false">F158</f>
        <v>38.0128896</v>
      </c>
      <c r="G23" s="22" t="n">
        <f aca="false">G158</f>
        <v>41.053920768</v>
      </c>
    </row>
    <row r="24" customFormat="false" ht="15" hidden="false" customHeight="false" outlineLevel="0" collapsed="false">
      <c r="A24" s="5" t="s">
        <v>533</v>
      </c>
      <c r="B24" s="0" t="s">
        <v>46</v>
      </c>
      <c r="C24" s="16" t="n">
        <f aca="false">C169</f>
        <v>0.786466730320723</v>
      </c>
      <c r="D24" s="16" t="n">
        <f aca="false">D169</f>
        <v>0.751466157957862</v>
      </c>
      <c r="E24" s="16" t="n">
        <f aca="false">E169</f>
        <v>0.677622064130386</v>
      </c>
      <c r="F24" s="16" t="n">
        <f aca="false">F169</f>
        <v>0.695638009253187</v>
      </c>
      <c r="G24" s="16" t="n">
        <f aca="false">G169</f>
        <v>0.690121708231674</v>
      </c>
    </row>
    <row r="25" customFormat="false" ht="15" hidden="false" customHeight="false" outlineLevel="0" collapsed="false">
      <c r="A25" s="5" t="s">
        <v>538</v>
      </c>
      <c r="B25" s="0" t="s">
        <v>46</v>
      </c>
      <c r="C25" s="16" t="n">
        <f aca="false">C174</f>
        <v>0.657363782929235</v>
      </c>
      <c r="D25" s="16" t="n">
        <f aca="false">D174</f>
        <v>0.66878523737121</v>
      </c>
      <c r="E25" s="16" t="n">
        <f aca="false">E174</f>
        <v>0.623940907348728</v>
      </c>
      <c r="F25" s="16" t="n">
        <f aca="false">F174</f>
        <v>0.638068878535778</v>
      </c>
      <c r="G25" s="16" t="n">
        <f aca="false">G174</f>
        <v>0.639677895820703</v>
      </c>
    </row>
    <row r="26" customFormat="false" ht="17.15" hidden="false" customHeight="false" outlineLevel="0" collapsed="false">
      <c r="A26" s="5" t="s">
        <v>630</v>
      </c>
      <c r="B26" s="0" t="s">
        <v>241</v>
      </c>
      <c r="C26" s="22" t="n">
        <f aca="false">C178</f>
        <v>33.728</v>
      </c>
      <c r="D26" s="22" t="n">
        <f aca="false">D178</f>
        <v>57.42012</v>
      </c>
      <c r="E26" s="22" t="n">
        <f aca="false">E178</f>
        <v>88.9209940992055</v>
      </c>
      <c r="F26" s="22" t="n">
        <f aca="false">F178</f>
        <v>87.3009976433784</v>
      </c>
      <c r="G26" s="22" t="n">
        <f aca="false">G178</f>
        <v>103.240007267322</v>
      </c>
    </row>
    <row r="27" customFormat="false" ht="17.15" hidden="false" customHeight="false" outlineLevel="0" collapsed="false">
      <c r="A27" s="0" t="s">
        <v>631</v>
      </c>
      <c r="B27" s="0" t="s">
        <v>354</v>
      </c>
      <c r="C27" s="19" t="n">
        <f aca="false">C180</f>
        <v>6.82338660732349</v>
      </c>
      <c r="D27" s="19" t="n">
        <f aca="false">D180</f>
        <v>11.6152766258724</v>
      </c>
      <c r="E27" s="19" t="n">
        <f aca="false">E180</f>
        <v>18.0778463164829</v>
      </c>
      <c r="F27" s="19" t="n">
        <f aca="false">F180</f>
        <v>17.837685672013</v>
      </c>
      <c r="G27" s="19" t="n">
        <f aca="false">G180</f>
        <v>21.2004093055784</v>
      </c>
    </row>
    <row r="28" customFormat="false" ht="17.15" hidden="false" customHeight="false" outlineLevel="0" collapsed="false">
      <c r="A28" s="0" t="s">
        <v>632</v>
      </c>
      <c r="B28" s="0" t="s">
        <v>46</v>
      </c>
      <c r="D28" s="16" t="n">
        <f aca="false">D181</f>
        <v>0.702274441463682</v>
      </c>
      <c r="E28" s="16" t="n">
        <f aca="false">E181</f>
        <v>0.556385344815253</v>
      </c>
      <c r="F28" s="16" t="n">
        <f aca="false">F181</f>
        <v>-0.0132848039675448</v>
      </c>
      <c r="G28" s="16" t="n">
        <f aca="false">G181</f>
        <v>0.188517933065801</v>
      </c>
    </row>
    <row r="30" customFormat="false" ht="17.15" hidden="false" customHeight="false" outlineLevel="0" collapsed="false">
      <c r="A30" s="3" t="s">
        <v>634</v>
      </c>
    </row>
    <row r="31" customFormat="false" ht="15" hidden="false" customHeight="false" outlineLevel="0" collapsed="false">
      <c r="A31" s="5" t="s">
        <v>514</v>
      </c>
      <c r="B31" s="0" t="s">
        <v>241</v>
      </c>
      <c r="C31" s="22" t="n">
        <f aca="false">C217</f>
        <v>63.887</v>
      </c>
      <c r="D31" s="22" t="n">
        <f aca="false">D217</f>
        <v>105.889</v>
      </c>
      <c r="E31" s="22" t="n">
        <f aca="false">E217</f>
        <v>173.507338649413</v>
      </c>
      <c r="F31" s="22" t="n">
        <f aca="false">F217</f>
        <v>135.500194910503</v>
      </c>
      <c r="G31" s="22" t="n">
        <f aca="false">G217</f>
        <v>152.586473339143</v>
      </c>
    </row>
    <row r="32" customFormat="false" ht="15" hidden="false" customHeight="false" outlineLevel="0" collapsed="false">
      <c r="A32" s="5" t="s">
        <v>626</v>
      </c>
      <c r="B32" s="0" t="s">
        <v>46</v>
      </c>
      <c r="D32" s="16" t="n">
        <f aca="false">D221</f>
        <v>0.657442046112668</v>
      </c>
      <c r="E32" s="16" t="n">
        <f aca="false">E221</f>
        <v>0.638577554320216</v>
      </c>
      <c r="F32" s="16" t="n">
        <f aca="false">F221</f>
        <v>-0.219052081801028</v>
      </c>
      <c r="G32" s="16" t="n">
        <f aca="false">G221</f>
        <v>0.126097814397423</v>
      </c>
    </row>
    <row r="33" customFormat="false" ht="17.15" hidden="false" customHeight="false" outlineLevel="0" collapsed="false">
      <c r="A33" s="0" t="s">
        <v>627</v>
      </c>
      <c r="B33" s="0" t="s">
        <v>241</v>
      </c>
      <c r="C33" s="22" t="n">
        <f aca="false">C212</f>
        <v>20.2797202797203</v>
      </c>
      <c r="D33" s="22" t="n">
        <f aca="false">D212</f>
        <v>57.6</v>
      </c>
      <c r="E33" s="22" t="n">
        <f aca="false">E212</f>
        <v>120.941328649413</v>
      </c>
      <c r="F33" s="22" t="n">
        <f aca="false">F212</f>
        <v>79.5973486105035</v>
      </c>
      <c r="G33" s="22" t="n">
        <f aca="false">G212</f>
        <v>93.1058971701428</v>
      </c>
    </row>
    <row r="34" customFormat="false" ht="15" hidden="false" customHeight="false" outlineLevel="0" collapsed="false">
      <c r="A34" s="0" t="s">
        <v>628</v>
      </c>
      <c r="B34" s="0" t="s">
        <v>241</v>
      </c>
      <c r="D34" s="22" t="n">
        <f aca="false">D204</f>
        <v>40</v>
      </c>
      <c r="E34" s="22" t="n">
        <f aca="false">E204</f>
        <v>83.3061646528166</v>
      </c>
      <c r="F34" s="22" t="n">
        <f aca="false">F204</f>
        <v>52.7149036646778</v>
      </c>
      <c r="G34" s="22" t="n">
        <f aca="false">G204</f>
        <v>61.4174382463369</v>
      </c>
    </row>
    <row r="35" customFormat="false" ht="17.15" hidden="false" customHeight="false" outlineLevel="0" collapsed="false">
      <c r="A35" s="0" t="s">
        <v>629</v>
      </c>
      <c r="B35" s="0" t="s">
        <v>241</v>
      </c>
      <c r="D35" s="22" t="n">
        <f aca="false">D211</f>
        <v>17.6</v>
      </c>
      <c r="E35" s="22" t="n">
        <f aca="false">E211</f>
        <v>37.6351639965968</v>
      </c>
      <c r="F35" s="22" t="n">
        <f aca="false">F211</f>
        <v>26.8824449458257</v>
      </c>
      <c r="G35" s="22" t="n">
        <f aca="false">G211</f>
        <v>31.6884589238058</v>
      </c>
    </row>
    <row r="36" customFormat="false" ht="15" hidden="false" customHeight="false" outlineLevel="0" collapsed="false">
      <c r="A36" s="5" t="s">
        <v>520</v>
      </c>
      <c r="B36" s="0" t="s">
        <v>241</v>
      </c>
      <c r="C36" s="22" t="n">
        <f aca="false">C215</f>
        <v>27.029</v>
      </c>
      <c r="D36" s="22" t="n">
        <f aca="false">D215</f>
        <v>31.426</v>
      </c>
      <c r="E36" s="22" t="n">
        <f aca="false">E215</f>
        <v>35.19712</v>
      </c>
      <c r="F36" s="22" t="n">
        <f aca="false">F215</f>
        <v>38.0128896</v>
      </c>
      <c r="G36" s="22" t="n">
        <f aca="false">G215</f>
        <v>41.053920768</v>
      </c>
    </row>
    <row r="37" customFormat="false" ht="15" hidden="false" customHeight="false" outlineLevel="0" collapsed="false">
      <c r="A37" s="5" t="s">
        <v>533</v>
      </c>
      <c r="B37" s="0" t="s">
        <v>46</v>
      </c>
      <c r="C37" s="16" t="n">
        <f aca="false">C226</f>
        <v>0.786466730320723</v>
      </c>
      <c r="D37" s="16" t="n">
        <f aca="false">D226</f>
        <v>0.751466157957862</v>
      </c>
      <c r="E37" s="16" t="n">
        <f aca="false">E226</f>
        <v>0.677622064130386</v>
      </c>
      <c r="F37" s="16" t="n">
        <f aca="false">F226</f>
        <v>0.7257685102486</v>
      </c>
      <c r="G37" s="16" t="n">
        <f aca="false">G226</f>
        <v>0.719982175103</v>
      </c>
    </row>
    <row r="38" customFormat="false" ht="15" hidden="false" customHeight="false" outlineLevel="0" collapsed="false">
      <c r="A38" s="5" t="s">
        <v>538</v>
      </c>
      <c r="B38" s="0" t="s">
        <v>46</v>
      </c>
      <c r="C38" s="16" t="n">
        <f aca="false">C231</f>
        <v>0.657363782929235</v>
      </c>
      <c r="D38" s="16" t="n">
        <f aca="false">D231</f>
        <v>0.66878523737121</v>
      </c>
      <c r="E38" s="16" t="n">
        <f aca="false">E231</f>
        <v>0.623940907348728</v>
      </c>
      <c r="F38" s="16" t="n">
        <f aca="false">F231</f>
        <v>0.654967897049424</v>
      </c>
      <c r="G38" s="16" t="n">
        <f aca="false">G231</f>
        <v>0.65522347415998</v>
      </c>
    </row>
    <row r="39" customFormat="false" ht="17.15" hidden="false" customHeight="false" outlineLevel="0" collapsed="false">
      <c r="A39" s="5" t="s">
        <v>630</v>
      </c>
      <c r="B39" s="0" t="s">
        <v>241</v>
      </c>
      <c r="C39" s="22" t="n">
        <f aca="false">C235</f>
        <v>33.728</v>
      </c>
      <c r="D39" s="22" t="n">
        <f aca="false">D235</f>
        <v>57.42012</v>
      </c>
      <c r="E39" s="22" t="n">
        <f aca="false">E235</f>
        <v>88.9209940992055</v>
      </c>
      <c r="F39" s="22" t="n">
        <f aca="false">F235</f>
        <v>72.5325532766684</v>
      </c>
      <c r="G39" s="22" t="n">
        <f aca="false">G235</f>
        <v>81.9657209037175</v>
      </c>
    </row>
    <row r="40" customFormat="false" ht="17.15" hidden="false" customHeight="false" outlineLevel="0" collapsed="false">
      <c r="A40" s="0" t="s">
        <v>631</v>
      </c>
      <c r="B40" s="0" t="s">
        <v>354</v>
      </c>
      <c r="C40" s="19" t="n">
        <f aca="false">C237</f>
        <v>6.82338660732349</v>
      </c>
      <c r="D40" s="19" t="n">
        <f aca="false">D237</f>
        <v>11.6152766258724</v>
      </c>
      <c r="E40" s="19" t="n">
        <f aca="false">E237</f>
        <v>18.0778463164829</v>
      </c>
      <c r="F40" s="19" t="n">
        <f aca="false">F237</f>
        <v>14.820138615402</v>
      </c>
      <c r="G40" s="19" t="n">
        <f aca="false">G237</f>
        <v>16.8317193903922</v>
      </c>
    </row>
    <row r="41" customFormat="false" ht="17.15" hidden="false" customHeight="false" outlineLevel="0" collapsed="false">
      <c r="A41" s="0" t="s">
        <v>632</v>
      </c>
      <c r="B41" s="0" t="s">
        <v>46</v>
      </c>
      <c r="D41" s="16" t="n">
        <f aca="false">D238</f>
        <v>0.702274441463682</v>
      </c>
      <c r="E41" s="16" t="n">
        <f aca="false">E238</f>
        <v>0.556385344815253</v>
      </c>
      <c r="F41" s="16" t="n">
        <f aca="false">F238</f>
        <v>-0.180204413957798</v>
      </c>
      <c r="G41" s="16" t="n">
        <f aca="false">G238</f>
        <v>0.13573292579731</v>
      </c>
    </row>
    <row r="43" customFormat="false" ht="17.15" hidden="false" customHeight="false" outlineLevel="0" collapsed="false">
      <c r="A43" s="3" t="s">
        <v>635</v>
      </c>
    </row>
    <row r="44" customFormat="false" ht="17.15" hidden="false" customHeight="false" outlineLevel="0" collapsed="false">
      <c r="A44" s="5" t="s">
        <v>636</v>
      </c>
      <c r="D44" s="23" t="n">
        <f aca="false">D104-a26_rev</f>
        <v>0</v>
      </c>
    </row>
    <row r="45" customFormat="false" ht="17.15" hidden="false" customHeight="false" outlineLevel="0" collapsed="false">
      <c r="A45" s="5" t="s">
        <v>637</v>
      </c>
      <c r="D45" s="23" t="n">
        <f aca="false">D90-a26_xpu</f>
        <v>0</v>
      </c>
    </row>
    <row r="70" customFormat="false" ht="17.15" hidden="false" customHeight="false" outlineLevel="0" collapsed="false">
      <c r="A70" s="3" t="s">
        <v>638</v>
      </c>
    </row>
    <row r="71" customFormat="false" ht="17.15" hidden="false" customHeight="false" outlineLevel="0" collapsed="false">
      <c r="A71" s="6" t="s">
        <v>24</v>
      </c>
      <c r="B71" s="6" t="s">
        <v>25</v>
      </c>
      <c r="C71" s="13" t="s">
        <v>507</v>
      </c>
      <c r="D71" s="13" t="s">
        <v>621</v>
      </c>
      <c r="E71" s="13" t="s">
        <v>622</v>
      </c>
      <c r="F71" s="13" t="s">
        <v>623</v>
      </c>
      <c r="G71" s="13" t="s">
        <v>624</v>
      </c>
      <c r="H71" s="6" t="s">
        <v>480</v>
      </c>
    </row>
    <row r="72" customFormat="false" ht="17.15" hidden="false" customHeight="false" outlineLevel="0" collapsed="false">
      <c r="A72" s="1" t="s">
        <v>639</v>
      </c>
    </row>
    <row r="73" customFormat="false" ht="17.15" hidden="false" customHeight="false" outlineLevel="0" collapsed="false">
      <c r="A73" s="0" t="s">
        <v>640</v>
      </c>
      <c r="B73" s="5" t="s">
        <v>35</v>
      </c>
      <c r="D73" s="19" t="n">
        <f aca="false">u_tpu_26</f>
        <v>3.85</v>
      </c>
      <c r="E73" s="19" t="n">
        <f aca="false">u_tpu_27</f>
        <v>5.5</v>
      </c>
      <c r="F73" s="19" t="n">
        <f aca="false">u_tpu_28*um28_A</f>
        <v>7</v>
      </c>
      <c r="G73" s="19" t="n">
        <f aca="false">u_tpu_28*(1+g29_tpu)*um29_A</f>
        <v>8.05</v>
      </c>
    </row>
    <row r="74" customFormat="false" ht="17.15" hidden="false" customHeight="false" outlineLevel="0" collapsed="false">
      <c r="A74" s="5" t="s">
        <v>641</v>
      </c>
      <c r="B74" s="5" t="s">
        <v>35</v>
      </c>
      <c r="D74" s="19" t="n">
        <f aca="false">u_oth_26</f>
        <v>1</v>
      </c>
      <c r="E74" s="19" t="n">
        <f aca="false">u_oth_27</f>
        <v>4.5</v>
      </c>
      <c r="F74" s="19" t="n">
        <f aca="false">u_oth_28*um28_A</f>
        <v>5</v>
      </c>
      <c r="G74" s="19" t="n">
        <f aca="false">u_oth_28*(1+g29_oth)*um29_A</f>
        <v>5.75</v>
      </c>
    </row>
    <row r="75" customFormat="false" ht="17.15" hidden="false" customHeight="false" outlineLevel="0" collapsed="false">
      <c r="A75" s="0" t="s">
        <v>566</v>
      </c>
      <c r="B75" s="0" t="s">
        <v>46</v>
      </c>
      <c r="D75" s="16" t="n">
        <f aca="false">sh_tpu_26</f>
        <v>0.9</v>
      </c>
      <c r="E75" s="16" t="n">
        <f aca="false">MIN(1,MAX(0,sh_tpu_27+0))</f>
        <v>0.8</v>
      </c>
      <c r="F75" s="16" t="n">
        <f aca="false">MIN(1,MAX(0,sh_tpu_28+0))</f>
        <v>0.75</v>
      </c>
      <c r="G75" s="16" t="n">
        <f aca="false">MIN(1,MAX(0,sh_tpu_28+0))</f>
        <v>0.75</v>
      </c>
    </row>
    <row r="76" customFormat="false" ht="17.15" hidden="false" customHeight="false" outlineLevel="0" collapsed="false">
      <c r="A76" s="0" t="s">
        <v>578</v>
      </c>
      <c r="B76" s="0" t="s">
        <v>46</v>
      </c>
      <c r="D76" s="16" t="n">
        <f aca="false">sh_oth_26</f>
        <v>0.35</v>
      </c>
      <c r="E76" s="16" t="n">
        <f aca="false">MIN(1,MAX(0,sh_oth_27+0))</f>
        <v>0.55</v>
      </c>
      <c r="F76" s="16" t="n">
        <f aca="false">MIN(1,MAX(0,sh_oth_28+0))</f>
        <v>0.55</v>
      </c>
      <c r="G76" s="16" t="n">
        <f aca="false">MIN(1,MAX(0,sh_oth_28+0))</f>
        <v>0.55</v>
      </c>
    </row>
    <row r="77" customFormat="false" ht="17.15" hidden="false" customHeight="false" outlineLevel="0" collapsed="false">
      <c r="A77" s="0" t="s">
        <v>568</v>
      </c>
      <c r="B77" s="5" t="s">
        <v>35</v>
      </c>
      <c r="D77" s="19" t="n">
        <f aca="false">D73*D75</f>
        <v>3.465</v>
      </c>
      <c r="E77" s="19" t="n">
        <f aca="false">E73*E75*1</f>
        <v>4.4</v>
      </c>
      <c r="F77" s="19" t="n">
        <f aca="false">F73*F75*1</f>
        <v>5.25</v>
      </c>
      <c r="G77" s="19" t="n">
        <f aca="false">G73*G75*1</f>
        <v>6.0375</v>
      </c>
    </row>
    <row r="78" customFormat="false" ht="17.15" hidden="false" customHeight="false" outlineLevel="0" collapsed="false">
      <c r="A78" s="0" t="s">
        <v>579</v>
      </c>
      <c r="B78" s="5" t="s">
        <v>35</v>
      </c>
      <c r="D78" s="19" t="n">
        <f aca="false">D74*D76</f>
        <v>0.35</v>
      </c>
      <c r="E78" s="19" t="n">
        <f aca="false">E74*E76*1</f>
        <v>2.475</v>
      </c>
      <c r="F78" s="19" t="n">
        <f aca="false">F74*F76*1</f>
        <v>2.75</v>
      </c>
      <c r="G78" s="19" t="n">
        <f aca="false">G74*G76*1</f>
        <v>3.1625</v>
      </c>
    </row>
    <row r="79" customFormat="false" ht="17.15" hidden="false" customHeight="false" outlineLevel="0" collapsed="false">
      <c r="A79" s="5" t="s">
        <v>570</v>
      </c>
      <c r="B79" s="0" t="s">
        <v>151</v>
      </c>
      <c r="D79" s="20" t="n">
        <f aca="false">gb_tpu_26</f>
        <v>192</v>
      </c>
      <c r="E79" s="20" t="n">
        <f aca="false">gb_tpu_27</f>
        <v>250</v>
      </c>
      <c r="F79" s="20" t="n">
        <f aca="false">gb_tpu_28</f>
        <v>288</v>
      </c>
      <c r="G79" s="20" t="n">
        <f aca="false">gb_tpu_28</f>
        <v>288</v>
      </c>
    </row>
    <row r="80" customFormat="false" ht="17.15" hidden="false" customHeight="false" outlineLevel="0" collapsed="false">
      <c r="A80" s="5" t="s">
        <v>580</v>
      </c>
      <c r="B80" s="0" t="s">
        <v>151</v>
      </c>
      <c r="D80" s="20" t="n">
        <f aca="false">gb_oth_26</f>
        <v>150</v>
      </c>
      <c r="E80" s="20" t="n">
        <f aca="false">gb_oth_27</f>
        <v>200</v>
      </c>
      <c r="F80" s="20" t="n">
        <f aca="false">gb_oth_28</f>
        <v>250</v>
      </c>
      <c r="G80" s="20" t="n">
        <f aca="false">gb_oth_28</f>
        <v>250</v>
      </c>
    </row>
    <row r="81" customFormat="false" ht="17.15" hidden="false" customHeight="false" outlineLevel="0" collapsed="false">
      <c r="A81" s="0" t="s">
        <v>642</v>
      </c>
      <c r="B81" s="0" t="s">
        <v>210</v>
      </c>
      <c r="D81" s="19" t="n">
        <f aca="false">hbm_A_26</f>
        <v>14.6</v>
      </c>
      <c r="E81" s="19" t="n">
        <f aca="false">hbm_A_27</f>
        <v>26.28</v>
      </c>
      <c r="F81" s="19" t="n">
        <f aca="false">hbm_A_28</f>
        <v>28.908</v>
      </c>
      <c r="G81" s="19" t="n">
        <f aca="false">hbm_A_29</f>
        <v>27.4626</v>
      </c>
    </row>
    <row r="82" customFormat="false" ht="17.15" hidden="false" customHeight="false" outlineLevel="0" collapsed="false">
      <c r="A82" s="5" t="s">
        <v>643</v>
      </c>
      <c r="B82" s="0" t="s">
        <v>188</v>
      </c>
      <c r="D82" s="19" t="n">
        <f aca="false">core_tpu</f>
        <v>8</v>
      </c>
      <c r="E82" s="19" t="n">
        <f aca="false">core_tpu*1</f>
        <v>8</v>
      </c>
      <c r="F82" s="19" t="n">
        <f aca="false">core_tpu*1</f>
        <v>8</v>
      </c>
      <c r="G82" s="19" t="n">
        <f aca="false">core_tpu*1</f>
        <v>8</v>
      </c>
    </row>
    <row r="83" customFormat="false" ht="17.15" hidden="false" customHeight="false" outlineLevel="0" collapsed="false">
      <c r="A83" s="5" t="s">
        <v>644</v>
      </c>
      <c r="B83" s="0" t="s">
        <v>188</v>
      </c>
      <c r="D83" s="19" t="n">
        <f aca="false">core_oth</f>
        <v>6</v>
      </c>
      <c r="E83" s="19" t="n">
        <f aca="false">core_oth*1</f>
        <v>6</v>
      </c>
      <c r="F83" s="19" t="n">
        <f aca="false">core_oth*1</f>
        <v>6</v>
      </c>
      <c r="G83" s="19" t="n">
        <f aca="false">core_oth*1</f>
        <v>6</v>
      </c>
    </row>
    <row r="84" customFormat="false" ht="17.15" hidden="false" customHeight="false" outlineLevel="0" collapsed="false">
      <c r="A84" s="5" t="s">
        <v>645</v>
      </c>
      <c r="B84" s="0" t="s">
        <v>188</v>
      </c>
      <c r="D84" s="19" t="n">
        <f aca="false">D79*D81/1000</f>
        <v>2.8032</v>
      </c>
      <c r="E84" s="19" t="n">
        <f aca="false">E79*E81/1000</f>
        <v>6.57</v>
      </c>
      <c r="F84" s="19" t="n">
        <f aca="false">F79*F81/1000</f>
        <v>8.325504</v>
      </c>
      <c r="G84" s="19" t="n">
        <f aca="false">G79*G81/1000</f>
        <v>7.9092288</v>
      </c>
    </row>
    <row r="85" customFormat="false" ht="17.15" hidden="false" customHeight="false" outlineLevel="0" collapsed="false">
      <c r="A85" s="5" t="s">
        <v>646</v>
      </c>
      <c r="B85" s="0" t="s">
        <v>188</v>
      </c>
      <c r="D85" s="19" t="n">
        <f aca="false">D80*D81/1000</f>
        <v>2.19</v>
      </c>
      <c r="E85" s="19" t="n">
        <f aca="false">E80*E81/1000</f>
        <v>5.256</v>
      </c>
      <c r="F85" s="19" t="n">
        <f aca="false">F80*F81/1000</f>
        <v>7.227</v>
      </c>
      <c r="G85" s="19" t="n">
        <f aca="false">G80*G81/1000</f>
        <v>6.86565</v>
      </c>
    </row>
    <row r="86" customFormat="false" ht="17.15" hidden="false" customHeight="false" outlineLevel="0" collapsed="false">
      <c r="A86" s="5" t="s">
        <v>647</v>
      </c>
      <c r="B86" s="0" t="s">
        <v>188</v>
      </c>
      <c r="D86" s="19" t="n">
        <f aca="false">D82+f_hbm*D84</f>
        <v>9.68192</v>
      </c>
      <c r="E86" s="19" t="n">
        <f aca="false">E82+f_hbm*E84</f>
        <v>11.942</v>
      </c>
      <c r="F86" s="19" t="n">
        <f aca="false">F82+f_hbm*F84</f>
        <v>12.9953024</v>
      </c>
      <c r="G86" s="19" t="n">
        <f aca="false">G82+f_hbm*G84</f>
        <v>12.74553728</v>
      </c>
      <c r="H86" s="5" t="s">
        <v>648</v>
      </c>
    </row>
    <row r="87" customFormat="false" ht="17.15" hidden="false" customHeight="false" outlineLevel="0" collapsed="false">
      <c r="A87" s="5" t="s">
        <v>649</v>
      </c>
      <c r="B87" s="0" t="s">
        <v>188</v>
      </c>
      <c r="D87" s="19" t="n">
        <f aca="false">D83+f_hbm*D85</f>
        <v>7.314</v>
      </c>
      <c r="E87" s="19" t="n">
        <f aca="false">E83+f_hbm*E85</f>
        <v>9.1536</v>
      </c>
      <c r="F87" s="19" t="n">
        <f aca="false">F83+f_hbm*F85</f>
        <v>10.3362</v>
      </c>
      <c r="G87" s="19" t="n">
        <f aca="false">G83+f_hbm*G85</f>
        <v>10.11939</v>
      </c>
    </row>
    <row r="88" customFormat="false" ht="17.15" hidden="false" customHeight="false" outlineLevel="0" collapsed="false">
      <c r="A88" s="0" t="s">
        <v>650</v>
      </c>
      <c r="B88" s="0" t="s">
        <v>241</v>
      </c>
      <c r="D88" s="22" t="n">
        <f aca="false">D77*D86+D78*D87</f>
        <v>36.1077528</v>
      </c>
      <c r="E88" s="22" t="n">
        <f aca="false">E77*E86+E78*E87</f>
        <v>75.19996</v>
      </c>
      <c r="F88" s="22" t="n">
        <f aca="false">F77*F86+F78*F87</f>
        <v>96.6498876</v>
      </c>
      <c r="G88" s="22" t="n">
        <f aca="false">G77*G86+G78*G87</f>
        <v>108.953752203</v>
      </c>
    </row>
    <row r="89" customFormat="false" ht="17.15" hidden="false" customHeight="false" outlineLevel="0" collapsed="false">
      <c r="A89" s="0" t="s">
        <v>651</v>
      </c>
      <c r="B89" s="0" t="s">
        <v>131</v>
      </c>
      <c r="D89" s="17" t="n">
        <f aca="false">a26_xpu/D88</f>
        <v>1.10779533197646</v>
      </c>
      <c r="H89" s="8" t="s">
        <v>652</v>
      </c>
    </row>
    <row r="90" customFormat="false" ht="17.15" hidden="false" customHeight="false" outlineLevel="0" collapsed="false">
      <c r="A90" s="0" t="s">
        <v>653</v>
      </c>
      <c r="B90" s="0" t="s">
        <v>241</v>
      </c>
      <c r="D90" s="22" t="n">
        <f aca="false">D88*$D$89</f>
        <v>40</v>
      </c>
      <c r="E90" s="22" t="n">
        <f aca="false">E88*$D$89</f>
        <v>83.3061646528166</v>
      </c>
      <c r="F90" s="22" t="n">
        <f aca="false">F88*$D$89</f>
        <v>107.06829431933</v>
      </c>
      <c r="G90" s="22" t="n">
        <f aca="false">G88*$D$89</f>
        <v>120.698458091803</v>
      </c>
    </row>
    <row r="91" customFormat="false" ht="17.15" hidden="false" customHeight="false" outlineLevel="0" collapsed="false">
      <c r="A91" s="5" t="s">
        <v>654</v>
      </c>
      <c r="B91" s="0" t="s">
        <v>241</v>
      </c>
      <c r="D91" s="22" t="n">
        <f aca="false">$D$89*f_hbm*(D77*D84+D78*D85)</f>
        <v>6.96554320046192</v>
      </c>
      <c r="E91" s="22" t="n">
        <f aca="false">$D$89*f_hbm*(E77*E84+E78*E85)</f>
        <v>27.8610082873947</v>
      </c>
      <c r="F91" s="22" t="n">
        <f aca="false">$D$89*f_hbm*(F77*F84+F78*F85)</f>
        <v>42.2622673987067</v>
      </c>
      <c r="G91" s="22" t="n">
        <f aca="false">$D$89*f_hbm*(G77*G84+G78*G85)</f>
        <v>46.171527133087</v>
      </c>
    </row>
    <row r="92" customFormat="false" ht="15" hidden="false" customHeight="false" outlineLevel="0" collapsed="false">
      <c r="A92" s="5" t="s">
        <v>655</v>
      </c>
      <c r="B92" s="0" t="s">
        <v>241</v>
      </c>
      <c r="D92" s="22" t="n">
        <f aca="false">D90-D91</f>
        <v>33.0344567995381</v>
      </c>
      <c r="E92" s="22" t="n">
        <f aca="false">E90-E91</f>
        <v>55.4451563654219</v>
      </c>
      <c r="F92" s="22" t="n">
        <f aca="false">F90-F91</f>
        <v>64.806026920623</v>
      </c>
      <c r="G92" s="22" t="n">
        <f aca="false">G90-G91</f>
        <v>74.5269309587164</v>
      </c>
    </row>
    <row r="93" customFormat="false" ht="17.15" hidden="false" customHeight="false" outlineLevel="0" collapsed="false">
      <c r="A93" s="0" t="s">
        <v>656</v>
      </c>
      <c r="B93" s="5" t="s">
        <v>35</v>
      </c>
      <c r="D93" s="19" t="n">
        <f aca="false">D77+D78</f>
        <v>3.815</v>
      </c>
      <c r="E93" s="19" t="n">
        <f aca="false">E77+E78</f>
        <v>6.875</v>
      </c>
      <c r="F93" s="19" t="n">
        <f aca="false">F77+F78</f>
        <v>8</v>
      </c>
      <c r="G93" s="19" t="n">
        <f aca="false">G77+G78</f>
        <v>9.2</v>
      </c>
    </row>
    <row r="94" customFormat="false" ht="17.15" hidden="false" customHeight="false" outlineLevel="0" collapsed="false">
      <c r="A94" s="1" t="s">
        <v>657</v>
      </c>
    </row>
    <row r="95" customFormat="false" ht="17.15" hidden="false" customHeight="false" outlineLevel="0" collapsed="false">
      <c r="A95" s="0" t="s">
        <v>658</v>
      </c>
      <c r="B95" s="0" t="s">
        <v>241</v>
      </c>
      <c r="D95" s="22" t="n">
        <f aca="false">net_26*1</f>
        <v>12.6075726</v>
      </c>
      <c r="E95" s="22" t="n">
        <f aca="false">net_27*1*1</f>
        <v>26.959549</v>
      </c>
      <c r="F95" s="22" t="n">
        <f aca="false">net_28*um28_A*1</f>
        <v>32.094922</v>
      </c>
      <c r="G95" s="22" t="n">
        <f aca="false">net_29*um29_A*1</f>
        <v>37.8328169</v>
      </c>
    </row>
    <row r="96" customFormat="false" ht="17.15" hidden="false" customHeight="false" outlineLevel="0" collapsed="false">
      <c r="A96" s="5" t="s">
        <v>659</v>
      </c>
      <c r="B96" s="0" t="s">
        <v>131</v>
      </c>
      <c r="D96" s="17" t="n">
        <f aca="false">a26_net/D95</f>
        <v>1.39598640899359</v>
      </c>
      <c r="H96" s="8" t="s">
        <v>660</v>
      </c>
    </row>
    <row r="97" customFormat="false" ht="17.15" hidden="false" customHeight="false" outlineLevel="0" collapsed="false">
      <c r="A97" s="0" t="s">
        <v>661</v>
      </c>
      <c r="B97" s="0" t="s">
        <v>241</v>
      </c>
      <c r="D97" s="22" t="n">
        <f aca="false">D95*$D$96</f>
        <v>17.6</v>
      </c>
      <c r="E97" s="22" t="n">
        <f aca="false">E95*$D$96</f>
        <v>37.6351639965968</v>
      </c>
      <c r="F97" s="22" t="n">
        <f aca="false">F95*$D$96</f>
        <v>44.8040749097094</v>
      </c>
      <c r="G97" s="22" t="n">
        <f aca="false">G95*$D$96</f>
        <v>52.8140982063431</v>
      </c>
    </row>
    <row r="98" customFormat="false" ht="17.15" hidden="false" customHeight="false" outlineLevel="0" collapsed="false">
      <c r="A98" s="0" t="s">
        <v>522</v>
      </c>
      <c r="B98" s="0" t="s">
        <v>241</v>
      </c>
      <c r="C98" s="22" t="n">
        <f aca="false">a25_ai</f>
        <v>20.2797202797203</v>
      </c>
      <c r="D98" s="22" t="n">
        <f aca="false">D90+D97</f>
        <v>57.6</v>
      </c>
      <c r="E98" s="22" t="n">
        <f aca="false">E90+E97</f>
        <v>120.941328649413</v>
      </c>
      <c r="F98" s="22" t="n">
        <f aca="false">F90+F97</f>
        <v>151.872369229039</v>
      </c>
      <c r="G98" s="22" t="n">
        <f aca="false">G90+G97</f>
        <v>173.512556298147</v>
      </c>
    </row>
    <row r="99" customFormat="false" ht="15" hidden="false" customHeight="false" outlineLevel="0" collapsed="false">
      <c r="A99" s="0" t="s">
        <v>662</v>
      </c>
      <c r="B99" s="0" t="s">
        <v>46</v>
      </c>
      <c r="D99" s="16" t="n">
        <f aca="false">D90/D98</f>
        <v>0.694444444444444</v>
      </c>
      <c r="E99" s="16" t="n">
        <f aca="false">E90/E98</f>
        <v>0.688814697036328</v>
      </c>
      <c r="F99" s="16" t="n">
        <f aca="false">F90/F98</f>
        <v>0.704988635278743</v>
      </c>
      <c r="G99" s="16" t="n">
        <f aca="false">G90/G98</f>
        <v>0.69561800406195</v>
      </c>
    </row>
    <row r="100" customFormat="false" ht="17.15" hidden="false" customHeight="false" outlineLevel="0" collapsed="false">
      <c r="A100" s="5" t="s">
        <v>663</v>
      </c>
      <c r="B100" s="0" t="s">
        <v>241</v>
      </c>
      <c r="C100" s="22" t="n">
        <f aca="false">a25_nai</f>
        <v>16.5782797202797</v>
      </c>
      <c r="D100" s="22" t="n">
        <f aca="false">a26_nai</f>
        <v>16.863</v>
      </c>
      <c r="E100" s="22" t="n">
        <f aca="false">D100*(1+g_nai)</f>
        <v>17.36889</v>
      </c>
      <c r="F100" s="22" t="n">
        <f aca="false">E100*(1+g_nai)</f>
        <v>17.8899567</v>
      </c>
      <c r="G100" s="22" t="n">
        <f aca="false">F100*(1+g_nai)</f>
        <v>18.426655401</v>
      </c>
    </row>
    <row r="101" customFormat="false" ht="15" hidden="false" customHeight="false" outlineLevel="0" collapsed="false">
      <c r="A101" s="5" t="s">
        <v>664</v>
      </c>
      <c r="B101" s="0" t="s">
        <v>241</v>
      </c>
      <c r="C101" s="22" t="n">
        <f aca="false">a25_sw</f>
        <v>27.029</v>
      </c>
      <c r="D101" s="22" t="n">
        <f aca="false">a26_sw</f>
        <v>31.426</v>
      </c>
      <c r="E101" s="22" t="n">
        <f aca="false">D101*(1+g_sw27)</f>
        <v>35.19712</v>
      </c>
      <c r="F101" s="22" t="n">
        <f aca="false">E101*(1+g_sw)</f>
        <v>38.0128896</v>
      </c>
      <c r="G101" s="22" t="n">
        <f aca="false">F101*(1+g_sw)</f>
        <v>41.053920768</v>
      </c>
    </row>
    <row r="102" customFormat="false" ht="17.15" hidden="false" customHeight="false" outlineLevel="0" collapsed="false">
      <c r="A102" s="1" t="s">
        <v>665</v>
      </c>
    </row>
    <row r="103" customFormat="false" ht="15" hidden="false" customHeight="false" outlineLevel="0" collapsed="false">
      <c r="A103" s="5" t="s">
        <v>514</v>
      </c>
      <c r="B103" s="0" t="s">
        <v>241</v>
      </c>
      <c r="C103" s="22" t="n">
        <f aca="false">a25_rev</f>
        <v>63.887</v>
      </c>
      <c r="D103" s="22" t="n">
        <f aca="false">a26_rev</f>
        <v>105.889</v>
      </c>
      <c r="E103" s="22" t="n">
        <f aca="false">E98+E100+E101</f>
        <v>173.507338649413</v>
      </c>
      <c r="F103" s="22" t="n">
        <f aca="false">F98+F100+F101</f>
        <v>207.775215529039</v>
      </c>
      <c r="G103" s="22" t="n">
        <f aca="false">G98+G100+G101</f>
        <v>232.993132467147</v>
      </c>
    </row>
    <row r="104" customFormat="false" ht="17.15" hidden="false" customHeight="false" outlineLevel="0" collapsed="false">
      <c r="A104" s="5" t="s">
        <v>666</v>
      </c>
      <c r="B104" s="0" t="s">
        <v>241</v>
      </c>
      <c r="D104" s="22" t="n">
        <f aca="false">D98+D100+D101</f>
        <v>105.889</v>
      </c>
      <c r="E104" s="22" t="n">
        <f aca="false">E98+E100+E101</f>
        <v>173.507338649413</v>
      </c>
      <c r="F104" s="22" t="n">
        <f aca="false">F98+F100+F101</f>
        <v>207.775215529039</v>
      </c>
      <c r="G104" s="22" t="n">
        <f aca="false">G98+G100+G101</f>
        <v>232.993132467147</v>
      </c>
    </row>
    <row r="105" customFormat="false" ht="17.15" hidden="false" customHeight="false" outlineLevel="0" collapsed="false">
      <c r="A105" s="5" t="s">
        <v>667</v>
      </c>
      <c r="B105" s="0" t="s">
        <v>241</v>
      </c>
      <c r="C105" s="22" t="n">
        <f aca="false">C98+C100</f>
        <v>36.858</v>
      </c>
      <c r="D105" s="22" t="n">
        <f aca="false">D98+D100</f>
        <v>74.463</v>
      </c>
      <c r="E105" s="22" t="n">
        <f aca="false">E98+E100</f>
        <v>138.310218649413</v>
      </c>
      <c r="F105" s="22" t="n">
        <f aca="false">F98+F100</f>
        <v>169.762325929039</v>
      </c>
      <c r="G105" s="22" t="n">
        <f aca="false">G98+G100</f>
        <v>191.939211699147</v>
      </c>
      <c r="H105" s="5" t="s">
        <v>668</v>
      </c>
    </row>
    <row r="106" customFormat="false" ht="17.15" hidden="false" customHeight="false" outlineLevel="0" collapsed="false">
      <c r="A106" s="5" t="s">
        <v>669</v>
      </c>
      <c r="B106" s="0" t="s">
        <v>241</v>
      </c>
      <c r="C106" s="17" t="n">
        <f aca="false">C105+C101-C103</f>
        <v>0</v>
      </c>
      <c r="D106" s="17" t="n">
        <f aca="false">D105+D101-D103</f>
        <v>0</v>
      </c>
      <c r="E106" s="17" t="n">
        <f aca="false">E105+E101-E103</f>
        <v>0</v>
      </c>
      <c r="F106" s="17" t="n">
        <f aca="false">F105+F101-F103</f>
        <v>0</v>
      </c>
      <c r="G106" s="17" t="n">
        <f aca="false">G105+G101-G103</f>
        <v>0</v>
      </c>
    </row>
    <row r="107" customFormat="false" ht="15" hidden="false" customHeight="false" outlineLevel="0" collapsed="false">
      <c r="A107" s="5" t="s">
        <v>670</v>
      </c>
      <c r="B107" s="0" t="s">
        <v>46</v>
      </c>
      <c r="D107" s="16" t="n">
        <f aca="false">D103/C103-1</f>
        <v>0.657442046112668</v>
      </c>
      <c r="E107" s="16" t="n">
        <f aca="false">E103/D103-1</f>
        <v>0.638577554320216</v>
      </c>
      <c r="F107" s="16" t="n">
        <f aca="false">F103/E103-1</f>
        <v>0.197501022990543</v>
      </c>
      <c r="G107" s="16" t="n">
        <f aca="false">G103/F103-1</f>
        <v>0.121371150422813</v>
      </c>
    </row>
    <row r="108" customFormat="false" ht="17.15" hidden="false" customHeight="false" outlineLevel="0" collapsed="false">
      <c r="A108" s="0" t="s">
        <v>671</v>
      </c>
      <c r="B108" s="0" t="s">
        <v>46</v>
      </c>
      <c r="C108" s="16" t="n">
        <f aca="false">C98/C103</f>
        <v>0.317431093645347</v>
      </c>
      <c r="D108" s="16" t="n">
        <f aca="false">D98/D103</f>
        <v>0.543965851032685</v>
      </c>
      <c r="E108" s="16" t="n">
        <f aca="false">E98/E103</f>
        <v>0.697038693526306</v>
      </c>
      <c r="F108" s="16" t="n">
        <f aca="false">F98/F103</f>
        <v>0.730945550181913</v>
      </c>
      <c r="G108" s="16" t="n">
        <f aca="false">G98/G103</f>
        <v>0.744711032728026</v>
      </c>
    </row>
    <row r="109" customFormat="false" ht="17.15" hidden="false" customHeight="false" outlineLevel="0" collapsed="false">
      <c r="A109" s="5" t="s">
        <v>672</v>
      </c>
      <c r="B109" s="0" t="s">
        <v>241</v>
      </c>
      <c r="D109" s="22" t="n">
        <f aca="false">gm_net*D97+gm_nai*D100+gm_sw*D101+m_hbm*D91</f>
        <v>53.5556843200462</v>
      </c>
      <c r="E109" s="22" t="n">
        <f aca="false">gm_net*E97+gm_nai*E100+gm_sw*E101+m_hbm*E91</f>
        <v>73.9065190062892</v>
      </c>
      <c r="F109" s="22" t="n">
        <f aca="false">gm_net*F97+gm_nai*F100+gm_sw*F101+m_hbm*F91</f>
        <v>83.4656198578614</v>
      </c>
      <c r="G109" s="22" t="n">
        <f aca="false">gm_net*G97+gm_nai*G100+gm_sw*G101+m_hbm*G91</f>
        <v>92.8007757467657</v>
      </c>
    </row>
    <row r="110" customFormat="false" ht="17.15" hidden="false" customHeight="false" outlineLevel="0" collapsed="false">
      <c r="A110" s="0" t="s">
        <v>673</v>
      </c>
      <c r="B110" s="0" t="s">
        <v>131</v>
      </c>
      <c r="D110" s="17" t="n">
        <f aca="false">(a26_gp-D109)/D92</f>
        <v>0.787550884757324</v>
      </c>
      <c r="H110" s="8" t="s">
        <v>674</v>
      </c>
    </row>
    <row r="111" customFormat="false" ht="15" hidden="false" customHeight="false" outlineLevel="0" collapsed="false">
      <c r="A111" s="5" t="s">
        <v>675</v>
      </c>
      <c r="B111" s="0" t="s">
        <v>241</v>
      </c>
      <c r="C111" s="22" t="n">
        <f aca="false">a25_gp</f>
        <v>50.245</v>
      </c>
      <c r="D111" s="22" t="n">
        <f aca="false">a26_gp</f>
        <v>79.572</v>
      </c>
      <c r="E111" s="22" t="n">
        <f aca="false">E109+$D$110*E92</f>
        <v>117.572400957385</v>
      </c>
      <c r="F111" s="22" t="n">
        <f aca="false">F109+$D$110*F92</f>
        <v>134.503663696805</v>
      </c>
      <c r="G111" s="22" t="n">
        <f aca="false">G109+$D$110*G92</f>
        <v>151.494526161551</v>
      </c>
    </row>
    <row r="112" customFormat="false" ht="15" hidden="false" customHeight="false" outlineLevel="0" collapsed="false">
      <c r="A112" s="5" t="s">
        <v>533</v>
      </c>
      <c r="B112" s="0" t="s">
        <v>46</v>
      </c>
      <c r="C112" s="16" t="n">
        <f aca="false">C111/C103</f>
        <v>0.786466730320723</v>
      </c>
      <c r="D112" s="16" t="n">
        <f aca="false">D111/D103</f>
        <v>0.751466157957862</v>
      </c>
      <c r="E112" s="16" t="n">
        <f aca="false">E111/E103</f>
        <v>0.677622064130386</v>
      </c>
      <c r="F112" s="16" t="n">
        <f aca="false">F111/F103</f>
        <v>0.647351818908384</v>
      </c>
      <c r="G112" s="16" t="n">
        <f aca="false">G111/G103</f>
        <v>0.650210263956653</v>
      </c>
    </row>
    <row r="113" customFormat="false" ht="17.15" hidden="false" customHeight="false" outlineLevel="0" collapsed="false">
      <c r="A113" s="5" t="s">
        <v>676</v>
      </c>
      <c r="B113" s="0" t="s">
        <v>46</v>
      </c>
      <c r="D113" s="16" t="n">
        <f aca="false">D91/D103</f>
        <v>0.0657815561622258</v>
      </c>
      <c r="E113" s="16" t="n">
        <f aca="false">E91/E103</f>
        <v>0.160575388362623</v>
      </c>
      <c r="F113" s="16" t="n">
        <f aca="false">F91/F103</f>
        <v>0.20340379525584</v>
      </c>
      <c r="G113" s="16" t="n">
        <f aca="false">G91/G103</f>
        <v>0.198166901505552</v>
      </c>
    </row>
    <row r="114" customFormat="false" ht="15" hidden="false" customHeight="false" outlineLevel="0" collapsed="false">
      <c r="A114" s="5" t="s">
        <v>677</v>
      </c>
      <c r="B114" s="0" t="s">
        <v>241</v>
      </c>
      <c r="C114" s="24" t="n">
        <f aca="false">a25_opx</f>
        <v>8.248</v>
      </c>
      <c r="D114" s="24" t="n">
        <f aca="false">a26_opx</f>
        <v>8.755</v>
      </c>
      <c r="E114" s="24" t="n">
        <f aca="false">D114*(1+MAX(g_opx_min,phi*E107))</f>
        <v>9.31407464880735</v>
      </c>
      <c r="F114" s="24" t="n">
        <f aca="false">E114*(1+MAX(g_opx_min,phi*F107))</f>
        <v>9.59349688827157</v>
      </c>
      <c r="G114" s="24" t="n">
        <f aca="false">F114*(1+MAX(g_opx_min,phi*G107))</f>
        <v>9.88130179491972</v>
      </c>
    </row>
    <row r="115" customFormat="false" ht="15" hidden="false" customHeight="false" outlineLevel="0" collapsed="false">
      <c r="A115" s="5" t="s">
        <v>678</v>
      </c>
      <c r="B115" s="0" t="s">
        <v>241</v>
      </c>
      <c r="C115" s="24" t="n">
        <f aca="false">C114</f>
        <v>8.248</v>
      </c>
      <c r="D115" s="24" t="n">
        <f aca="false">D114</f>
        <v>8.755</v>
      </c>
      <c r="E115" s="24" t="n">
        <f aca="false">E114+0*E103</f>
        <v>9.31407464880735</v>
      </c>
      <c r="F115" s="24" t="n">
        <f aca="false">F114+0*F103</f>
        <v>9.59349688827157</v>
      </c>
      <c r="G115" s="24" t="n">
        <f aca="false">G114+0*G103</f>
        <v>9.88130179491972</v>
      </c>
    </row>
    <row r="116" customFormat="false" ht="15" hidden="false" customHeight="false" outlineLevel="0" collapsed="false">
      <c r="A116" s="5" t="s">
        <v>679</v>
      </c>
      <c r="B116" s="0" t="s">
        <v>241</v>
      </c>
      <c r="C116" s="22" t="n">
        <f aca="false">C111-C115</f>
        <v>41.997</v>
      </c>
      <c r="D116" s="22" t="n">
        <f aca="false">D111-D115</f>
        <v>70.817</v>
      </c>
      <c r="E116" s="22" t="n">
        <f aca="false">E111-E115</f>
        <v>108.258326308578</v>
      </c>
      <c r="F116" s="22" t="n">
        <f aca="false">F111-F115</f>
        <v>124.910166808533</v>
      </c>
      <c r="G116" s="22" t="n">
        <f aca="false">G111-G115</f>
        <v>141.613224366631</v>
      </c>
    </row>
    <row r="117" customFormat="false" ht="15" hidden="false" customHeight="false" outlineLevel="0" collapsed="false">
      <c r="A117" s="5" t="s">
        <v>538</v>
      </c>
      <c r="B117" s="0" t="s">
        <v>46</v>
      </c>
      <c r="C117" s="16" t="n">
        <f aca="false">C116/C103</f>
        <v>0.657363782929235</v>
      </c>
      <c r="D117" s="16" t="n">
        <f aca="false">D116/D103</f>
        <v>0.66878523737121</v>
      </c>
      <c r="E117" s="16" t="n">
        <f aca="false">E116/E103</f>
        <v>0.623940907348728</v>
      </c>
      <c r="F117" s="16" t="n">
        <f aca="false">F116/F103</f>
        <v>0.601179339366758</v>
      </c>
      <c r="G117" s="16" t="n">
        <f aca="false">G116/G103</f>
        <v>0.607799993360746</v>
      </c>
    </row>
    <row r="118" customFormat="false" ht="15" hidden="false" customHeight="false" outlineLevel="0" collapsed="false">
      <c r="A118" s="5" t="s">
        <v>680</v>
      </c>
      <c r="B118" s="0" t="s">
        <v>241</v>
      </c>
      <c r="C118" s="19" t="n">
        <f aca="false">a25_int</f>
        <v>3.072</v>
      </c>
      <c r="D118" s="19" t="n">
        <f aca="false">a26_int</f>
        <v>2.894</v>
      </c>
      <c r="E118" s="19" t="n">
        <f aca="false">int_f</f>
        <v>2.8</v>
      </c>
      <c r="F118" s="19" t="n">
        <f aca="false">int_f</f>
        <v>2.8</v>
      </c>
      <c r="G118" s="19" t="n">
        <f aca="false">int_f</f>
        <v>2.8</v>
      </c>
    </row>
    <row r="119" customFormat="false" ht="15" hidden="false" customHeight="false" outlineLevel="0" collapsed="false">
      <c r="A119" s="5" t="s">
        <v>681</v>
      </c>
      <c r="B119" s="0" t="s">
        <v>241</v>
      </c>
      <c r="C119" s="19" t="n">
        <f aca="false">a25_oth</f>
        <v>0.294</v>
      </c>
      <c r="D119" s="19" t="n">
        <f aca="false">a26_oth</f>
        <v>0.434</v>
      </c>
      <c r="E119" s="19" t="n">
        <f aca="false">oth_f</f>
        <v>0.4</v>
      </c>
      <c r="F119" s="19" t="n">
        <f aca="false">oth_f</f>
        <v>0.4</v>
      </c>
      <c r="G119" s="19" t="n">
        <f aca="false">oth_f</f>
        <v>0.4</v>
      </c>
    </row>
    <row r="120" customFormat="false" ht="15" hidden="false" customHeight="false" outlineLevel="0" collapsed="false">
      <c r="A120" s="5" t="s">
        <v>543</v>
      </c>
      <c r="B120" s="0" t="s">
        <v>46</v>
      </c>
      <c r="C120" s="16" t="n">
        <f aca="false">a25_tax/(a25_oi-a25_int+a25_oth)</f>
        <v>0.140008669267447</v>
      </c>
      <c r="D120" s="16" t="n">
        <f aca="false">a26_tax/(a26_oi-a26_int+a26_oth)</f>
        <v>0.159996489020876</v>
      </c>
      <c r="E120" s="16" t="n">
        <f aca="false">tx_f</f>
        <v>0.16</v>
      </c>
      <c r="F120" s="16" t="n">
        <f aca="false">tx_f</f>
        <v>0.16</v>
      </c>
      <c r="G120" s="16" t="n">
        <f aca="false">tx_f</f>
        <v>0.16</v>
      </c>
    </row>
    <row r="121" customFormat="false" ht="17.15" hidden="false" customHeight="false" outlineLevel="0" collapsed="false">
      <c r="A121" s="5" t="s">
        <v>630</v>
      </c>
      <c r="B121" s="0" t="s">
        <v>241</v>
      </c>
      <c r="C121" s="22" t="n">
        <f aca="false">a25_ni</f>
        <v>33.728</v>
      </c>
      <c r="D121" s="22" t="n">
        <f aca="false">a26_ni</f>
        <v>57.42012</v>
      </c>
      <c r="E121" s="22" t="n">
        <f aca="false">(E116-E118+E119)*(1-E120)</f>
        <v>88.9209940992055</v>
      </c>
      <c r="F121" s="22" t="n">
        <f aca="false">(F116-F118+F119)*(1-F120)</f>
        <v>102.908540119168</v>
      </c>
      <c r="G121" s="22" t="n">
        <f aca="false">(G116-G118+G119)*(1-G120)</f>
        <v>116.93910846797</v>
      </c>
    </row>
    <row r="122" customFormat="false" ht="15" hidden="false" customHeight="false" outlineLevel="0" collapsed="false">
      <c r="A122" s="5" t="s">
        <v>682</v>
      </c>
      <c r="B122" s="5" t="s">
        <v>304</v>
      </c>
      <c r="C122" s="17" t="n">
        <f aca="false">a25_sh</f>
        <v>4.943</v>
      </c>
      <c r="D122" s="17" t="n">
        <f aca="false">a26_sh</f>
        <v>4.9435</v>
      </c>
      <c r="E122" s="17" t="n">
        <f aca="false">D122*(1+sh_g)</f>
        <v>4.9187825</v>
      </c>
      <c r="F122" s="17" t="n">
        <f aca="false">E122*(1+sh_g)</f>
        <v>4.8941885875</v>
      </c>
      <c r="G122" s="17" t="n">
        <f aca="false">F122*(1+sh_g)</f>
        <v>4.8697176445625</v>
      </c>
    </row>
    <row r="123" customFormat="false" ht="17.15" hidden="false" customHeight="false" outlineLevel="0" collapsed="false">
      <c r="A123" s="0" t="s">
        <v>631</v>
      </c>
      <c r="B123" s="0" t="s">
        <v>354</v>
      </c>
      <c r="C123" s="19" t="n">
        <f aca="false">C121/C122</f>
        <v>6.82338660732349</v>
      </c>
      <c r="D123" s="19" t="n">
        <f aca="false">D121/D122</f>
        <v>11.6152766258724</v>
      </c>
      <c r="E123" s="19" t="n">
        <f aca="false">E121/E122</f>
        <v>18.0778463164829</v>
      </c>
      <c r="F123" s="19" t="n">
        <f aca="false">F121/F122</f>
        <v>21.0266805782682</v>
      </c>
      <c r="G123" s="19" t="n">
        <f aca="false">G121/G122</f>
        <v>24.0135295315415</v>
      </c>
    </row>
    <row r="124" customFormat="false" ht="17.15" hidden="false" customHeight="false" outlineLevel="0" collapsed="false">
      <c r="A124" s="0" t="s">
        <v>683</v>
      </c>
      <c r="B124" s="0" t="s">
        <v>46</v>
      </c>
      <c r="D124" s="16" t="n">
        <f aca="false">D123/C123-1</f>
        <v>0.702274441463682</v>
      </c>
      <c r="E124" s="16" t="n">
        <f aca="false">E123/D123-1</f>
        <v>0.556385344815253</v>
      </c>
      <c r="F124" s="16" t="n">
        <f aca="false">F123/E123-1</f>
        <v>0.163118670784176</v>
      </c>
      <c r="G124" s="16" t="n">
        <f aca="false">G123/F123-1</f>
        <v>0.142050426939965</v>
      </c>
    </row>
    <row r="127" customFormat="false" ht="17.15" hidden="false" customHeight="false" outlineLevel="0" collapsed="false">
      <c r="A127" s="3" t="s">
        <v>684</v>
      </c>
    </row>
    <row r="128" customFormat="false" ht="17.15" hidden="false" customHeight="false" outlineLevel="0" collapsed="false">
      <c r="A128" s="6" t="s">
        <v>24</v>
      </c>
      <c r="B128" s="6" t="s">
        <v>25</v>
      </c>
      <c r="C128" s="13" t="s">
        <v>507</v>
      </c>
      <c r="D128" s="13" t="s">
        <v>621</v>
      </c>
      <c r="E128" s="13" t="s">
        <v>622</v>
      </c>
      <c r="F128" s="13" t="s">
        <v>623</v>
      </c>
      <c r="G128" s="13" t="s">
        <v>624</v>
      </c>
      <c r="H128" s="6" t="s">
        <v>480</v>
      </c>
    </row>
    <row r="129" customFormat="false" ht="17.15" hidden="false" customHeight="false" outlineLevel="0" collapsed="false">
      <c r="A129" s="1" t="s">
        <v>639</v>
      </c>
    </row>
    <row r="130" customFormat="false" ht="17.15" hidden="false" customHeight="false" outlineLevel="0" collapsed="false">
      <c r="A130" s="0" t="s">
        <v>640</v>
      </c>
      <c r="B130" s="5" t="s">
        <v>35</v>
      </c>
      <c r="D130" s="19" t="n">
        <f aca="false">u_tpu_26</f>
        <v>3.85</v>
      </c>
      <c r="E130" s="19" t="n">
        <f aca="false">u_tpu_27</f>
        <v>5.5</v>
      </c>
      <c r="F130" s="19" t="n">
        <f aca="false">u_tpu_28*um28_B</f>
        <v>5.6</v>
      </c>
      <c r="G130" s="19" t="n">
        <f aca="false">u_tpu_28*(1+g29_tpu)*um29_B</f>
        <v>6.8425</v>
      </c>
    </row>
    <row r="131" customFormat="false" ht="17.15" hidden="false" customHeight="false" outlineLevel="0" collapsed="false">
      <c r="A131" s="5" t="s">
        <v>641</v>
      </c>
      <c r="B131" s="5" t="s">
        <v>35</v>
      </c>
      <c r="D131" s="19" t="n">
        <f aca="false">u_oth_26</f>
        <v>1</v>
      </c>
      <c r="E131" s="19" t="n">
        <f aca="false">u_oth_27</f>
        <v>4.5</v>
      </c>
      <c r="F131" s="19" t="n">
        <f aca="false">u_oth_28*um28_B</f>
        <v>4</v>
      </c>
      <c r="G131" s="19" t="n">
        <f aca="false">u_oth_28*(1+g29_oth)*um29_B</f>
        <v>4.8875</v>
      </c>
    </row>
    <row r="132" customFormat="false" ht="17.15" hidden="false" customHeight="false" outlineLevel="0" collapsed="false">
      <c r="A132" s="0" t="s">
        <v>566</v>
      </c>
      <c r="B132" s="0" t="s">
        <v>46</v>
      </c>
      <c r="D132" s="16" t="n">
        <f aca="false">sh_tpu_26</f>
        <v>0.9</v>
      </c>
      <c r="E132" s="16" t="n">
        <f aca="false">MIN(1,MAX(0,sh_tpu_27+0))</f>
        <v>0.8</v>
      </c>
      <c r="F132" s="16" t="n">
        <f aca="false">MIN(1,MAX(0,sh_tpu_28+0))</f>
        <v>0.75</v>
      </c>
      <c r="G132" s="16" t="n">
        <f aca="false">MIN(1,MAX(0,sh_tpu_28+0))</f>
        <v>0.75</v>
      </c>
    </row>
    <row r="133" customFormat="false" ht="17.15" hidden="false" customHeight="false" outlineLevel="0" collapsed="false">
      <c r="A133" s="0" t="s">
        <v>578</v>
      </c>
      <c r="B133" s="0" t="s">
        <v>46</v>
      </c>
      <c r="D133" s="16" t="n">
        <f aca="false">sh_oth_26</f>
        <v>0.35</v>
      </c>
      <c r="E133" s="16" t="n">
        <f aca="false">MIN(1,MAX(0,sh_oth_27+0))</f>
        <v>0.55</v>
      </c>
      <c r="F133" s="16" t="n">
        <f aca="false">MIN(1,MAX(0,sh_oth_28+0))</f>
        <v>0.55</v>
      </c>
      <c r="G133" s="16" t="n">
        <f aca="false">MIN(1,MAX(0,sh_oth_28+0))</f>
        <v>0.55</v>
      </c>
    </row>
    <row r="134" customFormat="false" ht="17.15" hidden="false" customHeight="false" outlineLevel="0" collapsed="false">
      <c r="A134" s="0" t="s">
        <v>568</v>
      </c>
      <c r="B134" s="5" t="s">
        <v>35</v>
      </c>
      <c r="D134" s="19" t="n">
        <f aca="false">D130*D132</f>
        <v>3.465</v>
      </c>
      <c r="E134" s="19" t="n">
        <f aca="false">E130*E132*1</f>
        <v>4.4</v>
      </c>
      <c r="F134" s="19" t="n">
        <f aca="false">F130*F132*1</f>
        <v>4.2</v>
      </c>
      <c r="G134" s="19" t="n">
        <f aca="false">G130*G132*1</f>
        <v>5.131875</v>
      </c>
    </row>
    <row r="135" customFormat="false" ht="17.15" hidden="false" customHeight="false" outlineLevel="0" collapsed="false">
      <c r="A135" s="0" t="s">
        <v>579</v>
      </c>
      <c r="B135" s="5" t="s">
        <v>35</v>
      </c>
      <c r="D135" s="19" t="n">
        <f aca="false">D131*D133</f>
        <v>0.35</v>
      </c>
      <c r="E135" s="19" t="n">
        <f aca="false">E131*E133*1</f>
        <v>2.475</v>
      </c>
      <c r="F135" s="19" t="n">
        <f aca="false">F131*F133*1</f>
        <v>2.2</v>
      </c>
      <c r="G135" s="19" t="n">
        <f aca="false">G131*G133*1</f>
        <v>2.688125</v>
      </c>
    </row>
    <row r="136" customFormat="false" ht="17.15" hidden="false" customHeight="false" outlineLevel="0" collapsed="false">
      <c r="A136" s="5" t="s">
        <v>570</v>
      </c>
      <c r="B136" s="0" t="s">
        <v>151</v>
      </c>
      <c r="D136" s="20" t="n">
        <f aca="false">gb_tpu_26</f>
        <v>192</v>
      </c>
      <c r="E136" s="20" t="n">
        <f aca="false">gb_tpu_27</f>
        <v>250</v>
      </c>
      <c r="F136" s="20" t="n">
        <f aca="false">gb_tpu_28</f>
        <v>288</v>
      </c>
      <c r="G136" s="20" t="n">
        <f aca="false">gb_tpu_28</f>
        <v>288</v>
      </c>
    </row>
    <row r="137" customFormat="false" ht="17.15" hidden="false" customHeight="false" outlineLevel="0" collapsed="false">
      <c r="A137" s="5" t="s">
        <v>580</v>
      </c>
      <c r="B137" s="0" t="s">
        <v>151</v>
      </c>
      <c r="D137" s="20" t="n">
        <f aca="false">gb_oth_26</f>
        <v>150</v>
      </c>
      <c r="E137" s="20" t="n">
        <f aca="false">gb_oth_27</f>
        <v>200</v>
      </c>
      <c r="F137" s="20" t="n">
        <f aca="false">gb_oth_28</f>
        <v>250</v>
      </c>
      <c r="G137" s="20" t="n">
        <f aca="false">gb_oth_28</f>
        <v>250</v>
      </c>
    </row>
    <row r="138" customFormat="false" ht="17.15" hidden="false" customHeight="false" outlineLevel="0" collapsed="false">
      <c r="A138" s="0" t="s">
        <v>642</v>
      </c>
      <c r="B138" s="0" t="s">
        <v>210</v>
      </c>
      <c r="D138" s="19" t="n">
        <f aca="false">hbm_B_26</f>
        <v>14.6</v>
      </c>
      <c r="E138" s="19" t="n">
        <f aca="false">hbm_B_27</f>
        <v>26.28</v>
      </c>
      <c r="F138" s="19" t="n">
        <f aca="false">hbm_B_28</f>
        <v>19.71</v>
      </c>
      <c r="G138" s="19" t="n">
        <f aca="false">hbm_B_29</f>
        <v>19.71</v>
      </c>
    </row>
    <row r="139" customFormat="false" ht="17.15" hidden="false" customHeight="false" outlineLevel="0" collapsed="false">
      <c r="A139" s="5" t="s">
        <v>643</v>
      </c>
      <c r="B139" s="0" t="s">
        <v>188</v>
      </c>
      <c r="D139" s="19" t="n">
        <f aca="false">core_tpu</f>
        <v>8</v>
      </c>
      <c r="E139" s="19" t="n">
        <f aca="false">core_tpu*1</f>
        <v>8</v>
      </c>
      <c r="F139" s="19" t="n">
        <f aca="false">core_tpu*1</f>
        <v>8</v>
      </c>
      <c r="G139" s="19" t="n">
        <f aca="false">core_tpu*1</f>
        <v>8</v>
      </c>
    </row>
    <row r="140" customFormat="false" ht="17.15" hidden="false" customHeight="false" outlineLevel="0" collapsed="false">
      <c r="A140" s="5" t="s">
        <v>644</v>
      </c>
      <c r="B140" s="0" t="s">
        <v>188</v>
      </c>
      <c r="D140" s="19" t="n">
        <f aca="false">core_oth</f>
        <v>6</v>
      </c>
      <c r="E140" s="19" t="n">
        <f aca="false">core_oth*1</f>
        <v>6</v>
      </c>
      <c r="F140" s="19" t="n">
        <f aca="false">core_oth*1</f>
        <v>6</v>
      </c>
      <c r="G140" s="19" t="n">
        <f aca="false">core_oth*1</f>
        <v>6</v>
      </c>
    </row>
    <row r="141" customFormat="false" ht="17.15" hidden="false" customHeight="false" outlineLevel="0" collapsed="false">
      <c r="A141" s="5" t="s">
        <v>645</v>
      </c>
      <c r="B141" s="0" t="s">
        <v>188</v>
      </c>
      <c r="D141" s="19" t="n">
        <f aca="false">D136*D138/1000</f>
        <v>2.8032</v>
      </c>
      <c r="E141" s="19" t="n">
        <f aca="false">E136*E138/1000</f>
        <v>6.57</v>
      </c>
      <c r="F141" s="19" t="n">
        <f aca="false">F136*F138/1000</f>
        <v>5.67648</v>
      </c>
      <c r="G141" s="19" t="n">
        <f aca="false">G136*G138/1000</f>
        <v>5.67648</v>
      </c>
    </row>
    <row r="142" customFormat="false" ht="17.15" hidden="false" customHeight="false" outlineLevel="0" collapsed="false">
      <c r="A142" s="5" t="s">
        <v>646</v>
      </c>
      <c r="B142" s="0" t="s">
        <v>188</v>
      </c>
      <c r="D142" s="19" t="n">
        <f aca="false">D137*D138/1000</f>
        <v>2.19</v>
      </c>
      <c r="E142" s="19" t="n">
        <f aca="false">E137*E138/1000</f>
        <v>5.256</v>
      </c>
      <c r="F142" s="19" t="n">
        <f aca="false">F137*F138/1000</f>
        <v>4.9275</v>
      </c>
      <c r="G142" s="19" t="n">
        <f aca="false">G137*G138/1000</f>
        <v>4.9275</v>
      </c>
    </row>
    <row r="143" customFormat="false" ht="17.15" hidden="false" customHeight="false" outlineLevel="0" collapsed="false">
      <c r="A143" s="5" t="s">
        <v>647</v>
      </c>
      <c r="B143" s="0" t="s">
        <v>188</v>
      </c>
      <c r="D143" s="19" t="n">
        <f aca="false">D139+f_hbm*D141</f>
        <v>9.68192</v>
      </c>
      <c r="E143" s="19" t="n">
        <f aca="false">E139+f_hbm*E141</f>
        <v>11.942</v>
      </c>
      <c r="F143" s="19" t="n">
        <f aca="false">F139+f_hbm*F141</f>
        <v>11.405888</v>
      </c>
      <c r="G143" s="19" t="n">
        <f aca="false">G139+f_hbm*G141</f>
        <v>11.405888</v>
      </c>
      <c r="H143" s="5" t="s">
        <v>648</v>
      </c>
    </row>
    <row r="144" customFormat="false" ht="17.15" hidden="false" customHeight="false" outlineLevel="0" collapsed="false">
      <c r="A144" s="5" t="s">
        <v>649</v>
      </c>
      <c r="B144" s="0" t="s">
        <v>188</v>
      </c>
      <c r="D144" s="19" t="n">
        <f aca="false">D140+f_hbm*D142</f>
        <v>7.314</v>
      </c>
      <c r="E144" s="19" t="n">
        <f aca="false">E140+f_hbm*E142</f>
        <v>9.1536</v>
      </c>
      <c r="F144" s="19" t="n">
        <f aca="false">F140+f_hbm*F142</f>
        <v>8.9565</v>
      </c>
      <c r="G144" s="19" t="n">
        <f aca="false">G140+f_hbm*G142</f>
        <v>8.9565</v>
      </c>
    </row>
    <row r="145" customFormat="false" ht="17.15" hidden="false" customHeight="false" outlineLevel="0" collapsed="false">
      <c r="A145" s="0" t="s">
        <v>650</v>
      </c>
      <c r="B145" s="0" t="s">
        <v>241</v>
      </c>
      <c r="D145" s="22" t="n">
        <f aca="false">D134*D143+D135*D144</f>
        <v>36.1077528</v>
      </c>
      <c r="E145" s="22" t="n">
        <f aca="false">E134*E143+E135*E144</f>
        <v>75.19996</v>
      </c>
      <c r="F145" s="22" t="n">
        <f aca="false">F134*F143+F135*F144</f>
        <v>67.6090296</v>
      </c>
      <c r="G145" s="22" t="n">
        <f aca="false">G134*G143+G135*G144</f>
        <v>82.6097830425</v>
      </c>
    </row>
    <row r="146" customFormat="false" ht="17.15" hidden="false" customHeight="false" outlineLevel="0" collapsed="false">
      <c r="A146" s="0" t="s">
        <v>651</v>
      </c>
      <c r="B146" s="0" t="s">
        <v>131</v>
      </c>
      <c r="D146" s="17" t="n">
        <f aca="false">a26_xpu/D145</f>
        <v>1.10779533197646</v>
      </c>
      <c r="H146" s="8" t="s">
        <v>652</v>
      </c>
    </row>
    <row r="147" customFormat="false" ht="17.15" hidden="false" customHeight="false" outlineLevel="0" collapsed="false">
      <c r="A147" s="0" t="s">
        <v>653</v>
      </c>
      <c r="B147" s="0" t="s">
        <v>241</v>
      </c>
      <c r="D147" s="22" t="n">
        <f aca="false">D145*$D$146</f>
        <v>40</v>
      </c>
      <c r="E147" s="22" t="n">
        <f aca="false">E145*$D$146</f>
        <v>83.3061646528166</v>
      </c>
      <c r="F147" s="22" t="n">
        <f aca="false">F145*$D$146</f>
        <v>74.8969673903384</v>
      </c>
      <c r="G147" s="22" t="n">
        <f aca="false">G145*$D$146</f>
        <v>91.5147320300697</v>
      </c>
    </row>
    <row r="148" customFormat="false" ht="17.15" hidden="false" customHeight="false" outlineLevel="0" collapsed="false">
      <c r="A148" s="5" t="s">
        <v>654</v>
      </c>
      <c r="B148" s="0" t="s">
        <v>241</v>
      </c>
      <c r="D148" s="22" t="n">
        <f aca="false">$D$146*f_hbm*(D134*D141+D135*D142)</f>
        <v>6.96554320046192</v>
      </c>
      <c r="E148" s="22" t="n">
        <f aca="false">$D$146*f_hbm*(E134*E141+E135*E142)</f>
        <v>27.8610082873947</v>
      </c>
      <c r="F148" s="22" t="n">
        <f aca="false">$D$146*f_hbm*(F134*F141+F135*F142)</f>
        <v>23.05214585384</v>
      </c>
      <c r="G148" s="22" t="n">
        <f aca="false">$D$146*f_hbm*(G134*G141+G135*G142)</f>
        <v>28.1668407151608</v>
      </c>
    </row>
    <row r="149" customFormat="false" ht="15" hidden="false" customHeight="false" outlineLevel="0" collapsed="false">
      <c r="A149" s="5" t="s">
        <v>655</v>
      </c>
      <c r="B149" s="0" t="s">
        <v>241</v>
      </c>
      <c r="D149" s="22" t="n">
        <f aca="false">D147-D148</f>
        <v>33.0344567995381</v>
      </c>
      <c r="E149" s="22" t="n">
        <f aca="false">E147-E148</f>
        <v>55.4451563654219</v>
      </c>
      <c r="F149" s="22" t="n">
        <f aca="false">F147-F148</f>
        <v>51.8448215364984</v>
      </c>
      <c r="G149" s="22" t="n">
        <f aca="false">G147-G148</f>
        <v>63.347891314909</v>
      </c>
    </row>
    <row r="150" customFormat="false" ht="17.15" hidden="false" customHeight="false" outlineLevel="0" collapsed="false">
      <c r="A150" s="0" t="s">
        <v>656</v>
      </c>
      <c r="B150" s="5" t="s">
        <v>35</v>
      </c>
      <c r="D150" s="19" t="n">
        <f aca="false">D134+D135</f>
        <v>3.815</v>
      </c>
      <c r="E150" s="19" t="n">
        <f aca="false">E134+E135</f>
        <v>6.875</v>
      </c>
      <c r="F150" s="19" t="n">
        <f aca="false">F134+F135</f>
        <v>6.4</v>
      </c>
      <c r="G150" s="19" t="n">
        <f aca="false">G134+G135</f>
        <v>7.82</v>
      </c>
    </row>
    <row r="151" customFormat="false" ht="17.15" hidden="false" customHeight="false" outlineLevel="0" collapsed="false">
      <c r="A151" s="1" t="s">
        <v>657</v>
      </c>
    </row>
    <row r="152" customFormat="false" ht="17.15" hidden="false" customHeight="false" outlineLevel="0" collapsed="false">
      <c r="A152" s="0" t="s">
        <v>658</v>
      </c>
      <c r="B152" s="0" t="s">
        <v>241</v>
      </c>
      <c r="D152" s="22" t="n">
        <f aca="false">net_26*1</f>
        <v>12.6075726</v>
      </c>
      <c r="E152" s="22" t="n">
        <f aca="false">net_27*1*1</f>
        <v>26.959549</v>
      </c>
      <c r="F152" s="22" t="n">
        <f aca="false">net_28*um28_B*1</f>
        <v>25.6759376</v>
      </c>
      <c r="G152" s="22" t="n">
        <f aca="false">net_29*um29_B*1</f>
        <v>32.157894365</v>
      </c>
    </row>
    <row r="153" customFormat="false" ht="17.15" hidden="false" customHeight="false" outlineLevel="0" collapsed="false">
      <c r="A153" s="5" t="s">
        <v>659</v>
      </c>
      <c r="B153" s="0" t="s">
        <v>131</v>
      </c>
      <c r="D153" s="17" t="n">
        <f aca="false">a26_net/D152</f>
        <v>1.39598640899359</v>
      </c>
      <c r="H153" s="8" t="s">
        <v>660</v>
      </c>
    </row>
    <row r="154" customFormat="false" ht="17.15" hidden="false" customHeight="false" outlineLevel="0" collapsed="false">
      <c r="A154" s="0" t="s">
        <v>661</v>
      </c>
      <c r="B154" s="0" t="s">
        <v>241</v>
      </c>
      <c r="D154" s="22" t="n">
        <f aca="false">D152*$D$153</f>
        <v>17.6</v>
      </c>
      <c r="E154" s="22" t="n">
        <f aca="false">E152*$D$153</f>
        <v>37.6351639965968</v>
      </c>
      <c r="F154" s="22" t="n">
        <f aca="false">F152*$D$153</f>
        <v>35.8432599277675</v>
      </c>
      <c r="G154" s="22" t="n">
        <f aca="false">G152*$D$153</f>
        <v>44.8919834753916</v>
      </c>
    </row>
    <row r="155" customFormat="false" ht="17.15" hidden="false" customHeight="false" outlineLevel="0" collapsed="false">
      <c r="A155" s="0" t="s">
        <v>522</v>
      </c>
      <c r="B155" s="0" t="s">
        <v>241</v>
      </c>
      <c r="C155" s="22" t="n">
        <f aca="false">a25_ai</f>
        <v>20.2797202797203</v>
      </c>
      <c r="D155" s="22" t="n">
        <f aca="false">D147+D154</f>
        <v>57.6</v>
      </c>
      <c r="E155" s="22" t="n">
        <f aca="false">E147+E154</f>
        <v>120.941328649413</v>
      </c>
      <c r="F155" s="22" t="n">
        <f aca="false">F147+F154</f>
        <v>110.740227318106</v>
      </c>
      <c r="G155" s="22" t="n">
        <f aca="false">G147+G154</f>
        <v>136.406715505461</v>
      </c>
    </row>
    <row r="156" customFormat="false" ht="15" hidden="false" customHeight="false" outlineLevel="0" collapsed="false">
      <c r="A156" s="0" t="s">
        <v>662</v>
      </c>
      <c r="B156" s="0" t="s">
        <v>46</v>
      </c>
      <c r="D156" s="16" t="n">
        <f aca="false">D147/D155</f>
        <v>0.694444444444444</v>
      </c>
      <c r="E156" s="16" t="n">
        <f aca="false">E147/E155</f>
        <v>0.688814697036328</v>
      </c>
      <c r="F156" s="16" t="n">
        <f aca="false">F147/F155</f>
        <v>0.67633026592219</v>
      </c>
      <c r="G156" s="16" t="n">
        <f aca="false">G147/G155</f>
        <v>0.670896089616686</v>
      </c>
    </row>
    <row r="157" customFormat="false" ht="17.15" hidden="false" customHeight="false" outlineLevel="0" collapsed="false">
      <c r="A157" s="5" t="s">
        <v>663</v>
      </c>
      <c r="B157" s="0" t="s">
        <v>241</v>
      </c>
      <c r="C157" s="22" t="n">
        <f aca="false">a25_nai</f>
        <v>16.5782797202797</v>
      </c>
      <c r="D157" s="22" t="n">
        <f aca="false">a26_nai</f>
        <v>16.863</v>
      </c>
      <c r="E157" s="22" t="n">
        <f aca="false">D157*(1+g_nai)</f>
        <v>17.36889</v>
      </c>
      <c r="F157" s="22" t="n">
        <f aca="false">E157*(1+g_nai)</f>
        <v>17.8899567</v>
      </c>
      <c r="G157" s="22" t="n">
        <f aca="false">F157*(1+g_nai)</f>
        <v>18.426655401</v>
      </c>
    </row>
    <row r="158" customFormat="false" ht="15" hidden="false" customHeight="false" outlineLevel="0" collapsed="false">
      <c r="A158" s="5" t="s">
        <v>664</v>
      </c>
      <c r="B158" s="0" t="s">
        <v>241</v>
      </c>
      <c r="C158" s="22" t="n">
        <f aca="false">a25_sw</f>
        <v>27.029</v>
      </c>
      <c r="D158" s="22" t="n">
        <f aca="false">a26_sw</f>
        <v>31.426</v>
      </c>
      <c r="E158" s="22" t="n">
        <f aca="false">D158*(1+g_sw27)</f>
        <v>35.19712</v>
      </c>
      <c r="F158" s="22" t="n">
        <f aca="false">E158*(1+g_sw)</f>
        <v>38.0128896</v>
      </c>
      <c r="G158" s="22" t="n">
        <f aca="false">F158*(1+g_sw)</f>
        <v>41.053920768</v>
      </c>
    </row>
    <row r="159" customFormat="false" ht="17.15" hidden="false" customHeight="false" outlineLevel="0" collapsed="false">
      <c r="A159" s="1" t="s">
        <v>665</v>
      </c>
    </row>
    <row r="160" customFormat="false" ht="15" hidden="false" customHeight="false" outlineLevel="0" collapsed="false">
      <c r="A160" s="5" t="s">
        <v>514</v>
      </c>
      <c r="B160" s="0" t="s">
        <v>241</v>
      </c>
      <c r="C160" s="22" t="n">
        <f aca="false">a25_rev</f>
        <v>63.887</v>
      </c>
      <c r="D160" s="22" t="n">
        <f aca="false">a26_rev</f>
        <v>105.889</v>
      </c>
      <c r="E160" s="22" t="n">
        <f aca="false">E155+E157+E158</f>
        <v>173.507338649413</v>
      </c>
      <c r="F160" s="22" t="n">
        <f aca="false">F155+F157+F158</f>
        <v>166.643073618106</v>
      </c>
      <c r="G160" s="22" t="n">
        <f aca="false">G155+G157+G158</f>
        <v>195.887291674461</v>
      </c>
    </row>
    <row r="161" customFormat="false" ht="17.15" hidden="false" customHeight="false" outlineLevel="0" collapsed="false">
      <c r="A161" s="5" t="s">
        <v>666</v>
      </c>
      <c r="B161" s="0" t="s">
        <v>241</v>
      </c>
      <c r="D161" s="22" t="n">
        <f aca="false">D155+D157+D158</f>
        <v>105.889</v>
      </c>
      <c r="E161" s="22" t="n">
        <f aca="false">E155+E157+E158</f>
        <v>173.507338649413</v>
      </c>
      <c r="F161" s="22" t="n">
        <f aca="false">F155+F157+F158</f>
        <v>166.643073618106</v>
      </c>
      <c r="G161" s="22" t="n">
        <f aca="false">G155+G157+G158</f>
        <v>195.887291674461</v>
      </c>
    </row>
    <row r="162" customFormat="false" ht="17.15" hidden="false" customHeight="false" outlineLevel="0" collapsed="false">
      <c r="A162" s="5" t="s">
        <v>667</v>
      </c>
      <c r="B162" s="0" t="s">
        <v>241</v>
      </c>
      <c r="C162" s="22" t="n">
        <f aca="false">C155+C157</f>
        <v>36.858</v>
      </c>
      <c r="D162" s="22" t="n">
        <f aca="false">D155+D157</f>
        <v>74.463</v>
      </c>
      <c r="E162" s="22" t="n">
        <f aca="false">E155+E157</f>
        <v>138.310218649413</v>
      </c>
      <c r="F162" s="22" t="n">
        <f aca="false">F155+F157</f>
        <v>128.630184018106</v>
      </c>
      <c r="G162" s="22" t="n">
        <f aca="false">G155+G157</f>
        <v>154.833370906461</v>
      </c>
      <c r="H162" s="5" t="s">
        <v>668</v>
      </c>
    </row>
    <row r="163" customFormat="false" ht="17.15" hidden="false" customHeight="false" outlineLevel="0" collapsed="false">
      <c r="A163" s="5" t="s">
        <v>669</v>
      </c>
      <c r="B163" s="0" t="s">
        <v>241</v>
      </c>
      <c r="C163" s="17" t="n">
        <f aca="false">C162+C158-C160</f>
        <v>0</v>
      </c>
      <c r="D163" s="17" t="n">
        <f aca="false">D162+D158-D160</f>
        <v>0</v>
      </c>
      <c r="E163" s="17" t="n">
        <f aca="false">E162+E158-E160</f>
        <v>0</v>
      </c>
      <c r="F163" s="17" t="n">
        <f aca="false">F162+F158-F160</f>
        <v>0</v>
      </c>
      <c r="G163" s="17" t="n">
        <f aca="false">G162+G158-G160</f>
        <v>0</v>
      </c>
    </row>
    <row r="164" customFormat="false" ht="15" hidden="false" customHeight="false" outlineLevel="0" collapsed="false">
      <c r="A164" s="5" t="s">
        <v>670</v>
      </c>
      <c r="B164" s="0" t="s">
        <v>46</v>
      </c>
      <c r="D164" s="16" t="n">
        <f aca="false">D160/C160-1</f>
        <v>0.657442046112668</v>
      </c>
      <c r="E164" s="16" t="n">
        <f aca="false">E160/D160-1</f>
        <v>0.638577554320216</v>
      </c>
      <c r="F164" s="16" t="n">
        <f aca="false">F160/E160-1</f>
        <v>-0.0395618138387638</v>
      </c>
      <c r="G164" s="16" t="n">
        <f aca="false">G160/F160-1</f>
        <v>0.175490150423978</v>
      </c>
    </row>
    <row r="165" customFormat="false" ht="17.15" hidden="false" customHeight="false" outlineLevel="0" collapsed="false">
      <c r="A165" s="0" t="s">
        <v>671</v>
      </c>
      <c r="B165" s="0" t="s">
        <v>46</v>
      </c>
      <c r="C165" s="16" t="n">
        <f aca="false">C155/C160</f>
        <v>0.317431093645347</v>
      </c>
      <c r="D165" s="16" t="n">
        <f aca="false">D155/D160</f>
        <v>0.543965851032685</v>
      </c>
      <c r="E165" s="16" t="n">
        <f aca="false">E155/E160</f>
        <v>0.697038693526306</v>
      </c>
      <c r="F165" s="16" t="n">
        <f aca="false">F155/F160</f>
        <v>0.664535434409282</v>
      </c>
      <c r="G165" s="16" t="n">
        <f aca="false">G155/G160</f>
        <v>0.696353062720124</v>
      </c>
    </row>
    <row r="166" customFormat="false" ht="17.15" hidden="false" customHeight="false" outlineLevel="0" collapsed="false">
      <c r="A166" s="5" t="s">
        <v>672</v>
      </c>
      <c r="B166" s="0" t="s">
        <v>241</v>
      </c>
      <c r="D166" s="22" t="n">
        <f aca="false">gm_net*D154+gm_nai*D157+gm_sw*D158+m_hbm*D148</f>
        <v>53.5556843200462</v>
      </c>
      <c r="E166" s="22" t="n">
        <f aca="false">gm_net*E154+gm_nai*E157+gm_sw*E158+m_hbm*E148</f>
        <v>73.9065190062892</v>
      </c>
      <c r="F166" s="22" t="n">
        <f aca="false">gm_net*F154+gm_nai*F157+gm_sw*F158+m_hbm*F148</f>
        <v>75.0928209163766</v>
      </c>
      <c r="G166" s="22" t="n">
        <f aca="false">gm_net*G154+gm_nai*G157+gm_sw*G158+m_hbm*G148</f>
        <v>85.296384498688</v>
      </c>
    </row>
    <row r="167" customFormat="false" ht="17.15" hidden="false" customHeight="false" outlineLevel="0" collapsed="false">
      <c r="A167" s="0" t="s">
        <v>673</v>
      </c>
      <c r="B167" s="0" t="s">
        <v>131</v>
      </c>
      <c r="D167" s="17" t="n">
        <f aca="false">(a26_gp-D166)/D149</f>
        <v>0.787550884757324</v>
      </c>
      <c r="H167" s="8" t="s">
        <v>674</v>
      </c>
    </row>
    <row r="168" customFormat="false" ht="15" hidden="false" customHeight="false" outlineLevel="0" collapsed="false">
      <c r="A168" s="5" t="s">
        <v>675</v>
      </c>
      <c r="B168" s="0" t="s">
        <v>241</v>
      </c>
      <c r="C168" s="22" t="n">
        <f aca="false">a25_gp</f>
        <v>50.245</v>
      </c>
      <c r="D168" s="22" t="n">
        <f aca="false">a26_gp</f>
        <v>79.572</v>
      </c>
      <c r="E168" s="22" t="n">
        <f aca="false">E166+$D$167*E149</f>
        <v>117.572400957385</v>
      </c>
      <c r="F168" s="22" t="n">
        <f aca="false">F166+$D$167*F149</f>
        <v>115.923255987532</v>
      </c>
      <c r="G168" s="22" t="n">
        <f aca="false">G166+$D$167*G149</f>
        <v>135.186072351255</v>
      </c>
    </row>
    <row r="169" customFormat="false" ht="15" hidden="false" customHeight="false" outlineLevel="0" collapsed="false">
      <c r="A169" s="5" t="s">
        <v>533</v>
      </c>
      <c r="B169" s="0" t="s">
        <v>46</v>
      </c>
      <c r="C169" s="16" t="n">
        <f aca="false">C168/C160</f>
        <v>0.786466730320723</v>
      </c>
      <c r="D169" s="16" t="n">
        <f aca="false">D168/D160</f>
        <v>0.751466157957862</v>
      </c>
      <c r="E169" s="16" t="n">
        <f aca="false">E168/E160</f>
        <v>0.677622064130386</v>
      </c>
      <c r="F169" s="16" t="n">
        <f aca="false">F168/F160</f>
        <v>0.695638009253187</v>
      </c>
      <c r="G169" s="16" t="n">
        <f aca="false">G168/G160</f>
        <v>0.690121708231674</v>
      </c>
    </row>
    <row r="170" customFormat="false" ht="17.15" hidden="false" customHeight="false" outlineLevel="0" collapsed="false">
      <c r="A170" s="5" t="s">
        <v>676</v>
      </c>
      <c r="B170" s="0" t="s">
        <v>46</v>
      </c>
      <c r="D170" s="16" t="n">
        <f aca="false">D148/D160</f>
        <v>0.0657815561622258</v>
      </c>
      <c r="E170" s="16" t="n">
        <f aca="false">E148/E160</f>
        <v>0.160575388362623</v>
      </c>
      <c r="F170" s="16" t="n">
        <f aca="false">F148/F160</f>
        <v>0.138332457229326</v>
      </c>
      <c r="G170" s="16" t="n">
        <f aca="false">G148/G160</f>
        <v>0.143791056961318</v>
      </c>
    </row>
    <row r="171" customFormat="false" ht="15" hidden="false" customHeight="false" outlineLevel="0" collapsed="false">
      <c r="A171" s="5" t="s">
        <v>677</v>
      </c>
      <c r="B171" s="0" t="s">
        <v>241</v>
      </c>
      <c r="C171" s="24" t="n">
        <f aca="false">a25_opx</f>
        <v>8.248</v>
      </c>
      <c r="D171" s="24" t="n">
        <f aca="false">a26_opx</f>
        <v>8.755</v>
      </c>
      <c r="E171" s="24" t="n">
        <f aca="false">D171*(1+MAX(g_opx_min,phi*E164))</f>
        <v>9.31407464880735</v>
      </c>
      <c r="F171" s="24" t="n">
        <f aca="false">E171*(1+MAX(g_opx_min,phi*F164))</f>
        <v>9.59349688827157</v>
      </c>
      <c r="G171" s="24" t="n">
        <f aca="false">F171*(1+MAX(g_opx_min,phi*G164))</f>
        <v>9.88130179491972</v>
      </c>
    </row>
    <row r="172" customFormat="false" ht="15" hidden="false" customHeight="false" outlineLevel="0" collapsed="false">
      <c r="A172" s="5" t="s">
        <v>678</v>
      </c>
      <c r="B172" s="0" t="s">
        <v>241</v>
      </c>
      <c r="C172" s="24" t="n">
        <f aca="false">C171</f>
        <v>8.248</v>
      </c>
      <c r="D172" s="24" t="n">
        <f aca="false">D171</f>
        <v>8.755</v>
      </c>
      <c r="E172" s="24" t="n">
        <f aca="false">E171+0*E160</f>
        <v>9.31407464880735</v>
      </c>
      <c r="F172" s="24" t="n">
        <f aca="false">F171+0*F160</f>
        <v>9.59349688827157</v>
      </c>
      <c r="G172" s="24" t="n">
        <f aca="false">G171+0*G160</f>
        <v>9.88130179491972</v>
      </c>
    </row>
    <row r="173" customFormat="false" ht="15" hidden="false" customHeight="false" outlineLevel="0" collapsed="false">
      <c r="A173" s="5" t="s">
        <v>679</v>
      </c>
      <c r="B173" s="0" t="s">
        <v>241</v>
      </c>
      <c r="C173" s="22" t="n">
        <f aca="false">C168-C172</f>
        <v>41.997</v>
      </c>
      <c r="D173" s="22" t="n">
        <f aca="false">D168-D172</f>
        <v>70.817</v>
      </c>
      <c r="E173" s="22" t="n">
        <f aca="false">E168-E172</f>
        <v>108.258326308578</v>
      </c>
      <c r="F173" s="22" t="n">
        <f aca="false">F168-F172</f>
        <v>106.32975909926</v>
      </c>
      <c r="G173" s="22" t="n">
        <f aca="false">G168-G172</f>
        <v>125.304770556336</v>
      </c>
    </row>
    <row r="174" customFormat="false" ht="15" hidden="false" customHeight="false" outlineLevel="0" collapsed="false">
      <c r="A174" s="5" t="s">
        <v>538</v>
      </c>
      <c r="B174" s="0" t="s">
        <v>46</v>
      </c>
      <c r="C174" s="16" t="n">
        <f aca="false">C173/C160</f>
        <v>0.657363782929235</v>
      </c>
      <c r="D174" s="16" t="n">
        <f aca="false">D173/D160</f>
        <v>0.66878523737121</v>
      </c>
      <c r="E174" s="16" t="n">
        <f aca="false">E173/E160</f>
        <v>0.623940907348728</v>
      </c>
      <c r="F174" s="16" t="n">
        <f aca="false">F173/F160</f>
        <v>0.638068878535778</v>
      </c>
      <c r="G174" s="16" t="n">
        <f aca="false">G173/G160</f>
        <v>0.639677895820703</v>
      </c>
    </row>
    <row r="175" customFormat="false" ht="15" hidden="false" customHeight="false" outlineLevel="0" collapsed="false">
      <c r="A175" s="5" t="s">
        <v>680</v>
      </c>
      <c r="B175" s="0" t="s">
        <v>241</v>
      </c>
      <c r="C175" s="19" t="n">
        <f aca="false">a25_int</f>
        <v>3.072</v>
      </c>
      <c r="D175" s="19" t="n">
        <f aca="false">a26_int</f>
        <v>2.894</v>
      </c>
      <c r="E175" s="19" t="n">
        <f aca="false">int_f</f>
        <v>2.8</v>
      </c>
      <c r="F175" s="19" t="n">
        <f aca="false">int_f</f>
        <v>2.8</v>
      </c>
      <c r="G175" s="19" t="n">
        <f aca="false">int_f</f>
        <v>2.8</v>
      </c>
    </row>
    <row r="176" customFormat="false" ht="15" hidden="false" customHeight="false" outlineLevel="0" collapsed="false">
      <c r="A176" s="5" t="s">
        <v>681</v>
      </c>
      <c r="B176" s="0" t="s">
        <v>241</v>
      </c>
      <c r="C176" s="19" t="n">
        <f aca="false">a25_oth</f>
        <v>0.294</v>
      </c>
      <c r="D176" s="19" t="n">
        <f aca="false">a26_oth</f>
        <v>0.434</v>
      </c>
      <c r="E176" s="19" t="n">
        <f aca="false">oth_f</f>
        <v>0.4</v>
      </c>
      <c r="F176" s="19" t="n">
        <f aca="false">oth_f</f>
        <v>0.4</v>
      </c>
      <c r="G176" s="19" t="n">
        <f aca="false">oth_f</f>
        <v>0.4</v>
      </c>
    </row>
    <row r="177" customFormat="false" ht="15" hidden="false" customHeight="false" outlineLevel="0" collapsed="false">
      <c r="A177" s="5" t="s">
        <v>543</v>
      </c>
      <c r="B177" s="0" t="s">
        <v>46</v>
      </c>
      <c r="C177" s="16" t="n">
        <f aca="false">a25_tax/(a25_oi-a25_int+a25_oth)</f>
        <v>0.140008669267447</v>
      </c>
      <c r="D177" s="16" t="n">
        <f aca="false">a26_tax/(a26_oi-a26_int+a26_oth)</f>
        <v>0.159996489020876</v>
      </c>
      <c r="E177" s="16" t="n">
        <f aca="false">tx_f</f>
        <v>0.16</v>
      </c>
      <c r="F177" s="16" t="n">
        <f aca="false">tx_f</f>
        <v>0.16</v>
      </c>
      <c r="G177" s="16" t="n">
        <f aca="false">tx_f</f>
        <v>0.16</v>
      </c>
    </row>
    <row r="178" customFormat="false" ht="17.15" hidden="false" customHeight="false" outlineLevel="0" collapsed="false">
      <c r="A178" s="5" t="s">
        <v>630</v>
      </c>
      <c r="B178" s="0" t="s">
        <v>241</v>
      </c>
      <c r="C178" s="22" t="n">
        <f aca="false">a25_ni</f>
        <v>33.728</v>
      </c>
      <c r="D178" s="22" t="n">
        <f aca="false">a26_ni</f>
        <v>57.42012</v>
      </c>
      <c r="E178" s="22" t="n">
        <f aca="false">(E173-E175+E176)*(1-E177)</f>
        <v>88.9209940992055</v>
      </c>
      <c r="F178" s="22" t="n">
        <f aca="false">(F173-F175+F176)*(1-F177)</f>
        <v>87.3009976433784</v>
      </c>
      <c r="G178" s="22" t="n">
        <f aca="false">(G173-G175+G176)*(1-G177)</f>
        <v>103.240007267322</v>
      </c>
    </row>
    <row r="179" customFormat="false" ht="15" hidden="false" customHeight="false" outlineLevel="0" collapsed="false">
      <c r="A179" s="5" t="s">
        <v>682</v>
      </c>
      <c r="B179" s="5" t="s">
        <v>304</v>
      </c>
      <c r="C179" s="17" t="n">
        <f aca="false">a25_sh</f>
        <v>4.943</v>
      </c>
      <c r="D179" s="17" t="n">
        <f aca="false">a26_sh</f>
        <v>4.9435</v>
      </c>
      <c r="E179" s="17" t="n">
        <f aca="false">D179*(1+sh_g)</f>
        <v>4.9187825</v>
      </c>
      <c r="F179" s="17" t="n">
        <f aca="false">E179*(1+sh_g)</f>
        <v>4.8941885875</v>
      </c>
      <c r="G179" s="17" t="n">
        <f aca="false">F179*(1+sh_g)</f>
        <v>4.8697176445625</v>
      </c>
    </row>
    <row r="180" customFormat="false" ht="17.15" hidden="false" customHeight="false" outlineLevel="0" collapsed="false">
      <c r="A180" s="0" t="s">
        <v>631</v>
      </c>
      <c r="B180" s="0" t="s">
        <v>354</v>
      </c>
      <c r="C180" s="19" t="n">
        <f aca="false">C178/C179</f>
        <v>6.82338660732349</v>
      </c>
      <c r="D180" s="19" t="n">
        <f aca="false">D178/D179</f>
        <v>11.6152766258724</v>
      </c>
      <c r="E180" s="19" t="n">
        <f aca="false">E178/E179</f>
        <v>18.0778463164829</v>
      </c>
      <c r="F180" s="19" t="n">
        <f aca="false">F178/F179</f>
        <v>17.837685672013</v>
      </c>
      <c r="G180" s="19" t="n">
        <f aca="false">G178/G179</f>
        <v>21.2004093055784</v>
      </c>
    </row>
    <row r="181" customFormat="false" ht="17.15" hidden="false" customHeight="false" outlineLevel="0" collapsed="false">
      <c r="A181" s="0" t="s">
        <v>683</v>
      </c>
      <c r="B181" s="0" t="s">
        <v>46</v>
      </c>
      <c r="D181" s="16" t="n">
        <f aca="false">D180/C180-1</f>
        <v>0.702274441463682</v>
      </c>
      <c r="E181" s="16" t="n">
        <f aca="false">E180/D180-1</f>
        <v>0.556385344815253</v>
      </c>
      <c r="F181" s="16" t="n">
        <f aca="false">F180/E180-1</f>
        <v>-0.0132848039675448</v>
      </c>
      <c r="G181" s="16" t="n">
        <f aca="false">G180/F180-1</f>
        <v>0.188517933065801</v>
      </c>
    </row>
    <row r="184" customFormat="false" ht="17.15" hidden="false" customHeight="false" outlineLevel="0" collapsed="false">
      <c r="A184" s="3" t="s">
        <v>685</v>
      </c>
    </row>
    <row r="185" customFormat="false" ht="17.15" hidden="false" customHeight="false" outlineLevel="0" collapsed="false">
      <c r="A185" s="6" t="s">
        <v>24</v>
      </c>
      <c r="B185" s="6" t="s">
        <v>25</v>
      </c>
      <c r="C185" s="13" t="s">
        <v>507</v>
      </c>
      <c r="D185" s="13" t="s">
        <v>621</v>
      </c>
      <c r="E185" s="13" t="s">
        <v>622</v>
      </c>
      <c r="F185" s="13" t="s">
        <v>623</v>
      </c>
      <c r="G185" s="13" t="s">
        <v>624</v>
      </c>
      <c r="H185" s="6" t="s">
        <v>480</v>
      </c>
    </row>
    <row r="186" customFormat="false" ht="17.15" hidden="false" customHeight="false" outlineLevel="0" collapsed="false">
      <c r="A186" s="1" t="s">
        <v>639</v>
      </c>
    </row>
    <row r="187" customFormat="false" ht="17.15" hidden="false" customHeight="false" outlineLevel="0" collapsed="false">
      <c r="A187" s="0" t="s">
        <v>640</v>
      </c>
      <c r="B187" s="5" t="s">
        <v>35</v>
      </c>
      <c r="D187" s="19" t="n">
        <f aca="false">u_tpu_26</f>
        <v>3.85</v>
      </c>
      <c r="E187" s="19" t="n">
        <f aca="false">u_tpu_27</f>
        <v>5.5</v>
      </c>
      <c r="F187" s="19" t="n">
        <f aca="false">u_tpu_28*um28_C</f>
        <v>4.2</v>
      </c>
      <c r="G187" s="19" t="n">
        <f aca="false">u_tpu_28*(1+g29_tpu)*um29_C</f>
        <v>4.83</v>
      </c>
    </row>
    <row r="188" customFormat="false" ht="17.15" hidden="false" customHeight="false" outlineLevel="0" collapsed="false">
      <c r="A188" s="5" t="s">
        <v>641</v>
      </c>
      <c r="B188" s="5" t="s">
        <v>35</v>
      </c>
      <c r="D188" s="19" t="n">
        <f aca="false">u_oth_26</f>
        <v>1</v>
      </c>
      <c r="E188" s="19" t="n">
        <f aca="false">u_oth_27</f>
        <v>4.5</v>
      </c>
      <c r="F188" s="19" t="n">
        <f aca="false">u_oth_28*um28_C</f>
        <v>3</v>
      </c>
      <c r="G188" s="19" t="n">
        <f aca="false">u_oth_28*(1+g29_oth)*um29_C</f>
        <v>3.45</v>
      </c>
    </row>
    <row r="189" customFormat="false" ht="17.15" hidden="false" customHeight="false" outlineLevel="0" collapsed="false">
      <c r="A189" s="0" t="s">
        <v>566</v>
      </c>
      <c r="B189" s="0" t="s">
        <v>46</v>
      </c>
      <c r="D189" s="16" t="n">
        <f aca="false">sh_tpu_26</f>
        <v>0.9</v>
      </c>
      <c r="E189" s="16" t="n">
        <f aca="false">MIN(1,MAX(0,sh_tpu_27+0))</f>
        <v>0.8</v>
      </c>
      <c r="F189" s="16" t="n">
        <f aca="false">MIN(1,MAX(0,sh_tpu_28+0))</f>
        <v>0.75</v>
      </c>
      <c r="G189" s="16" t="n">
        <f aca="false">MIN(1,MAX(0,sh_tpu_28+0))</f>
        <v>0.75</v>
      </c>
    </row>
    <row r="190" customFormat="false" ht="17.15" hidden="false" customHeight="false" outlineLevel="0" collapsed="false">
      <c r="A190" s="0" t="s">
        <v>578</v>
      </c>
      <c r="B190" s="0" t="s">
        <v>46</v>
      </c>
      <c r="D190" s="16" t="n">
        <f aca="false">sh_oth_26</f>
        <v>0.35</v>
      </c>
      <c r="E190" s="16" t="n">
        <f aca="false">MIN(1,MAX(0,sh_oth_27+0))</f>
        <v>0.55</v>
      </c>
      <c r="F190" s="16" t="n">
        <f aca="false">MIN(1,MAX(0,sh_oth_28+0))</f>
        <v>0.55</v>
      </c>
      <c r="G190" s="16" t="n">
        <f aca="false">MIN(1,MAX(0,sh_oth_28+0))</f>
        <v>0.55</v>
      </c>
    </row>
    <row r="191" customFormat="false" ht="17.15" hidden="false" customHeight="false" outlineLevel="0" collapsed="false">
      <c r="A191" s="0" t="s">
        <v>568</v>
      </c>
      <c r="B191" s="5" t="s">
        <v>35</v>
      </c>
      <c r="D191" s="19" t="n">
        <f aca="false">D187*D189</f>
        <v>3.465</v>
      </c>
      <c r="E191" s="19" t="n">
        <f aca="false">E187*E189*1</f>
        <v>4.4</v>
      </c>
      <c r="F191" s="19" t="n">
        <f aca="false">F187*F189*1</f>
        <v>3.15</v>
      </c>
      <c r="G191" s="19" t="n">
        <f aca="false">G187*G189*1</f>
        <v>3.6225</v>
      </c>
    </row>
    <row r="192" customFormat="false" ht="17.15" hidden="false" customHeight="false" outlineLevel="0" collapsed="false">
      <c r="A192" s="0" t="s">
        <v>579</v>
      </c>
      <c r="B192" s="5" t="s">
        <v>35</v>
      </c>
      <c r="D192" s="19" t="n">
        <f aca="false">D188*D190</f>
        <v>0.35</v>
      </c>
      <c r="E192" s="19" t="n">
        <f aca="false">E188*E190*1</f>
        <v>2.475</v>
      </c>
      <c r="F192" s="19" t="n">
        <f aca="false">F188*F190*1</f>
        <v>1.65</v>
      </c>
      <c r="G192" s="19" t="n">
        <f aca="false">G188*G190*1</f>
        <v>1.8975</v>
      </c>
    </row>
    <row r="193" customFormat="false" ht="17.15" hidden="false" customHeight="false" outlineLevel="0" collapsed="false">
      <c r="A193" s="5" t="s">
        <v>570</v>
      </c>
      <c r="B193" s="0" t="s">
        <v>151</v>
      </c>
      <c r="D193" s="20" t="n">
        <f aca="false">gb_tpu_26</f>
        <v>192</v>
      </c>
      <c r="E193" s="20" t="n">
        <f aca="false">gb_tpu_27</f>
        <v>250</v>
      </c>
      <c r="F193" s="20" t="n">
        <f aca="false">gb_tpu_28</f>
        <v>288</v>
      </c>
      <c r="G193" s="20" t="n">
        <f aca="false">gb_tpu_28</f>
        <v>288</v>
      </c>
    </row>
    <row r="194" customFormat="false" ht="17.15" hidden="false" customHeight="false" outlineLevel="0" collapsed="false">
      <c r="A194" s="5" t="s">
        <v>580</v>
      </c>
      <c r="B194" s="0" t="s">
        <v>151</v>
      </c>
      <c r="D194" s="20" t="n">
        <f aca="false">gb_oth_26</f>
        <v>150</v>
      </c>
      <c r="E194" s="20" t="n">
        <f aca="false">gb_oth_27</f>
        <v>200</v>
      </c>
      <c r="F194" s="20" t="n">
        <f aca="false">gb_oth_28</f>
        <v>250</v>
      </c>
      <c r="G194" s="20" t="n">
        <f aca="false">gb_oth_28</f>
        <v>250</v>
      </c>
    </row>
    <row r="195" customFormat="false" ht="17.15" hidden="false" customHeight="false" outlineLevel="0" collapsed="false">
      <c r="A195" s="0" t="s">
        <v>642</v>
      </c>
      <c r="B195" s="0" t="s">
        <v>210</v>
      </c>
      <c r="D195" s="19" t="n">
        <f aca="false">hbm_C_26</f>
        <v>14.6</v>
      </c>
      <c r="E195" s="19" t="n">
        <f aca="false">hbm_C_27</f>
        <v>26.28</v>
      </c>
      <c r="F195" s="19" t="n">
        <f aca="false">hbm_C_28</f>
        <v>15.768</v>
      </c>
      <c r="G195" s="19" t="n">
        <f aca="false">hbm_C_29</f>
        <v>16.5564</v>
      </c>
    </row>
    <row r="196" customFormat="false" ht="17.15" hidden="false" customHeight="false" outlineLevel="0" collapsed="false">
      <c r="A196" s="5" t="s">
        <v>643</v>
      </c>
      <c r="B196" s="0" t="s">
        <v>188</v>
      </c>
      <c r="D196" s="19" t="n">
        <f aca="false">core_tpu</f>
        <v>8</v>
      </c>
      <c r="E196" s="19" t="n">
        <f aca="false">core_tpu*1</f>
        <v>8</v>
      </c>
      <c r="F196" s="19" t="n">
        <f aca="false">core_tpu*1</f>
        <v>8</v>
      </c>
      <c r="G196" s="19" t="n">
        <f aca="false">core_tpu*1</f>
        <v>8</v>
      </c>
    </row>
    <row r="197" customFormat="false" ht="17.15" hidden="false" customHeight="false" outlineLevel="0" collapsed="false">
      <c r="A197" s="5" t="s">
        <v>644</v>
      </c>
      <c r="B197" s="0" t="s">
        <v>188</v>
      </c>
      <c r="D197" s="19" t="n">
        <f aca="false">core_oth</f>
        <v>6</v>
      </c>
      <c r="E197" s="19" t="n">
        <f aca="false">core_oth*1</f>
        <v>6</v>
      </c>
      <c r="F197" s="19" t="n">
        <f aca="false">core_oth*1</f>
        <v>6</v>
      </c>
      <c r="G197" s="19" t="n">
        <f aca="false">core_oth*1</f>
        <v>6</v>
      </c>
    </row>
    <row r="198" customFormat="false" ht="17.15" hidden="false" customHeight="false" outlineLevel="0" collapsed="false">
      <c r="A198" s="5" t="s">
        <v>645</v>
      </c>
      <c r="B198" s="0" t="s">
        <v>188</v>
      </c>
      <c r="D198" s="19" t="n">
        <f aca="false">D193*D195/1000</f>
        <v>2.8032</v>
      </c>
      <c r="E198" s="19" t="n">
        <f aca="false">E193*E195/1000</f>
        <v>6.57</v>
      </c>
      <c r="F198" s="19" t="n">
        <f aca="false">F193*F195/1000</f>
        <v>4.541184</v>
      </c>
      <c r="G198" s="19" t="n">
        <f aca="false">G193*G195/1000</f>
        <v>4.7682432</v>
      </c>
    </row>
    <row r="199" customFormat="false" ht="17.15" hidden="false" customHeight="false" outlineLevel="0" collapsed="false">
      <c r="A199" s="5" t="s">
        <v>646</v>
      </c>
      <c r="B199" s="0" t="s">
        <v>188</v>
      </c>
      <c r="D199" s="19" t="n">
        <f aca="false">D194*D195/1000</f>
        <v>2.19</v>
      </c>
      <c r="E199" s="19" t="n">
        <f aca="false">E194*E195/1000</f>
        <v>5.256</v>
      </c>
      <c r="F199" s="19" t="n">
        <f aca="false">F194*F195/1000</f>
        <v>3.942</v>
      </c>
      <c r="G199" s="19" t="n">
        <f aca="false">G194*G195/1000</f>
        <v>4.1391</v>
      </c>
    </row>
    <row r="200" customFormat="false" ht="17.15" hidden="false" customHeight="false" outlineLevel="0" collapsed="false">
      <c r="A200" s="5" t="s">
        <v>647</v>
      </c>
      <c r="B200" s="0" t="s">
        <v>188</v>
      </c>
      <c r="D200" s="19" t="n">
        <f aca="false">D196+f_hbm*D198</f>
        <v>9.68192</v>
      </c>
      <c r="E200" s="19" t="n">
        <f aca="false">E196+f_hbm*E198</f>
        <v>11.942</v>
      </c>
      <c r="F200" s="19" t="n">
        <f aca="false">F196+f_hbm*F198</f>
        <v>10.7247104</v>
      </c>
      <c r="G200" s="19" t="n">
        <f aca="false">G196+f_hbm*G198</f>
        <v>10.86094592</v>
      </c>
      <c r="H200" s="5" t="s">
        <v>648</v>
      </c>
    </row>
    <row r="201" customFormat="false" ht="17.15" hidden="false" customHeight="false" outlineLevel="0" collapsed="false">
      <c r="A201" s="5" t="s">
        <v>649</v>
      </c>
      <c r="B201" s="0" t="s">
        <v>188</v>
      </c>
      <c r="D201" s="19" t="n">
        <f aca="false">D197+f_hbm*D199</f>
        <v>7.314</v>
      </c>
      <c r="E201" s="19" t="n">
        <f aca="false">E197+f_hbm*E199</f>
        <v>9.1536</v>
      </c>
      <c r="F201" s="19" t="n">
        <f aca="false">F197+f_hbm*F199</f>
        <v>8.3652</v>
      </c>
      <c r="G201" s="19" t="n">
        <f aca="false">G197+f_hbm*G199</f>
        <v>8.48346</v>
      </c>
    </row>
    <row r="202" customFormat="false" ht="17.15" hidden="false" customHeight="false" outlineLevel="0" collapsed="false">
      <c r="A202" s="0" t="s">
        <v>650</v>
      </c>
      <c r="B202" s="0" t="s">
        <v>241</v>
      </c>
      <c r="D202" s="22" t="n">
        <f aca="false">D191*D200+D192*D201</f>
        <v>36.1077528</v>
      </c>
      <c r="E202" s="22" t="n">
        <f aca="false">E191*E200+E192*E201</f>
        <v>75.19996</v>
      </c>
      <c r="F202" s="22" t="n">
        <f aca="false">F191*F200+F192*F201</f>
        <v>47.58541776</v>
      </c>
      <c r="G202" s="22" t="n">
        <f aca="false">G191*G200+G192*G201</f>
        <v>55.4411419452</v>
      </c>
    </row>
    <row r="203" customFormat="false" ht="17.15" hidden="false" customHeight="false" outlineLevel="0" collapsed="false">
      <c r="A203" s="0" t="s">
        <v>651</v>
      </c>
      <c r="B203" s="0" t="s">
        <v>131</v>
      </c>
      <c r="D203" s="17" t="n">
        <f aca="false">a26_xpu/D202</f>
        <v>1.10779533197646</v>
      </c>
      <c r="H203" s="8" t="s">
        <v>652</v>
      </c>
    </row>
    <row r="204" customFormat="false" ht="17.15" hidden="false" customHeight="false" outlineLevel="0" collapsed="false">
      <c r="A204" s="0" t="s">
        <v>653</v>
      </c>
      <c r="B204" s="0" t="s">
        <v>241</v>
      </c>
      <c r="D204" s="22" t="n">
        <f aca="false">D202*$D$203</f>
        <v>40</v>
      </c>
      <c r="E204" s="22" t="n">
        <f aca="false">E202*$D$203</f>
        <v>83.3061646528166</v>
      </c>
      <c r="F204" s="22" t="n">
        <f aca="false">F202*$D$203</f>
        <v>52.7149036646778</v>
      </c>
      <c r="G204" s="22" t="n">
        <f aca="false">G202*$D$203</f>
        <v>61.4174382463369</v>
      </c>
    </row>
    <row r="205" customFormat="false" ht="17.15" hidden="false" customHeight="false" outlineLevel="0" collapsed="false">
      <c r="A205" s="5" t="s">
        <v>654</v>
      </c>
      <c r="B205" s="0" t="s">
        <v>241</v>
      </c>
      <c r="D205" s="22" t="n">
        <f aca="false">$D$203*f_hbm*(D191*D198+D192*D199)</f>
        <v>6.96554320046192</v>
      </c>
      <c r="E205" s="22" t="n">
        <f aca="false">$D$203*f_hbm*(E191*E198+E192*E199)</f>
        <v>27.8610082873947</v>
      </c>
      <c r="F205" s="22" t="n">
        <f aca="false">$D$203*f_hbm*(F191*F198+F192*F199)</f>
        <v>13.831287512304</v>
      </c>
      <c r="G205" s="22" t="n">
        <f aca="false">$D$203*f_hbm*(G191*G198+G192*G199)</f>
        <v>16.7012796711071</v>
      </c>
    </row>
    <row r="206" customFormat="false" ht="15" hidden="false" customHeight="false" outlineLevel="0" collapsed="false">
      <c r="A206" s="5" t="s">
        <v>655</v>
      </c>
      <c r="B206" s="0" t="s">
        <v>241</v>
      </c>
      <c r="D206" s="22" t="n">
        <f aca="false">D204-D205</f>
        <v>33.0344567995381</v>
      </c>
      <c r="E206" s="22" t="n">
        <f aca="false">E204-E205</f>
        <v>55.4451563654219</v>
      </c>
      <c r="F206" s="22" t="n">
        <f aca="false">F204-F205</f>
        <v>38.8836161523738</v>
      </c>
      <c r="G206" s="22" t="n">
        <f aca="false">G204-G205</f>
        <v>44.7161585752298</v>
      </c>
    </row>
    <row r="207" customFormat="false" ht="17.15" hidden="false" customHeight="false" outlineLevel="0" collapsed="false">
      <c r="A207" s="0" t="s">
        <v>656</v>
      </c>
      <c r="B207" s="5" t="s">
        <v>35</v>
      </c>
      <c r="D207" s="19" t="n">
        <f aca="false">D191+D192</f>
        <v>3.815</v>
      </c>
      <c r="E207" s="19" t="n">
        <f aca="false">E191+E192</f>
        <v>6.875</v>
      </c>
      <c r="F207" s="19" t="n">
        <f aca="false">F191+F192</f>
        <v>4.8</v>
      </c>
      <c r="G207" s="19" t="n">
        <f aca="false">G191+G192</f>
        <v>5.52</v>
      </c>
    </row>
    <row r="208" customFormat="false" ht="17.15" hidden="false" customHeight="false" outlineLevel="0" collapsed="false">
      <c r="A208" s="1" t="s">
        <v>657</v>
      </c>
    </row>
    <row r="209" customFormat="false" ht="17.15" hidden="false" customHeight="false" outlineLevel="0" collapsed="false">
      <c r="A209" s="0" t="s">
        <v>658</v>
      </c>
      <c r="B209" s="0" t="s">
        <v>241</v>
      </c>
      <c r="D209" s="22" t="n">
        <f aca="false">net_26*1</f>
        <v>12.6075726</v>
      </c>
      <c r="E209" s="22" t="n">
        <f aca="false">net_27*1*1</f>
        <v>26.959549</v>
      </c>
      <c r="F209" s="22" t="n">
        <f aca="false">net_28*um28_C*1</f>
        <v>19.2569532</v>
      </c>
      <c r="G209" s="22" t="n">
        <f aca="false">net_29*um29_C*1</f>
        <v>22.69969014</v>
      </c>
    </row>
    <row r="210" customFormat="false" ht="17.15" hidden="false" customHeight="false" outlineLevel="0" collapsed="false">
      <c r="A210" s="5" t="s">
        <v>659</v>
      </c>
      <c r="B210" s="0" t="s">
        <v>131</v>
      </c>
      <c r="D210" s="17" t="n">
        <f aca="false">a26_net/D209</f>
        <v>1.39598640899359</v>
      </c>
      <c r="H210" s="8" t="s">
        <v>660</v>
      </c>
    </row>
    <row r="211" customFormat="false" ht="17.15" hidden="false" customHeight="false" outlineLevel="0" collapsed="false">
      <c r="A211" s="0" t="s">
        <v>661</v>
      </c>
      <c r="B211" s="0" t="s">
        <v>241</v>
      </c>
      <c r="D211" s="22" t="n">
        <f aca="false">D209*$D$210</f>
        <v>17.6</v>
      </c>
      <c r="E211" s="22" t="n">
        <f aca="false">E209*$D$210</f>
        <v>37.6351639965968</v>
      </c>
      <c r="F211" s="22" t="n">
        <f aca="false">F209*$D$210</f>
        <v>26.8824449458257</v>
      </c>
      <c r="G211" s="22" t="n">
        <f aca="false">G209*$D$210</f>
        <v>31.6884589238058</v>
      </c>
    </row>
    <row r="212" customFormat="false" ht="17.15" hidden="false" customHeight="false" outlineLevel="0" collapsed="false">
      <c r="A212" s="0" t="s">
        <v>522</v>
      </c>
      <c r="B212" s="0" t="s">
        <v>241</v>
      </c>
      <c r="C212" s="22" t="n">
        <f aca="false">a25_ai</f>
        <v>20.2797202797203</v>
      </c>
      <c r="D212" s="22" t="n">
        <f aca="false">D204+D211</f>
        <v>57.6</v>
      </c>
      <c r="E212" s="22" t="n">
        <f aca="false">E204+E211</f>
        <v>120.941328649413</v>
      </c>
      <c r="F212" s="22" t="n">
        <f aca="false">F204+F211</f>
        <v>79.5973486105035</v>
      </c>
      <c r="G212" s="22" t="n">
        <f aca="false">G204+G211</f>
        <v>93.1058971701428</v>
      </c>
    </row>
    <row r="213" customFormat="false" ht="15" hidden="false" customHeight="false" outlineLevel="0" collapsed="false">
      <c r="A213" s="0" t="s">
        <v>662</v>
      </c>
      <c r="B213" s="0" t="s">
        <v>46</v>
      </c>
      <c r="D213" s="16" t="n">
        <f aca="false">D204/D212</f>
        <v>0.694444444444444</v>
      </c>
      <c r="E213" s="16" t="n">
        <f aca="false">E204/E212</f>
        <v>0.688814697036328</v>
      </c>
      <c r="F213" s="16" t="n">
        <f aca="false">F204/F212</f>
        <v>0.662269592956287</v>
      </c>
      <c r="G213" s="16" t="n">
        <f aca="false">G204/G212</f>
        <v>0.659651430393308</v>
      </c>
    </row>
    <row r="214" customFormat="false" ht="17.15" hidden="false" customHeight="false" outlineLevel="0" collapsed="false">
      <c r="A214" s="5" t="s">
        <v>663</v>
      </c>
      <c r="B214" s="0" t="s">
        <v>241</v>
      </c>
      <c r="C214" s="22" t="n">
        <f aca="false">a25_nai</f>
        <v>16.5782797202797</v>
      </c>
      <c r="D214" s="22" t="n">
        <f aca="false">a26_nai</f>
        <v>16.863</v>
      </c>
      <c r="E214" s="22" t="n">
        <f aca="false">D214*(1+g_nai)</f>
        <v>17.36889</v>
      </c>
      <c r="F214" s="22" t="n">
        <f aca="false">E214*(1+g_nai)</f>
        <v>17.8899567</v>
      </c>
      <c r="G214" s="22" t="n">
        <f aca="false">F214*(1+g_nai)</f>
        <v>18.426655401</v>
      </c>
    </row>
    <row r="215" customFormat="false" ht="15" hidden="false" customHeight="false" outlineLevel="0" collapsed="false">
      <c r="A215" s="5" t="s">
        <v>664</v>
      </c>
      <c r="B215" s="0" t="s">
        <v>241</v>
      </c>
      <c r="C215" s="22" t="n">
        <f aca="false">a25_sw</f>
        <v>27.029</v>
      </c>
      <c r="D215" s="22" t="n">
        <f aca="false">a26_sw</f>
        <v>31.426</v>
      </c>
      <c r="E215" s="22" t="n">
        <f aca="false">D215*(1+g_sw27)</f>
        <v>35.19712</v>
      </c>
      <c r="F215" s="22" t="n">
        <f aca="false">E215*(1+g_sw)</f>
        <v>38.0128896</v>
      </c>
      <c r="G215" s="22" t="n">
        <f aca="false">F215*(1+g_sw)</f>
        <v>41.053920768</v>
      </c>
    </row>
    <row r="216" customFormat="false" ht="17.15" hidden="false" customHeight="false" outlineLevel="0" collapsed="false">
      <c r="A216" s="1" t="s">
        <v>665</v>
      </c>
    </row>
    <row r="217" customFormat="false" ht="15" hidden="false" customHeight="false" outlineLevel="0" collapsed="false">
      <c r="A217" s="5" t="s">
        <v>514</v>
      </c>
      <c r="B217" s="0" t="s">
        <v>241</v>
      </c>
      <c r="C217" s="22" t="n">
        <f aca="false">a25_rev</f>
        <v>63.887</v>
      </c>
      <c r="D217" s="22" t="n">
        <f aca="false">a26_rev</f>
        <v>105.889</v>
      </c>
      <c r="E217" s="22" t="n">
        <f aca="false">E212+E214+E215</f>
        <v>173.507338649413</v>
      </c>
      <c r="F217" s="22" t="n">
        <f aca="false">F212+F214+F215</f>
        <v>135.500194910503</v>
      </c>
      <c r="G217" s="22" t="n">
        <f aca="false">G212+G214+G215</f>
        <v>152.586473339143</v>
      </c>
    </row>
    <row r="218" customFormat="false" ht="17.15" hidden="false" customHeight="false" outlineLevel="0" collapsed="false">
      <c r="A218" s="5" t="s">
        <v>666</v>
      </c>
      <c r="B218" s="0" t="s">
        <v>241</v>
      </c>
      <c r="D218" s="22" t="n">
        <f aca="false">D212+D214+D215</f>
        <v>105.889</v>
      </c>
      <c r="E218" s="22" t="n">
        <f aca="false">E212+E214+E215</f>
        <v>173.507338649413</v>
      </c>
      <c r="F218" s="22" t="n">
        <f aca="false">F212+F214+F215</f>
        <v>135.500194910503</v>
      </c>
      <c r="G218" s="22" t="n">
        <f aca="false">G212+G214+G215</f>
        <v>152.586473339143</v>
      </c>
    </row>
    <row r="219" customFormat="false" ht="17.15" hidden="false" customHeight="false" outlineLevel="0" collapsed="false">
      <c r="A219" s="5" t="s">
        <v>667</v>
      </c>
      <c r="B219" s="0" t="s">
        <v>241</v>
      </c>
      <c r="C219" s="22" t="n">
        <f aca="false">C212+C214</f>
        <v>36.858</v>
      </c>
      <c r="D219" s="22" t="n">
        <f aca="false">D212+D214</f>
        <v>74.463</v>
      </c>
      <c r="E219" s="22" t="n">
        <f aca="false">E212+E214</f>
        <v>138.310218649413</v>
      </c>
      <c r="F219" s="22" t="n">
        <f aca="false">F212+F214</f>
        <v>97.4873053105034</v>
      </c>
      <c r="G219" s="22" t="n">
        <f aca="false">G212+G214</f>
        <v>111.532552571143</v>
      </c>
      <c r="H219" s="5" t="s">
        <v>668</v>
      </c>
    </row>
    <row r="220" customFormat="false" ht="17.15" hidden="false" customHeight="false" outlineLevel="0" collapsed="false">
      <c r="A220" s="5" t="s">
        <v>669</v>
      </c>
      <c r="B220" s="0" t="s">
        <v>241</v>
      </c>
      <c r="C220" s="17" t="n">
        <f aca="false">C219+C215-C217</f>
        <v>0</v>
      </c>
      <c r="D220" s="17" t="n">
        <f aca="false">D219+D215-D217</f>
        <v>0</v>
      </c>
      <c r="E220" s="17" t="n">
        <f aca="false">E219+E215-E217</f>
        <v>0</v>
      </c>
      <c r="F220" s="17" t="n">
        <f aca="false">F219+F215-F217</f>
        <v>0</v>
      </c>
      <c r="G220" s="17" t="n">
        <f aca="false">G219+G215-G217</f>
        <v>0</v>
      </c>
    </row>
    <row r="221" customFormat="false" ht="15" hidden="false" customHeight="false" outlineLevel="0" collapsed="false">
      <c r="A221" s="5" t="s">
        <v>670</v>
      </c>
      <c r="B221" s="0" t="s">
        <v>46</v>
      </c>
      <c r="D221" s="16" t="n">
        <f aca="false">D217/C217-1</f>
        <v>0.657442046112668</v>
      </c>
      <c r="E221" s="16" t="n">
        <f aca="false">E217/D217-1</f>
        <v>0.638577554320216</v>
      </c>
      <c r="F221" s="16" t="n">
        <f aca="false">F217/E217-1</f>
        <v>-0.219052081801028</v>
      </c>
      <c r="G221" s="16" t="n">
        <f aca="false">G217/F217-1</f>
        <v>0.126097814397423</v>
      </c>
    </row>
    <row r="222" customFormat="false" ht="17.15" hidden="false" customHeight="false" outlineLevel="0" collapsed="false">
      <c r="A222" s="0" t="s">
        <v>671</v>
      </c>
      <c r="B222" s="0" t="s">
        <v>46</v>
      </c>
      <c r="C222" s="16" t="n">
        <f aca="false">C212/C217</f>
        <v>0.317431093645347</v>
      </c>
      <c r="D222" s="16" t="n">
        <f aca="false">D212/D217</f>
        <v>0.543965851032685</v>
      </c>
      <c r="E222" s="16" t="n">
        <f aca="false">E212/E217</f>
        <v>0.697038693526306</v>
      </c>
      <c r="F222" s="16" t="n">
        <f aca="false">F212/F217</f>
        <v>0.587433462092632</v>
      </c>
      <c r="G222" s="16" t="n">
        <f aca="false">G212/G217</f>
        <v>0.610184475285716</v>
      </c>
    </row>
    <row r="223" customFormat="false" ht="17.15" hidden="false" customHeight="false" outlineLevel="0" collapsed="false">
      <c r="A223" s="5" t="s">
        <v>672</v>
      </c>
      <c r="B223" s="0" t="s">
        <v>241</v>
      </c>
      <c r="D223" s="22" t="n">
        <f aca="false">gm_net*D211+gm_nai*D214+gm_sw*D215+m_hbm*D205</f>
        <v>53.5556843200462</v>
      </c>
      <c r="E223" s="22" t="n">
        <f aca="false">gm_net*E211+gm_nai*E214+gm_sw*E215+m_hbm*E205</f>
        <v>73.9065190062892</v>
      </c>
      <c r="F223" s="22" t="n">
        <f aca="false">gm_net*F211+gm_nai*F214+gm_sw*F215+m_hbm*F205</f>
        <v>67.7189482952249</v>
      </c>
      <c r="G223" s="22" t="n">
        <f aca="false">gm_net*G211+gm_nai*G214+gm_sw*G215+m_hbm*G205</f>
        <v>74.6432907171409</v>
      </c>
    </row>
    <row r="224" customFormat="false" ht="17.15" hidden="false" customHeight="false" outlineLevel="0" collapsed="false">
      <c r="A224" s="0" t="s">
        <v>673</v>
      </c>
      <c r="B224" s="0" t="s">
        <v>131</v>
      </c>
      <c r="D224" s="17" t="n">
        <f aca="false">(a26_gp-D223)/D206</f>
        <v>0.787550884757324</v>
      </c>
      <c r="H224" s="8" t="s">
        <v>674</v>
      </c>
    </row>
    <row r="225" customFormat="false" ht="15" hidden="false" customHeight="false" outlineLevel="0" collapsed="false">
      <c r="A225" s="5" t="s">
        <v>675</v>
      </c>
      <c r="B225" s="0" t="s">
        <v>241</v>
      </c>
      <c r="C225" s="22" t="n">
        <f aca="false">a25_gp</f>
        <v>50.245</v>
      </c>
      <c r="D225" s="22" t="n">
        <f aca="false">a26_gp</f>
        <v>79.572</v>
      </c>
      <c r="E225" s="22" t="n">
        <f aca="false">E223+$D$224*E206</f>
        <v>117.572400957385</v>
      </c>
      <c r="F225" s="22" t="n">
        <f aca="false">F223+$D$224*F206</f>
        <v>98.341774598591</v>
      </c>
      <c r="G225" s="22" t="n">
        <f aca="false">G223+$D$224*G206</f>
        <v>109.859540966012</v>
      </c>
    </row>
    <row r="226" customFormat="false" ht="15" hidden="false" customHeight="false" outlineLevel="0" collapsed="false">
      <c r="A226" s="5" t="s">
        <v>533</v>
      </c>
      <c r="B226" s="0" t="s">
        <v>46</v>
      </c>
      <c r="C226" s="16" t="n">
        <f aca="false">C225/C217</f>
        <v>0.786466730320723</v>
      </c>
      <c r="D226" s="16" t="n">
        <f aca="false">D225/D217</f>
        <v>0.751466157957862</v>
      </c>
      <c r="E226" s="16" t="n">
        <f aca="false">E225/E217</f>
        <v>0.677622064130386</v>
      </c>
      <c r="F226" s="16" t="n">
        <f aca="false">F225/F217</f>
        <v>0.7257685102486</v>
      </c>
      <c r="G226" s="16" t="n">
        <f aca="false">G225/G217</f>
        <v>0.719982175103</v>
      </c>
    </row>
    <row r="227" customFormat="false" ht="17.15" hidden="false" customHeight="false" outlineLevel="0" collapsed="false">
      <c r="A227" s="5" t="s">
        <v>676</v>
      </c>
      <c r="B227" s="0" t="s">
        <v>46</v>
      </c>
      <c r="D227" s="16" t="n">
        <f aca="false">D205/D217</f>
        <v>0.0657815561622258</v>
      </c>
      <c r="E227" s="16" t="n">
        <f aca="false">E205/E217</f>
        <v>0.160575388362623</v>
      </c>
      <c r="F227" s="16" t="n">
        <f aca="false">F205/F217</f>
        <v>0.102075775768732</v>
      </c>
      <c r="G227" s="16" t="n">
        <f aca="false">G205/G217</f>
        <v>0.109454523101706</v>
      </c>
    </row>
    <row r="228" customFormat="false" ht="15" hidden="false" customHeight="false" outlineLevel="0" collapsed="false">
      <c r="A228" s="5" t="s">
        <v>677</v>
      </c>
      <c r="B228" s="0" t="s">
        <v>241</v>
      </c>
      <c r="C228" s="24" t="n">
        <f aca="false">a25_opx</f>
        <v>8.248</v>
      </c>
      <c r="D228" s="24" t="n">
        <f aca="false">a26_opx</f>
        <v>8.755</v>
      </c>
      <c r="E228" s="24" t="n">
        <f aca="false">D228*(1+MAX(g_opx_min,phi*E221))</f>
        <v>9.31407464880735</v>
      </c>
      <c r="F228" s="24" t="n">
        <f aca="false">E228*(1+MAX(g_opx_min,phi*F221))</f>
        <v>9.59349688827157</v>
      </c>
      <c r="G228" s="24" t="n">
        <f aca="false">F228*(1+MAX(g_opx_min,phi*G221))</f>
        <v>9.88130179491972</v>
      </c>
    </row>
    <row r="229" customFormat="false" ht="15" hidden="false" customHeight="false" outlineLevel="0" collapsed="false">
      <c r="A229" s="5" t="s">
        <v>678</v>
      </c>
      <c r="B229" s="0" t="s">
        <v>241</v>
      </c>
      <c r="C229" s="24" t="n">
        <f aca="false">C228</f>
        <v>8.248</v>
      </c>
      <c r="D229" s="24" t="n">
        <f aca="false">D228</f>
        <v>8.755</v>
      </c>
      <c r="E229" s="24" t="n">
        <f aca="false">E228+0*E217</f>
        <v>9.31407464880735</v>
      </c>
      <c r="F229" s="24" t="n">
        <f aca="false">F228+0*F217</f>
        <v>9.59349688827157</v>
      </c>
      <c r="G229" s="24" t="n">
        <f aca="false">G228+0*G217</f>
        <v>9.88130179491972</v>
      </c>
    </row>
    <row r="230" customFormat="false" ht="15" hidden="false" customHeight="false" outlineLevel="0" collapsed="false">
      <c r="A230" s="5" t="s">
        <v>679</v>
      </c>
      <c r="B230" s="0" t="s">
        <v>241</v>
      </c>
      <c r="C230" s="22" t="n">
        <f aca="false">C225-C229</f>
        <v>41.997</v>
      </c>
      <c r="D230" s="22" t="n">
        <f aca="false">D225-D229</f>
        <v>70.817</v>
      </c>
      <c r="E230" s="22" t="n">
        <f aca="false">E225-E229</f>
        <v>108.258326308578</v>
      </c>
      <c r="F230" s="22" t="n">
        <f aca="false">F225-F229</f>
        <v>88.7482777103195</v>
      </c>
      <c r="G230" s="22" t="n">
        <f aca="false">G225-G229</f>
        <v>99.9782391710923</v>
      </c>
    </row>
    <row r="231" customFormat="false" ht="15" hidden="false" customHeight="false" outlineLevel="0" collapsed="false">
      <c r="A231" s="5" t="s">
        <v>538</v>
      </c>
      <c r="B231" s="0" t="s">
        <v>46</v>
      </c>
      <c r="C231" s="16" t="n">
        <f aca="false">C230/C217</f>
        <v>0.657363782929235</v>
      </c>
      <c r="D231" s="16" t="n">
        <f aca="false">D230/D217</f>
        <v>0.66878523737121</v>
      </c>
      <c r="E231" s="16" t="n">
        <f aca="false">E230/E217</f>
        <v>0.623940907348728</v>
      </c>
      <c r="F231" s="16" t="n">
        <f aca="false">F230/F217</f>
        <v>0.654967897049424</v>
      </c>
      <c r="G231" s="16" t="n">
        <f aca="false">G230/G217</f>
        <v>0.65522347415998</v>
      </c>
    </row>
    <row r="232" customFormat="false" ht="15" hidden="false" customHeight="false" outlineLevel="0" collapsed="false">
      <c r="A232" s="5" t="s">
        <v>680</v>
      </c>
      <c r="B232" s="0" t="s">
        <v>241</v>
      </c>
      <c r="C232" s="19" t="n">
        <f aca="false">a25_int</f>
        <v>3.072</v>
      </c>
      <c r="D232" s="19" t="n">
        <f aca="false">a26_int</f>
        <v>2.894</v>
      </c>
      <c r="E232" s="19" t="n">
        <f aca="false">int_f</f>
        <v>2.8</v>
      </c>
      <c r="F232" s="19" t="n">
        <f aca="false">int_f</f>
        <v>2.8</v>
      </c>
      <c r="G232" s="19" t="n">
        <f aca="false">int_f</f>
        <v>2.8</v>
      </c>
    </row>
    <row r="233" customFormat="false" ht="15" hidden="false" customHeight="false" outlineLevel="0" collapsed="false">
      <c r="A233" s="5" t="s">
        <v>681</v>
      </c>
      <c r="B233" s="0" t="s">
        <v>241</v>
      </c>
      <c r="C233" s="19" t="n">
        <f aca="false">a25_oth</f>
        <v>0.294</v>
      </c>
      <c r="D233" s="19" t="n">
        <f aca="false">a26_oth</f>
        <v>0.434</v>
      </c>
      <c r="E233" s="19" t="n">
        <f aca="false">oth_f</f>
        <v>0.4</v>
      </c>
      <c r="F233" s="19" t="n">
        <f aca="false">oth_f</f>
        <v>0.4</v>
      </c>
      <c r="G233" s="19" t="n">
        <f aca="false">oth_f</f>
        <v>0.4</v>
      </c>
    </row>
    <row r="234" customFormat="false" ht="15" hidden="false" customHeight="false" outlineLevel="0" collapsed="false">
      <c r="A234" s="5" t="s">
        <v>543</v>
      </c>
      <c r="B234" s="0" t="s">
        <v>46</v>
      </c>
      <c r="C234" s="16" t="n">
        <f aca="false">a25_tax/(a25_oi-a25_int+a25_oth)</f>
        <v>0.140008669267447</v>
      </c>
      <c r="D234" s="16" t="n">
        <f aca="false">a26_tax/(a26_oi-a26_int+a26_oth)</f>
        <v>0.159996489020876</v>
      </c>
      <c r="E234" s="16" t="n">
        <f aca="false">tx_f</f>
        <v>0.16</v>
      </c>
      <c r="F234" s="16" t="n">
        <f aca="false">tx_f</f>
        <v>0.16</v>
      </c>
      <c r="G234" s="16" t="n">
        <f aca="false">tx_f</f>
        <v>0.16</v>
      </c>
    </row>
    <row r="235" customFormat="false" ht="17.15" hidden="false" customHeight="false" outlineLevel="0" collapsed="false">
      <c r="A235" s="5" t="s">
        <v>630</v>
      </c>
      <c r="B235" s="0" t="s">
        <v>241</v>
      </c>
      <c r="C235" s="22" t="n">
        <f aca="false">a25_ni</f>
        <v>33.728</v>
      </c>
      <c r="D235" s="22" t="n">
        <f aca="false">a26_ni</f>
        <v>57.42012</v>
      </c>
      <c r="E235" s="22" t="n">
        <f aca="false">(E230-E232+E233)*(1-E234)</f>
        <v>88.9209940992055</v>
      </c>
      <c r="F235" s="22" t="n">
        <f aca="false">(F230-F232+F233)*(1-F234)</f>
        <v>72.5325532766684</v>
      </c>
      <c r="G235" s="22" t="n">
        <f aca="false">(G230-G232+G233)*(1-G234)</f>
        <v>81.9657209037175</v>
      </c>
    </row>
    <row r="236" customFormat="false" ht="15" hidden="false" customHeight="false" outlineLevel="0" collapsed="false">
      <c r="A236" s="5" t="s">
        <v>682</v>
      </c>
      <c r="B236" s="5" t="s">
        <v>304</v>
      </c>
      <c r="C236" s="17" t="n">
        <f aca="false">a25_sh</f>
        <v>4.943</v>
      </c>
      <c r="D236" s="17" t="n">
        <f aca="false">a26_sh</f>
        <v>4.9435</v>
      </c>
      <c r="E236" s="17" t="n">
        <f aca="false">D236*(1+sh_g)</f>
        <v>4.9187825</v>
      </c>
      <c r="F236" s="17" t="n">
        <f aca="false">E236*(1+sh_g)</f>
        <v>4.8941885875</v>
      </c>
      <c r="G236" s="17" t="n">
        <f aca="false">F236*(1+sh_g)</f>
        <v>4.8697176445625</v>
      </c>
    </row>
    <row r="237" customFormat="false" ht="17.15" hidden="false" customHeight="false" outlineLevel="0" collapsed="false">
      <c r="A237" s="0" t="s">
        <v>631</v>
      </c>
      <c r="B237" s="0" t="s">
        <v>354</v>
      </c>
      <c r="C237" s="19" t="n">
        <f aca="false">C235/C236</f>
        <v>6.82338660732349</v>
      </c>
      <c r="D237" s="19" t="n">
        <f aca="false">D235/D236</f>
        <v>11.6152766258724</v>
      </c>
      <c r="E237" s="19" t="n">
        <f aca="false">E235/E236</f>
        <v>18.0778463164829</v>
      </c>
      <c r="F237" s="19" t="n">
        <f aca="false">F235/F236</f>
        <v>14.820138615402</v>
      </c>
      <c r="G237" s="19" t="n">
        <f aca="false">G235/G236</f>
        <v>16.8317193903922</v>
      </c>
    </row>
    <row r="238" customFormat="false" ht="17.15" hidden="false" customHeight="false" outlineLevel="0" collapsed="false">
      <c r="A238" s="0" t="s">
        <v>683</v>
      </c>
      <c r="B238" s="0" t="s">
        <v>46</v>
      </c>
      <c r="D238" s="16" t="n">
        <f aca="false">D237/C237-1</f>
        <v>0.702274441463682</v>
      </c>
      <c r="E238" s="16" t="n">
        <f aca="false">E237/D237-1</f>
        <v>0.556385344815253</v>
      </c>
      <c r="F238" s="16" t="n">
        <f aca="false">F237/E237-1</f>
        <v>-0.180204413957798</v>
      </c>
      <c r="G238" s="16" t="n">
        <f aca="false">G237/F237-1</f>
        <v>0.13573292579731</v>
      </c>
    </row>
    <row r="241" customFormat="false" ht="17.15" hidden="false" customHeight="false" outlineLevel="0" collapsed="false">
      <c r="A241" s="3" t="s">
        <v>686</v>
      </c>
    </row>
    <row r="242" customFormat="false" ht="17.15" hidden="false" customHeight="false" outlineLevel="0" collapsed="false">
      <c r="A242" s="5" t="s">
        <v>687</v>
      </c>
    </row>
    <row r="243" customFormat="false" ht="15" hidden="false" customHeight="false" outlineLevel="0" collapsed="false">
      <c r="A243" s="6" t="s">
        <v>688</v>
      </c>
      <c r="B243" s="6" t="s">
        <v>25</v>
      </c>
      <c r="C243" s="13" t="s">
        <v>507</v>
      </c>
      <c r="D243" s="13" t="s">
        <v>689</v>
      </c>
      <c r="E243" s="13" t="s">
        <v>622</v>
      </c>
      <c r="F243" s="13" t="s">
        <v>623</v>
      </c>
      <c r="G243" s="13" t="s">
        <v>624</v>
      </c>
      <c r="H243" s="13" t="s">
        <v>690</v>
      </c>
      <c r="I243" s="13" t="s">
        <v>691</v>
      </c>
      <c r="J243" s="13" t="s">
        <v>692</v>
      </c>
      <c r="K243" s="6" t="s">
        <v>480</v>
      </c>
    </row>
    <row r="244" customFormat="false" ht="17.15" hidden="false" customHeight="false" outlineLevel="0" collapsed="false">
      <c r="A244" s="3" t="s">
        <v>625</v>
      </c>
    </row>
    <row r="245" customFormat="false" ht="15" hidden="false" customHeight="false" outlineLevel="0" collapsed="false">
      <c r="A245" s="5" t="s">
        <v>514</v>
      </c>
      <c r="B245" s="0" t="s">
        <v>241</v>
      </c>
      <c r="C245" s="22" t="n">
        <f aca="false">C103</f>
        <v>63.887</v>
      </c>
      <c r="D245" s="22" t="n">
        <f aca="false">D103</f>
        <v>105.889</v>
      </c>
      <c r="E245" s="22" t="n">
        <f aca="false">E103</f>
        <v>173.507338649413</v>
      </c>
      <c r="F245" s="22" t="n">
        <f aca="false">F103</f>
        <v>207.775215529039</v>
      </c>
      <c r="G245" s="22" t="n">
        <f aca="false">G103</f>
        <v>232.993132467147</v>
      </c>
      <c r="H245" s="25" t="n">
        <f aca="false">G245*(1+H246)</f>
        <v>256.505424801925</v>
      </c>
      <c r="I245" s="25" t="n">
        <f aca="false">H245*(1+I246)</f>
        <v>277.143094626636</v>
      </c>
      <c r="J245" s="25" t="n">
        <f aca="false">I245*(1+J246)</f>
        <v>293.771680304234</v>
      </c>
    </row>
    <row r="246" customFormat="false" ht="17.15" hidden="false" customHeight="false" outlineLevel="0" collapsed="false">
      <c r="A246" s="5" t="s">
        <v>626</v>
      </c>
      <c r="B246" s="0" t="s">
        <v>46</v>
      </c>
      <c r="C246" s="16"/>
      <c r="D246" s="16" t="n">
        <f aca="false">D245/C245-1</f>
        <v>0.657442046112668</v>
      </c>
      <c r="E246" s="16" t="n">
        <f aca="false">E245/D245-1</f>
        <v>0.638577554320216</v>
      </c>
      <c r="F246" s="16" t="n">
        <f aca="false">F245/E245-1</f>
        <v>0.197501022990543</v>
      </c>
      <c r="G246" s="16" t="n">
        <f aca="false">G245/F245-1</f>
        <v>0.121371150422813</v>
      </c>
      <c r="H246" s="26" t="n">
        <f aca="false">$G$246+((tp_g+tp_gd)-$G$246)*1/3</f>
        <v>0.100914100281876</v>
      </c>
      <c r="I246" s="26" t="n">
        <f aca="false">$G$246+((tp_g+tp_gd)-$G$246)*2/3</f>
        <v>0.0804570501409378</v>
      </c>
      <c r="J246" s="26" t="n">
        <f aca="false">$G$246+((tp_g+tp_gd)-$G$246)*3/3</f>
        <v>0.06</v>
      </c>
      <c r="K246" s="8" t="s">
        <v>693</v>
      </c>
    </row>
    <row r="247" customFormat="false" ht="17.15" hidden="false" customHeight="false" outlineLevel="0" collapsed="false">
      <c r="A247" s="5" t="s">
        <v>694</v>
      </c>
      <c r="B247" s="0" t="s">
        <v>46</v>
      </c>
      <c r="C247" s="16" t="n">
        <f aca="false">C248/C245</f>
        <v>0.527932130167327</v>
      </c>
      <c r="D247" s="16" t="n">
        <f aca="false">D248/D245</f>
        <v>0.542267091010398</v>
      </c>
      <c r="E247" s="16" t="n">
        <f aca="false">E248/E245</f>
        <v>0.512491257092463</v>
      </c>
      <c r="F247" s="16" t="n">
        <f aca="false">F248/F245</f>
        <v>0.495287851619557</v>
      </c>
      <c r="G247" s="16" t="n">
        <f aca="false">G248/G245</f>
        <v>0.501899378877441</v>
      </c>
      <c r="H247" s="26" t="n">
        <f aca="false">$G$247+($G$247-$G$247)*1/3</f>
        <v>0.501899378877441</v>
      </c>
      <c r="I247" s="26" t="n">
        <f aca="false">$G$247+($G$247-$G$247)*2/3</f>
        <v>0.501899378877441</v>
      </c>
      <c r="J247" s="26" t="n">
        <f aca="false">$G$247+($G$247-$G$247)*3/3</f>
        <v>0.501899378877441</v>
      </c>
      <c r="K247" s="8" t="s">
        <v>695</v>
      </c>
    </row>
    <row r="248" customFormat="false" ht="15" hidden="false" customHeight="false" outlineLevel="0" collapsed="false">
      <c r="A248" s="5" t="s">
        <v>696</v>
      </c>
      <c r="B248" s="0" t="s">
        <v>241</v>
      </c>
      <c r="C248" s="22" t="n">
        <f aca="false">C121</f>
        <v>33.728</v>
      </c>
      <c r="D248" s="22" t="n">
        <f aca="false">D121</f>
        <v>57.42012</v>
      </c>
      <c r="E248" s="22" t="n">
        <f aca="false">E121</f>
        <v>88.9209940992055</v>
      </c>
      <c r="F248" s="22" t="n">
        <f aca="false">F121</f>
        <v>102.908540119168</v>
      </c>
      <c r="G248" s="22" t="n">
        <f aca="false">G121</f>
        <v>116.93910846797</v>
      </c>
      <c r="H248" s="25" t="n">
        <f aca="false">H245*H247</f>
        <v>128.73991338678</v>
      </c>
      <c r="I248" s="25" t="n">
        <f aca="false">I245*I247</f>
        <v>139.09794705328</v>
      </c>
      <c r="J248" s="25" t="n">
        <f aca="false">J245*J247</f>
        <v>147.443823876477</v>
      </c>
    </row>
    <row r="249" customFormat="false" ht="17.15" hidden="false" customHeight="false" outlineLevel="0" collapsed="false">
      <c r="A249" s="5" t="s">
        <v>682</v>
      </c>
      <c r="B249" s="5" t="s">
        <v>304</v>
      </c>
      <c r="C249" s="17" t="n">
        <f aca="false">C122</f>
        <v>4.943</v>
      </c>
      <c r="D249" s="17" t="n">
        <f aca="false">D122</f>
        <v>4.9435</v>
      </c>
      <c r="E249" s="17" t="n">
        <f aca="false">E122</f>
        <v>4.9187825</v>
      </c>
      <c r="F249" s="17" t="n">
        <f aca="false">F122</f>
        <v>4.8941885875</v>
      </c>
      <c r="G249" s="17" t="n">
        <f aca="false">G122</f>
        <v>4.8697176445625</v>
      </c>
      <c r="H249" s="27" t="n">
        <f aca="false">G249*(1+$G$249/$F$249-1)</f>
        <v>4.84536905633969</v>
      </c>
      <c r="I249" s="27" t="n">
        <f aca="false">H249*(1+$G$249/$F$249-1)</f>
        <v>4.82114221105799</v>
      </c>
      <c r="J249" s="27" t="n">
        <f aca="false">I249*(1+$G$249/$F$249-1)</f>
        <v>4.7970365000027</v>
      </c>
      <c r="K249" s="8" t="s">
        <v>697</v>
      </c>
    </row>
    <row r="250" customFormat="false" ht="17.15" hidden="false" customHeight="false" outlineLevel="0" collapsed="false">
      <c r="A250" s="0" t="s">
        <v>698</v>
      </c>
      <c r="B250" s="0" t="s">
        <v>354</v>
      </c>
      <c r="C250" s="24" t="n">
        <f aca="false">C123</f>
        <v>6.82338660732349</v>
      </c>
      <c r="D250" s="24" t="n">
        <f aca="false">D123</f>
        <v>11.6152766258724</v>
      </c>
      <c r="E250" s="24" t="n">
        <f aca="false">E123</f>
        <v>18.0778463164829</v>
      </c>
      <c r="F250" s="24" t="n">
        <f aca="false">F123</f>
        <v>21.0266805782682</v>
      </c>
      <c r="G250" s="24" t="n">
        <f aca="false">G123</f>
        <v>24.0135295315415</v>
      </c>
      <c r="H250" s="28" t="n">
        <f aca="false">H248/H249</f>
        <v>26.5696816671449</v>
      </c>
      <c r="I250" s="28" t="n">
        <f aca="false">I248/I249</f>
        <v>28.8516581681077</v>
      </c>
      <c r="J250" s="28" t="n">
        <f aca="false">J248/J249</f>
        <v>30.7364398574816</v>
      </c>
    </row>
    <row r="251" customFormat="false" ht="17.15" hidden="false" customHeight="false" outlineLevel="0" collapsed="false">
      <c r="A251" s="0" t="s">
        <v>632</v>
      </c>
      <c r="B251" s="0" t="s">
        <v>46</v>
      </c>
      <c r="C251" s="16"/>
      <c r="D251" s="16" t="n">
        <f aca="false">D250/C250-1</f>
        <v>0.702274441463682</v>
      </c>
      <c r="E251" s="16" t="n">
        <f aca="false">E250/D250-1</f>
        <v>0.556385344815253</v>
      </c>
      <c r="F251" s="16" t="n">
        <f aca="false">F250/E250-1</f>
        <v>0.163118670784176</v>
      </c>
      <c r="G251" s="16" t="n">
        <f aca="false">G250/F250-1</f>
        <v>0.142050426939965</v>
      </c>
      <c r="H251" s="26" t="n">
        <f aca="false">H250/G250-1</f>
        <v>0.106446331941583</v>
      </c>
      <c r="I251" s="26" t="n">
        <f aca="false">I250/H250-1</f>
        <v>0.0858864825537062</v>
      </c>
      <c r="J251" s="26" t="n">
        <f aca="false">J250/I250-1</f>
        <v>0.0653266331658291</v>
      </c>
    </row>
    <row r="253" customFormat="false" ht="17.15" hidden="false" customHeight="false" outlineLevel="0" collapsed="false">
      <c r="A253" s="3" t="s">
        <v>633</v>
      </c>
    </row>
    <row r="254" customFormat="false" ht="15" hidden="false" customHeight="false" outlineLevel="0" collapsed="false">
      <c r="A254" s="5" t="s">
        <v>514</v>
      </c>
      <c r="B254" s="0" t="s">
        <v>241</v>
      </c>
      <c r="C254" s="22" t="n">
        <f aca="false">C160</f>
        <v>63.887</v>
      </c>
      <c r="D254" s="22" t="n">
        <f aca="false">D160</f>
        <v>105.889</v>
      </c>
      <c r="E254" s="22" t="n">
        <f aca="false">E160</f>
        <v>173.507338649413</v>
      </c>
      <c r="F254" s="22" t="n">
        <f aca="false">F160</f>
        <v>166.643073618106</v>
      </c>
      <c r="G254" s="22" t="n">
        <f aca="false">G160</f>
        <v>195.887291674461</v>
      </c>
      <c r="H254" s="25" t="n">
        <f aca="false">G254*(1+H255)</f>
        <v>221.416649084852</v>
      </c>
      <c r="I254" s="25" t="n">
        <f aca="false">H254*(1+I255)</f>
        <v>240.273240078539</v>
      </c>
      <c r="J254" s="25" t="n">
        <f aca="false">I254*(1+J255)</f>
        <v>249.884169681681</v>
      </c>
    </row>
    <row r="255" customFormat="false" ht="17.15" hidden="false" customHeight="false" outlineLevel="0" collapsed="false">
      <c r="A255" s="5" t="s">
        <v>626</v>
      </c>
      <c r="B255" s="0" t="s">
        <v>46</v>
      </c>
      <c r="C255" s="16"/>
      <c r="D255" s="16" t="n">
        <f aca="false">D254/C254-1</f>
        <v>0.657442046112668</v>
      </c>
      <c r="E255" s="16" t="n">
        <f aca="false">E254/D254-1</f>
        <v>0.638577554320216</v>
      </c>
      <c r="F255" s="16" t="n">
        <f aca="false">F254/E254-1</f>
        <v>-0.0395618138387638</v>
      </c>
      <c r="G255" s="16" t="n">
        <f aca="false">G254/F254-1</f>
        <v>0.175490150423978</v>
      </c>
      <c r="H255" s="26" t="n">
        <f aca="false">$G$255+(tp_g-$G$255)*1/3</f>
        <v>0.130326766949318</v>
      </c>
      <c r="I255" s="26" t="n">
        <f aca="false">$G$255+(tp_g-$G$255)*2/3</f>
        <v>0.0851633834746592</v>
      </c>
      <c r="J255" s="26" t="n">
        <f aca="false">$G$255+(tp_g-$G$255)*3/3</f>
        <v>0.04</v>
      </c>
      <c r="K255" s="8" t="s">
        <v>699</v>
      </c>
    </row>
    <row r="256" customFormat="false" ht="17.15" hidden="false" customHeight="false" outlineLevel="0" collapsed="false">
      <c r="A256" s="5" t="s">
        <v>694</v>
      </c>
      <c r="B256" s="0" t="s">
        <v>46</v>
      </c>
      <c r="C256" s="16" t="n">
        <f aca="false">C257/C254</f>
        <v>0.527932130167327</v>
      </c>
      <c r="D256" s="16" t="n">
        <f aca="false">D257/D254</f>
        <v>0.542267091010398</v>
      </c>
      <c r="E256" s="16" t="n">
        <f aca="false">E257/E254</f>
        <v>0.512491257092463</v>
      </c>
      <c r="F256" s="16" t="n">
        <f aca="false">F257/F254</f>
        <v>0.523880145438538</v>
      </c>
      <c r="G256" s="16" t="n">
        <f aca="false">G257/G254</f>
        <v>0.527037800077879</v>
      </c>
      <c r="H256" s="26" t="n">
        <f aca="false">$G$256+(($G$256+$G$256*nm10_k)/2-$G$256)*1/3</f>
        <v>0.509469873408617</v>
      </c>
      <c r="I256" s="26" t="n">
        <f aca="false">$G$256+(($G$256+$G$256*nm10_k)/2-$G$256)*2/3</f>
        <v>0.491901946739354</v>
      </c>
      <c r="J256" s="26" t="n">
        <f aca="false">$G$256+(($G$256+$G$256*nm10_k)/2-$G$256)*3/3</f>
        <v>0.474334020070091</v>
      </c>
      <c r="K256" s="8" t="s">
        <v>700</v>
      </c>
    </row>
    <row r="257" customFormat="false" ht="15" hidden="false" customHeight="false" outlineLevel="0" collapsed="false">
      <c r="A257" s="5" t="s">
        <v>696</v>
      </c>
      <c r="B257" s="0" t="s">
        <v>241</v>
      </c>
      <c r="C257" s="22" t="n">
        <f aca="false">C178</f>
        <v>33.728</v>
      </c>
      <c r="D257" s="22" t="n">
        <f aca="false">D178</f>
        <v>57.42012</v>
      </c>
      <c r="E257" s="22" t="n">
        <f aca="false">E178</f>
        <v>88.9209940992055</v>
      </c>
      <c r="F257" s="22" t="n">
        <f aca="false">F178</f>
        <v>87.3009976433784</v>
      </c>
      <c r="G257" s="22" t="n">
        <f aca="false">G178</f>
        <v>103.240007267322</v>
      </c>
      <c r="H257" s="25" t="n">
        <f aca="false">H254*H256</f>
        <v>112.80511217982</v>
      </c>
      <c r="I257" s="25" t="n">
        <f aca="false">I254*I256</f>
        <v>118.190874544006</v>
      </c>
      <c r="J257" s="25" t="n">
        <f aca="false">J254*J256</f>
        <v>118.528562756989</v>
      </c>
    </row>
    <row r="258" customFormat="false" ht="17.15" hidden="false" customHeight="false" outlineLevel="0" collapsed="false">
      <c r="A258" s="5" t="s">
        <v>682</v>
      </c>
      <c r="B258" s="5" t="s">
        <v>304</v>
      </c>
      <c r="C258" s="17" t="n">
        <f aca="false">C179</f>
        <v>4.943</v>
      </c>
      <c r="D258" s="17" t="n">
        <f aca="false">D179</f>
        <v>4.9435</v>
      </c>
      <c r="E258" s="17" t="n">
        <f aca="false">E179</f>
        <v>4.9187825</v>
      </c>
      <c r="F258" s="17" t="n">
        <f aca="false">F179</f>
        <v>4.8941885875</v>
      </c>
      <c r="G258" s="17" t="n">
        <f aca="false">G179</f>
        <v>4.8697176445625</v>
      </c>
      <c r="H258" s="27" t="n">
        <f aca="false">G258*(1+$G$258/$F$258-1)</f>
        <v>4.84536905633969</v>
      </c>
      <c r="I258" s="27" t="n">
        <f aca="false">H258*(1+$G$258/$F$258-1)</f>
        <v>4.82114221105799</v>
      </c>
      <c r="J258" s="27" t="n">
        <f aca="false">I258*(1+$G$258/$F$258-1)</f>
        <v>4.7970365000027</v>
      </c>
      <c r="K258" s="8" t="s">
        <v>697</v>
      </c>
    </row>
    <row r="259" customFormat="false" ht="17.15" hidden="false" customHeight="false" outlineLevel="0" collapsed="false">
      <c r="A259" s="0" t="s">
        <v>698</v>
      </c>
      <c r="B259" s="0" t="s">
        <v>354</v>
      </c>
      <c r="C259" s="24" t="n">
        <f aca="false">C180</f>
        <v>6.82338660732349</v>
      </c>
      <c r="D259" s="24" t="n">
        <f aca="false">D180</f>
        <v>11.6152766258724</v>
      </c>
      <c r="E259" s="24" t="n">
        <f aca="false">E180</f>
        <v>18.0778463164829</v>
      </c>
      <c r="F259" s="24" t="n">
        <f aca="false">F180</f>
        <v>17.837685672013</v>
      </c>
      <c r="G259" s="24" t="n">
        <f aca="false">G180</f>
        <v>21.2004093055784</v>
      </c>
      <c r="H259" s="28" t="n">
        <f aca="false">H257/H258</f>
        <v>23.2810155156758</v>
      </c>
      <c r="I259" s="28" t="n">
        <f aca="false">I257/I258</f>
        <v>24.5151189012674</v>
      </c>
      <c r="J259" s="28" t="n">
        <f aca="false">J257/J258</f>
        <v>24.7087056262594</v>
      </c>
    </row>
    <row r="260" customFormat="false" ht="17.15" hidden="false" customHeight="false" outlineLevel="0" collapsed="false">
      <c r="A260" s="0" t="s">
        <v>632</v>
      </c>
      <c r="B260" s="0" t="s">
        <v>46</v>
      </c>
      <c r="C260" s="16"/>
      <c r="D260" s="16" t="n">
        <f aca="false">D259/C259-1</f>
        <v>0.702274441463682</v>
      </c>
      <c r="E260" s="16" t="n">
        <f aca="false">E259/D259-1</f>
        <v>0.556385344815253</v>
      </c>
      <c r="F260" s="16" t="n">
        <f aca="false">F259/E259-1</f>
        <v>-0.0132848039675448</v>
      </c>
      <c r="G260" s="16" t="n">
        <f aca="false">G259/F259-1</f>
        <v>0.188517933065801</v>
      </c>
      <c r="H260" s="26" t="n">
        <f aca="false">H259/G259-1</f>
        <v>0.0981399075889522</v>
      </c>
      <c r="I260" s="26" t="n">
        <f aca="false">I259/H259-1</f>
        <v>0.0530090014656197</v>
      </c>
      <c r="J260" s="26" t="n">
        <f aca="false">J259/I259-1</f>
        <v>0.00789662598707808</v>
      </c>
    </row>
    <row r="262" customFormat="false" ht="17.15" hidden="false" customHeight="false" outlineLevel="0" collapsed="false">
      <c r="A262" s="3" t="s">
        <v>634</v>
      </c>
    </row>
    <row r="263" customFormat="false" ht="15" hidden="false" customHeight="false" outlineLevel="0" collapsed="false">
      <c r="A263" s="5" t="s">
        <v>514</v>
      </c>
      <c r="B263" s="0" t="s">
        <v>241</v>
      </c>
      <c r="C263" s="22" t="n">
        <f aca="false">C217</f>
        <v>63.887</v>
      </c>
      <c r="D263" s="22" t="n">
        <f aca="false">D217</f>
        <v>105.889</v>
      </c>
      <c r="E263" s="22" t="n">
        <f aca="false">E217</f>
        <v>173.507338649413</v>
      </c>
      <c r="F263" s="22" t="n">
        <f aca="false">F217</f>
        <v>135.500194910503</v>
      </c>
      <c r="G263" s="22" t="n">
        <f aca="false">G217</f>
        <v>152.586473339143</v>
      </c>
      <c r="H263" s="25" t="n">
        <f aca="false">G263*(1+H264)</f>
        <v>166.430930357855</v>
      </c>
      <c r="I263" s="25" t="n">
        <f aca="false">H263*(1+I264)</f>
        <v>175.645534951378</v>
      </c>
      <c r="J263" s="25" t="n">
        <f aca="false">I263*(1+J264)</f>
        <v>179.158445650406</v>
      </c>
    </row>
    <row r="264" customFormat="false" ht="17.15" hidden="false" customHeight="false" outlineLevel="0" collapsed="false">
      <c r="A264" s="5" t="s">
        <v>626</v>
      </c>
      <c r="B264" s="0" t="s">
        <v>46</v>
      </c>
      <c r="C264" s="16"/>
      <c r="D264" s="16" t="n">
        <f aca="false">D263/C263-1</f>
        <v>0.657442046112668</v>
      </c>
      <c r="E264" s="16" t="n">
        <f aca="false">E263/D263-1</f>
        <v>0.638577554320216</v>
      </c>
      <c r="F264" s="16" t="n">
        <f aca="false">F263/E263-1</f>
        <v>-0.219052081801028</v>
      </c>
      <c r="G264" s="16" t="n">
        <f aca="false">G263/F263-1</f>
        <v>0.126097814397423</v>
      </c>
      <c r="H264" s="26" t="n">
        <f aca="false">$G$264+((tp_g-tp_gd)-$G$264)*1/3</f>
        <v>0.0907318762649488</v>
      </c>
      <c r="I264" s="26" t="n">
        <f aca="false">$G$264+((tp_g-tp_gd)-$G$264)*2/3</f>
        <v>0.0553659381324744</v>
      </c>
      <c r="J264" s="26" t="n">
        <f aca="false">$G$264+((tp_g-tp_gd)-$G$264)*3/3</f>
        <v>0.02</v>
      </c>
      <c r="K264" s="8" t="s">
        <v>701</v>
      </c>
    </row>
    <row r="265" customFormat="false" ht="17.15" hidden="false" customHeight="false" outlineLevel="0" collapsed="false">
      <c r="A265" s="5" t="s">
        <v>694</v>
      </c>
      <c r="B265" s="0" t="s">
        <v>46</v>
      </c>
      <c r="C265" s="16" t="n">
        <f aca="false">C266/C263</f>
        <v>0.527932130167327</v>
      </c>
      <c r="D265" s="16" t="n">
        <f aca="false">D266/D263</f>
        <v>0.542267091010398</v>
      </c>
      <c r="E265" s="16" t="n">
        <f aca="false">E266/E263</f>
        <v>0.512491257092463</v>
      </c>
      <c r="F265" s="16" t="n">
        <f aca="false">F266/F263</f>
        <v>0.535294826140844</v>
      </c>
      <c r="G265" s="16" t="n">
        <f aca="false">G266/G263</f>
        <v>0.537175537975364</v>
      </c>
      <c r="H265" s="26" t="n">
        <f aca="false">$G$265+($G$265*nm10_k-$G$265)*1/3</f>
        <v>0.501363835443673</v>
      </c>
      <c r="I265" s="26" t="n">
        <f aca="false">$G$265+($G$265*nm10_k-$G$265)*2/3</f>
        <v>0.465552132911982</v>
      </c>
      <c r="J265" s="26" t="n">
        <f aca="false">$G$265+($G$265*nm10_k-$G$265)*3/3</f>
        <v>0.429740430380291</v>
      </c>
      <c r="K265" s="8" t="s">
        <v>702</v>
      </c>
    </row>
    <row r="266" customFormat="false" ht="15" hidden="false" customHeight="false" outlineLevel="0" collapsed="false">
      <c r="A266" s="5" t="s">
        <v>696</v>
      </c>
      <c r="B266" s="0" t="s">
        <v>241</v>
      </c>
      <c r="C266" s="22" t="n">
        <f aca="false">C235</f>
        <v>33.728</v>
      </c>
      <c r="D266" s="22" t="n">
        <f aca="false">D235</f>
        <v>57.42012</v>
      </c>
      <c r="E266" s="22" t="n">
        <f aca="false">E235</f>
        <v>88.9209940992055</v>
      </c>
      <c r="F266" s="22" t="n">
        <f aca="false">F235</f>
        <v>72.5325532766684</v>
      </c>
      <c r="G266" s="22" t="n">
        <f aca="false">G235</f>
        <v>81.9657209037175</v>
      </c>
      <c r="H266" s="25" t="n">
        <f aca="false">H263*H265</f>
        <v>83.4424495806729</v>
      </c>
      <c r="I266" s="25" t="n">
        <f aca="false">I263*I265</f>
        <v>81.7721534330801</v>
      </c>
      <c r="J266" s="25" t="n">
        <f aca="false">J263*J265</f>
        <v>76.9916275400692</v>
      </c>
    </row>
    <row r="267" customFormat="false" ht="17.15" hidden="false" customHeight="false" outlineLevel="0" collapsed="false">
      <c r="A267" s="5" t="s">
        <v>682</v>
      </c>
      <c r="B267" s="5" t="s">
        <v>304</v>
      </c>
      <c r="C267" s="17" t="n">
        <f aca="false">C236</f>
        <v>4.943</v>
      </c>
      <c r="D267" s="17" t="n">
        <f aca="false">D236</f>
        <v>4.9435</v>
      </c>
      <c r="E267" s="17" t="n">
        <f aca="false">E236</f>
        <v>4.9187825</v>
      </c>
      <c r="F267" s="17" t="n">
        <f aca="false">F236</f>
        <v>4.8941885875</v>
      </c>
      <c r="G267" s="17" t="n">
        <f aca="false">G236</f>
        <v>4.8697176445625</v>
      </c>
      <c r="H267" s="27" t="n">
        <f aca="false">G267*(1+$G$267/$F$267-1)</f>
        <v>4.84536905633969</v>
      </c>
      <c r="I267" s="27" t="n">
        <f aca="false">H267*(1+$G$267/$F$267-1)</f>
        <v>4.82114221105799</v>
      </c>
      <c r="J267" s="27" t="n">
        <f aca="false">I267*(1+$G$267/$F$267-1)</f>
        <v>4.7970365000027</v>
      </c>
      <c r="K267" s="8" t="s">
        <v>697</v>
      </c>
    </row>
    <row r="268" customFormat="false" ht="17.15" hidden="false" customHeight="false" outlineLevel="0" collapsed="false">
      <c r="A268" s="0" t="s">
        <v>698</v>
      </c>
      <c r="B268" s="0" t="s">
        <v>354</v>
      </c>
      <c r="C268" s="24" t="n">
        <f aca="false">C237</f>
        <v>6.82338660732349</v>
      </c>
      <c r="D268" s="24" t="n">
        <f aca="false">D237</f>
        <v>11.6152766258724</v>
      </c>
      <c r="E268" s="24" t="n">
        <f aca="false">E237</f>
        <v>18.0778463164829</v>
      </c>
      <c r="F268" s="24" t="n">
        <f aca="false">F237</f>
        <v>14.820138615402</v>
      </c>
      <c r="G268" s="24" t="n">
        <f aca="false">G237</f>
        <v>16.8317193903922</v>
      </c>
      <c r="H268" s="28" t="n">
        <f aca="false">H266/H267</f>
        <v>17.2210720402188</v>
      </c>
      <c r="I268" s="28" t="n">
        <f aca="false">I266/I267</f>
        <v>16.9611577201609</v>
      </c>
      <c r="J268" s="28" t="n">
        <f aca="false">J266/J267</f>
        <v>16.0498315032679</v>
      </c>
    </row>
    <row r="269" customFormat="false" ht="17.15" hidden="false" customHeight="false" outlineLevel="0" collapsed="false">
      <c r="A269" s="0" t="s">
        <v>632</v>
      </c>
      <c r="B269" s="0" t="s">
        <v>46</v>
      </c>
      <c r="C269" s="16"/>
      <c r="D269" s="16" t="n">
        <f aca="false">D268/C268-1</f>
        <v>0.702274441463682</v>
      </c>
      <c r="E269" s="16" t="n">
        <f aca="false">E268/D268-1</f>
        <v>0.556385344815253</v>
      </c>
      <c r="F269" s="16" t="n">
        <f aca="false">F268/E268-1</f>
        <v>-0.180204413957798</v>
      </c>
      <c r="G269" s="16" t="n">
        <f aca="false">G268/F268-1</f>
        <v>0.13573292579731</v>
      </c>
      <c r="H269" s="26" t="n">
        <f aca="false">H268/G268-1</f>
        <v>0.0231320782384779</v>
      </c>
      <c r="I269" s="26" t="n">
        <f aca="false">I268/H268-1</f>
        <v>-0.015092807198696</v>
      </c>
      <c r="J269" s="26" t="n">
        <f aca="false">J268/I268-1</f>
        <v>-0.0537301894085813</v>
      </c>
    </row>
    <row r="271" customFormat="false" ht="17.15" hidden="false" customHeight="false" outlineLevel="0" collapsed="false">
      <c r="A271" s="1" t="s">
        <v>703</v>
      </c>
    </row>
    <row r="272" customFormat="false" ht="15" hidden="false" customHeight="false" outlineLevel="0" collapsed="false">
      <c r="A272" s="6" t="s">
        <v>24</v>
      </c>
      <c r="B272" s="6" t="s">
        <v>25</v>
      </c>
      <c r="C272" s="13" t="s">
        <v>704</v>
      </c>
      <c r="D272" s="13" t="s">
        <v>705</v>
      </c>
      <c r="E272" s="13" t="s">
        <v>706</v>
      </c>
      <c r="F272" s="13" t="s">
        <v>707</v>
      </c>
      <c r="G272" s="13" t="s">
        <v>708</v>
      </c>
      <c r="H272" s="13" t="s">
        <v>709</v>
      </c>
      <c r="I272" s="13" t="s">
        <v>710</v>
      </c>
      <c r="J272" s="13" t="s">
        <v>711</v>
      </c>
      <c r="K272" s="13" t="s">
        <v>712</v>
      </c>
      <c r="L272" s="13" t="s">
        <v>713</v>
      </c>
      <c r="M272" s="13" t="s">
        <v>714</v>
      </c>
      <c r="N272" s="13" t="s">
        <v>715</v>
      </c>
      <c r="O272" s="13" t="s">
        <v>716</v>
      </c>
      <c r="P272" s="13" t="s">
        <v>717</v>
      </c>
      <c r="Q272" s="13" t="s">
        <v>718</v>
      </c>
      <c r="R272" s="13" t="s">
        <v>719</v>
      </c>
      <c r="S272" s="13" t="s">
        <v>720</v>
      </c>
      <c r="T272" s="13" t="s">
        <v>721</v>
      </c>
      <c r="U272" s="13" t="s">
        <v>722</v>
      </c>
      <c r="V272" s="13" t="s">
        <v>723</v>
      </c>
      <c r="W272" s="13" t="s">
        <v>724</v>
      </c>
      <c r="X272" s="6" t="s">
        <v>480</v>
      </c>
    </row>
    <row r="273" customFormat="false" ht="17.15" hidden="false" customHeight="false" outlineLevel="0" collapsed="false">
      <c r="A273" s="5" t="s">
        <v>725</v>
      </c>
      <c r="B273" s="0" t="s">
        <v>241</v>
      </c>
      <c r="C273" s="21" t="n">
        <f aca="false">D248+D245*da_rev-D245*cx_rev</f>
        <v>57.3389053397405</v>
      </c>
      <c r="D273" s="21" t="n">
        <f aca="false">E248+E245*da_rev-E245*cx_rev</f>
        <v>88.7879175798225</v>
      </c>
      <c r="E273" s="21" t="n">
        <f aca="false">F248+F245*da_rev-F245*cx_rev</f>
        <v>102.749180851071</v>
      </c>
      <c r="F273" s="21" t="n">
        <f aca="false">G248+G245*da_rev-G245*cx_rev</f>
        <v>116.760407582174</v>
      </c>
      <c r="G273" s="21" t="n">
        <f aca="false">H248+H245*da_rev-H245*cx_rev</f>
        <v>128.543179061874</v>
      </c>
      <c r="H273" s="21" t="n">
        <f aca="false">I248+I245*da_rev-I245*cx_rev</f>
        <v>138.88538406493</v>
      </c>
      <c r="I273" s="21" t="n">
        <f aca="false">J248+J245*da_rev-J245*cx_rev</f>
        <v>147.218507108826</v>
      </c>
      <c r="J273" s="21" t="n">
        <f aca="false">D257+D254*da_rev-D254*cx_rev</f>
        <v>57.3389053397405</v>
      </c>
      <c r="K273" s="21" t="n">
        <f aca="false">E257+E254*da_rev-E254*cx_rev</f>
        <v>88.7879175798225</v>
      </c>
      <c r="L273" s="21" t="n">
        <f aca="false">F257+F254*da_rev-F254*cx_rev</f>
        <v>87.1731858724815</v>
      </c>
      <c r="M273" s="21" t="n">
        <f aca="false">G257+G254*da_rev-G254*cx_rev</f>
        <v>103.089765789524</v>
      </c>
      <c r="N273" s="21" t="n">
        <f aca="false">H257+H254*da_rev-H254*cx_rev</f>
        <v>112.635290215959</v>
      </c>
      <c r="O273" s="21" t="n">
        <f aca="false">I257+I254*da_rev-I254*cx_rev</f>
        <v>118.006589967114</v>
      </c>
      <c r="P273" s="21" t="n">
        <f aca="false">J257+J254*da_rev-J254*cx_rev</f>
        <v>118.336906797022</v>
      </c>
      <c r="Q273" s="21" t="n">
        <f aca="false">D266+D263*da_rev-D263*cx_rev</f>
        <v>57.3389053397405</v>
      </c>
      <c r="R273" s="21" t="n">
        <f aca="false">E266+E263*da_rev-E263*cx_rev</f>
        <v>88.7879175798225</v>
      </c>
      <c r="S273" s="21" t="n">
        <f aca="false">F266+F263*da_rev-F263*cx_rev</f>
        <v>72.428627445895</v>
      </c>
      <c r="T273" s="21" t="n">
        <f aca="false">G266+G263*da_rev-G263*cx_rev</f>
        <v>81.8486902528242</v>
      </c>
      <c r="U273" s="21" t="n">
        <f aca="false">H266+H263*da_rev-H263*cx_rev</f>
        <v>83.3148005192436</v>
      </c>
      <c r="V273" s="21" t="n">
        <f aca="false">I266+I263*da_rev-I263*cx_rev</f>
        <v>81.637436961613</v>
      </c>
      <c r="W273" s="21" t="n">
        <f aca="false">J266+J263*da_rev-J263*cx_rev</f>
        <v>76.8542167391728</v>
      </c>
      <c r="X273" s="5" t="s">
        <v>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7" min="6" style="0" width="18"/>
  </cols>
  <sheetData>
    <row r="1" customFormat="false" ht="17.15" hidden="false" customHeight="false" outlineLevel="0" collapsed="false">
      <c r="A1" s="0" t="s">
        <v>727</v>
      </c>
    </row>
    <row r="2" customFormat="false" ht="17.15" hidden="false" customHeight="false" outlineLevel="0" collapsed="false">
      <c r="A2" s="5" t="s">
        <v>728</v>
      </c>
    </row>
    <row r="3" customFormat="false" ht="17.15" hidden="false" customHeight="false" outlineLevel="0" collapsed="false">
      <c r="A3" s="1" t="s">
        <v>729</v>
      </c>
    </row>
    <row r="4" customFormat="false" ht="17.15" hidden="false" customHeight="false" outlineLevel="0" collapsed="false">
      <c r="A4" s="1" t="s">
        <v>730</v>
      </c>
    </row>
    <row r="5" customFormat="false" ht="17.15" hidden="false" customHeight="false" outlineLevel="0" collapsed="false">
      <c r="A5" s="6" t="s">
        <v>24</v>
      </c>
      <c r="B5" s="13" t="s">
        <v>731</v>
      </c>
      <c r="C5" s="13" t="s">
        <v>732</v>
      </c>
      <c r="D5" s="13" t="s">
        <v>733</v>
      </c>
      <c r="E5" s="6" t="s">
        <v>480</v>
      </c>
      <c r="F5" s="6" t="s">
        <v>734</v>
      </c>
      <c r="G5" s="6" t="s">
        <v>735</v>
      </c>
    </row>
    <row r="6" customFormat="false" ht="17.15" hidden="false" customHeight="false" outlineLevel="0" collapsed="false">
      <c r="A6" s="5" t="s">
        <v>736</v>
      </c>
      <c r="E6" s="5" t="s">
        <v>737</v>
      </c>
    </row>
    <row r="7" customFormat="false" ht="15" hidden="false" customHeight="false" outlineLevel="0" collapsed="false">
      <c r="A7" s="0" t="s">
        <v>738</v>
      </c>
      <c r="B7" s="24" t="n">
        <f aca="false">PL!E250</f>
        <v>18.0778463164829</v>
      </c>
      <c r="C7" s="24" t="n">
        <f aca="false">PL!E259</f>
        <v>18.0778463164829</v>
      </c>
      <c r="D7" s="24" t="n">
        <f aca="false">PL!E268</f>
        <v>18.0778463164829</v>
      </c>
      <c r="F7" s="17" t="n">
        <v>0.833333</v>
      </c>
      <c r="G7" s="17" t="n">
        <v>0.833333</v>
      </c>
    </row>
    <row r="8" customFormat="false" ht="15" hidden="false" customHeight="false" outlineLevel="0" collapsed="false">
      <c r="A8" s="0" t="s">
        <v>739</v>
      </c>
      <c r="B8" s="24" t="n">
        <f aca="false">PL!F250</f>
        <v>21.0266805782682</v>
      </c>
      <c r="C8" s="24" t="n">
        <f aca="false">PL!F259</f>
        <v>17.837685672013</v>
      </c>
      <c r="D8" s="24" t="n">
        <f aca="false">PL!F268</f>
        <v>14.820138615402</v>
      </c>
      <c r="F8" s="17" t="n">
        <v>1.833333</v>
      </c>
      <c r="G8" s="17" t="n">
        <v>1</v>
      </c>
    </row>
    <row r="9" customFormat="false" ht="15" hidden="false" customHeight="false" outlineLevel="0" collapsed="false">
      <c r="A9" s="0" t="s">
        <v>740</v>
      </c>
      <c r="B9" s="24" t="n">
        <f aca="false">PL!G250</f>
        <v>24.0135295315415</v>
      </c>
      <c r="C9" s="24" t="n">
        <f aca="false">PL!G259</f>
        <v>21.2004093055784</v>
      </c>
      <c r="D9" s="24" t="n">
        <f aca="false">PL!G268</f>
        <v>16.8317193903922</v>
      </c>
      <c r="F9" s="17" t="n">
        <v>2.833333</v>
      </c>
      <c r="G9" s="17" t="n">
        <v>1</v>
      </c>
    </row>
    <row r="10" customFormat="false" ht="15" hidden="false" customHeight="false" outlineLevel="0" collapsed="false">
      <c r="A10" s="0" t="s">
        <v>741</v>
      </c>
      <c r="B10" s="24" t="n">
        <f aca="false">PL!H250</f>
        <v>26.5696816671449</v>
      </c>
      <c r="C10" s="24" t="n">
        <f aca="false">PL!H259</f>
        <v>23.2810155156758</v>
      </c>
      <c r="D10" s="24" t="n">
        <f aca="false">PL!H268</f>
        <v>17.2210720402188</v>
      </c>
      <c r="F10" s="17" t="n">
        <v>3.833333</v>
      </c>
      <c r="G10" s="17" t="n">
        <v>1</v>
      </c>
    </row>
    <row r="11" customFormat="false" ht="15" hidden="false" customHeight="false" outlineLevel="0" collapsed="false">
      <c r="A11" s="0" t="s">
        <v>742</v>
      </c>
      <c r="B11" s="24" t="n">
        <f aca="false">PL!I250</f>
        <v>28.8516581681077</v>
      </c>
      <c r="C11" s="24" t="n">
        <f aca="false">PL!I259</f>
        <v>24.5151189012674</v>
      </c>
      <c r="D11" s="24" t="n">
        <f aca="false">PL!I268</f>
        <v>16.9611577201609</v>
      </c>
      <c r="F11" s="17" t="n">
        <v>4.833333</v>
      </c>
      <c r="G11" s="17" t="n">
        <v>1</v>
      </c>
    </row>
    <row r="12" customFormat="false" ht="15" hidden="false" customHeight="false" outlineLevel="0" collapsed="false">
      <c r="A12" s="0" t="s">
        <v>743</v>
      </c>
      <c r="B12" s="24" t="n">
        <f aca="false">PL!J250</f>
        <v>30.7364398574816</v>
      </c>
      <c r="C12" s="24" t="n">
        <f aca="false">PL!J259</f>
        <v>24.7087056262594</v>
      </c>
      <c r="D12" s="24" t="n">
        <f aca="false">PL!J268</f>
        <v>16.0498315032679</v>
      </c>
      <c r="F12" s="17" t="n">
        <v>5.833333</v>
      </c>
      <c r="G12" s="17" t="n">
        <v>1</v>
      </c>
    </row>
    <row r="13" customFormat="false" ht="17.15" hidden="false" customHeight="false" outlineLevel="0" collapsed="false">
      <c r="A13" s="5" t="s">
        <v>744</v>
      </c>
      <c r="B13" s="16" t="n">
        <f aca="false">1-MIN(0.8,tp_g/tp_roe)</f>
        <v>0.874804381846635</v>
      </c>
      <c r="E13" s="8" t="s">
        <v>745</v>
      </c>
    </row>
    <row r="14" customFormat="false" ht="17.15" hidden="false" customHeight="false" outlineLevel="0" collapsed="false">
      <c r="A14" s="0" t="s">
        <v>746</v>
      </c>
      <c r="B14" s="24" t="n">
        <f aca="false">B7*$B$13*$G$7</f>
        <v>13.178810705148</v>
      </c>
      <c r="C14" s="24" t="n">
        <f aca="false">C7*$B$13*$G$7</f>
        <v>13.178810705148</v>
      </c>
      <c r="D14" s="24" t="n">
        <f aca="false">D7*$B$13*$G$7</f>
        <v>13.178810705148</v>
      </c>
    </row>
    <row r="15" customFormat="false" ht="17.15" hidden="false" customHeight="false" outlineLevel="0" collapsed="false">
      <c r="A15" s="0" t="s">
        <v>747</v>
      </c>
      <c r="B15" s="24" t="n">
        <f aca="false">B8*$B$13*$G$8</f>
        <v>18.3942323055586</v>
      </c>
      <c r="C15" s="24" t="n">
        <f aca="false">C8*$B$13*$G$8</f>
        <v>15.6044855878799</v>
      </c>
      <c r="D15" s="24" t="n">
        <f aca="false">D8*$B$13*$G$8</f>
        <v>12.9647222003282</v>
      </c>
    </row>
    <row r="16" customFormat="false" ht="17.15" hidden="false" customHeight="false" outlineLevel="0" collapsed="false">
      <c r="A16" s="0" t="s">
        <v>748</v>
      </c>
      <c r="B16" s="24" t="n">
        <f aca="false">B9*$B$13*$G$9</f>
        <v>21.0071408577961</v>
      </c>
      <c r="C16" s="24" t="n">
        <f aca="false">C9*$B$13*$G$9</f>
        <v>18.5462109574621</v>
      </c>
      <c r="D16" s="24" t="n">
        <f aca="false">D9*$B$13*$G$9</f>
        <v>14.724461876728</v>
      </c>
    </row>
    <row r="17" customFormat="false" ht="17.15" hidden="false" customHeight="false" outlineLevel="0" collapsed="false">
      <c r="A17" s="0" t="s">
        <v>749</v>
      </c>
      <c r="B17" s="24" t="n">
        <f aca="false">B10*$B$13*$G$10</f>
        <v>23.2432739466886</v>
      </c>
      <c r="C17" s="24" t="n">
        <f aca="false">C10*$B$13*$G$10</f>
        <v>20.3663343869527</v>
      </c>
      <c r="D17" s="24" t="n">
        <f aca="false">D10*$B$13*$G$10</f>
        <v>15.06506928088</v>
      </c>
    </row>
    <row r="18" customFormat="false" ht="17.15" hidden="false" customHeight="false" outlineLevel="0" collapsed="false">
      <c r="A18" s="0" t="s">
        <v>750</v>
      </c>
      <c r="B18" s="24" t="n">
        <f aca="false">B11*$B$13*$G$11</f>
        <v>25.2395569890019</v>
      </c>
      <c r="C18" s="24" t="n">
        <f aca="false">C11*$B$13*$G$11</f>
        <v>21.44593343632</v>
      </c>
      <c r="D18" s="24" t="n">
        <f aca="false">D11*$B$13*$G$11</f>
        <v>14.8376950947887</v>
      </c>
    </row>
    <row r="19" customFormat="false" ht="17.15" hidden="false" customHeight="false" outlineLevel="0" collapsed="false">
      <c r="A19" s="0" t="s">
        <v>751</v>
      </c>
      <c r="B19" s="24" t="n">
        <f aca="false">B12*$B$13*$G$12</f>
        <v>26.8883722696905</v>
      </c>
      <c r="C19" s="24" t="n">
        <f aca="false">C12*$B$13*$G$12</f>
        <v>21.6152839516104</v>
      </c>
      <c r="D19" s="24" t="n">
        <f aca="false">D12*$B$13*$G$12</f>
        <v>14.0404629269589</v>
      </c>
    </row>
    <row r="20" customFormat="false" ht="17.15" hidden="false" customHeight="false" outlineLevel="0" collapsed="false">
      <c r="A20" s="5" t="s">
        <v>752</v>
      </c>
      <c r="B20" s="24" t="n">
        <f aca="false">B19*(1+tp_g)/(tp_r-tp_g)</f>
        <v>466.065119341301</v>
      </c>
      <c r="C20" s="24" t="n">
        <f aca="false">C19*(1+tp_g)/(tp_r-tp_g)</f>
        <v>374.664921827913</v>
      </c>
      <c r="D20" s="24" t="n">
        <f aca="false">D19*(1+tp_g)/(tp_r-tp_g)</f>
        <v>243.368024067288</v>
      </c>
    </row>
    <row r="21" customFormat="false" ht="17.15" hidden="false" customHeight="false" outlineLevel="0" collapsed="false">
      <c r="A21" s="9" t="s">
        <v>753</v>
      </c>
      <c r="B21" s="29" t="n">
        <f aca="false">MAX(0,B14/(1+tp_r)^$F$7+B15/(1+tp_r)^$F$8+B16/(1+tp_r)^$F$9+B17/(1+tp_r)^$F$10+B18/(1+tp_r)^$F$11+B19/(1+tp_r)^$F$12+B20/(1+tp_r)^$F$12)</f>
        <v>358.420753665944</v>
      </c>
      <c r="C21" s="29" t="n">
        <f aca="false">MAX(0,C14/(1+tp_r)^$F$7+C15/(1+tp_r)^$F$8+C16/(1+tp_r)^$F$9+C17/(1+tp_r)^$F$10+C18/(1+tp_r)^$F$11+C19/(1+tp_r)^$F$12+C20/(1+tp_r)^$F$12)</f>
        <v>294.366701386583</v>
      </c>
      <c r="D21" s="29" t="n">
        <f aca="false">MAX(0,D14/(1+tp_r)^$F$7+D15/(1+tp_r)^$F$8+D16/(1+tp_r)^$F$9+D17/(1+tp_r)^$F$10+D18/(1+tp_r)^$F$11+D19/(1+tp_r)^$F$12+D20/(1+tp_r)^$F$12)</f>
        <v>201.740497558479</v>
      </c>
      <c r="E21" s="10" t="s">
        <v>754</v>
      </c>
    </row>
    <row r="22" customFormat="false" ht="15" hidden="false" customHeight="false" outlineLevel="0" collapsed="false">
      <c r="A22" s="5" t="s">
        <v>755</v>
      </c>
      <c r="B22" s="16" t="n">
        <f aca="false">B20/(1+tp_r)^$F$12/B21</f>
        <v>0.74575493544878</v>
      </c>
      <c r="C22" s="16" t="n">
        <f aca="false">C20/(1+tp_r)^$F$12/C21</f>
        <v>0.729956594562252</v>
      </c>
      <c r="D22" s="16" t="n">
        <f aca="false">D20/(1+tp_r)^$F$12/D21</f>
        <v>0.691851858859787</v>
      </c>
    </row>
    <row r="23" customFormat="false" ht="17.15" hidden="false" customHeight="false" outlineLevel="0" collapsed="false">
      <c r="A23" s="9" t="s">
        <v>756</v>
      </c>
      <c r="B23" s="29" t="n">
        <f aca="false">(tp_wA*B21+tp_wB*C21+tp_wC*D21)*(1+tp_r)</f>
        <v>324.563443935248</v>
      </c>
      <c r="C23" s="9"/>
      <c r="D23" s="9"/>
      <c r="E23" s="9" t="s">
        <v>757</v>
      </c>
    </row>
    <row r="25" customFormat="false" ht="17.15" hidden="false" customHeight="false" outlineLevel="0" collapsed="false">
      <c r="A25" s="1" t="s">
        <v>758</v>
      </c>
    </row>
    <row r="26" customFormat="false" ht="17.15" hidden="false" customHeight="false" outlineLevel="0" collapsed="false">
      <c r="A26" s="6" t="s">
        <v>759</v>
      </c>
      <c r="B26" s="6" t="s">
        <v>760</v>
      </c>
      <c r="C26" s="6" t="s">
        <v>761</v>
      </c>
      <c r="D26" s="6" t="s">
        <v>762</v>
      </c>
      <c r="E26" s="6" t="s">
        <v>763</v>
      </c>
      <c r="F26" s="6" t="s">
        <v>29</v>
      </c>
    </row>
    <row r="27" customFormat="false" ht="17.15" hidden="false" customHeight="false" outlineLevel="0" collapsed="false">
      <c r="A27" s="0" t="s">
        <v>764</v>
      </c>
      <c r="B27" s="0" t="s">
        <v>765</v>
      </c>
      <c r="C27" s="30" t="n">
        <v>17.44</v>
      </c>
      <c r="D27" s="8" t="s">
        <v>766</v>
      </c>
      <c r="E27" s="8" t="s">
        <v>767</v>
      </c>
      <c r="F27" s="8" t="s">
        <v>768</v>
      </c>
    </row>
    <row r="28" customFormat="false" ht="17.15" hidden="false" customHeight="false" outlineLevel="0" collapsed="false">
      <c r="A28" s="0" t="s">
        <v>769</v>
      </c>
      <c r="B28" s="0" t="s">
        <v>769</v>
      </c>
      <c r="C28" s="30" t="n">
        <v>46.49</v>
      </c>
      <c r="D28" s="8" t="s">
        <v>766</v>
      </c>
      <c r="E28" s="5" t="s">
        <v>41</v>
      </c>
      <c r="F28" s="8" t="s">
        <v>770</v>
      </c>
    </row>
    <row r="29" customFormat="false" ht="17.15" hidden="false" customHeight="false" outlineLevel="0" collapsed="false">
      <c r="A29" s="0" t="s">
        <v>771</v>
      </c>
      <c r="B29" s="0" t="s">
        <v>772</v>
      </c>
      <c r="C29" s="30" t="n">
        <v>40.44</v>
      </c>
      <c r="D29" s="8" t="s">
        <v>766</v>
      </c>
      <c r="E29" s="5" t="s">
        <v>41</v>
      </c>
      <c r="F29" s="8" t="s">
        <v>770</v>
      </c>
    </row>
    <row r="30" customFormat="false" ht="17.15" hidden="false" customHeight="false" outlineLevel="0" collapsed="false">
      <c r="A30" s="0" t="s">
        <v>773</v>
      </c>
      <c r="B30" s="0" t="s">
        <v>774</v>
      </c>
      <c r="C30" s="30" t="n">
        <v>18.98</v>
      </c>
      <c r="D30" s="8" t="s">
        <v>766</v>
      </c>
      <c r="E30" s="5" t="s">
        <v>41</v>
      </c>
      <c r="F30" s="8" t="s">
        <v>770</v>
      </c>
    </row>
    <row r="31" customFormat="false" ht="17.15" hidden="false" customHeight="false" outlineLevel="0" collapsed="false">
      <c r="A31" s="5" t="s">
        <v>775</v>
      </c>
      <c r="B31" s="0" t="s">
        <v>776</v>
      </c>
      <c r="C31" s="30" t="n">
        <v>19.61</v>
      </c>
      <c r="D31" s="8" t="s">
        <v>766</v>
      </c>
      <c r="E31" s="5" t="s">
        <v>41</v>
      </c>
      <c r="F31" s="8" t="s">
        <v>770</v>
      </c>
    </row>
    <row r="32" customFormat="false" ht="17.15" hidden="false" customHeight="false" outlineLevel="0" collapsed="false">
      <c r="A32" s="5" t="s">
        <v>777</v>
      </c>
      <c r="E32" s="5" t="s">
        <v>778</v>
      </c>
    </row>
    <row r="33" customFormat="false" ht="17.15" hidden="false" customHeight="false" outlineLevel="0" collapsed="false">
      <c r="A33" s="10" t="s">
        <v>779</v>
      </c>
      <c r="B33" s="31" t="n">
        <f aca="false">MEDIAN(C27:C31)</f>
        <v>19.61</v>
      </c>
      <c r="C33" s="9"/>
      <c r="D33" s="9"/>
      <c r="E33" s="9"/>
    </row>
    <row r="34" customFormat="false" ht="17.15" hidden="false" customHeight="false" outlineLevel="0" collapsed="false">
      <c r="A34" s="5" t="s">
        <v>780</v>
      </c>
      <c r="B34" s="24" t="n">
        <f aca="false">1*PL!F250</f>
        <v>21.0266805782682</v>
      </c>
      <c r="C34" s="24" t="n">
        <f aca="false">1*PL!F259</f>
        <v>17.837685672013</v>
      </c>
      <c r="D34" s="24" t="n">
        <f aca="false">1*PL!F268</f>
        <v>14.820138615402</v>
      </c>
      <c r="E34" s="5" t="s">
        <v>781</v>
      </c>
    </row>
    <row r="35" customFormat="false" ht="17.15" hidden="false" customHeight="false" outlineLevel="0" collapsed="false">
      <c r="A35" s="0" t="s">
        <v>782</v>
      </c>
      <c r="B35" s="24" t="n">
        <f aca="false">tp_wA*B34+tp_wB*C34+tp_wC*D34</f>
        <v>18.1908747325674</v>
      </c>
    </row>
    <row r="36" customFormat="false" ht="17.15" hidden="false" customHeight="false" outlineLevel="0" collapsed="false">
      <c r="A36" s="9" t="s">
        <v>783</v>
      </c>
      <c r="B36" s="29" t="n">
        <f aca="false">B33*B35</f>
        <v>356.723053505646</v>
      </c>
      <c r="C36" s="9"/>
      <c r="D36" s="9"/>
      <c r="E36" s="10" t="s">
        <v>784</v>
      </c>
    </row>
    <row r="38" customFormat="false" ht="17.15" hidden="false" customHeight="false" outlineLevel="0" collapsed="false">
      <c r="A38" s="1" t="s">
        <v>785</v>
      </c>
    </row>
    <row r="39" customFormat="false" ht="15" hidden="false" customHeight="false" outlineLevel="0" collapsed="false">
      <c r="A39" s="6" t="s">
        <v>24</v>
      </c>
      <c r="B39" s="6" t="s">
        <v>786</v>
      </c>
      <c r="C39" s="6" t="s">
        <v>787</v>
      </c>
      <c r="D39" s="6" t="s">
        <v>787</v>
      </c>
      <c r="E39" s="6" t="s">
        <v>480</v>
      </c>
    </row>
    <row r="40" customFormat="false" ht="17.15" hidden="false" customHeight="false" outlineLevel="0" collapsed="false">
      <c r="A40" s="10" t="s">
        <v>788</v>
      </c>
      <c r="B40" s="29" t="n">
        <f aca="false">tp_w_dcf*B23+(1-tp_w_dcf)*tp_comp_adj</f>
        <v>273.107022948192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789</v>
      </c>
      <c r="B41" s="24" t="n">
        <f aca="false">B36</f>
        <v>356.723053505646</v>
      </c>
    </row>
    <row r="42" customFormat="false" ht="17.15" hidden="false" customHeight="false" outlineLevel="0" collapsed="false">
      <c r="A42" s="5" t="s">
        <v>790</v>
      </c>
      <c r="B42" s="24" t="n">
        <f aca="false">cons_tp</f>
        <v>529.1</v>
      </c>
      <c r="E42" s="8" t="s">
        <v>791</v>
      </c>
    </row>
    <row r="43" customFormat="false" ht="15" hidden="false" customHeight="false" outlineLevel="0" collapsed="false">
      <c r="A43" s="5" t="s">
        <v>792</v>
      </c>
      <c r="B43" s="16" t="n">
        <f aca="false">B40/px-1</f>
        <v>-0.150997814759414</v>
      </c>
    </row>
    <row r="44" customFormat="false" ht="17.15" hidden="false" customHeight="false" outlineLevel="0" collapsed="false">
      <c r="A44" s="5" t="s">
        <v>793</v>
      </c>
      <c r="B44" s="16" t="n">
        <f aca="false">B41/px-1</f>
        <v>0.10893761970171</v>
      </c>
    </row>
    <row r="45" customFormat="false" ht="17.15" hidden="false" customHeight="false" outlineLevel="0" collapsed="false">
      <c r="A45" s="5" t="s">
        <v>794</v>
      </c>
      <c r="B45" s="16" t="n">
        <f aca="false">(tp_wA*PL!E250+tp_wB*PL!E259+tp_wC*PL!E268)/C45-1</f>
        <v>-0.0681522517276856</v>
      </c>
      <c r="C45" s="24" t="n">
        <f aca="false">cons_eps27</f>
        <v>19.4</v>
      </c>
      <c r="E45" s="8" t="s">
        <v>795</v>
      </c>
    </row>
    <row r="46" customFormat="false" ht="17.15" hidden="false" customHeight="false" outlineLevel="0" collapsed="false">
      <c r="A46" s="5" t="s">
        <v>796</v>
      </c>
      <c r="B46" s="16" t="n">
        <f aca="false">C46/B33-1</f>
        <v>0.390780003890294</v>
      </c>
      <c r="C46" s="21" t="n">
        <f aca="false">B42/C45</f>
        <v>27.2731958762887</v>
      </c>
      <c r="D46" s="21" t="n">
        <f aca="false">B33</f>
        <v>19.61</v>
      </c>
      <c r="E46" s="8" t="s">
        <v>797</v>
      </c>
    </row>
    <row r="47" customFormat="false" ht="17.15" hidden="false" customHeight="false" outlineLevel="0" collapsed="false">
      <c r="A47" s="5" t="s">
        <v>798</v>
      </c>
      <c r="B47" s="24" t="n">
        <f aca="false">D21*(1+tp_r)</f>
        <v>221.914547314327</v>
      </c>
      <c r="C47" s="24" t="n">
        <f aca="false">B21*(1+tp_r)</f>
        <v>394.262829032538</v>
      </c>
      <c r="E47" s="8" t="s">
        <v>799</v>
      </c>
    </row>
    <row r="48" customFormat="false" ht="17.15" hidden="false" customHeight="false" outlineLevel="0" collapsed="false">
      <c r="A48" s="5" t="s">
        <v>800</v>
      </c>
      <c r="B48" s="21" t="n">
        <f aca="false">px/PL!F250</f>
        <v>15.2986582357877</v>
      </c>
      <c r="C48" s="21" t="n">
        <f aca="false">px/PL!F259</f>
        <v>18.0337295944568</v>
      </c>
      <c r="D48" s="21" t="n">
        <f aca="false">px/PL!F268</f>
        <v>21.7055999507111</v>
      </c>
    </row>
    <row r="49" customFormat="false" ht="17.15" hidden="false" customHeight="false" outlineLevel="0" collapsed="false">
      <c r="A49" s="5" t="s">
        <v>801</v>
      </c>
      <c r="B49" s="32" t="n">
        <f aca="false">IF(B48&lt;MIN(B90:B99),0,IF(B48&gt;MAX(B90:B99),1,PERCENTRANK(B90:B99,B48)))</f>
        <v>0.121</v>
      </c>
      <c r="C49" s="32" t="n">
        <f aca="false">IF(C48&lt;MIN(B90:B99),0,IF(C48&gt;MAX(B90:B99),1,PERCENTRANK(B90:B99,C48)))</f>
        <v>0.163</v>
      </c>
      <c r="D49" s="32" t="n">
        <f aca="false">IF(D48&lt;MIN(B90:B99),0,IF(D48&gt;MAX(B90:B99),1,PERCENTRANK(B90:B99,D48)))</f>
        <v>0.228</v>
      </c>
      <c r="E49" s="5" t="s">
        <v>802</v>
      </c>
    </row>
    <row r="50" customFormat="false" ht="17.15" hidden="false" customHeight="false" outlineLevel="0" collapsed="false">
      <c r="A50" s="5" t="s">
        <v>803</v>
      </c>
      <c r="B50" s="0" t="s">
        <v>804</v>
      </c>
    </row>
    <row r="51" customFormat="false" ht="17.15" hidden="false" customHeight="false" outlineLevel="0" collapsed="false">
      <c r="A51" s="5" t="s">
        <v>805</v>
      </c>
      <c r="B51" s="17" t="n">
        <f aca="false">ROUND(tp_wA+tp_wB+tp_wC,6)</f>
        <v>1</v>
      </c>
    </row>
    <row r="55" customFormat="false" ht="17.15" hidden="false" customHeight="false" outlineLevel="0" collapsed="false">
      <c r="A55" s="1" t="s">
        <v>806</v>
      </c>
    </row>
    <row r="56" customFormat="false" ht="15" hidden="false" customHeight="false" outlineLevel="0" collapsed="false">
      <c r="A56" s="6" t="s">
        <v>24</v>
      </c>
      <c r="B56" s="13" t="s">
        <v>731</v>
      </c>
      <c r="C56" s="13" t="s">
        <v>732</v>
      </c>
      <c r="D56" s="13" t="s">
        <v>733</v>
      </c>
      <c r="E56" s="6" t="s">
        <v>480</v>
      </c>
    </row>
    <row r="57" customFormat="false" ht="17.15" hidden="false" customHeight="false" outlineLevel="0" collapsed="false">
      <c r="A57" s="5" t="s">
        <v>807</v>
      </c>
      <c r="B57" s="19" t="n">
        <f aca="false">px</f>
        <v>321.68</v>
      </c>
    </row>
    <row r="58" customFormat="false" ht="17.15" hidden="false" customHeight="false" outlineLevel="0" collapsed="false">
      <c r="A58" s="5" t="s">
        <v>808</v>
      </c>
      <c r="B58" s="21" t="n">
        <f aca="false">px/PL!D14</f>
        <v>27.694562115161</v>
      </c>
      <c r="C58" s="21" t="n">
        <f aca="false">px/PL!D27</f>
        <v>27.694562115161</v>
      </c>
      <c r="D58" s="21" t="n">
        <f aca="false">px/PL!D40</f>
        <v>27.694562115161</v>
      </c>
    </row>
    <row r="59" customFormat="false" ht="17.15" hidden="false" customHeight="false" outlineLevel="0" collapsed="false">
      <c r="A59" s="5" t="s">
        <v>809</v>
      </c>
      <c r="B59" s="21" t="n">
        <f aca="false">px/PL!E14</f>
        <v>17.7941550319908</v>
      </c>
      <c r="C59" s="21" t="n">
        <f aca="false">px/PL!E27</f>
        <v>17.7941550319908</v>
      </c>
      <c r="D59" s="21" t="n">
        <f aca="false">px/PL!E40</f>
        <v>17.7941550319908</v>
      </c>
      <c r="E59" s="8" t="s">
        <v>810</v>
      </c>
    </row>
    <row r="60" customFormat="false" ht="17.15" hidden="false" customHeight="false" outlineLevel="0" collapsed="false">
      <c r="A60" s="5" t="s">
        <v>811</v>
      </c>
      <c r="B60" s="21" t="n">
        <f aca="false">px/PL!F14</f>
        <v>15.2986582357877</v>
      </c>
      <c r="C60" s="21" t="n">
        <f aca="false">px/PL!F27</f>
        <v>18.0337295944568</v>
      </c>
      <c r="D60" s="21" t="n">
        <f aca="false">px/PL!F40</f>
        <v>21.7055999507111</v>
      </c>
    </row>
    <row r="61" customFormat="false" ht="17.15" hidden="false" customHeight="false" outlineLevel="0" collapsed="false">
      <c r="A61" s="5" t="s">
        <v>812</v>
      </c>
      <c r="B61" s="21" t="n">
        <f aca="false">px/PL!G14</f>
        <v>13.3957817228607</v>
      </c>
      <c r="C61" s="21" t="n">
        <f aca="false">px/PL!G27</f>
        <v>15.1732919569321</v>
      </c>
      <c r="D61" s="21" t="n">
        <f aca="false">px/PL!G40</f>
        <v>19.1115353422313</v>
      </c>
    </row>
    <row r="62" customFormat="false" ht="17.15" hidden="false" customHeight="false" outlineLevel="0" collapsed="false">
      <c r="A62" s="5" t="s">
        <v>813</v>
      </c>
      <c r="B62" s="21" t="n">
        <f aca="false">px/cons_eps27</f>
        <v>16.5814432989691</v>
      </c>
    </row>
    <row r="63" customFormat="false" ht="17.15" hidden="false" customHeight="false" outlineLevel="0" collapsed="false">
      <c r="A63" s="5" t="s">
        <v>814</v>
      </c>
      <c r="B63" s="21" t="n">
        <f aca="false">px/(eps_q4_25+Q!C26+Q!D26+Q!E26)</f>
        <v>32.9590163934426</v>
      </c>
      <c r="E63" s="8" t="s">
        <v>815</v>
      </c>
    </row>
    <row r="64" customFormat="false" ht="17.15" hidden="false" customHeight="false" outlineLevel="0" collapsed="false">
      <c r="A64" s="5" t="s">
        <v>816</v>
      </c>
      <c r="B64" s="21" t="n">
        <f aca="false">pe_ttm_gaap</f>
        <v>41.26</v>
      </c>
    </row>
    <row r="65" customFormat="false" ht="17.15" hidden="false" customHeight="false" outlineLevel="0" collapsed="false">
      <c r="A65" s="5" t="s">
        <v>817</v>
      </c>
      <c r="B65" s="21" t="n">
        <f aca="false">pe_fwd_sa</f>
        <v>18.61</v>
      </c>
    </row>
    <row r="67" customFormat="false" ht="17.15" hidden="false" customHeight="false" outlineLevel="0" collapsed="false">
      <c r="A67" s="1" t="s">
        <v>818</v>
      </c>
    </row>
    <row r="68" customFormat="false" ht="17.15" hidden="false" customHeight="false" outlineLevel="0" collapsed="false">
      <c r="A68" s="6" t="s">
        <v>819</v>
      </c>
      <c r="B68" s="6" t="s">
        <v>820</v>
      </c>
      <c r="C68" s="13" t="s">
        <v>821</v>
      </c>
      <c r="D68" s="13" t="s">
        <v>822</v>
      </c>
      <c r="E68" s="13" t="s">
        <v>823</v>
      </c>
      <c r="F68" s="6" t="s">
        <v>824</v>
      </c>
    </row>
    <row r="69" customFormat="false" ht="17.15" hidden="false" customHeight="false" outlineLevel="0" collapsed="false">
      <c r="A69" s="0" t="s">
        <v>731</v>
      </c>
      <c r="B69" s="0" t="n">
        <f aca="false">pk_A</f>
        <v>2029</v>
      </c>
      <c r="C69" s="0" t="str">
        <f aca="false">IF(2027&lt;pk_A,"中段",IF(2027=pk_A,"見頂","谷底"))</f>
        <v>中段</v>
      </c>
      <c r="D69" s="0" t="str">
        <f aca="false">IF(2028&lt;pk_A,"中段",IF(2028=pk_A,"見頂","谷底"))</f>
        <v>中段</v>
      </c>
      <c r="E69" s="0" t="str">
        <f aca="false">IF(2029&lt;pk_A,"中段",IF(2029=pk_A,"見頂","谷底"))</f>
        <v>見頂</v>
      </c>
      <c r="F69" s="0" t="s">
        <v>825</v>
      </c>
    </row>
    <row r="70" customFormat="false" ht="17.15" hidden="false" customHeight="false" outlineLevel="0" collapsed="false">
      <c r="A70" s="0" t="s">
        <v>732</v>
      </c>
      <c r="B70" s="0" t="n">
        <f aca="false">pk_B</f>
        <v>2028</v>
      </c>
      <c r="C70" s="0" t="str">
        <f aca="false">IF(2027&lt;pk_B,"中段",IF(2027=pk_B,"見頂","谷底"))</f>
        <v>中段</v>
      </c>
      <c r="D70" s="0" t="str">
        <f aca="false">IF(2028&lt;pk_B,"中段",IF(2028=pk_B,"見頂","谷底"))</f>
        <v>見頂</v>
      </c>
      <c r="E70" s="0" t="str">
        <f aca="false">IF(2029&lt;pk_B,"中段",IF(2029=pk_B,"見頂","谷底"))</f>
        <v>谷底</v>
      </c>
      <c r="F70" s="0" t="s">
        <v>825</v>
      </c>
    </row>
    <row r="71" customFormat="false" ht="17.15" hidden="false" customHeight="false" outlineLevel="0" collapsed="false">
      <c r="A71" s="0" t="s">
        <v>733</v>
      </c>
      <c r="B71" s="0" t="n">
        <f aca="false">pk_C</f>
        <v>2027</v>
      </c>
      <c r="C71" s="0" t="str">
        <f aca="false">IF(2027&lt;pk_C,"中段",IF(2027=pk_C,"見頂","谷底"))</f>
        <v>見頂</v>
      </c>
      <c r="D71" s="0" t="str">
        <f aca="false">IF(2028&lt;pk_C,"中段",IF(2028=pk_C,"見頂","谷底"))</f>
        <v>谷底</v>
      </c>
      <c r="E71" s="0" t="str">
        <f aca="false">IF(2029&lt;pk_C,"中段",IF(2029=pk_C,"見頂","谷底"))</f>
        <v>谷底</v>
      </c>
      <c r="F71" s="0" t="s">
        <v>825</v>
      </c>
    </row>
    <row r="73" customFormat="false" ht="17.15" hidden="false" customHeight="false" outlineLevel="0" collapsed="false">
      <c r="A73" s="1" t="s">
        <v>826</v>
      </c>
    </row>
    <row r="74" customFormat="false" ht="17.15" hidden="false" customHeight="false" outlineLevel="0" collapsed="false">
      <c r="A74" s="13" t="s">
        <v>827</v>
      </c>
      <c r="B74" s="6" t="s">
        <v>828</v>
      </c>
      <c r="C74" s="6" t="s">
        <v>829</v>
      </c>
      <c r="D74" s="6" t="s">
        <v>830</v>
      </c>
      <c r="E74" s="6" t="s">
        <v>831</v>
      </c>
    </row>
    <row r="75" customFormat="false" ht="15" hidden="false" customHeight="false" outlineLevel="0" collapsed="false">
      <c r="A75" s="18" t="n">
        <v>1</v>
      </c>
      <c r="B75" s="21" t="n">
        <f aca="false">px*A75/PL!F14</f>
        <v>15.2986582357877</v>
      </c>
      <c r="C75" s="21" t="n">
        <f aca="false">px*A75/PL!F40</f>
        <v>21.7055999507111</v>
      </c>
      <c r="D75" s="21" t="n">
        <f aca="false">pe_fair_andy</f>
        <v>25</v>
      </c>
      <c r="E75" s="21" t="n">
        <f aca="false">px/cons_eps27</f>
        <v>16.5814432989691</v>
      </c>
    </row>
    <row r="76" customFormat="false" ht="15" hidden="false" customHeight="false" outlineLevel="0" collapsed="false">
      <c r="A76" s="18" t="n">
        <v>1.1</v>
      </c>
      <c r="B76" s="21" t="n">
        <f aca="false">px*A76/PL!F14</f>
        <v>16.8285240593665</v>
      </c>
      <c r="C76" s="21" t="n">
        <f aca="false">px*A76/PL!F40</f>
        <v>23.8761599457822</v>
      </c>
      <c r="D76" s="21" t="n">
        <f aca="false">pe_fair_andy</f>
        <v>25</v>
      </c>
      <c r="E76" s="21" t="n">
        <f aca="false">px/cons_eps27</f>
        <v>16.5814432989691</v>
      </c>
    </row>
    <row r="77" customFormat="false" ht="15" hidden="false" customHeight="false" outlineLevel="0" collapsed="false">
      <c r="A77" s="18" t="n">
        <v>1.21</v>
      </c>
      <c r="B77" s="21" t="n">
        <f aca="false">px*A77/PL!F14</f>
        <v>18.5113764653031</v>
      </c>
      <c r="C77" s="21" t="n">
        <f aca="false">px*A77/PL!F40</f>
        <v>26.2637759403604</v>
      </c>
      <c r="D77" s="21" t="n">
        <f aca="false">pe_fair_andy</f>
        <v>25</v>
      </c>
      <c r="E77" s="21" t="n">
        <f aca="false">px/cons_eps27</f>
        <v>16.5814432989691</v>
      </c>
    </row>
    <row r="78" customFormat="false" ht="15" hidden="false" customHeight="false" outlineLevel="0" collapsed="false">
      <c r="A78" s="18" t="n">
        <v>1.5</v>
      </c>
      <c r="B78" s="21" t="n">
        <f aca="false">px*A78/PL!F14</f>
        <v>22.9479873536815</v>
      </c>
      <c r="C78" s="21" t="n">
        <f aca="false">px*A78/PL!F40</f>
        <v>32.5583999260666</v>
      </c>
      <c r="D78" s="21" t="n">
        <f aca="false">pe_fair_andy</f>
        <v>25</v>
      </c>
      <c r="E78" s="21" t="n">
        <f aca="false">px/cons_eps27</f>
        <v>16.5814432989691</v>
      </c>
    </row>
    <row r="79" customFormat="false" ht="15" hidden="false" customHeight="false" outlineLevel="0" collapsed="false">
      <c r="A79" s="18" t="n">
        <v>2</v>
      </c>
      <c r="B79" s="21" t="n">
        <f aca="false">px*A79/PL!F14</f>
        <v>30.5973164715754</v>
      </c>
      <c r="C79" s="21" t="n">
        <f aca="false">px*A79/PL!F40</f>
        <v>43.4111999014221</v>
      </c>
      <c r="D79" s="21" t="n">
        <f aca="false">pe_fair_andy</f>
        <v>25</v>
      </c>
      <c r="E79" s="21" t="n">
        <f aca="false">px/cons_eps27</f>
        <v>16.5814432989691</v>
      </c>
    </row>
    <row r="80" customFormat="false" ht="17.15" hidden="false" customHeight="false" outlineLevel="0" collapsed="false">
      <c r="A80" s="5" t="s">
        <v>832</v>
      </c>
    </row>
    <row r="82" customFormat="false" ht="17.15" hidden="false" customHeight="false" outlineLevel="0" collapsed="false">
      <c r="A82" s="1" t="s">
        <v>833</v>
      </c>
    </row>
    <row r="83" customFormat="false" ht="15" hidden="false" customHeight="false" outlineLevel="0" collapsed="false">
      <c r="A83" s="6" t="s">
        <v>819</v>
      </c>
      <c r="B83" s="13" t="s">
        <v>834</v>
      </c>
      <c r="C83" s="13" t="s">
        <v>835</v>
      </c>
      <c r="D83" s="6" t="s">
        <v>836</v>
      </c>
      <c r="E83" s="13" t="s">
        <v>837</v>
      </c>
      <c r="F83" s="13" t="s">
        <v>835</v>
      </c>
      <c r="G83" s="6" t="s">
        <v>836</v>
      </c>
    </row>
    <row r="84" customFormat="false" ht="15" hidden="false" customHeight="false" outlineLevel="0" collapsed="false">
      <c r="A84" s="0" t="s">
        <v>731</v>
      </c>
      <c r="B84" s="19" t="n">
        <f aca="false">PL!E14</f>
        <v>18.0778463164829</v>
      </c>
      <c r="C84" s="33" t="n">
        <f aca="false">B84*pe_fair_andy</f>
        <v>451.946157912072</v>
      </c>
      <c r="D84" s="32" t="n">
        <f aca="false">C84/px-1</f>
        <v>0.404955725914177</v>
      </c>
      <c r="E84" s="19" t="n">
        <f aca="false">PL!F14</f>
        <v>21.0266805782682</v>
      </c>
      <c r="F84" s="33" t="n">
        <f aca="false">E84*pe_fair_andy</f>
        <v>525.667014456705</v>
      </c>
      <c r="G84" s="32" t="n">
        <f aca="false">F84/px-1</f>
        <v>0.634130236435914</v>
      </c>
    </row>
    <row r="85" customFormat="false" ht="15" hidden="false" customHeight="false" outlineLevel="0" collapsed="false">
      <c r="A85" s="0" t="s">
        <v>732</v>
      </c>
      <c r="B85" s="19" t="n">
        <f aca="false">PL!E27</f>
        <v>18.0778463164829</v>
      </c>
      <c r="C85" s="33" t="n">
        <f aca="false">B85*pe_fair_andy</f>
        <v>451.946157912072</v>
      </c>
      <c r="D85" s="32" t="n">
        <f aca="false">C85/px-1</f>
        <v>0.404955725914177</v>
      </c>
      <c r="E85" s="19" t="n">
        <f aca="false">PL!F27</f>
        <v>17.837685672013</v>
      </c>
      <c r="F85" s="33" t="n">
        <f aca="false">E85*pe_fair_andy</f>
        <v>445.942141800326</v>
      </c>
      <c r="G85" s="32" t="n">
        <f aca="false">F85/px-1</f>
        <v>0.386291164512328</v>
      </c>
    </row>
    <row r="86" customFormat="false" ht="15" hidden="false" customHeight="false" outlineLevel="0" collapsed="false">
      <c r="A86" s="0" t="s">
        <v>733</v>
      </c>
      <c r="B86" s="19" t="n">
        <f aca="false">PL!E40</f>
        <v>18.0778463164829</v>
      </c>
      <c r="C86" s="33" t="n">
        <f aca="false">B86*pe_fair_andy</f>
        <v>451.946157912072</v>
      </c>
      <c r="D86" s="32" t="n">
        <f aca="false">C86/px-1</f>
        <v>0.404955725914177</v>
      </c>
      <c r="E86" s="19" t="n">
        <f aca="false">PL!F40</f>
        <v>14.820138615402</v>
      </c>
      <c r="F86" s="33" t="n">
        <f aca="false">E86*pe_fair_andy</f>
        <v>370.503465385049</v>
      </c>
      <c r="G86" s="32" t="n">
        <f aca="false">F86/px-1</f>
        <v>0.151776502689161</v>
      </c>
    </row>
    <row r="88" customFormat="false" ht="17.15" hidden="false" customHeight="false" outlineLevel="0" collapsed="false">
      <c r="A88" s="1" t="s">
        <v>838</v>
      </c>
    </row>
    <row r="89" customFormat="false" ht="17.15" hidden="false" customHeight="false" outlineLevel="0" collapsed="false">
      <c r="A89" s="6" t="s">
        <v>839</v>
      </c>
      <c r="B89" s="13" t="s">
        <v>840</v>
      </c>
      <c r="C89" s="6" t="s">
        <v>480</v>
      </c>
    </row>
    <row r="90" customFormat="false" ht="17.15" hidden="false" customHeight="false" outlineLevel="0" collapsed="false">
      <c r="A90" s="0" t="s">
        <v>841</v>
      </c>
      <c r="C90" s="0" t="s">
        <v>842</v>
      </c>
    </row>
    <row r="91" customFormat="false" ht="15" hidden="false" customHeight="false" outlineLevel="0" collapsed="false">
      <c r="A91" s="0" t="s">
        <v>843</v>
      </c>
      <c r="B91" s="18" t="n">
        <v>49.57</v>
      </c>
    </row>
    <row r="92" customFormat="false" ht="15" hidden="false" customHeight="false" outlineLevel="0" collapsed="false">
      <c r="A92" s="0" t="s">
        <v>844</v>
      </c>
      <c r="B92" s="18" t="n">
        <v>6.5</v>
      </c>
    </row>
    <row r="93" customFormat="false" ht="15" hidden="false" customHeight="false" outlineLevel="0" collapsed="false">
      <c r="A93" s="0" t="s">
        <v>845</v>
      </c>
      <c r="B93" s="18" t="n">
        <v>38.87</v>
      </c>
    </row>
    <row r="94" customFormat="false" ht="15" hidden="false" customHeight="false" outlineLevel="0" collapsed="false">
      <c r="A94" s="0" t="s">
        <v>846</v>
      </c>
      <c r="B94" s="18" t="n">
        <v>49.77</v>
      </c>
    </row>
    <row r="95" customFormat="false" ht="15" hidden="false" customHeight="false" outlineLevel="0" collapsed="false">
      <c r="A95" s="0" t="s">
        <v>847</v>
      </c>
      <c r="B95" s="18" t="n">
        <v>32.75</v>
      </c>
    </row>
    <row r="96" customFormat="false" ht="15" hidden="false" customHeight="false" outlineLevel="0" collapsed="false">
      <c r="A96" s="0" t="s">
        <v>848</v>
      </c>
      <c r="B96" s="18" t="n">
        <v>16.88</v>
      </c>
    </row>
    <row r="97" customFormat="false" ht="15" hidden="false" customHeight="false" outlineLevel="0" collapsed="false">
      <c r="A97" s="0" t="s">
        <v>849</v>
      </c>
      <c r="B97" s="18" t="n">
        <v>24.95</v>
      </c>
    </row>
    <row r="98" customFormat="false" ht="15" hidden="false" customHeight="false" outlineLevel="0" collapsed="false">
      <c r="A98" s="0" t="s">
        <v>850</v>
      </c>
      <c r="B98" s="18" t="n">
        <v>137.36</v>
      </c>
    </row>
    <row r="99" customFormat="false" ht="17.15" hidden="false" customHeight="false" outlineLevel="0" collapsed="false">
      <c r="A99" s="0" t="s">
        <v>851</v>
      </c>
      <c r="C99" s="5" t="s">
        <v>852</v>
      </c>
    </row>
    <row r="100" customFormat="false" ht="17.15" hidden="false" customHeight="false" outlineLevel="0" collapsed="false">
      <c r="A100" s="34" t="s">
        <v>853</v>
      </c>
    </row>
    <row r="102" customFormat="false" ht="15" hidden="false" customHeight="false" outlineLevel="0" collapsed="false">
      <c r="A102" s="3" t="s">
        <v>854</v>
      </c>
    </row>
    <row r="103" customFormat="false" ht="15" hidden="false" customHeight="false" outlineLevel="0" collapsed="false">
      <c r="A103" s="6" t="s">
        <v>24</v>
      </c>
      <c r="B103" s="6" t="s">
        <v>786</v>
      </c>
      <c r="C103" s="13"/>
      <c r="D103" s="13"/>
      <c r="E103" s="6" t="s">
        <v>480</v>
      </c>
    </row>
    <row r="104" customFormat="false" ht="17.15" hidden="false" customHeight="false" outlineLevel="0" collapsed="false">
      <c r="A104" s="5" t="s">
        <v>855</v>
      </c>
      <c r="B104" s="24" t="n">
        <f aca="false">tp_wA*B106+tp_wB*B107+tp_wC*B108</f>
        <v>647.367676593253</v>
      </c>
      <c r="E104" s="5" t="s">
        <v>856</v>
      </c>
    </row>
    <row r="105" customFormat="false" ht="17.15" hidden="false" customHeight="false" outlineLevel="0" collapsed="false">
      <c r="A105" s="5" t="s">
        <v>857</v>
      </c>
      <c r="B105" s="16" t="n">
        <f aca="false">B104/px-1</f>
        <v>1.01245858179947</v>
      </c>
      <c r="E105" s="5" t="s">
        <v>858</v>
      </c>
    </row>
    <row r="106" customFormat="false" ht="17.15" hidden="false" customHeight="false" outlineLevel="0" collapsed="false">
      <c r="A106" s="5" t="s">
        <v>859</v>
      </c>
      <c r="B106" s="24" t="n">
        <f aca="false">MEDIAN($B$90:$B$99)*PL!E14</f>
        <v>647.367676593253</v>
      </c>
      <c r="E106" s="5" t="s">
        <v>860</v>
      </c>
    </row>
    <row r="107" customFormat="false" ht="17.15" hidden="false" customHeight="false" outlineLevel="0" collapsed="false">
      <c r="A107" s="5" t="s">
        <v>861</v>
      </c>
      <c r="B107" s="24" t="n">
        <f aca="false">MEDIAN($B$90:$B$99)*PL!E27</f>
        <v>647.367676593253</v>
      </c>
      <c r="E107" s="5" t="s">
        <v>862</v>
      </c>
    </row>
    <row r="108" customFormat="false" ht="17.15" hidden="false" customHeight="false" outlineLevel="0" collapsed="false">
      <c r="A108" s="5" t="s">
        <v>863</v>
      </c>
      <c r="B108" s="24" t="n">
        <f aca="false">MEDIAN($B$90:$B$99)*PL!E40</f>
        <v>647.367676593253</v>
      </c>
      <c r="E108" s="5" t="s">
        <v>864</v>
      </c>
    </row>
    <row r="109" customFormat="false" ht="17.15" hidden="false" customHeight="false" outlineLevel="0" collapsed="false">
      <c r="A109" s="5" t="s">
        <v>865</v>
      </c>
      <c r="B109" s="32" t="n">
        <f aca="false">tp_wA</f>
        <v>0.3</v>
      </c>
      <c r="C109" s="32" t="n">
        <f aca="false">tp_wB</f>
        <v>0.5</v>
      </c>
      <c r="D109" s="32" t="n">
        <f aca="false">tp_wC</f>
        <v>0.2</v>
      </c>
      <c r="E109" s="0" t="str">
        <f aca="false">"合計 "&amp;TEXT(B109+C109+D109,"0%")&amp;"；In 頁 tp_wA／tp_wB／tp_wC（Assumed，Andy 可改）"</f>
        <v>合計 100%；In 頁 tp_wA／tp_wB／tp_wC（Assumed，Andy 可改）</v>
      </c>
    </row>
    <row r="110" customFormat="false" ht="17.15" hidden="false" customHeight="false" outlineLevel="0" collapsed="false">
      <c r="A110" s="5" t="s">
        <v>866</v>
      </c>
      <c r="B110" s="0" t="s">
        <v>867</v>
      </c>
    </row>
    <row r="112" customFormat="false" ht="17.15" hidden="false" customHeight="false" outlineLevel="0" collapsed="false">
      <c r="A112" s="5" t="s">
        <v>868</v>
      </c>
      <c r="B112" s="0" t="str">
        <f aca="false">IF(B43&gt;0.5,"大於 50%",IF(B43&gt;0.25,"25%–50%",IF(B43&gt;=0,"0%–25%",IF(B43&gt;=-0.25,"0%～−25%",IF(B43&gt;=-0.5,"−25%～−50%","小於 −50%")))))</f>
        <v>0%～−25%</v>
      </c>
      <c r="E112" s="5" t="s">
        <v>869</v>
      </c>
    </row>
    <row r="113" customFormat="false" ht="17.15" hidden="false" customHeight="false" outlineLevel="0" collapsed="false">
      <c r="A113" s="5" t="s">
        <v>870</v>
      </c>
      <c r="B113" s="0" t="str">
        <f aca="false">IF(B43&gt;0.5,"強力買進",IF(B43&gt;0.25,"買進",IF(B43&gt;=-0.25,"中立",IF(B43&gt;=-0.5,"放空","強力放空"))))</f>
        <v>中立</v>
      </c>
      <c r="E113" s="5" t="s">
        <v>871</v>
      </c>
    </row>
    <row r="116" customFormat="false" ht="17.15" hidden="false" customHeight="false" outlineLevel="0" collapsed="false">
      <c r="A116" s="1" t="s">
        <v>872</v>
      </c>
    </row>
    <row r="117" customFormat="false" ht="17.15" hidden="false" customHeight="false" outlineLevel="0" collapsed="false">
      <c r="A117" s="5" t="s">
        <v>873</v>
      </c>
    </row>
    <row r="118" customFormat="false" ht="17.15" hidden="false" customHeight="false" outlineLevel="0" collapsed="false">
      <c r="A118" s="6" t="s">
        <v>874</v>
      </c>
      <c r="B118" s="6" t="s">
        <v>760</v>
      </c>
      <c r="C118" s="6" t="s">
        <v>875</v>
      </c>
      <c r="D118" s="13" t="s">
        <v>876</v>
      </c>
      <c r="E118" s="13" t="s">
        <v>877</v>
      </c>
      <c r="F118" s="13" t="s">
        <v>878</v>
      </c>
      <c r="G118" s="13" t="s">
        <v>879</v>
      </c>
      <c r="H118" s="13" t="s">
        <v>880</v>
      </c>
      <c r="I118" s="13" t="s">
        <v>881</v>
      </c>
      <c r="J118" s="13" t="s">
        <v>882</v>
      </c>
      <c r="K118" s="13" t="s">
        <v>883</v>
      </c>
      <c r="L118" s="13" t="s">
        <v>884</v>
      </c>
      <c r="M118" s="13" t="s">
        <v>885</v>
      </c>
      <c r="N118" s="6" t="s">
        <v>886</v>
      </c>
      <c r="O118" s="13" t="s">
        <v>887</v>
      </c>
      <c r="P118" s="6" t="s">
        <v>888</v>
      </c>
      <c r="Q118" s="6" t="s">
        <v>763</v>
      </c>
    </row>
    <row r="119" customFormat="false" ht="17.15" hidden="false" customHeight="false" outlineLevel="0" collapsed="false">
      <c r="A119" s="0" t="s">
        <v>889</v>
      </c>
      <c r="B119" s="0" t="s">
        <v>890</v>
      </c>
      <c r="C119" s="5" t="s">
        <v>891</v>
      </c>
      <c r="D119" s="18" t="n">
        <v>14.324</v>
      </c>
      <c r="E119" s="18" t="n">
        <v>11.8025</v>
      </c>
      <c r="F119" s="18" t="n">
        <v>12.0165</v>
      </c>
      <c r="G119" s="18" t="n">
        <v>13.4005</v>
      </c>
      <c r="H119" s="18" t="n">
        <v>16.6275</v>
      </c>
      <c r="I119" s="18" t="n">
        <v>14.926</v>
      </c>
      <c r="J119" s="18" t="n">
        <v>16.6365</v>
      </c>
      <c r="K119" s="18" t="n">
        <v>26.099</v>
      </c>
      <c r="L119" s="18" t="n">
        <v>34.256</v>
      </c>
      <c r="M119" s="18" t="n">
        <v>25.1125</v>
      </c>
      <c r="N119" s="8" t="n">
        <f aca="false">COUNT(D119:M119)</f>
        <v>10</v>
      </c>
      <c r="O119" s="19" t="n">
        <f aca="false">IF(N119&gt;0,MEDIAN(D119:M119),"")</f>
        <v>15.77675</v>
      </c>
      <c r="P119" s="19" t="n">
        <f aca="false">IF(N119&gt;=7,O119,"")</f>
        <v>15.77675</v>
      </c>
      <c r="Q119" s="8" t="s">
        <v>892</v>
      </c>
    </row>
    <row r="120" customFormat="false" ht="17.15" hidden="false" customHeight="false" outlineLevel="0" collapsed="false">
      <c r="A120" s="0" t="s">
        <v>764</v>
      </c>
      <c r="B120" s="0" t="s">
        <v>765</v>
      </c>
      <c r="C120" s="5" t="s">
        <v>893</v>
      </c>
      <c r="D120" s="18" t="n">
        <v>36.406</v>
      </c>
      <c r="E120" s="18" t="n">
        <v>32.434</v>
      </c>
      <c r="F120" s="18" t="n">
        <v>27.088</v>
      </c>
      <c r="G120" s="18" t="n">
        <v>39.8175</v>
      </c>
      <c r="H120" s="18" t="n">
        <v>45.9255</v>
      </c>
      <c r="I120" s="18" t="n">
        <v>33.9085</v>
      </c>
      <c r="J120" s="18" t="n">
        <v>45.874</v>
      </c>
      <c r="K120" s="18" t="n">
        <v>33.732</v>
      </c>
      <c r="L120" s="18" t="n">
        <v>31.3375</v>
      </c>
      <c r="M120" s="18" t="n">
        <v>20.4225</v>
      </c>
      <c r="N120" s="8" t="n">
        <f aca="false">COUNT(D120:M120)</f>
        <v>10</v>
      </c>
      <c r="O120" s="19" t="n">
        <f aca="false">IF(N120&gt;0,MEDIAN(D120:M120),"")</f>
        <v>33.82025</v>
      </c>
      <c r="P120" s="19" t="n">
        <f aca="false">IF(N120&gt;=7,O120,"")</f>
        <v>33.82025</v>
      </c>
      <c r="Q120" s="8" t="s">
        <v>894</v>
      </c>
    </row>
    <row r="121" customFormat="false" ht="17.15" hidden="false" customHeight="false" outlineLevel="0" collapsed="false">
      <c r="A121" s="0" t="s">
        <v>769</v>
      </c>
      <c r="B121" s="0" t="s">
        <v>769</v>
      </c>
      <c r="C121" s="5" t="s">
        <v>893</v>
      </c>
      <c r="D121" s="18" t="n">
        <v>67.164</v>
      </c>
      <c r="E121" s="18" t="n">
        <v>30.236</v>
      </c>
      <c r="F121" s="18" t="n">
        <v>34.807</v>
      </c>
      <c r="G121" s="18" t="n">
        <v>42.762</v>
      </c>
      <c r="H121" s="18" t="n">
        <v>38.533</v>
      </c>
      <c r="I121" s="18" t="n">
        <v>21.509</v>
      </c>
      <c r="J121" s="18" t="n">
        <v>26.518</v>
      </c>
      <c r="K121" s="18" t="n">
        <v>36.7975</v>
      </c>
      <c r="L121" s="18" t="n">
        <v>25.938</v>
      </c>
      <c r="M121" s="18" t="n">
        <v>38.5445</v>
      </c>
      <c r="N121" s="8" t="n">
        <f aca="false">COUNT(D121:M121)</f>
        <v>10</v>
      </c>
      <c r="O121" s="19" t="n">
        <f aca="false">IF(N121&gt;0,MEDIAN(D121:M121),"")</f>
        <v>35.80225</v>
      </c>
      <c r="P121" s="19" t="n">
        <f aca="false">IF(N121&gt;=7,O121,"")</f>
        <v>35.80225</v>
      </c>
      <c r="Q121" s="8" t="s">
        <v>895</v>
      </c>
    </row>
    <row r="122" customFormat="false" ht="17.15" hidden="false" customHeight="false" outlineLevel="0" collapsed="false">
      <c r="A122" s="0" t="s">
        <v>771</v>
      </c>
      <c r="B122" s="0" t="s">
        <v>772</v>
      </c>
      <c r="C122" s="5" t="s">
        <v>893</v>
      </c>
      <c r="D122" s="18" t="n">
        <v>15.149</v>
      </c>
      <c r="E122" s="18" t="n">
        <v>15.2585</v>
      </c>
      <c r="F122" s="18" t="n">
        <v>23.416</v>
      </c>
      <c r="G122" s="18" t="n">
        <v>29.4115</v>
      </c>
      <c r="H122" s="18" t="n">
        <v>35.586</v>
      </c>
      <c r="I122" s="18" t="n">
        <v>23.5535</v>
      </c>
      <c r="J122" s="18" t="n">
        <v>24.969</v>
      </c>
      <c r="K122" s="18" t="n">
        <v>35.5045</v>
      </c>
      <c r="L122" s="18" t="n">
        <v>25.813</v>
      </c>
      <c r="M122" s="18" t="n">
        <v>36.897</v>
      </c>
      <c r="N122" s="8" t="n">
        <f aca="false">COUNT(D122:M122)</f>
        <v>10</v>
      </c>
      <c r="O122" s="19" t="n">
        <f aca="false">IF(N122&gt;0,MEDIAN(D122:M122),"")</f>
        <v>25.391</v>
      </c>
      <c r="P122" s="19" t="n">
        <f aca="false">IF(N122&gt;=7,O122,"")</f>
        <v>25.391</v>
      </c>
      <c r="Q122" s="8" t="s">
        <v>896</v>
      </c>
    </row>
    <row r="123" customFormat="false" ht="17.15" hidden="false" customHeight="false" outlineLevel="0" collapsed="false">
      <c r="A123" s="0" t="s">
        <v>773</v>
      </c>
      <c r="B123" s="0" t="s">
        <v>774</v>
      </c>
      <c r="C123" s="5" t="s">
        <v>893</v>
      </c>
      <c r="D123" s="18" t="n">
        <v>13.58</v>
      </c>
      <c r="E123" s="18" t="n">
        <v>16.82</v>
      </c>
      <c r="F123" s="18" t="n">
        <v>14.898</v>
      </c>
      <c r="G123" s="18" t="n">
        <v>17.535</v>
      </c>
      <c r="H123" s="18" t="n">
        <v>16.8875</v>
      </c>
      <c r="I123" s="18" t="n">
        <v>11.188</v>
      </c>
      <c r="J123" s="18" t="n">
        <v>12.0455</v>
      </c>
      <c r="K123" s="18" t="n">
        <v>15.679</v>
      </c>
      <c r="L123" s="18" t="n">
        <v>13.405</v>
      </c>
      <c r="M123" s="18" t="n">
        <v>15.5145</v>
      </c>
      <c r="N123" s="8" t="n">
        <f aca="false">COUNT(D123:M123)</f>
        <v>10</v>
      </c>
      <c r="O123" s="19" t="n">
        <f aca="false">IF(N123&gt;0,MEDIAN(D123:M123),"")</f>
        <v>15.20625</v>
      </c>
      <c r="P123" s="19" t="n">
        <f aca="false">IF(N123&gt;=7,O123,"")</f>
        <v>15.20625</v>
      </c>
      <c r="Q123" s="8" t="s">
        <v>897</v>
      </c>
    </row>
    <row r="124" customFormat="false" ht="17.15" hidden="false" customHeight="false" outlineLevel="0" collapsed="false">
      <c r="A124" s="5" t="s">
        <v>775</v>
      </c>
      <c r="B124" s="0" t="s">
        <v>776</v>
      </c>
      <c r="C124" s="5" t="s">
        <v>893</v>
      </c>
      <c r="D124" s="18" t="n">
        <v>14.6155</v>
      </c>
      <c r="E124" s="18" t="n">
        <v>16.614</v>
      </c>
      <c r="F124" s="18" t="n">
        <v>18.339</v>
      </c>
      <c r="G124" s="18" t="n">
        <v>19.9815</v>
      </c>
      <c r="H124" s="18" t="n">
        <v>26.9535</v>
      </c>
      <c r="I124" s="18" t="n">
        <v>16.048</v>
      </c>
      <c r="J124" s="18" t="n">
        <v>15.9505</v>
      </c>
      <c r="K124" s="18" t="n">
        <v>21.605</v>
      </c>
      <c r="L124" s="18" t="n">
        <v>21.46</v>
      </c>
      <c r="M124" s="18" t="n">
        <v>23.3955</v>
      </c>
      <c r="N124" s="8" t="n">
        <f aca="false">COUNT(D124:M124)</f>
        <v>10</v>
      </c>
      <c r="O124" s="19" t="n">
        <f aca="false">IF(N124&gt;0,MEDIAN(D124:M124),"")</f>
        <v>19.16025</v>
      </c>
      <c r="P124" s="19" t="n">
        <f aca="false">IF(N124&gt;=7,O124,"")</f>
        <v>19.16025</v>
      </c>
      <c r="Q124" s="8" t="s">
        <v>898</v>
      </c>
    </row>
    <row r="126" customFormat="false" ht="17.15" hidden="false" customHeight="false" outlineLevel="0" collapsed="false">
      <c r="A126" s="5" t="s">
        <v>899</v>
      </c>
      <c r="B126" s="19" t="n">
        <f aca="false">P119</f>
        <v>15.77675</v>
      </c>
      <c r="E126" s="5" t="s">
        <v>900</v>
      </c>
    </row>
    <row r="127" customFormat="false" ht="15" hidden="false" customHeight="false" outlineLevel="0" collapsed="false">
      <c r="A127" s="5" t="s">
        <v>901</v>
      </c>
      <c r="B127" s="20" t="n">
        <f aca="false">COUNT(P120:P124)</f>
        <v>5</v>
      </c>
    </row>
    <row r="128" customFormat="false" ht="17.15" hidden="false" customHeight="false" outlineLevel="0" collapsed="false">
      <c r="A128" s="5" t="s">
        <v>902</v>
      </c>
      <c r="B128" s="19" t="n">
        <f aca="false">IF(B127&gt;0,MEDIAN(P120:P124),"")</f>
        <v>25.391</v>
      </c>
    </row>
    <row r="129" customFormat="false" ht="17.15" hidden="false" customHeight="false" outlineLevel="0" collapsed="false">
      <c r="A129" s="5" t="s">
        <v>903</v>
      </c>
      <c r="B129" s="19" t="n">
        <f aca="false">IF(AND(ISNUMBER(B126),B127&gt;=2),B126/B128,"")</f>
        <v>0.621352053877358</v>
      </c>
      <c r="E129" s="5" t="s">
        <v>904</v>
      </c>
    </row>
    <row r="130" customFormat="false" ht="17.15" hidden="false" customHeight="false" outlineLevel="0" collapsed="false">
      <c r="A130" s="5" t="s">
        <v>905</v>
      </c>
      <c r="B130" s="18" t="n">
        <v>0.5</v>
      </c>
      <c r="E130" s="8" t="s">
        <v>906</v>
      </c>
    </row>
    <row r="131" customFormat="false" ht="17.15" hidden="false" customHeight="false" outlineLevel="0" collapsed="false">
      <c r="A131" s="5" t="s">
        <v>907</v>
      </c>
      <c r="B131" s="18" t="n">
        <v>2</v>
      </c>
      <c r="E131" s="8" t="s">
        <v>908</v>
      </c>
    </row>
    <row r="132" customFormat="false" ht="17.15" hidden="false" customHeight="false" outlineLevel="0" collapsed="false">
      <c r="A132" s="3" t="s">
        <v>909</v>
      </c>
      <c r="B132" s="35" t="n">
        <f aca="false">IF(ISNUMBER(B129),MIN(MAX(B129,B130),B131),1)</f>
        <v>0.621352053877358</v>
      </c>
      <c r="E132" s="5" t="s">
        <v>910</v>
      </c>
    </row>
    <row r="133" customFormat="false" ht="17.15" hidden="false" customHeight="false" outlineLevel="0" collapsed="false">
      <c r="A133" s="1" t="s">
        <v>911</v>
      </c>
      <c r="B133" s="29" t="n">
        <f aca="false">Val!$B$36*B132</f>
        <v>221.650601961136</v>
      </c>
      <c r="E133" s="5" t="s"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913</v>
      </c>
    </row>
    <row r="3" customFormat="false" ht="17.15" hidden="false" customHeight="false" outlineLevel="0" collapsed="false">
      <c r="A3" s="6" t="s">
        <v>24</v>
      </c>
      <c r="B3" s="6" t="s">
        <v>914</v>
      </c>
      <c r="C3" s="6" t="s">
        <v>915</v>
      </c>
      <c r="D3" s="6" t="s">
        <v>916</v>
      </c>
      <c r="E3" s="6" t="s">
        <v>917</v>
      </c>
      <c r="F3" s="6" t="s">
        <v>918</v>
      </c>
      <c r="G3" s="6" t="s">
        <v>919</v>
      </c>
      <c r="H3" s="6" t="s">
        <v>920</v>
      </c>
      <c r="I3" s="6" t="s">
        <v>921</v>
      </c>
      <c r="J3" s="6" t="s">
        <v>480</v>
      </c>
    </row>
    <row r="4" customFormat="false" ht="17.15" hidden="false" customHeight="false" outlineLevel="0" collapsed="false">
      <c r="A4" s="1" t="s">
        <v>922</v>
      </c>
    </row>
    <row r="5" customFormat="false" ht="17.15" hidden="false" customHeight="false" outlineLevel="0" collapsed="false">
      <c r="A5" s="0" t="s">
        <v>923</v>
      </c>
      <c r="B5" s="22" t="n">
        <f aca="false">co_ai26</f>
        <v>58</v>
      </c>
      <c r="C5" s="22" t="n">
        <f aca="false">PL!D98</f>
        <v>57.6</v>
      </c>
      <c r="D5" s="16" t="n">
        <f aca="false">C5/B5-1</f>
        <v>-0.00689655172413806</v>
      </c>
      <c r="E5" s="22" t="n">
        <f aca="false">PL!D155</f>
        <v>57.6</v>
      </c>
      <c r="F5" s="16" t="n">
        <f aca="false">E5/B5-1</f>
        <v>-0.00689655172413806</v>
      </c>
      <c r="G5" s="22" t="n">
        <f aca="false">PL!D212</f>
        <v>57.6</v>
      </c>
      <c r="H5" s="16" t="n">
        <f aca="false">G5/B5-1</f>
        <v>-0.00689655172413806</v>
      </c>
      <c r="I5" s="5" t="s">
        <v>924</v>
      </c>
      <c r="J5" s="8" t="s">
        <v>925</v>
      </c>
    </row>
    <row r="6" customFormat="false" ht="17.15" hidden="false" customHeight="false" outlineLevel="0" collapsed="false">
      <c r="A6" s="0" t="s">
        <v>926</v>
      </c>
      <c r="B6" s="22" t="n">
        <f aca="false">co_ai27</f>
        <v>115</v>
      </c>
      <c r="C6" s="22" t="n">
        <f aca="false">PL!E98</f>
        <v>120.941328649413</v>
      </c>
      <c r="D6" s="16" t="n">
        <f aca="false">C6/B6-1</f>
        <v>0.0516637273862033</v>
      </c>
      <c r="E6" s="22" t="n">
        <f aca="false">PL!E155</f>
        <v>120.941328649413</v>
      </c>
      <c r="F6" s="16" t="n">
        <f aca="false">E6/B6-1</f>
        <v>0.0516637273862033</v>
      </c>
      <c r="G6" s="22" t="n">
        <f aca="false">PL!E212</f>
        <v>120.941328649413</v>
      </c>
      <c r="H6" s="16" t="n">
        <f aca="false">G6/B6-1</f>
        <v>0.0516637273862033</v>
      </c>
      <c r="I6" s="5" t="s">
        <v>924</v>
      </c>
    </row>
    <row r="7" customFormat="false" ht="17.15" hidden="false" customHeight="false" outlineLevel="0" collapsed="false">
      <c r="A7" s="0" t="s">
        <v>927</v>
      </c>
      <c r="B7" s="22" t="n">
        <f aca="false">jpm_ai27</f>
        <v>150</v>
      </c>
      <c r="C7" s="22" t="n">
        <f aca="false">PL!E98</f>
        <v>120.941328649413</v>
      </c>
      <c r="D7" s="16" t="n">
        <f aca="false">C7/B7-1</f>
        <v>-0.193724475670578</v>
      </c>
      <c r="E7" s="22" t="n">
        <f aca="false">PL!E155</f>
        <v>120.941328649413</v>
      </c>
      <c r="F7" s="16" t="n">
        <f aca="false">E7/B7-1</f>
        <v>-0.193724475670578</v>
      </c>
      <c r="G7" s="22" t="n">
        <f aca="false">PL!E212</f>
        <v>120.941328649413</v>
      </c>
      <c r="H7" s="16" t="n">
        <f aca="false">G7/B7-1</f>
        <v>-0.193724475670578</v>
      </c>
      <c r="I7" s="8" t="s">
        <v>928</v>
      </c>
    </row>
    <row r="8" customFormat="false" ht="17.15" hidden="false" customHeight="false" outlineLevel="0" collapsed="false">
      <c r="A8" s="0" t="s">
        <v>929</v>
      </c>
      <c r="B8" s="22" t="n">
        <f aca="false">co_ai28</f>
        <v>230</v>
      </c>
      <c r="C8" s="22" t="n">
        <f aca="false">PL!F98</f>
        <v>151.872369229039</v>
      </c>
      <c r="D8" s="16" t="n">
        <f aca="false">C8/B8-1</f>
        <v>-0.339685351178091</v>
      </c>
      <c r="E8" s="22" t="n">
        <f aca="false">PL!F155</f>
        <v>110.740227318106</v>
      </c>
      <c r="F8" s="16" t="n">
        <f aca="false">E8/B8-1</f>
        <v>-0.518520750790844</v>
      </c>
      <c r="G8" s="22" t="n">
        <f aca="false">PL!F212</f>
        <v>79.5973486105035</v>
      </c>
      <c r="H8" s="16" t="n">
        <f aca="false">G8/B8-1</f>
        <v>-0.653924571258681</v>
      </c>
      <c r="I8" s="5" t="s">
        <v>924</v>
      </c>
      <c r="J8" s="5" t="s">
        <v>930</v>
      </c>
    </row>
    <row r="9" customFormat="false" ht="17.15" hidden="false" customHeight="false" outlineLevel="0" collapsed="false">
      <c r="A9" s="1" t="s">
        <v>931</v>
      </c>
    </row>
    <row r="10" customFormat="false" ht="17.15" hidden="false" customHeight="false" outlineLevel="0" collapsed="false">
      <c r="A10" s="0" t="s">
        <v>932</v>
      </c>
      <c r="C10" s="19" t="n">
        <f aca="false">(co_ai27-PL!E97)/PL!E90</f>
        <v>0.928680804425768</v>
      </c>
      <c r="E10" s="19" t="n">
        <f aca="false">(co_ai27-PL!E154)/PL!E147</f>
        <v>0.928680804425768</v>
      </c>
      <c r="G10" s="19" t="n">
        <f aca="false">(co_ai27-PL!E211)/PL!E204</f>
        <v>0.928680804425768</v>
      </c>
      <c r="I10" s="8" t="s">
        <v>175</v>
      </c>
      <c r="J10" s="5" t="s">
        <v>933</v>
      </c>
    </row>
    <row r="11" customFormat="false" ht="17.15" hidden="false" customHeight="false" outlineLevel="0" collapsed="false">
      <c r="A11" s="0" t="s">
        <v>934</v>
      </c>
      <c r="C11" s="19" t="n">
        <f aca="false">(co_ai28-PL!F97)/PL!F90</f>
        <v>1.72969903245069</v>
      </c>
      <c r="E11" s="19" t="n">
        <f aca="false">(co_ai28-PL!F154)/PL!F147</f>
        <v>2.59231777783941</v>
      </c>
      <c r="G11" s="19" t="n">
        <f aca="false">(co_ai28-PL!F211)/PL!F204</f>
        <v>3.85313338228247</v>
      </c>
      <c r="I11" s="8" t="s">
        <v>175</v>
      </c>
    </row>
    <row r="12" customFormat="false" ht="17.15" hidden="false" customHeight="false" outlineLevel="0" collapsed="false">
      <c r="A12" s="0" t="s">
        <v>935</v>
      </c>
      <c r="B12" s="19" t="n">
        <f aca="false">PL!F93</f>
        <v>8</v>
      </c>
      <c r="C12" s="19" t="n">
        <f aca="false">(co_ai28-PL!F97)/PL!F90*PL!F93</f>
        <v>13.8375922596055</v>
      </c>
      <c r="E12" s="19" t="n">
        <f aca="false">(co_ai28-PL!F154)/PL!F147*PL!F150</f>
        <v>16.5908337781722</v>
      </c>
      <c r="G12" s="19" t="n">
        <f aca="false">(co_ai28-PL!F211)/PL!F204*PL!F207</f>
        <v>18.4950402349558</v>
      </c>
      <c r="I12" s="8" t="s">
        <v>175</v>
      </c>
      <c r="J12" s="5" t="s">
        <v>936</v>
      </c>
    </row>
    <row r="13" customFormat="false" ht="17.15" hidden="false" customHeight="false" outlineLevel="0" collapsed="false">
      <c r="A13" s="1" t="s">
        <v>937</v>
      </c>
    </row>
    <row r="14" customFormat="false" ht="17.15" hidden="false" customHeight="false" outlineLevel="0" collapsed="false">
      <c r="A14" s="0" t="s">
        <v>938</v>
      </c>
      <c r="B14" s="22" t="n">
        <f aca="false">cons_rev26</f>
        <v>105.98</v>
      </c>
      <c r="C14" s="22" t="n">
        <f aca="false">PL!D103</f>
        <v>105.889</v>
      </c>
      <c r="D14" s="16" t="n">
        <f aca="false">C14/B14-1</f>
        <v>-0.000858652575957852</v>
      </c>
      <c r="E14" s="22" t="n">
        <f aca="false">PL!D160</f>
        <v>105.889</v>
      </c>
      <c r="F14" s="16" t="n">
        <f aca="false">E14/B14-1</f>
        <v>-0.000858652575957852</v>
      </c>
      <c r="G14" s="22" t="n">
        <f aca="false">PL!D217</f>
        <v>105.889</v>
      </c>
      <c r="H14" s="16" t="n">
        <f aca="false">G14/B14-1</f>
        <v>-0.000858652575957852</v>
      </c>
      <c r="I14" s="8" t="s">
        <v>396</v>
      </c>
      <c r="J14" s="5" t="s">
        <v>939</v>
      </c>
    </row>
    <row r="15" customFormat="false" ht="17.15" hidden="false" customHeight="false" outlineLevel="0" collapsed="false">
      <c r="A15" s="0" t="s">
        <v>940</v>
      </c>
      <c r="B15" s="19" t="n">
        <f aca="false">cons_eps26</f>
        <v>11.66</v>
      </c>
      <c r="C15" s="19" t="n">
        <f aca="false">PL!D123</f>
        <v>11.6152766258724</v>
      </c>
      <c r="D15" s="16" t="n">
        <f aca="false">C15/B15-1</f>
        <v>-0.00383562385314273</v>
      </c>
      <c r="E15" s="19" t="n">
        <f aca="false">PL!D180</f>
        <v>11.6152766258724</v>
      </c>
      <c r="F15" s="16" t="n">
        <f aca="false">E15/B15-1</f>
        <v>-0.00383562385314273</v>
      </c>
      <c r="G15" s="19" t="n">
        <f aca="false">PL!D237</f>
        <v>11.6152766258724</v>
      </c>
      <c r="H15" s="16" t="n">
        <f aca="false">G15/B15-1</f>
        <v>-0.00383562385314273</v>
      </c>
      <c r="I15" s="8" t="s">
        <v>396</v>
      </c>
      <c r="J15" s="5" t="s">
        <v>941</v>
      </c>
    </row>
    <row r="16" customFormat="false" ht="17.15" hidden="false" customHeight="false" outlineLevel="0" collapsed="false">
      <c r="A16" s="0" t="s">
        <v>942</v>
      </c>
      <c r="B16" s="22" t="n">
        <f aca="false">cons_rev27</f>
        <v>173.97</v>
      </c>
      <c r="C16" s="22" t="n">
        <f aca="false">PL!E103</f>
        <v>173.507338649413</v>
      </c>
      <c r="D16" s="16" t="n">
        <f aca="false">C16/B16-1</f>
        <v>-0.00265943180195793</v>
      </c>
      <c r="E16" s="22" t="n">
        <f aca="false">PL!E160</f>
        <v>173.507338649413</v>
      </c>
      <c r="F16" s="16" t="n">
        <f aca="false">E16/B16-1</f>
        <v>-0.00265943180195793</v>
      </c>
      <c r="G16" s="22" t="n">
        <f aca="false">PL!E217</f>
        <v>173.507338649413</v>
      </c>
      <c r="H16" s="16" t="n">
        <f aca="false">G16/B16-1</f>
        <v>-0.00265943180195793</v>
      </c>
      <c r="I16" s="8" t="s">
        <v>396</v>
      </c>
    </row>
    <row r="17" customFormat="false" ht="17.15" hidden="false" customHeight="false" outlineLevel="0" collapsed="false">
      <c r="A17" s="0" t="s">
        <v>943</v>
      </c>
      <c r="B17" s="19" t="n">
        <f aca="false">cons_eps27</f>
        <v>19.4</v>
      </c>
      <c r="C17" s="19" t="n">
        <f aca="false">PL!E123</f>
        <v>18.0778463164829</v>
      </c>
      <c r="D17" s="16" t="n">
        <f aca="false">C17/B17-1</f>
        <v>-0.0681522517276856</v>
      </c>
      <c r="E17" s="19" t="n">
        <f aca="false">PL!E180</f>
        <v>18.0778463164829</v>
      </c>
      <c r="F17" s="16" t="n">
        <f aca="false">E17/B17-1</f>
        <v>-0.0681522517276856</v>
      </c>
      <c r="G17" s="19" t="n">
        <f aca="false">PL!E237</f>
        <v>18.0778463164829</v>
      </c>
      <c r="H17" s="16" t="n">
        <f aca="false">G17/B17-1</f>
        <v>-0.0681522517276856</v>
      </c>
      <c r="I17" s="8" t="s">
        <v>396</v>
      </c>
    </row>
    <row r="18" customFormat="false" ht="17.15" hidden="false" customHeight="false" outlineLevel="0" collapsed="false">
      <c r="A18" s="0" t="s">
        <v>944</v>
      </c>
      <c r="C18" s="22" t="n">
        <f aca="false">cons_rev27-PL!E100-PL!E101</f>
        <v>121.40399</v>
      </c>
      <c r="E18" s="22" t="n">
        <f aca="false">cons_rev27-PL!E157-PL!E158</f>
        <v>121.40399</v>
      </c>
      <c r="G18" s="22" t="n">
        <f aca="false">cons_rev27-PL!E214-PL!E215</f>
        <v>121.40399</v>
      </c>
      <c r="I18" s="5" t="s">
        <v>945</v>
      </c>
      <c r="J18" s="5" t="s">
        <v>946</v>
      </c>
    </row>
    <row r="19" customFormat="false" ht="17.15" hidden="false" customHeight="false" outlineLevel="0" collapsed="false">
      <c r="A19" s="1" t="s">
        <v>947</v>
      </c>
    </row>
    <row r="20" customFormat="false" ht="17.15" hidden="false" customHeight="false" outlineLevel="0" collapsed="false">
      <c r="A20" s="0" t="s">
        <v>948</v>
      </c>
      <c r="B20" s="16" t="n">
        <v>0.165</v>
      </c>
      <c r="C20" s="16" t="n">
        <f aca="false">Units!D59</f>
        <v>0.2238174370619</v>
      </c>
      <c r="D20" s="16" t="n">
        <f aca="false">C20-B20</f>
        <v>0.0588174370618995</v>
      </c>
      <c r="E20" s="16" t="n">
        <f aca="false">Units!D97</f>
        <v>0.2238174370619</v>
      </c>
      <c r="F20" s="16" t="n">
        <f aca="false">E20-B20</f>
        <v>0.0588174370618995</v>
      </c>
      <c r="G20" s="16" t="n">
        <f aca="false">Units!D135</f>
        <v>0.2238174370619</v>
      </c>
      <c r="H20" s="16" t="n">
        <f aca="false">G20-B20</f>
        <v>0.0588174370618995</v>
      </c>
      <c r="I20" s="5" t="s">
        <v>949</v>
      </c>
    </row>
    <row r="21" customFormat="false" ht="17.15" hidden="false" customHeight="false" outlineLevel="0" collapsed="false">
      <c r="A21" s="0" t="s">
        <v>950</v>
      </c>
      <c r="B21" s="16" t="n">
        <f aca="false">jpm_u27</f>
        <v>0.536</v>
      </c>
      <c r="C21" s="16" t="n">
        <f aca="false">Units!D60</f>
        <v>0.527426160337553</v>
      </c>
      <c r="D21" s="16" t="n">
        <f aca="false">C21-B21</f>
        <v>-0.00857383966244729</v>
      </c>
      <c r="E21" s="16" t="n">
        <f aca="false">Units!D98</f>
        <v>0.527426160337553</v>
      </c>
      <c r="F21" s="16" t="n">
        <f aca="false">E21-B21</f>
        <v>-0.00857383966244729</v>
      </c>
      <c r="G21" s="16" t="n">
        <f aca="false">Units!D136</f>
        <v>0.527426160337553</v>
      </c>
      <c r="H21" s="16" t="n">
        <f aca="false">G21-B21</f>
        <v>-0.00857383966244729</v>
      </c>
      <c r="I21" s="8" t="s">
        <v>951</v>
      </c>
      <c r="J21" s="5" t="s">
        <v>952</v>
      </c>
    </row>
    <row r="22" customFormat="false" ht="17.15" hidden="false" customHeight="false" outlineLevel="0" collapsed="false">
      <c r="A22" s="0" t="s">
        <v>953</v>
      </c>
      <c r="B22" s="16" t="n">
        <f aca="false">cp_sh27</f>
        <v>0.6</v>
      </c>
      <c r="C22" s="16" t="n">
        <f aca="false">Units!D62</f>
        <v>0.55</v>
      </c>
      <c r="D22" s="16" t="n">
        <f aca="false">C22-B22</f>
        <v>-0.0499999999999999</v>
      </c>
      <c r="E22" s="16" t="n">
        <f aca="false">Units!D100</f>
        <v>0.55</v>
      </c>
      <c r="F22" s="16" t="n">
        <f aca="false">E22-B22</f>
        <v>-0.0499999999999999</v>
      </c>
      <c r="G22" s="16" t="n">
        <f aca="false">Units!D138</f>
        <v>0.55</v>
      </c>
      <c r="H22" s="16" t="n">
        <f aca="false">G22-B22</f>
        <v>-0.0499999999999999</v>
      </c>
      <c r="I22" s="8" t="s">
        <v>954</v>
      </c>
    </row>
    <row r="23" customFormat="false" ht="17.15" hidden="false" customHeight="false" outlineLevel="0" collapsed="false">
      <c r="A23" s="0" t="s">
        <v>955</v>
      </c>
      <c r="B23" s="16" t="n">
        <f aca="false">cp_sh27</f>
        <v>0.6</v>
      </c>
      <c r="C23" s="16" t="n">
        <f aca="false">Units!D61</f>
        <v>0.614500558121013</v>
      </c>
      <c r="D23" s="16" t="n">
        <f aca="false">C23-B23</f>
        <v>0.0145005581210134</v>
      </c>
      <c r="E23" s="16" t="n">
        <f aca="false">Units!D99</f>
        <v>0.614500558121013</v>
      </c>
      <c r="F23" s="16" t="n">
        <f aca="false">E23-B23</f>
        <v>0.0145005581210134</v>
      </c>
      <c r="G23" s="16" t="n">
        <f aca="false">Units!D137</f>
        <v>0.614500558121013</v>
      </c>
      <c r="H23" s="16" t="n">
        <f aca="false">G23-B23</f>
        <v>0.0145005581210134</v>
      </c>
      <c r="I23" s="5" t="s">
        <v>41</v>
      </c>
      <c r="J23" s="8" t="s">
        <v>368</v>
      </c>
    </row>
    <row r="24" customFormat="false" ht="17.15" hidden="false" customHeight="false" outlineLevel="0" collapsed="false">
      <c r="A24" s="0" t="s">
        <v>956</v>
      </c>
      <c r="C24" s="16" t="n">
        <f aca="false">Units!D54</f>
        <v>0.712614304407517</v>
      </c>
      <c r="E24" s="16" t="n">
        <f aca="false">Units!D92</f>
        <v>0.712614304407517</v>
      </c>
      <c r="G24" s="16" t="n">
        <f aca="false">Units!D130</f>
        <v>0.712614304407517</v>
      </c>
      <c r="I24" s="8" t="s">
        <v>957</v>
      </c>
      <c r="J24" s="8" t="s">
        <v>958</v>
      </c>
    </row>
    <row r="25" customFormat="false" ht="17.15" hidden="false" customHeight="false" outlineLevel="0" collapsed="false">
      <c r="A25" s="5" t="s">
        <v>959</v>
      </c>
      <c r="C25" s="21" t="n">
        <f aca="false">pm_rb/Units!D10</f>
        <v>3.56393905629787</v>
      </c>
      <c r="E25" s="21" t="n">
        <f aca="false">pm_rb/Units!D10</f>
        <v>3.56393905629787</v>
      </c>
      <c r="G25" s="21" t="n">
        <f aca="false">pm_rb/Units!D10</f>
        <v>3.56393905629787</v>
      </c>
      <c r="I25" s="8" t="s">
        <v>175</v>
      </c>
      <c r="J25" s="5" t="s">
        <v>960</v>
      </c>
    </row>
    <row r="26" customFormat="false" ht="17.15" hidden="false" customHeight="false" outlineLevel="0" collapsed="false">
      <c r="A26" s="5" t="s">
        <v>961</v>
      </c>
      <c r="B26" s="21" t="n">
        <v>35</v>
      </c>
      <c r="C26" s="21" t="n">
        <f aca="false">Val!B63</f>
        <v>32.9590163934426</v>
      </c>
      <c r="D26" s="16" t="n">
        <f aca="false">C26/B26-1</f>
        <v>-0.0583138173302107</v>
      </c>
      <c r="E26" s="21" t="n">
        <f aca="false">Val!B63</f>
        <v>32.9590163934426</v>
      </c>
      <c r="F26" s="16" t="n">
        <f aca="false">E26/B26-1</f>
        <v>-0.0583138173302107</v>
      </c>
      <c r="G26" s="21" t="n">
        <f aca="false">Val!B63</f>
        <v>32.9590163934426</v>
      </c>
      <c r="H26" s="16" t="n">
        <f aca="false">G26/B26-1</f>
        <v>-0.0583138173302107</v>
      </c>
      <c r="I26" s="5" t="s">
        <v>962</v>
      </c>
      <c r="J26" s="8" t="s">
        <v>963</v>
      </c>
    </row>
    <row r="27" customFormat="false" ht="17.15" hidden="false" customHeight="false" outlineLevel="0" collapsed="false">
      <c r="A27" s="1" t="s">
        <v>964</v>
      </c>
    </row>
    <row r="28" customFormat="false" ht="17.15" hidden="false" customHeight="false" outlineLevel="0" collapsed="false">
      <c r="A28" s="0" t="s">
        <v>965</v>
      </c>
      <c r="C28" s="17" t="n">
        <f aca="false">PL!D89</f>
        <v>1.10779533197646</v>
      </c>
      <c r="E28" s="17" t="n">
        <f aca="false">PL!D146</f>
        <v>1.10779533197646</v>
      </c>
      <c r="G28" s="17" t="n">
        <f aca="false">PL!D203</f>
        <v>1.10779533197646</v>
      </c>
      <c r="I28" s="8" t="s">
        <v>966</v>
      </c>
      <c r="J28" s="5" t="s">
        <v>967</v>
      </c>
    </row>
    <row r="29" customFormat="false" ht="17.15" hidden="false" customHeight="false" outlineLevel="0" collapsed="false">
      <c r="A29" s="0" t="s">
        <v>968</v>
      </c>
      <c r="C29" s="17" t="n">
        <f aca="false">PL!D96</f>
        <v>1.39598640899359</v>
      </c>
      <c r="E29" s="17" t="n">
        <f aca="false">PL!D153</f>
        <v>1.39598640899359</v>
      </c>
      <c r="G29" s="17" t="n">
        <f aca="false">PL!D210</f>
        <v>1.39598640899359</v>
      </c>
      <c r="I29" s="8" t="s">
        <v>588</v>
      </c>
      <c r="J29" s="8" t="s">
        <v>969</v>
      </c>
    </row>
    <row r="30" customFormat="false" ht="17.15" hidden="false" customHeight="false" outlineLevel="0" collapsed="false">
      <c r="A30" s="0" t="s">
        <v>970</v>
      </c>
      <c r="C30" s="16" t="n">
        <f aca="false">PL!D110</f>
        <v>0.787550884757324</v>
      </c>
      <c r="E30" s="16" t="n">
        <f aca="false">PL!D167</f>
        <v>0.787550884757324</v>
      </c>
      <c r="G30" s="16" t="n">
        <f aca="false">PL!D224</f>
        <v>0.787550884757324</v>
      </c>
      <c r="I30" s="8" t="s">
        <v>971</v>
      </c>
      <c r="J30" s="5" t="s">
        <v>972</v>
      </c>
    </row>
    <row r="31" customFormat="false" ht="17.15" hidden="false" customHeight="false" outlineLevel="0" collapsed="false">
      <c r="A31" s="0" t="s">
        <v>973</v>
      </c>
      <c r="B31" s="16" t="n">
        <f aca="false">a26_gp/a26_rev</f>
        <v>0.751466157957862</v>
      </c>
      <c r="C31" s="16" t="n">
        <f aca="false">PL!E112</f>
        <v>0.677622064130386</v>
      </c>
      <c r="D31" s="16" t="n">
        <f aca="false">C31-B31</f>
        <v>-0.0738440938274758</v>
      </c>
      <c r="E31" s="16" t="n">
        <f aca="false">PL!E169</f>
        <v>0.677622064130386</v>
      </c>
      <c r="F31" s="16" t="n">
        <f aca="false">E31-B31</f>
        <v>-0.0738440938274758</v>
      </c>
      <c r="G31" s="16" t="n">
        <f aca="false">PL!E226</f>
        <v>0.677622064130386</v>
      </c>
      <c r="H31" s="16" t="n">
        <f aca="false">G31-B31</f>
        <v>-0.0738440938274758</v>
      </c>
      <c r="I31" s="5" t="s">
        <v>939</v>
      </c>
      <c r="J31" s="5" t="s">
        <v>974</v>
      </c>
    </row>
    <row r="32" customFormat="false" ht="17.15" hidden="false" customHeight="false" outlineLevel="0" collapsed="false">
      <c r="A32" s="0" t="s">
        <v>975</v>
      </c>
      <c r="B32" s="16" t="n">
        <f aca="false">(cons_eps27*a26_sh/(1-tx_f)+int_f-oth_f+PL!E115)/cons_rev27</f>
        <v>0.723603978689526</v>
      </c>
      <c r="C32" s="16" t="n">
        <f aca="false">PL!E112</f>
        <v>0.677622064130386</v>
      </c>
      <c r="D32" s="16" t="n">
        <f aca="false">C32-B32</f>
        <v>-0.0459819145591405</v>
      </c>
      <c r="E32" s="16" t="n">
        <f aca="false">PL!E169</f>
        <v>0.677622064130386</v>
      </c>
      <c r="F32" s="16" t="n">
        <f aca="false">E32-B32</f>
        <v>-0.0459819145591405</v>
      </c>
      <c r="G32" s="16" t="n">
        <f aca="false">PL!E226</f>
        <v>0.677622064130386</v>
      </c>
      <c r="H32" s="16" t="n">
        <f aca="false">G32-B32</f>
        <v>-0.0459819145591405</v>
      </c>
      <c r="I32" s="5" t="s">
        <v>976</v>
      </c>
    </row>
    <row r="33" customFormat="false" ht="17.15" hidden="false" customHeight="false" outlineLevel="0" collapsed="false">
      <c r="A33" s="1" t="s">
        <v>977</v>
      </c>
    </row>
    <row r="34" customFormat="false" ht="17.15" hidden="false" customHeight="false" outlineLevel="0" collapsed="false">
      <c r="A34" s="0" t="s">
        <v>978</v>
      </c>
      <c r="B34" s="22" t="n">
        <f aca="false">fin_anth+fin_oai</f>
        <v>92</v>
      </c>
      <c r="C34" s="22" t="n">
        <f aca="false">PL!E98</f>
        <v>120.941328649413</v>
      </c>
      <c r="E34" s="22" t="n">
        <f aca="false">PL!E155</f>
        <v>120.941328649413</v>
      </c>
      <c r="G34" s="22" t="n">
        <f aca="false">PL!E212</f>
        <v>120.941328649413</v>
      </c>
      <c r="I34" s="8" t="s">
        <v>979</v>
      </c>
      <c r="J34" s="5" t="s">
        <v>980</v>
      </c>
    </row>
    <row r="35" customFormat="false" ht="17.15" hidden="false" customHeight="false" outlineLevel="0" collapsed="false">
      <c r="A35" s="5" t="s">
        <v>981</v>
      </c>
      <c r="C35" s="32" t="n">
        <f aca="false">(fin_anth+fin_oai)/PL!E98</f>
        <v>0.760699431926129</v>
      </c>
      <c r="E35" s="32" t="n">
        <f aca="false">(fin_anth+fin_oai)/PL!E155</f>
        <v>0.760699431926129</v>
      </c>
      <c r="G35" s="32" t="n">
        <f aca="false">(fin_anth+fin_oai)/PL!E212</f>
        <v>0.760699431926129</v>
      </c>
      <c r="I35" s="8" t="s">
        <v>175</v>
      </c>
    </row>
    <row r="36" customFormat="false" ht="17.15" hidden="false" customHeight="false" outlineLevel="0" collapsed="false">
      <c r="A36" s="5" t="s">
        <v>982</v>
      </c>
      <c r="C36" s="21" t="n">
        <f aca="false">(fin_anth+fin_oai)/PL!E121</f>
        <v>1.03462630992811</v>
      </c>
      <c r="E36" s="21" t="n">
        <f aca="false">(fin_anth+fin_oai)/PL!E178</f>
        <v>1.03462630992811</v>
      </c>
      <c r="G36" s="21" t="n">
        <f aca="false">(fin_anth+fin_oai)/PL!E235</f>
        <v>1.03462630992811</v>
      </c>
      <c r="I36" s="8" t="s">
        <v>175</v>
      </c>
      <c r="J36" s="5" t="s">
        <v>983</v>
      </c>
    </row>
    <row r="37" customFormat="false" ht="17.15" hidden="false" customHeight="false" outlineLevel="0" collapsed="false">
      <c r="A37" s="1" t="s">
        <v>984</v>
      </c>
    </row>
    <row r="38" customFormat="false" ht="17.15" hidden="false" customHeight="false" outlineLevel="0" collapsed="false">
      <c r="A38" s="0" t="s">
        <v>985</v>
      </c>
      <c r="J38" s="5" t="s">
        <v>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987</v>
      </c>
    </row>
    <row r="3" customFormat="false" ht="17.15" hidden="false" customHeight="false" outlineLevel="0" collapsed="false">
      <c r="A3" s="6" t="s">
        <v>988</v>
      </c>
      <c r="B3" s="6" t="s">
        <v>989</v>
      </c>
      <c r="C3" s="13" t="s">
        <v>990</v>
      </c>
      <c r="D3" s="13" t="s">
        <v>991</v>
      </c>
      <c r="E3" s="13" t="s">
        <v>992</v>
      </c>
      <c r="F3" s="13" t="s">
        <v>834</v>
      </c>
      <c r="G3" s="13" t="s">
        <v>993</v>
      </c>
      <c r="H3" s="13" t="s">
        <v>994</v>
      </c>
      <c r="I3" s="13" t="s">
        <v>995</v>
      </c>
      <c r="J3" s="13" t="s">
        <v>996</v>
      </c>
      <c r="K3" s="13" t="s">
        <v>837</v>
      </c>
      <c r="L3" s="13" t="s">
        <v>997</v>
      </c>
    </row>
    <row r="4" customFormat="false" ht="17.15" hidden="false" customHeight="false" outlineLevel="0" collapsed="false">
      <c r="A4" s="5" t="s">
        <v>998</v>
      </c>
      <c r="B4" s="0" t="s">
        <v>999</v>
      </c>
      <c r="C4" s="22" t="n">
        <f aca="false">PL!E103</f>
        <v>173.507338649413</v>
      </c>
      <c r="D4" s="22" t="n">
        <f aca="false">PL!E98</f>
        <v>120.941328649413</v>
      </c>
      <c r="E4" s="16" t="n">
        <f aca="false">PL!E112</f>
        <v>0.677622064130386</v>
      </c>
      <c r="F4" s="19" t="n">
        <f aca="false">PL!E123</f>
        <v>18.0778463164829</v>
      </c>
      <c r="G4" s="16" t="n">
        <f aca="false">F4/F$4-1</f>
        <v>0</v>
      </c>
      <c r="H4" s="22" t="n">
        <f aca="false">PL!F103</f>
        <v>207.775215529039</v>
      </c>
      <c r="I4" s="22" t="n">
        <f aca="false">PL!F98</f>
        <v>151.872369229039</v>
      </c>
      <c r="J4" s="16" t="n">
        <f aca="false">PL!F112</f>
        <v>0.647351818908384</v>
      </c>
      <c r="K4" s="19" t="n">
        <f aca="false">PL!F123</f>
        <v>21.0266805782682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1000</v>
      </c>
      <c r="B5" s="0" t="s">
        <v>1001</v>
      </c>
      <c r="C5" s="22" t="n">
        <f aca="false">E73</f>
        <v>165.176722184132</v>
      </c>
      <c r="D5" s="22" t="n">
        <f aca="false">E68</f>
        <v>112.610712184132</v>
      </c>
      <c r="E5" s="16" t="n">
        <f aca="false">E82</f>
        <v>0.683675043227432</v>
      </c>
      <c r="F5" s="19" t="n">
        <f aca="false">E93</f>
        <v>17.296330000549</v>
      </c>
      <c r="G5" s="16" t="n">
        <f aca="false">F5/F$4-1</f>
        <v>-0.0432306095677648</v>
      </c>
      <c r="H5" s="22" t="n">
        <f aca="false">F73</f>
        <v>197.068386097106</v>
      </c>
      <c r="I5" s="22" t="n">
        <f aca="false">F68</f>
        <v>141.165539797106</v>
      </c>
      <c r="J5" s="16" t="n">
        <f aca="false">F82</f>
        <v>0.654479590528385</v>
      </c>
      <c r="K5" s="19" t="n">
        <f aca="false">F93</f>
        <v>20.0903445261917</v>
      </c>
      <c r="L5" s="16" t="n">
        <f aca="false">K5/K$4-1</f>
        <v>-0.0445308544347341</v>
      </c>
    </row>
    <row r="6" customFormat="false" ht="17.15" hidden="false" customHeight="false" outlineLevel="0" collapsed="false">
      <c r="A6" s="0" t="s">
        <v>1002</v>
      </c>
      <c r="B6" s="0" t="s">
        <v>1003</v>
      </c>
      <c r="C6" s="22" t="n">
        <f aca="false">E130</f>
        <v>181.837955114695</v>
      </c>
      <c r="D6" s="22" t="n">
        <f aca="false">E125</f>
        <v>129.271945114695</v>
      </c>
      <c r="E6" s="16" t="n">
        <f aca="false">E139</f>
        <v>0.672123700237828</v>
      </c>
      <c r="F6" s="19" t="n">
        <f aca="false">E150</f>
        <v>18.8593626324168</v>
      </c>
      <c r="G6" s="16" t="n">
        <f aca="false">F6/F$4-1</f>
        <v>0.0432306095677646</v>
      </c>
      <c r="H6" s="22" t="n">
        <f aca="false">F130</f>
        <v>218.482044960972</v>
      </c>
      <c r="I6" s="22" t="n">
        <f aca="false">F125</f>
        <v>162.579198660972</v>
      </c>
      <c r="J6" s="16" t="n">
        <f aca="false">F139</f>
        <v>0.640922647807056</v>
      </c>
      <c r="K6" s="19" t="n">
        <f aca="false">F150</f>
        <v>21.9630166303447</v>
      </c>
      <c r="L6" s="16" t="n">
        <f aca="false">K6/K$4-1</f>
        <v>0.0445308544347345</v>
      </c>
    </row>
    <row r="7" customFormat="false" ht="17.15" hidden="false" customHeight="false" outlineLevel="0" collapsed="false">
      <c r="A7" s="0" t="s">
        <v>1004</v>
      </c>
      <c r="B7" s="0" t="s">
        <v>1005</v>
      </c>
      <c r="C7" s="22" t="n">
        <f aca="false">E187</f>
        <v>162.593172869481</v>
      </c>
      <c r="D7" s="22" t="n">
        <f aca="false">E182</f>
        <v>110.027162869481</v>
      </c>
      <c r="E7" s="16" t="n">
        <f aca="false">E196</f>
        <v>0.685477680595475</v>
      </c>
      <c r="F7" s="19" t="n">
        <f aca="false">E207</f>
        <v>17.0483917079444</v>
      </c>
      <c r="G7" s="16" t="n">
        <f aca="false">F7/F$4-1</f>
        <v>-0.0569456444377366</v>
      </c>
      <c r="H7" s="22" t="n">
        <f aca="false">F187</f>
        <v>192.659273425879</v>
      </c>
      <c r="I7" s="22" t="n">
        <f aca="false">F182</f>
        <v>136.756427125879</v>
      </c>
      <c r="J7" s="16" t="n">
        <f aca="false">F196</f>
        <v>0.65708790283535</v>
      </c>
      <c r="K7" s="19" t="n">
        <f aca="false">F207</f>
        <v>19.6850941529378</v>
      </c>
      <c r="L7" s="16" t="n">
        <f aca="false">K7/K$4-1</f>
        <v>-0.0638040046471708</v>
      </c>
    </row>
    <row r="8" customFormat="false" ht="17.15" hidden="false" customHeight="false" outlineLevel="0" collapsed="false">
      <c r="A8" s="0" t="s">
        <v>1006</v>
      </c>
      <c r="B8" s="0" t="s">
        <v>1007</v>
      </c>
      <c r="C8" s="22" t="n">
        <f aca="false">E244</f>
        <v>180.783449169368</v>
      </c>
      <c r="D8" s="22" t="n">
        <f aca="false">E239</f>
        <v>128.217439169368</v>
      </c>
      <c r="E8" s="16" t="n">
        <f aca="false">E253</f>
        <v>0.672911936767979</v>
      </c>
      <c r="F8" s="19" t="n">
        <f aca="false">E264</f>
        <v>18.7641493888419</v>
      </c>
      <c r="G8" s="16" t="n">
        <f aca="false">F8/F$4-1</f>
        <v>0.0379637629584906</v>
      </c>
      <c r="H8" s="22" t="n">
        <f aca="false">F244</f>
        <v>217.852510264479</v>
      </c>
      <c r="I8" s="22" t="n">
        <f aca="false">F239</f>
        <v>161.949663964479</v>
      </c>
      <c r="J8" s="16" t="n">
        <f aca="false">F253</f>
        <v>0.641611706471442</v>
      </c>
      <c r="K8" s="19" t="n">
        <f aca="false">F264</f>
        <v>21.9210715284885</v>
      </c>
      <c r="L8" s="16" t="n">
        <f aca="false">K8/K$4-1</f>
        <v>0.0425360030981143</v>
      </c>
    </row>
    <row r="9" customFormat="false" ht="17.15" hidden="false" customHeight="false" outlineLevel="0" collapsed="false">
      <c r="A9" s="5" t="s">
        <v>1008</v>
      </c>
      <c r="B9" s="0" t="s">
        <v>1009</v>
      </c>
      <c r="C9" s="22" t="n">
        <f aca="false">E301</f>
        <v>166.662625787637</v>
      </c>
      <c r="D9" s="22" t="n">
        <f aca="false">E296</f>
        <v>114.096615787637</v>
      </c>
      <c r="E9" s="16" t="n">
        <f aca="false">E310</f>
        <v>0.682835658011673</v>
      </c>
      <c r="F9" s="19" t="n">
        <f aca="false">E321</f>
        <v>17.4438267036281</v>
      </c>
      <c r="G9" s="16" t="n">
        <f aca="false">F9/F$4-1</f>
        <v>-0.0350716341844697</v>
      </c>
      <c r="H9" s="22" t="n">
        <f aca="false">F301</f>
        <v>199.187419946258</v>
      </c>
      <c r="I9" s="22" t="n">
        <f aca="false">F296</f>
        <v>143.284573646258</v>
      </c>
      <c r="J9" s="16" t="n">
        <f aca="false">F310</f>
        <v>0.653743036085429</v>
      </c>
      <c r="K9" s="19" t="n">
        <f aca="false">F321</f>
        <v>20.3010225974385</v>
      </c>
      <c r="L9" s="16" t="n">
        <f aca="false">K9/K$4-1</f>
        <v>-0.034511295215073</v>
      </c>
    </row>
    <row r="10" customFormat="false" ht="17.15" hidden="false" customHeight="false" outlineLevel="0" collapsed="false">
      <c r="A10" s="5" t="s">
        <v>1010</v>
      </c>
      <c r="B10" s="0" t="s">
        <v>1011</v>
      </c>
      <c r="C10" s="22" t="n">
        <f aca="false">E358</f>
        <v>180.35205151119</v>
      </c>
      <c r="D10" s="22" t="n">
        <f aca="false">E353</f>
        <v>127.78604151119</v>
      </c>
      <c r="E10" s="16" t="n">
        <f aca="false">E367</f>
        <v>0.672804202405138</v>
      </c>
      <c r="F10" s="19" t="n">
        <f aca="false">E378</f>
        <v>18.7118659293376</v>
      </c>
      <c r="G10" s="16" t="n">
        <f aca="false">F10/F$4-1</f>
        <v>0.0350716341844695</v>
      </c>
      <c r="H10" s="22" t="n">
        <f aca="false">F358</f>
        <v>216.36301111182</v>
      </c>
      <c r="I10" s="22" t="n">
        <f aca="false">F353</f>
        <v>160.46016481182</v>
      </c>
      <c r="J10" s="16" t="n">
        <f aca="false">F367</f>
        <v>0.641467957090831</v>
      </c>
      <c r="K10" s="19" t="n">
        <f aca="false">F378</f>
        <v>21.7523385590979</v>
      </c>
      <c r="L10" s="16" t="n">
        <f aca="false">K10/K$4-1</f>
        <v>0.0345112952150732</v>
      </c>
    </row>
    <row r="11" customFormat="false" ht="17.15" hidden="false" customHeight="false" outlineLevel="0" collapsed="false">
      <c r="A11" s="5" t="s">
        <v>1012</v>
      </c>
      <c r="B11" s="0" t="s">
        <v>1013</v>
      </c>
      <c r="C11" s="22" t="n">
        <f aca="false">E415</f>
        <v>162.418307376329</v>
      </c>
      <c r="D11" s="22" t="n">
        <f aca="false">E410</f>
        <v>109.852297376329</v>
      </c>
      <c r="E11" s="16" t="n">
        <f aca="false">E424</f>
        <v>0.670116727143214</v>
      </c>
      <c r="F11" s="19" t="n">
        <f aca="false">E435</f>
        <v>16.6021045740086</v>
      </c>
      <c r="G11" s="16" t="n">
        <f aca="false">F11/F$4-1</f>
        <v>-0.0816326080352141</v>
      </c>
      <c r="H11" s="22" t="n">
        <f aca="false">F415</f>
        <v>194.814010144914</v>
      </c>
      <c r="I11" s="22" t="n">
        <f aca="false">F410</f>
        <v>138.911163844914</v>
      </c>
      <c r="J11" s="16" t="n">
        <f aca="false">F424</f>
        <v>0.638024210048124</v>
      </c>
      <c r="K11" s="19" t="n">
        <f aca="false">F435</f>
        <v>19.2909351656485</v>
      </c>
      <c r="L11" s="16" t="n">
        <f aca="false">K11/K$4-1</f>
        <v>-0.0825496638025537</v>
      </c>
    </row>
    <row r="12" customFormat="false" ht="17.15" hidden="false" customHeight="false" outlineLevel="0" collapsed="false">
      <c r="A12" s="5" t="s">
        <v>1014</v>
      </c>
      <c r="B12" s="0" t="s">
        <v>1015</v>
      </c>
      <c r="C12" s="22" t="n">
        <f aca="false">E472</f>
        <v>184.596369922498</v>
      </c>
      <c r="D12" s="22" t="n">
        <f aca="false">E467</f>
        <v>132.030359922498</v>
      </c>
      <c r="E12" s="16" t="n">
        <f aca="false">E481</f>
        <v>0.68422568331454</v>
      </c>
      <c r="F12" s="19" t="n">
        <f aca="false">E492</f>
        <v>19.5535880589572</v>
      </c>
      <c r="G12" s="16" t="n">
        <f aca="false">F12/F$4-1</f>
        <v>0.0816326080352141</v>
      </c>
      <c r="H12" s="22" t="n">
        <f aca="false">F472</f>
        <v>220.736420913164</v>
      </c>
      <c r="I12" s="22" t="n">
        <f aca="false">F467</f>
        <v>164.833574613164</v>
      </c>
      <c r="J12" s="16" t="n">
        <f aca="false">F481</f>
        <v>0.655584030337804</v>
      </c>
      <c r="K12" s="19" t="n">
        <f aca="false">F492</f>
        <v>22.7624259908879</v>
      </c>
      <c r="L12" s="16" t="n">
        <f aca="false">K12/K$4-1</f>
        <v>0.0825496638025538</v>
      </c>
    </row>
    <row r="13" customFormat="false" ht="17.15" hidden="false" customHeight="false" outlineLevel="0" collapsed="false">
      <c r="A13" s="0" t="s">
        <v>1016</v>
      </c>
      <c r="B13" s="5" t="s">
        <v>1017</v>
      </c>
      <c r="C13" s="22" t="n">
        <f aca="false">E529</f>
        <v>166.193425927259</v>
      </c>
      <c r="D13" s="22" t="n">
        <f aca="false">E524</f>
        <v>113.627415927259</v>
      </c>
      <c r="E13" s="16" t="n">
        <f aca="false">E538</f>
        <v>0.703042307680149</v>
      </c>
      <c r="F13" s="19" t="n">
        <f aca="false">E549</f>
        <v>17.9632707885842</v>
      </c>
      <c r="G13" s="16" t="n">
        <f aca="false">F13/F$4-1</f>
        <v>-0.00633789699795484</v>
      </c>
      <c r="H13" s="22" t="n">
        <f aca="false">F529</f>
        <v>194.840199539803</v>
      </c>
      <c r="I13" s="22" t="n">
        <f aca="false">F524</f>
        <v>138.937353239803</v>
      </c>
      <c r="J13" s="16" t="n">
        <f aca="false">F538</f>
        <v>0.683689312639349</v>
      </c>
      <c r="K13" s="19" t="n">
        <f aca="false">F549</f>
        <v>20.8153644713205</v>
      </c>
      <c r="L13" s="16" t="n">
        <f aca="false">K13/K$4-1</f>
        <v>-0.0100499033197884</v>
      </c>
    </row>
    <row r="14" customFormat="false" ht="17.15" hidden="false" customHeight="false" outlineLevel="0" collapsed="false">
      <c r="A14" s="0" t="s">
        <v>1018</v>
      </c>
      <c r="B14" s="5" t="s">
        <v>1019</v>
      </c>
      <c r="C14" s="22" t="n">
        <f aca="false">E586</f>
        <v>181.484092323206</v>
      </c>
      <c r="D14" s="22" t="n">
        <f aca="false">E581</f>
        <v>128.918082323206</v>
      </c>
      <c r="E14" s="16" t="n">
        <f aca="false">E595</f>
        <v>0.652233894494503</v>
      </c>
      <c r="F14" s="19" t="n">
        <f aca="false">E606</f>
        <v>18.2028055274842</v>
      </c>
      <c r="G14" s="16" t="n">
        <f aca="false">F14/F$4-1</f>
        <v>0.00691228417443535</v>
      </c>
      <c r="H14" s="22" t="n">
        <f aca="false">F586</f>
        <v>221.882498488564</v>
      </c>
      <c r="I14" s="22" t="n">
        <f aca="false">F581</f>
        <v>165.979652188564</v>
      </c>
      <c r="J14" s="16" t="n">
        <f aca="false">F595</f>
        <v>0.612551205789503</v>
      </c>
      <c r="K14" s="19" t="n">
        <f aca="false">F606</f>
        <v>21.2571477162367</v>
      </c>
      <c r="L14" s="16" t="n">
        <f aca="false">K14/K$4-1</f>
        <v>0.0109607000073371</v>
      </c>
    </row>
    <row r="15" customFormat="false" ht="17.15" hidden="false" customHeight="false" outlineLevel="0" collapsed="false">
      <c r="A15" s="5" t="s">
        <v>1020</v>
      </c>
      <c r="B15" s="5" t="s">
        <v>1021</v>
      </c>
      <c r="C15" s="22" t="n">
        <f aca="false">E643</f>
        <v>173.507338649413</v>
      </c>
      <c r="D15" s="22" t="n">
        <f aca="false">E638</f>
        <v>120.941328649413</v>
      </c>
      <c r="E15" s="16" t="n">
        <f aca="false">E652</f>
        <v>0.668302565287315</v>
      </c>
      <c r="F15" s="19" t="n">
        <f aca="false">E663</f>
        <v>17.8017045657309</v>
      </c>
      <c r="G15" s="16" t="n">
        <f aca="false">F15/F$4-1</f>
        <v>-0.0152751464924349</v>
      </c>
      <c r="H15" s="22" t="n">
        <f aca="false">F643</f>
        <v>207.775215529039</v>
      </c>
      <c r="I15" s="22" t="n">
        <f aca="false">F638</f>
        <v>151.872369229039</v>
      </c>
      <c r="J15" s="16" t="n">
        <f aca="false">F652</f>
        <v>0.633588161247476</v>
      </c>
      <c r="K15" s="19" t="n">
        <f aca="false">F663</f>
        <v>20.5358561271663</v>
      </c>
      <c r="L15" s="16" t="n">
        <f aca="false">K15/K$4-1</f>
        <v>-0.0233429356229067</v>
      </c>
    </row>
    <row r="16" customFormat="false" ht="17.15" hidden="false" customHeight="false" outlineLevel="0" collapsed="false">
      <c r="A16" s="5" t="s">
        <v>1022</v>
      </c>
      <c r="B16" s="0" t="s">
        <v>1023</v>
      </c>
      <c r="C16" s="22" t="n">
        <f aca="false">E700</f>
        <v>173.507338649413</v>
      </c>
      <c r="D16" s="22" t="n">
        <f aca="false">E695</f>
        <v>120.941328649413</v>
      </c>
      <c r="E16" s="16" t="n">
        <f aca="false">E709</f>
        <v>0.686941562973456</v>
      </c>
      <c r="F16" s="19" t="n">
        <f aca="false">E720</f>
        <v>18.3539880672349</v>
      </c>
      <c r="G16" s="16" t="n">
        <f aca="false">F16/F$4-1</f>
        <v>0.0152751464924346</v>
      </c>
      <c r="H16" s="22" t="n">
        <f aca="false">F700</f>
        <v>207.775215529039</v>
      </c>
      <c r="I16" s="22" t="n">
        <f aca="false">F695</f>
        <v>151.872369229039</v>
      </c>
      <c r="J16" s="16" t="n">
        <f aca="false">F709</f>
        <v>0.661115476569293</v>
      </c>
      <c r="K16" s="19" t="n">
        <f aca="false">F720</f>
        <v>21.5175050293701</v>
      </c>
      <c r="L16" s="16" t="n">
        <f aca="false">K16/K$4-1</f>
        <v>0.0233429356229067</v>
      </c>
    </row>
    <row r="17" customFormat="false" ht="17.15" hidden="false" customHeight="false" outlineLevel="0" collapsed="false">
      <c r="A17" s="0" t="s">
        <v>1024</v>
      </c>
      <c r="B17" s="0" t="s">
        <v>1025</v>
      </c>
      <c r="C17" s="22" t="n">
        <f aca="false">E757</f>
        <v>165.980305850094</v>
      </c>
      <c r="D17" s="22" t="n">
        <f aca="false">E752</f>
        <v>113.414295850094</v>
      </c>
      <c r="E17" s="16" t="n">
        <f aca="false">E766</f>
        <v>0.675700269182339</v>
      </c>
      <c r="F17" s="19" t="n">
        <f aca="false">E777</f>
        <v>17.1629709974516</v>
      </c>
      <c r="G17" s="16" t="n">
        <f aca="false">F17/F$4-1</f>
        <v>-0.0506075393614309</v>
      </c>
      <c r="H17" s="22" t="n">
        <f aca="false">F757</f>
        <v>198.814400547097</v>
      </c>
      <c r="I17" s="22" t="n">
        <f aca="false">F752</f>
        <v>142.911554247097</v>
      </c>
      <c r="J17" s="16" t="n">
        <f aca="false">F766</f>
        <v>0.644077474053358</v>
      </c>
      <c r="K17" s="19" t="n">
        <f aca="false">F777</f>
        <v>19.9303485152078</v>
      </c>
      <c r="L17" s="16" t="n">
        <f aca="false">K17/K$4-1</f>
        <v>-0.0521400445961717</v>
      </c>
    </row>
    <row r="18" customFormat="false" ht="17.15" hidden="false" customHeight="false" outlineLevel="0" collapsed="false">
      <c r="A18" s="0" t="s">
        <v>1026</v>
      </c>
      <c r="B18" s="0" t="s">
        <v>1015</v>
      </c>
      <c r="C18" s="22" t="n">
        <f aca="false">E814</f>
        <v>181.034371448733</v>
      </c>
      <c r="D18" s="22" t="n">
        <f aca="false">E809</f>
        <v>128.468361448733</v>
      </c>
      <c r="E18" s="16" t="n">
        <f aca="false">E823</f>
        <v>0.679384050601272</v>
      </c>
      <c r="F18" s="19" t="n">
        <f aca="false">E834</f>
        <v>18.9927216355142</v>
      </c>
      <c r="G18" s="16" t="n">
        <f aca="false">F18/F$4-1</f>
        <v>0.0506075393614307</v>
      </c>
      <c r="H18" s="22" t="n">
        <f aca="false">F814</f>
        <v>216.736030510981</v>
      </c>
      <c r="I18" s="22" t="n">
        <f aca="false">F809</f>
        <v>160.833184210981</v>
      </c>
      <c r="J18" s="16" t="n">
        <f aca="false">F823</f>
        <v>0.650355412302624</v>
      </c>
      <c r="K18" s="19" t="n">
        <f aca="false">F834</f>
        <v>22.1230126413286</v>
      </c>
      <c r="L18" s="16" t="n">
        <f aca="false">K18/K$4-1</f>
        <v>0.0521400445961719</v>
      </c>
    </row>
    <row r="19" customFormat="false" ht="17.15" hidden="false" customHeight="false" outlineLevel="0" collapsed="false">
      <c r="A19" s="5" t="s">
        <v>1027</v>
      </c>
      <c r="B19" s="0" t="s">
        <v>1028</v>
      </c>
      <c r="C19" s="22" t="n">
        <f aca="false">E871</f>
        <v>172.250298649413</v>
      </c>
      <c r="D19" s="22" t="n">
        <f aca="false">E866</f>
        <v>120.941328649413</v>
      </c>
      <c r="E19" s="16" t="n">
        <f aca="false">E880</f>
        <v>0.675780272487683</v>
      </c>
      <c r="F19" s="19" t="n">
        <f aca="false">E891</f>
        <v>17.8799783975112</v>
      </c>
      <c r="G19" s="16" t="n">
        <f aca="false">F19/F$4-1</f>
        <v>-0.0109453258705516</v>
      </c>
      <c r="H19" s="22" t="n">
        <f aca="false">F871</f>
        <v>205.060009129039</v>
      </c>
      <c r="I19" s="22" t="n">
        <f aca="false">F866</f>
        <v>151.872369229039</v>
      </c>
      <c r="J19" s="16" t="n">
        <f aca="false">F880</f>
        <v>0.643609264943289</v>
      </c>
      <c r="K19" s="19" t="n">
        <f aca="false">F891</f>
        <v>20.5951224355154</v>
      </c>
      <c r="L19" s="16" t="n">
        <f aca="false">K19/K$4-1</f>
        <v>-0.0205243115358339</v>
      </c>
    </row>
    <row r="20" customFormat="false" ht="17.15" hidden="false" customHeight="false" outlineLevel="0" collapsed="false">
      <c r="A20" s="5" t="s">
        <v>1029</v>
      </c>
      <c r="B20" s="0" t="s">
        <v>1030</v>
      </c>
      <c r="C20" s="22" t="n">
        <f aca="false">E928</f>
        <v>175.392898649413</v>
      </c>
      <c r="D20" s="22" t="n">
        <f aca="false">E923</f>
        <v>120.941328649413</v>
      </c>
      <c r="E20" s="16" t="n">
        <f aca="false">E937</f>
        <v>0.680335251177425</v>
      </c>
      <c r="F20" s="19" t="n">
        <f aca="false">E948</f>
        <v>18.3746481949404</v>
      </c>
      <c r="G20" s="16" t="n">
        <f aca="false">F20/F$4-1</f>
        <v>0.0164179888058276</v>
      </c>
      <c r="H20" s="22" t="n">
        <f aca="false">F928</f>
        <v>211.294927529039</v>
      </c>
      <c r="I20" s="22" t="n">
        <f aca="false">F923</f>
        <v>151.872369229039</v>
      </c>
      <c r="J20" s="16" t="n">
        <f aca="false">F937</f>
        <v>0.652060120268954</v>
      </c>
      <c r="K20" s="19" t="n">
        <f aca="false">F948</f>
        <v>21.5857335268047</v>
      </c>
      <c r="L20" s="16" t="n">
        <f aca="false">K20/K$4-1</f>
        <v>0.0265877890927919</v>
      </c>
    </row>
    <row r="21" customFormat="false" ht="17.15" hidden="false" customHeight="false" outlineLevel="0" collapsed="false">
      <c r="A21" s="5" t="s">
        <v>1031</v>
      </c>
      <c r="B21" s="5" t="s">
        <v>1032</v>
      </c>
      <c r="C21" s="22" t="n">
        <f aca="false">E985</f>
        <v>173.507338649413</v>
      </c>
      <c r="D21" s="22" t="n">
        <f aca="false">E980</f>
        <v>120.941328649413</v>
      </c>
      <c r="E21" s="16" t="n">
        <f aca="false">E994</f>
        <v>0.677622064130386</v>
      </c>
      <c r="F21" s="19" t="n">
        <f aca="false">E1005</f>
        <v>17.4852355862239</v>
      </c>
      <c r="G21" s="16" t="n">
        <f aca="false">F21/F$4-1</f>
        <v>-0.0327810470276355</v>
      </c>
      <c r="H21" s="22" t="n">
        <f aca="false">F985</f>
        <v>207.775215529039</v>
      </c>
      <c r="I21" s="22" t="n">
        <f aca="false">F980</f>
        <v>151.872369229039</v>
      </c>
      <c r="J21" s="16" t="n">
        <f aca="false">F994</f>
        <v>0.647351818908384</v>
      </c>
      <c r="K21" s="19" t="n">
        <f aca="false">F1005</f>
        <v>20.3134625323181</v>
      </c>
      <c r="L21" s="16" t="n">
        <f aca="false">K21/K$4-1</f>
        <v>-0.0339196690269408</v>
      </c>
    </row>
    <row r="22" customFormat="false" ht="17.15" hidden="false" customHeight="false" outlineLevel="0" collapsed="false">
      <c r="A22" s="5" t="s">
        <v>1033</v>
      </c>
      <c r="B22" s="0" t="s">
        <v>1034</v>
      </c>
      <c r="C22" s="22" t="n">
        <f aca="false">PL!E160</f>
        <v>173.507338649413</v>
      </c>
      <c r="D22" s="22" t="n">
        <f aca="false">PL!E155</f>
        <v>120.941328649413</v>
      </c>
      <c r="E22" s="16" t="n">
        <f aca="false">PL!E169</f>
        <v>0.677622064130386</v>
      </c>
      <c r="F22" s="19" t="n">
        <f aca="false">PL!E180</f>
        <v>18.0778463164829</v>
      </c>
      <c r="G22" s="16" t="n">
        <f aca="false">F22/F$4-1</f>
        <v>0</v>
      </c>
      <c r="H22" s="22" t="n">
        <f aca="false">PL!F160</f>
        <v>166.643073618106</v>
      </c>
      <c r="I22" s="22" t="n">
        <f aca="false">PL!F155</f>
        <v>110.740227318106</v>
      </c>
      <c r="J22" s="16" t="n">
        <f aca="false">PL!F169</f>
        <v>0.695638009253187</v>
      </c>
      <c r="K22" s="19" t="n">
        <f aca="false">PL!F180</f>
        <v>17.837685672013</v>
      </c>
      <c r="L22" s="16" t="n">
        <f aca="false">K22/K$4-1</f>
        <v>-0.151664210353351</v>
      </c>
    </row>
    <row r="23" customFormat="false" ht="17.15" hidden="false" customHeight="false" outlineLevel="0" collapsed="false">
      <c r="A23" s="5" t="s">
        <v>1035</v>
      </c>
      <c r="B23" s="0" t="s">
        <v>1036</v>
      </c>
      <c r="C23" s="22" t="n">
        <f aca="false">PL!E217</f>
        <v>173.507338649413</v>
      </c>
      <c r="D23" s="22" t="n">
        <f aca="false">PL!E212</f>
        <v>120.941328649413</v>
      </c>
      <c r="E23" s="16" t="n">
        <f aca="false">PL!E226</f>
        <v>0.677622064130386</v>
      </c>
      <c r="F23" s="19" t="n">
        <f aca="false">PL!E237</f>
        <v>18.0778463164829</v>
      </c>
      <c r="G23" s="16" t="n">
        <f aca="false">F23/F$4-1</f>
        <v>0</v>
      </c>
      <c r="H23" s="22" t="n">
        <f aca="false">PL!F217</f>
        <v>135.500194910503</v>
      </c>
      <c r="I23" s="22" t="n">
        <f aca="false">PL!F212</f>
        <v>79.5973486105035</v>
      </c>
      <c r="J23" s="16" t="n">
        <f aca="false">PL!F226</f>
        <v>0.7257685102486</v>
      </c>
      <c r="K23" s="19" t="n">
        <f aca="false">PL!F237</f>
        <v>14.820138615402</v>
      </c>
      <c r="L23" s="16" t="n">
        <f aca="false">K23/K$4-1</f>
        <v>-0.295174596853909</v>
      </c>
    </row>
    <row r="25" customFormat="false" ht="17.15" hidden="false" customHeight="false" outlineLevel="0" collapsed="false">
      <c r="A25" s="5" t="s">
        <v>1037</v>
      </c>
    </row>
    <row r="27" customFormat="false" ht="17.15" hidden="false" customHeight="false" outlineLevel="0" collapsed="false">
      <c r="A27" s="3" t="s">
        <v>1038</v>
      </c>
    </row>
    <row r="28" customFormat="false" ht="15" hidden="false" customHeight="false" outlineLevel="0" collapsed="false">
      <c r="A28" s="6" t="s">
        <v>1039</v>
      </c>
      <c r="B28" s="6" t="s">
        <v>1040</v>
      </c>
      <c r="C28" s="6" t="s">
        <v>1041</v>
      </c>
      <c r="D28" s="6" t="s">
        <v>1042</v>
      </c>
      <c r="E28" s="6" t="s">
        <v>1043</v>
      </c>
      <c r="F28" s="6" t="s">
        <v>1044</v>
      </c>
      <c r="G28" s="6" t="s">
        <v>1045</v>
      </c>
    </row>
    <row r="29" customFormat="false" ht="17.15" hidden="false" customHeight="false" outlineLevel="0" collapsed="false">
      <c r="A29" s="0" t="s">
        <v>1046</v>
      </c>
      <c r="B29" s="5" t="s">
        <v>1047</v>
      </c>
      <c r="C29" s="24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tp_comp_adj</f>
        <v>304.186918475334</v>
      </c>
      <c r="D29" s="16" t="n">
        <f aca="false">C29/G29-1</f>
        <v>0.113801158211292</v>
      </c>
      <c r="E29" s="24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tp_comp_adj</f>
        <v>250.910717264416</v>
      </c>
      <c r="F29" s="16" t="n">
        <f aca="false">E29/G29-1</f>
        <v>-0.0812732878274859</v>
      </c>
      <c r="G29" s="24" t="n">
        <f aca="false">Val!$B$40</f>
        <v>273.107022948192</v>
      </c>
    </row>
    <row r="30" customFormat="false" ht="17.15" hidden="false" customHeight="false" outlineLevel="0" collapsed="false">
      <c r="A30" s="0" t="s">
        <v>1048</v>
      </c>
      <c r="B30" s="5" t="s">
        <v>1049</v>
      </c>
      <c r="C30" s="24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tp_comp_adj</f>
        <v>260.359925411465</v>
      </c>
      <c r="D30" s="16" t="n">
        <f aca="false">C30/G30-1</f>
        <v>-0.0466743674297413</v>
      </c>
      <c r="E30" s="24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tp_comp_adj</f>
        <v>291.480975745807</v>
      </c>
      <c r="F30" s="16" t="n">
        <f aca="false">E30/G30-1</f>
        <v>0.0672774819163133</v>
      </c>
      <c r="G30" s="24" t="n">
        <f aca="false">Val!$B$40</f>
        <v>273.107022948192</v>
      </c>
    </row>
    <row r="31" customFormat="false" ht="17.15" hidden="false" customHeight="false" outlineLevel="0" collapsed="false">
      <c r="A31" s="0" t="s">
        <v>1050</v>
      </c>
      <c r="B31" s="0" t="s">
        <v>1051</v>
      </c>
      <c r="C31" s="24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tp_comp_adj</f>
        <v>252.524454553369</v>
      </c>
      <c r="D31" s="16" t="n">
        <f aca="false">C31/G31-1</f>
        <v>-0.0753644786305143</v>
      </c>
      <c r="E31" s="24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tp_comp_adj</f>
        <v>293.689591343014</v>
      </c>
      <c r="F31" s="16" t="n">
        <f aca="false">E31/G31-1</f>
        <v>0.0753644786305143</v>
      </c>
      <c r="G31" s="24" t="n">
        <f aca="false">Val!$B$40</f>
        <v>273.107022948192</v>
      </c>
    </row>
    <row r="40" customFormat="false" ht="17.15" hidden="false" customHeight="false" outlineLevel="0" collapsed="false">
      <c r="A40" s="3" t="s">
        <v>1052</v>
      </c>
    </row>
    <row r="41" customFormat="false" ht="17.15" hidden="false" customHeight="false" outlineLevel="0" collapsed="false">
      <c r="A41" s="6" t="s">
        <v>24</v>
      </c>
      <c r="B41" s="6" t="s">
        <v>25</v>
      </c>
      <c r="C41" s="13" t="s">
        <v>507</v>
      </c>
      <c r="D41" s="13" t="s">
        <v>621</v>
      </c>
      <c r="E41" s="13" t="s">
        <v>622</v>
      </c>
      <c r="F41" s="13" t="s">
        <v>623</v>
      </c>
      <c r="G41" s="13" t="s">
        <v>624</v>
      </c>
      <c r="H41" s="6" t="s">
        <v>480</v>
      </c>
    </row>
    <row r="42" customFormat="false" ht="17.15" hidden="false" customHeight="false" outlineLevel="0" collapsed="false">
      <c r="A42" s="1" t="s">
        <v>639</v>
      </c>
    </row>
    <row r="43" customFormat="false" ht="17.15" hidden="false" customHeight="false" outlineLevel="0" collapsed="false">
      <c r="A43" s="0" t="s">
        <v>640</v>
      </c>
      <c r="B43" s="5" t="s">
        <v>35</v>
      </c>
      <c r="D43" s="19" t="n">
        <f aca="false">u_tpu_26</f>
        <v>3.85</v>
      </c>
      <c r="E43" s="19" t="n">
        <f aca="false">u_tpu_27</f>
        <v>5.5</v>
      </c>
      <c r="F43" s="19" t="n">
        <f aca="false">u_tpu_28*um28_A</f>
        <v>7</v>
      </c>
      <c r="G43" s="19" t="n">
        <f aca="false">u_tpu_28*(1+g29_tpu)*um29_A</f>
        <v>8.05</v>
      </c>
    </row>
    <row r="44" customFormat="false" ht="17.15" hidden="false" customHeight="false" outlineLevel="0" collapsed="false">
      <c r="A44" s="5" t="s">
        <v>641</v>
      </c>
      <c r="B44" s="5" t="s">
        <v>35</v>
      </c>
      <c r="D44" s="19" t="n">
        <f aca="false">u_oth_26</f>
        <v>1</v>
      </c>
      <c r="E44" s="19" t="n">
        <f aca="false">u_oth_27</f>
        <v>4.5</v>
      </c>
      <c r="F44" s="19" t="n">
        <f aca="false">u_oth_28*um28_A</f>
        <v>5</v>
      </c>
      <c r="G44" s="19" t="n">
        <f aca="false">u_oth_28*(1+g29_oth)*um29_A</f>
        <v>5.75</v>
      </c>
    </row>
    <row r="45" customFormat="false" ht="17.15" hidden="false" customHeight="false" outlineLevel="0" collapsed="false">
      <c r="A45" s="0" t="s">
        <v>566</v>
      </c>
      <c r="B45" s="0" t="s">
        <v>46</v>
      </c>
      <c r="D45" s="16" t="n">
        <f aca="false">sh_tpu_26</f>
        <v>0.9</v>
      </c>
      <c r="E45" s="16" t="n">
        <f aca="false">MIN(1,MAX(0,sh_tpu_27+0))</f>
        <v>0.8</v>
      </c>
      <c r="F45" s="16" t="n">
        <f aca="false">MIN(1,MAX(0,sh_tpu_28+0))</f>
        <v>0.75</v>
      </c>
      <c r="G45" s="16" t="n">
        <f aca="false">MIN(1,MAX(0,sh_tpu_28+0))</f>
        <v>0.75</v>
      </c>
    </row>
    <row r="46" customFormat="false" ht="17.15" hidden="false" customHeight="false" outlineLevel="0" collapsed="false">
      <c r="A46" s="0" t="s">
        <v>578</v>
      </c>
      <c r="B46" s="0" t="s">
        <v>46</v>
      </c>
      <c r="D46" s="16" t="n">
        <f aca="false">sh_oth_26</f>
        <v>0.35</v>
      </c>
      <c r="E46" s="16" t="n">
        <f aca="false">MIN(1,MAX(0,sh_oth_27+0))</f>
        <v>0.55</v>
      </c>
      <c r="F46" s="16" t="n">
        <f aca="false">MIN(1,MAX(0,sh_oth_28+0))</f>
        <v>0.55</v>
      </c>
      <c r="G46" s="16" t="n">
        <f aca="false">MIN(1,MAX(0,sh_oth_28+0))</f>
        <v>0.55</v>
      </c>
    </row>
    <row r="47" customFormat="false" ht="17.15" hidden="false" customHeight="false" outlineLevel="0" collapsed="false">
      <c r="A47" s="0" t="s">
        <v>568</v>
      </c>
      <c r="B47" s="5" t="s">
        <v>35</v>
      </c>
      <c r="D47" s="19" t="n">
        <f aca="false">D43*D45</f>
        <v>3.465</v>
      </c>
      <c r="E47" s="19" t="n">
        <f aca="false">E43*E45*uk_lo</f>
        <v>3.96</v>
      </c>
      <c r="F47" s="19" t="n">
        <f aca="false">F43*F45*uk_lo</f>
        <v>4.725</v>
      </c>
      <c r="G47" s="19" t="n">
        <f aca="false">G43*G45*uk_lo</f>
        <v>5.43375</v>
      </c>
    </row>
    <row r="48" customFormat="false" ht="17.15" hidden="false" customHeight="false" outlineLevel="0" collapsed="false">
      <c r="A48" s="0" t="s">
        <v>579</v>
      </c>
      <c r="B48" s="5" t="s">
        <v>35</v>
      </c>
      <c r="D48" s="19" t="n">
        <f aca="false">D44*D46</f>
        <v>0.35</v>
      </c>
      <c r="E48" s="19" t="n">
        <f aca="false">E44*E46*uk_lo</f>
        <v>2.2275</v>
      </c>
      <c r="F48" s="19" t="n">
        <f aca="false">F44*F46*uk_lo</f>
        <v>2.475</v>
      </c>
      <c r="G48" s="19" t="n">
        <f aca="false">G44*G46*uk_lo</f>
        <v>2.84625</v>
      </c>
    </row>
    <row r="49" customFormat="false" ht="17.15" hidden="false" customHeight="false" outlineLevel="0" collapsed="false">
      <c r="A49" s="5" t="s">
        <v>570</v>
      </c>
      <c r="B49" s="0" t="s">
        <v>151</v>
      </c>
      <c r="D49" s="20" t="n">
        <f aca="false">gb_tpu_26</f>
        <v>192</v>
      </c>
      <c r="E49" s="20" t="n">
        <f aca="false">gb_tpu_27</f>
        <v>250</v>
      </c>
      <c r="F49" s="20" t="n">
        <f aca="false">gb_tpu_28</f>
        <v>288</v>
      </c>
      <c r="G49" s="20" t="n">
        <f aca="false">gb_tpu_28</f>
        <v>288</v>
      </c>
    </row>
    <row r="50" customFormat="false" ht="17.15" hidden="false" customHeight="false" outlineLevel="0" collapsed="false">
      <c r="A50" s="5" t="s">
        <v>580</v>
      </c>
      <c r="B50" s="0" t="s">
        <v>151</v>
      </c>
      <c r="D50" s="20" t="n">
        <f aca="false">gb_oth_26</f>
        <v>150</v>
      </c>
      <c r="E50" s="20" t="n">
        <f aca="false">gb_oth_27</f>
        <v>200</v>
      </c>
      <c r="F50" s="20" t="n">
        <f aca="false">gb_oth_28</f>
        <v>250</v>
      </c>
      <c r="G50" s="20" t="n">
        <f aca="false">gb_oth_28</f>
        <v>250</v>
      </c>
    </row>
    <row r="51" customFormat="false" ht="17.15" hidden="false" customHeight="false" outlineLevel="0" collapsed="false">
      <c r="A51" s="0" t="s">
        <v>642</v>
      </c>
      <c r="B51" s="0" t="s">
        <v>210</v>
      </c>
      <c r="D51" s="19" t="n">
        <f aca="false">hbm_A_26</f>
        <v>14.6</v>
      </c>
      <c r="E51" s="19" t="n">
        <f aca="false">hbm_A_27</f>
        <v>26.28</v>
      </c>
      <c r="F51" s="19" t="n">
        <f aca="false">hbm_A_28</f>
        <v>28.908</v>
      </c>
      <c r="G51" s="19" t="n">
        <f aca="false">hbm_A_29</f>
        <v>27.4626</v>
      </c>
    </row>
    <row r="52" customFormat="false" ht="17.15" hidden="false" customHeight="false" outlineLevel="0" collapsed="false">
      <c r="A52" s="5" t="s">
        <v>643</v>
      </c>
      <c r="B52" s="0" t="s">
        <v>188</v>
      </c>
      <c r="D52" s="19" t="n">
        <f aca="false">core_tpu</f>
        <v>8</v>
      </c>
      <c r="E52" s="19" t="n">
        <f aca="false">core_tpu*1</f>
        <v>8</v>
      </c>
      <c r="F52" s="19" t="n">
        <f aca="false">core_tpu*1</f>
        <v>8</v>
      </c>
      <c r="G52" s="19" t="n">
        <f aca="false">core_tpu*1</f>
        <v>8</v>
      </c>
    </row>
    <row r="53" customFormat="false" ht="17.15" hidden="false" customHeight="false" outlineLevel="0" collapsed="false">
      <c r="A53" s="5" t="s">
        <v>644</v>
      </c>
      <c r="B53" s="0" t="s">
        <v>188</v>
      </c>
      <c r="D53" s="19" t="n">
        <f aca="false">core_oth</f>
        <v>6</v>
      </c>
      <c r="E53" s="19" t="n">
        <f aca="false">core_oth*1</f>
        <v>6</v>
      </c>
      <c r="F53" s="19" t="n">
        <f aca="false">core_oth*1</f>
        <v>6</v>
      </c>
      <c r="G53" s="19" t="n">
        <f aca="false">core_oth*1</f>
        <v>6</v>
      </c>
    </row>
    <row r="54" customFormat="false" ht="17.15" hidden="false" customHeight="false" outlineLevel="0" collapsed="false">
      <c r="A54" s="5" t="s">
        <v>645</v>
      </c>
      <c r="B54" s="0" t="s">
        <v>188</v>
      </c>
      <c r="D54" s="19" t="n">
        <f aca="false">D49*D51/1000</f>
        <v>2.8032</v>
      </c>
      <c r="E54" s="19" t="n">
        <f aca="false">E49*E51/1000</f>
        <v>6.57</v>
      </c>
      <c r="F54" s="19" t="n">
        <f aca="false">F49*F51/1000</f>
        <v>8.325504</v>
      </c>
      <c r="G54" s="19" t="n">
        <f aca="false">G49*G51/1000</f>
        <v>7.9092288</v>
      </c>
    </row>
    <row r="55" customFormat="false" ht="17.15" hidden="false" customHeight="false" outlineLevel="0" collapsed="false">
      <c r="A55" s="5" t="s">
        <v>646</v>
      </c>
      <c r="B55" s="0" t="s">
        <v>188</v>
      </c>
      <c r="D55" s="19" t="n">
        <f aca="false">D50*D51/1000</f>
        <v>2.19</v>
      </c>
      <c r="E55" s="19" t="n">
        <f aca="false">E50*E51/1000</f>
        <v>5.256</v>
      </c>
      <c r="F55" s="19" t="n">
        <f aca="false">F50*F51/1000</f>
        <v>7.227</v>
      </c>
      <c r="G55" s="19" t="n">
        <f aca="false">G50*G51/1000</f>
        <v>6.86565</v>
      </c>
    </row>
    <row r="56" customFormat="false" ht="17.15" hidden="false" customHeight="false" outlineLevel="0" collapsed="false">
      <c r="A56" s="5" t="s">
        <v>647</v>
      </c>
      <c r="B56" s="0" t="s">
        <v>188</v>
      </c>
      <c r="D56" s="19" t="n">
        <f aca="false">D52+f_hbm*D54</f>
        <v>9.68192</v>
      </c>
      <c r="E56" s="19" t="n">
        <f aca="false">E52+f_hbm*E54</f>
        <v>11.942</v>
      </c>
      <c r="F56" s="19" t="n">
        <f aca="false">F52+f_hbm*F54</f>
        <v>12.9953024</v>
      </c>
      <c r="G56" s="19" t="n">
        <f aca="false">G52+f_hbm*G54</f>
        <v>12.74553728</v>
      </c>
      <c r="H56" s="5" t="s">
        <v>648</v>
      </c>
    </row>
    <row r="57" customFormat="false" ht="17.15" hidden="false" customHeight="false" outlineLevel="0" collapsed="false">
      <c r="A57" s="5" t="s">
        <v>649</v>
      </c>
      <c r="B57" s="0" t="s">
        <v>188</v>
      </c>
      <c r="D57" s="19" t="n">
        <f aca="false">D53+f_hbm*D55</f>
        <v>7.314</v>
      </c>
      <c r="E57" s="19" t="n">
        <f aca="false">E53+f_hbm*E55</f>
        <v>9.1536</v>
      </c>
      <c r="F57" s="19" t="n">
        <f aca="false">F53+f_hbm*F55</f>
        <v>10.3362</v>
      </c>
      <c r="G57" s="19" t="n">
        <f aca="false">G53+f_hbm*G55</f>
        <v>10.11939</v>
      </c>
    </row>
    <row r="58" customFormat="false" ht="17.15" hidden="false" customHeight="false" outlineLevel="0" collapsed="false">
      <c r="A58" s="0" t="s">
        <v>650</v>
      </c>
      <c r="B58" s="0" t="s">
        <v>241</v>
      </c>
      <c r="D58" s="22" t="n">
        <f aca="false">D47*D56+D48*D57</f>
        <v>36.1077528</v>
      </c>
      <c r="E58" s="22" t="n">
        <f aca="false">E47*E56+E48*E57</f>
        <v>67.679964</v>
      </c>
      <c r="F58" s="22" t="n">
        <f aca="false">F47*F56+F48*F57</f>
        <v>86.98489884</v>
      </c>
      <c r="G58" s="22" t="n">
        <f aca="false">G47*G56+G48*G57</f>
        <v>98.0583769827</v>
      </c>
    </row>
    <row r="59" customFormat="false" ht="17.15" hidden="false" customHeight="false" outlineLevel="0" collapsed="false">
      <c r="A59" s="0" t="s">
        <v>651</v>
      </c>
      <c r="B59" s="0" t="s">
        <v>131</v>
      </c>
      <c r="D59" s="17" t="n">
        <f aca="false">a26_xpu/D58</f>
        <v>1.10779533197646</v>
      </c>
      <c r="H59" s="8" t="s">
        <v>652</v>
      </c>
    </row>
    <row r="60" customFormat="false" ht="17.15" hidden="false" customHeight="false" outlineLevel="0" collapsed="false">
      <c r="A60" s="0" t="s">
        <v>653</v>
      </c>
      <c r="B60" s="0" t="s">
        <v>241</v>
      </c>
      <c r="D60" s="22" t="n">
        <f aca="false">D58*$D$59</f>
        <v>40</v>
      </c>
      <c r="E60" s="22" t="n">
        <f aca="false">E58*$D$59</f>
        <v>74.975548187535</v>
      </c>
      <c r="F60" s="22" t="n">
        <f aca="false">F58*$D$59</f>
        <v>96.3614648873967</v>
      </c>
      <c r="G60" s="22" t="n">
        <f aca="false">G58*$D$59</f>
        <v>108.628612282623</v>
      </c>
    </row>
    <row r="61" customFormat="false" ht="17.15" hidden="false" customHeight="false" outlineLevel="0" collapsed="false">
      <c r="A61" s="5" t="s">
        <v>654</v>
      </c>
      <c r="B61" s="0" t="s">
        <v>241</v>
      </c>
      <c r="D61" s="22" t="n">
        <f aca="false">$D$59*f_hbm*(D47*D54+D48*D55)</f>
        <v>6.96554320046192</v>
      </c>
      <c r="E61" s="22" t="n">
        <f aca="false">$D$59*f_hbm*(E47*E54+E48*E55)</f>
        <v>25.0749074586552</v>
      </c>
      <c r="F61" s="22" t="n">
        <f aca="false">$D$59*f_hbm*(F47*F54+F48*F55)</f>
        <v>38.036040658836</v>
      </c>
      <c r="G61" s="22" t="n">
        <f aca="false">$D$59*f_hbm*(G47*G54+G48*G55)</f>
        <v>41.5543744197783</v>
      </c>
    </row>
    <row r="62" customFormat="false" ht="15" hidden="false" customHeight="false" outlineLevel="0" collapsed="false">
      <c r="A62" s="5" t="s">
        <v>655</v>
      </c>
      <c r="B62" s="0" t="s">
        <v>241</v>
      </c>
      <c r="D62" s="22" t="n">
        <f aca="false">D60-D61</f>
        <v>33.0344567995381</v>
      </c>
      <c r="E62" s="22" t="n">
        <f aca="false">E60-E61</f>
        <v>49.9006407288797</v>
      </c>
      <c r="F62" s="22" t="n">
        <f aca="false">F60-F61</f>
        <v>58.3254242285607</v>
      </c>
      <c r="G62" s="22" t="n">
        <f aca="false">G60-G61</f>
        <v>67.0742378628448</v>
      </c>
    </row>
    <row r="63" customFormat="false" ht="17.15" hidden="false" customHeight="false" outlineLevel="0" collapsed="false">
      <c r="A63" s="0" t="s">
        <v>656</v>
      </c>
      <c r="B63" s="5" t="s">
        <v>35</v>
      </c>
      <c r="D63" s="19" t="n">
        <f aca="false">D47+D48</f>
        <v>3.815</v>
      </c>
      <c r="E63" s="19" t="n">
        <f aca="false">E47+E48</f>
        <v>6.1875</v>
      </c>
      <c r="F63" s="19" t="n">
        <f aca="false">F47+F48</f>
        <v>7.2</v>
      </c>
      <c r="G63" s="19" t="n">
        <f aca="false">G47+G48</f>
        <v>8.28</v>
      </c>
    </row>
    <row r="64" customFormat="false" ht="17.15" hidden="false" customHeight="false" outlineLevel="0" collapsed="false">
      <c r="A64" s="1" t="s">
        <v>657</v>
      </c>
    </row>
    <row r="65" customFormat="false" ht="17.15" hidden="false" customHeight="false" outlineLevel="0" collapsed="false">
      <c r="A65" s="0" t="s">
        <v>658</v>
      </c>
      <c r="B65" s="0" t="s">
        <v>241</v>
      </c>
      <c r="D65" s="22" t="n">
        <f aca="false">net_26*1</f>
        <v>12.6075726</v>
      </c>
      <c r="E65" s="22" t="n">
        <f aca="false">net_27*1*1</f>
        <v>26.959549</v>
      </c>
      <c r="F65" s="22" t="n">
        <f aca="false">net_28*um28_A*1</f>
        <v>32.094922</v>
      </c>
      <c r="G65" s="22" t="n">
        <f aca="false">net_29*um29_A*1</f>
        <v>37.8328169</v>
      </c>
    </row>
    <row r="66" customFormat="false" ht="17.15" hidden="false" customHeight="false" outlineLevel="0" collapsed="false">
      <c r="A66" s="5" t="s">
        <v>659</v>
      </c>
      <c r="B66" s="0" t="s">
        <v>131</v>
      </c>
      <c r="D66" s="17" t="n">
        <f aca="false">a26_net/D65</f>
        <v>1.39598640899359</v>
      </c>
      <c r="H66" s="8" t="s">
        <v>660</v>
      </c>
    </row>
    <row r="67" customFormat="false" ht="17.15" hidden="false" customHeight="false" outlineLevel="0" collapsed="false">
      <c r="A67" s="0" t="s">
        <v>661</v>
      </c>
      <c r="B67" s="0" t="s">
        <v>241</v>
      </c>
      <c r="D67" s="22" t="n">
        <f aca="false">D65*$D$66</f>
        <v>17.6</v>
      </c>
      <c r="E67" s="22" t="n">
        <f aca="false">E65*$D$66</f>
        <v>37.6351639965968</v>
      </c>
      <c r="F67" s="22" t="n">
        <f aca="false">F65*$D$66</f>
        <v>44.8040749097094</v>
      </c>
      <c r="G67" s="22" t="n">
        <f aca="false">G65*$D$66</f>
        <v>52.8140982063431</v>
      </c>
    </row>
    <row r="68" customFormat="false" ht="17.15" hidden="false" customHeight="false" outlineLevel="0" collapsed="false">
      <c r="A68" s="0" t="s">
        <v>522</v>
      </c>
      <c r="B68" s="0" t="s">
        <v>241</v>
      </c>
      <c r="C68" s="22" t="n">
        <f aca="false">a25_ai</f>
        <v>20.2797202797203</v>
      </c>
      <c r="D68" s="22" t="n">
        <f aca="false">D60+D67</f>
        <v>57.6</v>
      </c>
      <c r="E68" s="22" t="n">
        <f aca="false">E60+E67</f>
        <v>112.610712184132</v>
      </c>
      <c r="F68" s="22" t="n">
        <f aca="false">F60+F67</f>
        <v>141.165539797106</v>
      </c>
      <c r="G68" s="22" t="n">
        <f aca="false">G60+G67</f>
        <v>161.442710488966</v>
      </c>
    </row>
    <row r="69" customFormat="false" ht="15" hidden="false" customHeight="false" outlineLevel="0" collapsed="false">
      <c r="A69" s="0" t="s">
        <v>662</v>
      </c>
      <c r="B69" s="0" t="s">
        <v>46</v>
      </c>
      <c r="D69" s="16" t="n">
        <f aca="false">D60/D68</f>
        <v>0.694444444444444</v>
      </c>
      <c r="E69" s="16" t="n">
        <f aca="false">E60/E68</f>
        <v>0.665794103716715</v>
      </c>
      <c r="F69" s="16" t="n">
        <f aca="false">F60/F68</f>
        <v>0.682613228595978</v>
      </c>
      <c r="G69" s="16" t="n">
        <f aca="false">G60/G68</f>
        <v>0.672861673057994</v>
      </c>
    </row>
    <row r="70" customFormat="false" ht="17.15" hidden="false" customHeight="false" outlineLevel="0" collapsed="false">
      <c r="A70" s="5" t="s">
        <v>663</v>
      </c>
      <c r="B70" s="0" t="s">
        <v>241</v>
      </c>
      <c r="C70" s="22" t="n">
        <f aca="false">a25_nai</f>
        <v>16.5782797202797</v>
      </c>
      <c r="D70" s="22" t="n">
        <f aca="false">a26_nai</f>
        <v>16.863</v>
      </c>
      <c r="E70" s="22" t="n">
        <f aca="false">D70*(1+g_nai)</f>
        <v>17.36889</v>
      </c>
      <c r="F70" s="22" t="n">
        <f aca="false">E70*(1+g_nai)</f>
        <v>17.8899567</v>
      </c>
      <c r="G70" s="22" t="n">
        <f aca="false">F70*(1+g_nai)</f>
        <v>18.426655401</v>
      </c>
    </row>
    <row r="71" customFormat="false" ht="15" hidden="false" customHeight="false" outlineLevel="0" collapsed="false">
      <c r="A71" s="5" t="s">
        <v>664</v>
      </c>
      <c r="B71" s="0" t="s">
        <v>241</v>
      </c>
      <c r="C71" s="22" t="n">
        <f aca="false">a25_sw</f>
        <v>27.029</v>
      </c>
      <c r="D71" s="22" t="n">
        <f aca="false">a26_sw</f>
        <v>31.426</v>
      </c>
      <c r="E71" s="22" t="n">
        <f aca="false">D71*(1+g_sw27)</f>
        <v>35.19712</v>
      </c>
      <c r="F71" s="22" t="n">
        <f aca="false">E71*(1+g_sw)</f>
        <v>38.0128896</v>
      </c>
      <c r="G71" s="22" t="n">
        <f aca="false">F71*(1+g_sw)</f>
        <v>41.053920768</v>
      </c>
    </row>
    <row r="72" customFormat="false" ht="17.15" hidden="false" customHeight="false" outlineLevel="0" collapsed="false">
      <c r="A72" s="1" t="s">
        <v>665</v>
      </c>
    </row>
    <row r="73" customFormat="false" ht="15" hidden="false" customHeight="false" outlineLevel="0" collapsed="false">
      <c r="A73" s="5" t="s">
        <v>514</v>
      </c>
      <c r="B73" s="0" t="s">
        <v>241</v>
      </c>
      <c r="C73" s="22" t="n">
        <f aca="false">a25_rev</f>
        <v>63.887</v>
      </c>
      <c r="D73" s="22" t="n">
        <f aca="false">a26_rev</f>
        <v>105.889</v>
      </c>
      <c r="E73" s="22" t="n">
        <f aca="false">E68+E70+E71</f>
        <v>165.176722184132</v>
      </c>
      <c r="F73" s="22" t="n">
        <f aca="false">F68+F70+F71</f>
        <v>197.068386097106</v>
      </c>
      <c r="G73" s="22" t="n">
        <f aca="false">G68+G70+G71</f>
        <v>220.923286657966</v>
      </c>
    </row>
    <row r="74" customFormat="false" ht="17.15" hidden="false" customHeight="false" outlineLevel="0" collapsed="false">
      <c r="A74" s="5" t="s">
        <v>666</v>
      </c>
      <c r="B74" s="0" t="s">
        <v>241</v>
      </c>
      <c r="D74" s="22" t="n">
        <f aca="false">D68+D70+D71</f>
        <v>105.889</v>
      </c>
      <c r="E74" s="22" t="n">
        <f aca="false">E68+E70+E71</f>
        <v>165.176722184132</v>
      </c>
      <c r="F74" s="22" t="n">
        <f aca="false">F68+F70+F71</f>
        <v>197.068386097106</v>
      </c>
      <c r="G74" s="22" t="n">
        <f aca="false">G68+G70+G71</f>
        <v>220.923286657966</v>
      </c>
    </row>
    <row r="75" customFormat="false" ht="17.15" hidden="false" customHeight="false" outlineLevel="0" collapsed="false">
      <c r="A75" s="5" t="s">
        <v>667</v>
      </c>
      <c r="B75" s="0" t="s">
        <v>241</v>
      </c>
      <c r="C75" s="22" t="n">
        <f aca="false">C68+C70</f>
        <v>36.858</v>
      </c>
      <c r="D75" s="22" t="n">
        <f aca="false">D68+D70</f>
        <v>74.463</v>
      </c>
      <c r="E75" s="22" t="n">
        <f aca="false">E68+E70</f>
        <v>129.979602184132</v>
      </c>
      <c r="F75" s="22" t="n">
        <f aca="false">F68+F70</f>
        <v>159.055496497106</v>
      </c>
      <c r="G75" s="22" t="n">
        <f aca="false">G68+G70</f>
        <v>179.869365889966</v>
      </c>
      <c r="H75" s="5" t="s">
        <v>668</v>
      </c>
    </row>
    <row r="76" customFormat="false" ht="17.15" hidden="false" customHeight="false" outlineLevel="0" collapsed="false">
      <c r="A76" s="5" t="s">
        <v>669</v>
      </c>
      <c r="B76" s="0" t="s">
        <v>241</v>
      </c>
      <c r="C76" s="17" t="n">
        <f aca="false">C75+C71-C73</f>
        <v>0</v>
      </c>
      <c r="D76" s="17" t="n">
        <f aca="false">D75+D71-D73</f>
        <v>0</v>
      </c>
      <c r="E76" s="17" t="n">
        <f aca="false">E75+E71-E73</f>
        <v>0</v>
      </c>
      <c r="F76" s="17" t="n">
        <f aca="false">F75+F71-F73</f>
        <v>0</v>
      </c>
      <c r="G76" s="17" t="n">
        <f aca="false">G75+G71-G73</f>
        <v>0</v>
      </c>
    </row>
    <row r="77" customFormat="false" ht="15" hidden="false" customHeight="false" outlineLevel="0" collapsed="false">
      <c r="A77" s="5" t="s">
        <v>670</v>
      </c>
      <c r="B77" s="0" t="s">
        <v>46</v>
      </c>
      <c r="D77" s="16" t="n">
        <f aca="false">D73/C73-1</f>
        <v>0.657442046112668</v>
      </c>
      <c r="E77" s="16" t="n">
        <f aca="false">E73/D73-1</f>
        <v>0.559904448848622</v>
      </c>
      <c r="F77" s="16" t="n">
        <f aca="false">F73/E73-1</f>
        <v>0.193076018771113</v>
      </c>
      <c r="G77" s="16" t="n">
        <f aca="false">G73/F73-1</f>
        <v>0.121048845191768</v>
      </c>
    </row>
    <row r="78" customFormat="false" ht="17.15" hidden="false" customHeight="false" outlineLevel="0" collapsed="false">
      <c r="A78" s="0" t="s">
        <v>671</v>
      </c>
      <c r="B78" s="0" t="s">
        <v>46</v>
      </c>
      <c r="C78" s="16" t="n">
        <f aca="false">C68/C73</f>
        <v>0.317431093645347</v>
      </c>
      <c r="D78" s="16" t="n">
        <f aca="false">D68/D73</f>
        <v>0.543965851032685</v>
      </c>
      <c r="E78" s="16" t="n">
        <f aca="false">E68/E73</f>
        <v>0.681758971210231</v>
      </c>
      <c r="F78" s="16" t="n">
        <f aca="false">F68/F73</f>
        <v>0.716327679912832</v>
      </c>
      <c r="G78" s="16" t="n">
        <f aca="false">G68/G73</f>
        <v>0.730763664307204</v>
      </c>
    </row>
    <row r="79" customFormat="false" ht="17.15" hidden="false" customHeight="false" outlineLevel="0" collapsed="false">
      <c r="A79" s="5" t="s">
        <v>672</v>
      </c>
      <c r="B79" s="0" t="s">
        <v>241</v>
      </c>
      <c r="D79" s="22" t="n">
        <f aca="false">gm_net*D67+gm_nai*D70+gm_sw*D71+m_hbm*D61</f>
        <v>53.5556843200462</v>
      </c>
      <c r="E79" s="22" t="n">
        <f aca="false">gm_net*E67+gm_nai*E70+gm_sw*E71+m_hbm*E61</f>
        <v>73.6279089234152</v>
      </c>
      <c r="F79" s="22" t="n">
        <f aca="false">gm_net*F67+gm_nai*F70+gm_sw*F71+m_hbm*F61</f>
        <v>83.0429971838744</v>
      </c>
      <c r="G79" s="22" t="n">
        <f aca="false">gm_net*G67+gm_nai*G70+gm_sw*G71+m_hbm*G61</f>
        <v>92.3390604754349</v>
      </c>
    </row>
    <row r="80" customFormat="false" ht="17.15" hidden="false" customHeight="false" outlineLevel="0" collapsed="false">
      <c r="A80" s="0" t="s">
        <v>673</v>
      </c>
      <c r="B80" s="0" t="s">
        <v>131</v>
      </c>
      <c r="D80" s="17" t="n">
        <f aca="false">(a26_gp-D79)/D62</f>
        <v>0.787550884757324</v>
      </c>
      <c r="H80" s="8" t="s">
        <v>674</v>
      </c>
    </row>
    <row r="81" customFormat="false" ht="15" hidden="false" customHeight="false" outlineLevel="0" collapsed="false">
      <c r="A81" s="5" t="s">
        <v>675</v>
      </c>
      <c r="B81" s="0" t="s">
        <v>241</v>
      </c>
      <c r="C81" s="22" t="n">
        <f aca="false">a25_gp</f>
        <v>50.245</v>
      </c>
      <c r="D81" s="22" t="n">
        <f aca="false">a26_gp</f>
        <v>79.572</v>
      </c>
      <c r="E81" s="22" t="n">
        <f aca="false">E79+$D$80*E62</f>
        <v>112.927202679402</v>
      </c>
      <c r="F81" s="22" t="n">
        <f aca="false">F79+$D$80*F62</f>
        <v>128.977236638924</v>
      </c>
      <c r="G81" s="22" t="n">
        <f aca="false">G79+$D$80*G62</f>
        <v>145.163435848741</v>
      </c>
    </row>
    <row r="82" customFormat="false" ht="15" hidden="false" customHeight="false" outlineLevel="0" collapsed="false">
      <c r="A82" s="5" t="s">
        <v>533</v>
      </c>
      <c r="B82" s="0" t="s">
        <v>46</v>
      </c>
      <c r="C82" s="16" t="n">
        <f aca="false">C81/C73</f>
        <v>0.786466730320723</v>
      </c>
      <c r="D82" s="16" t="n">
        <f aca="false">D81/D73</f>
        <v>0.751466157957862</v>
      </c>
      <c r="E82" s="16" t="n">
        <f aca="false">E81/E73</f>
        <v>0.683675043227432</v>
      </c>
      <c r="F82" s="16" t="n">
        <f aca="false">F81/F73</f>
        <v>0.654479590528385</v>
      </c>
      <c r="G82" s="16" t="n">
        <f aca="false">G81/G73</f>
        <v>0.657076209777214</v>
      </c>
    </row>
    <row r="83" customFormat="false" ht="17.15" hidden="false" customHeight="false" outlineLevel="0" collapsed="false">
      <c r="A83" s="5" t="s">
        <v>676</v>
      </c>
      <c r="B83" s="0" t="s">
        <v>46</v>
      </c>
      <c r="D83" s="16" t="n">
        <f aca="false">D61/D73</f>
        <v>0.0657815561622258</v>
      </c>
      <c r="E83" s="16" t="n">
        <f aca="false">E61/E73</f>
        <v>0.151806544694009</v>
      </c>
      <c r="F83" s="16" t="n">
        <f aca="false">F61/F73</f>
        <v>0.193009347730151</v>
      </c>
      <c r="G83" s="16" t="n">
        <f aca="false">G61/G73</f>
        <v>0.188094134612948</v>
      </c>
    </row>
    <row r="84" customFormat="false" ht="15" hidden="false" customHeight="false" outlineLevel="0" collapsed="false">
      <c r="A84" s="5" t="s">
        <v>677</v>
      </c>
      <c r="B84" s="0" t="s">
        <v>241</v>
      </c>
      <c r="C84" s="24" t="n">
        <f aca="false">a25_opx</f>
        <v>8.248</v>
      </c>
      <c r="D84" s="24" t="n">
        <f aca="false">a26_opx</f>
        <v>8.755</v>
      </c>
      <c r="E84" s="24" t="n">
        <f aca="false">D84*(1+MAX(g_opx_min,phi*E77))</f>
        <v>9.24519634496697</v>
      </c>
      <c r="F84" s="24" t="n">
        <f aca="false">E84*(1+MAX(g_opx_min,phi*F77))</f>
        <v>9.52255223531597</v>
      </c>
      <c r="G84" s="24" t="n">
        <f aca="false">F84*(1+MAX(g_opx_min,phi*G77))</f>
        <v>9.80822880237545</v>
      </c>
    </row>
    <row r="85" customFormat="false" ht="15" hidden="false" customHeight="false" outlineLevel="0" collapsed="false">
      <c r="A85" s="5" t="s">
        <v>678</v>
      </c>
      <c r="B85" s="0" t="s">
        <v>241</v>
      </c>
      <c r="C85" s="24" t="n">
        <f aca="false">C84</f>
        <v>8.248</v>
      </c>
      <c r="D85" s="24" t="n">
        <f aca="false">D84</f>
        <v>8.755</v>
      </c>
      <c r="E85" s="24" t="n">
        <f aca="false">E84+0*E73</f>
        <v>9.24519634496697</v>
      </c>
      <c r="F85" s="24" t="n">
        <f aca="false">F84+0*F73</f>
        <v>9.52255223531597</v>
      </c>
      <c r="G85" s="24" t="n">
        <f aca="false">G84+0*G73</f>
        <v>9.80822880237545</v>
      </c>
    </row>
    <row r="86" customFormat="false" ht="15" hidden="false" customHeight="false" outlineLevel="0" collapsed="false">
      <c r="A86" s="5" t="s">
        <v>679</v>
      </c>
      <c r="B86" s="0" t="s">
        <v>241</v>
      </c>
      <c r="C86" s="22" t="n">
        <f aca="false">C81-C85</f>
        <v>41.997</v>
      </c>
      <c r="D86" s="22" t="n">
        <f aca="false">D81-D85</f>
        <v>70.817</v>
      </c>
      <c r="E86" s="22" t="n">
        <f aca="false">E81-E85</f>
        <v>103.682006334435</v>
      </c>
      <c r="F86" s="22" t="n">
        <f aca="false">F81-F85</f>
        <v>119.454684403608</v>
      </c>
      <c r="G86" s="22" t="n">
        <f aca="false">G81-G85</f>
        <v>135.355207046366</v>
      </c>
    </row>
    <row r="87" customFormat="false" ht="15" hidden="false" customHeight="false" outlineLevel="0" collapsed="false">
      <c r="A87" s="5" t="s">
        <v>538</v>
      </c>
      <c r="B87" s="0" t="s">
        <v>46</v>
      </c>
      <c r="C87" s="16" t="n">
        <f aca="false">C86/C73</f>
        <v>0.657363782929235</v>
      </c>
      <c r="D87" s="16" t="n">
        <f aca="false">D86/D73</f>
        <v>0.66878523737121</v>
      </c>
      <c r="E87" s="16" t="n">
        <f aca="false">E86/E73</f>
        <v>0.62770349818938</v>
      </c>
      <c r="F87" s="16" t="n">
        <f aca="false">F86/F73</f>
        <v>0.606158535975151</v>
      </c>
      <c r="G87" s="16" t="n">
        <f aca="false">G86/G73</f>
        <v>0.612679673084545</v>
      </c>
    </row>
    <row r="88" customFormat="false" ht="15" hidden="false" customHeight="false" outlineLevel="0" collapsed="false">
      <c r="A88" s="5" t="s">
        <v>680</v>
      </c>
      <c r="B88" s="0" t="s">
        <v>241</v>
      </c>
      <c r="C88" s="19" t="n">
        <f aca="false">a25_int</f>
        <v>3.072</v>
      </c>
      <c r="D88" s="19" t="n">
        <f aca="false">a26_int</f>
        <v>2.894</v>
      </c>
      <c r="E88" s="19" t="n">
        <f aca="false">int_f</f>
        <v>2.8</v>
      </c>
      <c r="F88" s="19" t="n">
        <f aca="false">int_f</f>
        <v>2.8</v>
      </c>
      <c r="G88" s="19" t="n">
        <f aca="false">int_f</f>
        <v>2.8</v>
      </c>
    </row>
    <row r="89" customFormat="false" ht="15" hidden="false" customHeight="false" outlineLevel="0" collapsed="false">
      <c r="A89" s="5" t="s">
        <v>681</v>
      </c>
      <c r="B89" s="0" t="s">
        <v>241</v>
      </c>
      <c r="C89" s="19" t="n">
        <f aca="false">a25_oth</f>
        <v>0.294</v>
      </c>
      <c r="D89" s="19" t="n">
        <f aca="false">a26_oth</f>
        <v>0.434</v>
      </c>
      <c r="E89" s="19" t="n">
        <f aca="false">oth_f</f>
        <v>0.4</v>
      </c>
      <c r="F89" s="19" t="n">
        <f aca="false">oth_f</f>
        <v>0.4</v>
      </c>
      <c r="G89" s="19" t="n">
        <f aca="false">oth_f</f>
        <v>0.4</v>
      </c>
    </row>
    <row r="90" customFormat="false" ht="15" hidden="false" customHeight="false" outlineLevel="0" collapsed="false">
      <c r="A90" s="5" t="s">
        <v>543</v>
      </c>
      <c r="B90" s="0" t="s">
        <v>46</v>
      </c>
      <c r="C90" s="16" t="n">
        <f aca="false">a25_tax/(a25_oi-a25_int+a25_oth)</f>
        <v>0.140008669267447</v>
      </c>
      <c r="D90" s="16" t="n">
        <f aca="false">a26_tax/(a26_oi-a26_int+a26_oth)</f>
        <v>0.159996489020876</v>
      </c>
      <c r="E90" s="16" t="n">
        <f aca="false">tx_f</f>
        <v>0.16</v>
      </c>
      <c r="F90" s="16" t="n">
        <f aca="false">tx_f</f>
        <v>0.16</v>
      </c>
      <c r="G90" s="16" t="n">
        <f aca="false">tx_f</f>
        <v>0.16</v>
      </c>
    </row>
    <row r="91" customFormat="false" ht="17.15" hidden="false" customHeight="false" outlineLevel="0" collapsed="false">
      <c r="A91" s="5" t="s">
        <v>630</v>
      </c>
      <c r="B91" s="0" t="s">
        <v>241</v>
      </c>
      <c r="C91" s="22" t="n">
        <f aca="false">a25_ni</f>
        <v>33.728</v>
      </c>
      <c r="D91" s="22" t="n">
        <f aca="false">a26_ni</f>
        <v>57.42012</v>
      </c>
      <c r="E91" s="22" t="n">
        <f aca="false">(E86-E88+E89)*(1-E90)</f>
        <v>85.0768853209253</v>
      </c>
      <c r="F91" s="22" t="n">
        <f aca="false">(F86-F88+F89)*(1-F90)</f>
        <v>98.3259348990304</v>
      </c>
      <c r="G91" s="22" t="n">
        <f aca="false">(G86-G88+G89)*(1-G90)</f>
        <v>111.682373918947</v>
      </c>
    </row>
    <row r="92" customFormat="false" ht="15" hidden="false" customHeight="false" outlineLevel="0" collapsed="false">
      <c r="A92" s="5" t="s">
        <v>682</v>
      </c>
      <c r="B92" s="5" t="s">
        <v>304</v>
      </c>
      <c r="C92" s="17" t="n">
        <f aca="false">a25_sh</f>
        <v>4.943</v>
      </c>
      <c r="D92" s="17" t="n">
        <f aca="false">a26_sh</f>
        <v>4.9435</v>
      </c>
      <c r="E92" s="17" t="n">
        <f aca="false">D92*(1+sh_g)</f>
        <v>4.9187825</v>
      </c>
      <c r="F92" s="17" t="n">
        <f aca="false">E92*(1+sh_g)</f>
        <v>4.8941885875</v>
      </c>
      <c r="G92" s="17" t="n">
        <f aca="false">F92*(1+sh_g)</f>
        <v>4.8697176445625</v>
      </c>
    </row>
    <row r="93" customFormat="false" ht="17.15" hidden="false" customHeight="false" outlineLevel="0" collapsed="false">
      <c r="A93" s="0" t="s">
        <v>631</v>
      </c>
      <c r="B93" s="0" t="s">
        <v>354</v>
      </c>
      <c r="C93" s="19" t="n">
        <f aca="false">C91/C92</f>
        <v>6.82338660732349</v>
      </c>
      <c r="D93" s="19" t="n">
        <f aca="false">D91/D92</f>
        <v>11.6152766258724</v>
      </c>
      <c r="E93" s="19" t="n">
        <f aca="false">E91/E92</f>
        <v>17.296330000549</v>
      </c>
      <c r="F93" s="19" t="n">
        <f aca="false">F91/F92</f>
        <v>20.0903445261917</v>
      </c>
      <c r="G93" s="19" t="n">
        <f aca="false">G91/G92</f>
        <v>22.9340553335061</v>
      </c>
    </row>
    <row r="94" customFormat="false" ht="17.15" hidden="false" customHeight="false" outlineLevel="0" collapsed="false">
      <c r="A94" s="0" t="s">
        <v>683</v>
      </c>
      <c r="B94" s="0" t="s">
        <v>46</v>
      </c>
      <c r="D94" s="16" t="n">
        <f aca="false">D93/C93-1</f>
        <v>0.702274441463682</v>
      </c>
      <c r="E94" s="16" t="n">
        <f aca="false">E93/D93-1</f>
        <v>0.489101857636554</v>
      </c>
      <c r="F94" s="16" t="n">
        <f aca="false">F93/E93-1</f>
        <v>0.16153799826634</v>
      </c>
      <c r="G94" s="16" t="n">
        <f aca="false">G93/F93-1</f>
        <v>0.141546144398226</v>
      </c>
    </row>
    <row r="97" customFormat="false" ht="17.15" hidden="false" customHeight="false" outlineLevel="0" collapsed="false">
      <c r="A97" s="3" t="s">
        <v>1053</v>
      </c>
    </row>
    <row r="98" customFormat="false" ht="17.15" hidden="false" customHeight="false" outlineLevel="0" collapsed="false">
      <c r="A98" s="6" t="s">
        <v>24</v>
      </c>
      <c r="B98" s="6" t="s">
        <v>25</v>
      </c>
      <c r="C98" s="13" t="s">
        <v>507</v>
      </c>
      <c r="D98" s="13" t="s">
        <v>621</v>
      </c>
      <c r="E98" s="13" t="s">
        <v>622</v>
      </c>
      <c r="F98" s="13" t="s">
        <v>623</v>
      </c>
      <c r="G98" s="13" t="s">
        <v>624</v>
      </c>
      <c r="H98" s="6" t="s">
        <v>480</v>
      </c>
    </row>
    <row r="99" customFormat="false" ht="17.15" hidden="false" customHeight="false" outlineLevel="0" collapsed="false">
      <c r="A99" s="1" t="s">
        <v>639</v>
      </c>
    </row>
    <row r="100" customFormat="false" ht="17.15" hidden="false" customHeight="false" outlineLevel="0" collapsed="false">
      <c r="A100" s="0" t="s">
        <v>640</v>
      </c>
      <c r="B100" s="5" t="s">
        <v>35</v>
      </c>
      <c r="D100" s="19" t="n">
        <f aca="false">u_tpu_26</f>
        <v>3.85</v>
      </c>
      <c r="E100" s="19" t="n">
        <f aca="false">u_tpu_27</f>
        <v>5.5</v>
      </c>
      <c r="F100" s="19" t="n">
        <f aca="false">u_tpu_28*um28_A</f>
        <v>7</v>
      </c>
      <c r="G100" s="19" t="n">
        <f aca="false">u_tpu_28*(1+g29_tpu)*um29_A</f>
        <v>8.05</v>
      </c>
    </row>
    <row r="101" customFormat="false" ht="17.15" hidden="false" customHeight="false" outlineLevel="0" collapsed="false">
      <c r="A101" s="5" t="s">
        <v>641</v>
      </c>
      <c r="B101" s="5" t="s">
        <v>35</v>
      </c>
      <c r="D101" s="19" t="n">
        <f aca="false">u_oth_26</f>
        <v>1</v>
      </c>
      <c r="E101" s="19" t="n">
        <f aca="false">u_oth_27</f>
        <v>4.5</v>
      </c>
      <c r="F101" s="19" t="n">
        <f aca="false">u_oth_28*um28_A</f>
        <v>5</v>
      </c>
      <c r="G101" s="19" t="n">
        <f aca="false">u_oth_28*(1+g29_oth)*um29_A</f>
        <v>5.75</v>
      </c>
    </row>
    <row r="102" customFormat="false" ht="17.15" hidden="false" customHeight="false" outlineLevel="0" collapsed="false">
      <c r="A102" s="0" t="s">
        <v>566</v>
      </c>
      <c r="B102" s="0" t="s">
        <v>46</v>
      </c>
      <c r="D102" s="16" t="n">
        <f aca="false">sh_tpu_26</f>
        <v>0.9</v>
      </c>
      <c r="E102" s="16" t="n">
        <f aca="false">MIN(1,MAX(0,sh_tpu_27+0))</f>
        <v>0.8</v>
      </c>
      <c r="F102" s="16" t="n">
        <f aca="false">MIN(1,MAX(0,sh_tpu_28+0))</f>
        <v>0.75</v>
      </c>
      <c r="G102" s="16" t="n">
        <f aca="false">MIN(1,MAX(0,sh_tpu_28+0))</f>
        <v>0.75</v>
      </c>
    </row>
    <row r="103" customFormat="false" ht="17.15" hidden="false" customHeight="false" outlineLevel="0" collapsed="false">
      <c r="A103" s="0" t="s">
        <v>578</v>
      </c>
      <c r="B103" s="0" t="s">
        <v>46</v>
      </c>
      <c r="D103" s="16" t="n">
        <f aca="false">sh_oth_26</f>
        <v>0.35</v>
      </c>
      <c r="E103" s="16" t="n">
        <f aca="false">MIN(1,MAX(0,sh_oth_27+0))</f>
        <v>0.55</v>
      </c>
      <c r="F103" s="16" t="n">
        <f aca="false">MIN(1,MAX(0,sh_oth_28+0))</f>
        <v>0.55</v>
      </c>
      <c r="G103" s="16" t="n">
        <f aca="false">MIN(1,MAX(0,sh_oth_28+0))</f>
        <v>0.55</v>
      </c>
    </row>
    <row r="104" customFormat="false" ht="17.15" hidden="false" customHeight="false" outlineLevel="0" collapsed="false">
      <c r="A104" s="0" t="s">
        <v>568</v>
      </c>
      <c r="B104" s="5" t="s">
        <v>35</v>
      </c>
      <c r="D104" s="19" t="n">
        <f aca="false">D100*D102</f>
        <v>3.465</v>
      </c>
      <c r="E104" s="19" t="n">
        <f aca="false">E100*E102*uk_hi</f>
        <v>4.84</v>
      </c>
      <c r="F104" s="19" t="n">
        <f aca="false">F100*F102*uk_hi</f>
        <v>5.775</v>
      </c>
      <c r="G104" s="19" t="n">
        <f aca="false">G100*G102*uk_hi</f>
        <v>6.64125</v>
      </c>
    </row>
    <row r="105" customFormat="false" ht="17.15" hidden="false" customHeight="false" outlineLevel="0" collapsed="false">
      <c r="A105" s="0" t="s">
        <v>579</v>
      </c>
      <c r="B105" s="5" t="s">
        <v>35</v>
      </c>
      <c r="D105" s="19" t="n">
        <f aca="false">D101*D103</f>
        <v>0.35</v>
      </c>
      <c r="E105" s="19" t="n">
        <f aca="false">E101*E103*uk_hi</f>
        <v>2.7225</v>
      </c>
      <c r="F105" s="19" t="n">
        <f aca="false">F101*F103*uk_hi</f>
        <v>3.025</v>
      </c>
      <c r="G105" s="19" t="n">
        <f aca="false">G101*G103*uk_hi</f>
        <v>3.47875</v>
      </c>
    </row>
    <row r="106" customFormat="false" ht="17.15" hidden="false" customHeight="false" outlineLevel="0" collapsed="false">
      <c r="A106" s="5" t="s">
        <v>570</v>
      </c>
      <c r="B106" s="0" t="s">
        <v>151</v>
      </c>
      <c r="D106" s="20" t="n">
        <f aca="false">gb_tpu_26</f>
        <v>192</v>
      </c>
      <c r="E106" s="20" t="n">
        <f aca="false">gb_tpu_27</f>
        <v>250</v>
      </c>
      <c r="F106" s="20" t="n">
        <f aca="false">gb_tpu_28</f>
        <v>288</v>
      </c>
      <c r="G106" s="20" t="n">
        <f aca="false">gb_tpu_28</f>
        <v>288</v>
      </c>
    </row>
    <row r="107" customFormat="false" ht="17.15" hidden="false" customHeight="false" outlineLevel="0" collapsed="false">
      <c r="A107" s="5" t="s">
        <v>580</v>
      </c>
      <c r="B107" s="0" t="s">
        <v>151</v>
      </c>
      <c r="D107" s="20" t="n">
        <f aca="false">gb_oth_26</f>
        <v>150</v>
      </c>
      <c r="E107" s="20" t="n">
        <f aca="false">gb_oth_27</f>
        <v>200</v>
      </c>
      <c r="F107" s="20" t="n">
        <f aca="false">gb_oth_28</f>
        <v>250</v>
      </c>
      <c r="G107" s="20" t="n">
        <f aca="false">gb_oth_28</f>
        <v>250</v>
      </c>
    </row>
    <row r="108" customFormat="false" ht="17.15" hidden="false" customHeight="false" outlineLevel="0" collapsed="false">
      <c r="A108" s="0" t="s">
        <v>642</v>
      </c>
      <c r="B108" s="0" t="s">
        <v>210</v>
      </c>
      <c r="D108" s="19" t="n">
        <f aca="false">hbm_A_26</f>
        <v>14.6</v>
      </c>
      <c r="E108" s="19" t="n">
        <f aca="false">hbm_A_27</f>
        <v>26.28</v>
      </c>
      <c r="F108" s="19" t="n">
        <f aca="false">hbm_A_28</f>
        <v>28.908</v>
      </c>
      <c r="G108" s="19" t="n">
        <f aca="false">hbm_A_29</f>
        <v>27.4626</v>
      </c>
    </row>
    <row r="109" customFormat="false" ht="17.15" hidden="false" customHeight="false" outlineLevel="0" collapsed="false">
      <c r="A109" s="5" t="s">
        <v>643</v>
      </c>
      <c r="B109" s="0" t="s">
        <v>188</v>
      </c>
      <c r="D109" s="19" t="n">
        <f aca="false">core_tpu</f>
        <v>8</v>
      </c>
      <c r="E109" s="19" t="n">
        <f aca="false">core_tpu*1</f>
        <v>8</v>
      </c>
      <c r="F109" s="19" t="n">
        <f aca="false">core_tpu*1</f>
        <v>8</v>
      </c>
      <c r="G109" s="19" t="n">
        <f aca="false">core_tpu*1</f>
        <v>8</v>
      </c>
    </row>
    <row r="110" customFormat="false" ht="17.15" hidden="false" customHeight="false" outlineLevel="0" collapsed="false">
      <c r="A110" s="5" t="s">
        <v>644</v>
      </c>
      <c r="B110" s="0" t="s">
        <v>188</v>
      </c>
      <c r="D110" s="19" t="n">
        <f aca="false">core_oth</f>
        <v>6</v>
      </c>
      <c r="E110" s="19" t="n">
        <f aca="false">core_oth*1</f>
        <v>6</v>
      </c>
      <c r="F110" s="19" t="n">
        <f aca="false">core_oth*1</f>
        <v>6</v>
      </c>
      <c r="G110" s="19" t="n">
        <f aca="false">core_oth*1</f>
        <v>6</v>
      </c>
    </row>
    <row r="111" customFormat="false" ht="17.15" hidden="false" customHeight="false" outlineLevel="0" collapsed="false">
      <c r="A111" s="5" t="s">
        <v>645</v>
      </c>
      <c r="B111" s="0" t="s">
        <v>188</v>
      </c>
      <c r="D111" s="19" t="n">
        <f aca="false">D106*D108/1000</f>
        <v>2.8032</v>
      </c>
      <c r="E111" s="19" t="n">
        <f aca="false">E106*E108/1000</f>
        <v>6.57</v>
      </c>
      <c r="F111" s="19" t="n">
        <f aca="false">F106*F108/1000</f>
        <v>8.325504</v>
      </c>
      <c r="G111" s="19" t="n">
        <f aca="false">G106*G108/1000</f>
        <v>7.9092288</v>
      </c>
    </row>
    <row r="112" customFormat="false" ht="17.15" hidden="false" customHeight="false" outlineLevel="0" collapsed="false">
      <c r="A112" s="5" t="s">
        <v>646</v>
      </c>
      <c r="B112" s="0" t="s">
        <v>188</v>
      </c>
      <c r="D112" s="19" t="n">
        <f aca="false">D107*D108/1000</f>
        <v>2.19</v>
      </c>
      <c r="E112" s="19" t="n">
        <f aca="false">E107*E108/1000</f>
        <v>5.256</v>
      </c>
      <c r="F112" s="19" t="n">
        <f aca="false">F107*F108/1000</f>
        <v>7.227</v>
      </c>
      <c r="G112" s="19" t="n">
        <f aca="false">G107*G108/1000</f>
        <v>6.86565</v>
      </c>
    </row>
    <row r="113" customFormat="false" ht="17.15" hidden="false" customHeight="false" outlineLevel="0" collapsed="false">
      <c r="A113" s="5" t="s">
        <v>647</v>
      </c>
      <c r="B113" s="0" t="s">
        <v>188</v>
      </c>
      <c r="D113" s="19" t="n">
        <f aca="false">D109+f_hbm*D111</f>
        <v>9.68192</v>
      </c>
      <c r="E113" s="19" t="n">
        <f aca="false">E109+f_hbm*E111</f>
        <v>11.942</v>
      </c>
      <c r="F113" s="19" t="n">
        <f aca="false">F109+f_hbm*F111</f>
        <v>12.9953024</v>
      </c>
      <c r="G113" s="19" t="n">
        <f aca="false">G109+f_hbm*G111</f>
        <v>12.74553728</v>
      </c>
      <c r="H113" s="5" t="s">
        <v>648</v>
      </c>
    </row>
    <row r="114" customFormat="false" ht="17.15" hidden="false" customHeight="false" outlineLevel="0" collapsed="false">
      <c r="A114" s="5" t="s">
        <v>649</v>
      </c>
      <c r="B114" s="0" t="s">
        <v>188</v>
      </c>
      <c r="D114" s="19" t="n">
        <f aca="false">D110+f_hbm*D112</f>
        <v>7.314</v>
      </c>
      <c r="E114" s="19" t="n">
        <f aca="false">E110+f_hbm*E112</f>
        <v>9.1536</v>
      </c>
      <c r="F114" s="19" t="n">
        <f aca="false">F110+f_hbm*F112</f>
        <v>10.3362</v>
      </c>
      <c r="G114" s="19" t="n">
        <f aca="false">G110+f_hbm*G112</f>
        <v>10.11939</v>
      </c>
    </row>
    <row r="115" customFormat="false" ht="17.15" hidden="false" customHeight="false" outlineLevel="0" collapsed="false">
      <c r="A115" s="0" t="s">
        <v>650</v>
      </c>
      <c r="B115" s="0" t="s">
        <v>241</v>
      </c>
      <c r="D115" s="22" t="n">
        <f aca="false">D104*D113+D105*D114</f>
        <v>36.1077528</v>
      </c>
      <c r="E115" s="22" t="n">
        <f aca="false">E104*E113+E105*E114</f>
        <v>82.719956</v>
      </c>
      <c r="F115" s="22" t="n">
        <f aca="false">F104*F113+F105*F114</f>
        <v>106.31487636</v>
      </c>
      <c r="G115" s="22" t="n">
        <f aca="false">G104*G113+G105*G114</f>
        <v>119.8491274233</v>
      </c>
    </row>
    <row r="116" customFormat="false" ht="17.15" hidden="false" customHeight="false" outlineLevel="0" collapsed="false">
      <c r="A116" s="0" t="s">
        <v>651</v>
      </c>
      <c r="B116" s="0" t="s">
        <v>131</v>
      </c>
      <c r="D116" s="17" t="n">
        <f aca="false">a26_xpu/D115</f>
        <v>1.10779533197646</v>
      </c>
      <c r="H116" s="8" t="s">
        <v>652</v>
      </c>
    </row>
    <row r="117" customFormat="false" ht="17.15" hidden="false" customHeight="false" outlineLevel="0" collapsed="false">
      <c r="A117" s="0" t="s">
        <v>653</v>
      </c>
      <c r="B117" s="0" t="s">
        <v>241</v>
      </c>
      <c r="D117" s="22" t="n">
        <f aca="false">D115*$D$116</f>
        <v>40</v>
      </c>
      <c r="E117" s="22" t="n">
        <f aca="false">E115*$D$116</f>
        <v>91.6367811180983</v>
      </c>
      <c r="F117" s="22" t="n">
        <f aca="false">F115*$D$116</f>
        <v>117.775123751263</v>
      </c>
      <c r="G117" s="22" t="n">
        <f aca="false">G115*$D$116</f>
        <v>132.768303900984</v>
      </c>
    </row>
    <row r="118" customFormat="false" ht="17.15" hidden="false" customHeight="false" outlineLevel="0" collapsed="false">
      <c r="A118" s="5" t="s">
        <v>654</v>
      </c>
      <c r="B118" s="0" t="s">
        <v>241</v>
      </c>
      <c r="D118" s="22" t="n">
        <f aca="false">$D$116*f_hbm*(D104*D111+D105*D112)</f>
        <v>6.96554320046192</v>
      </c>
      <c r="E118" s="22" t="n">
        <f aca="false">$D$116*f_hbm*(E104*E111+E105*E112)</f>
        <v>30.6471091161342</v>
      </c>
      <c r="F118" s="22" t="n">
        <f aca="false">$D$116*f_hbm*(F104*F111+F105*F112)</f>
        <v>46.4884941385774</v>
      </c>
      <c r="G118" s="22" t="n">
        <f aca="false">$D$116*f_hbm*(G104*G111+G105*G112)</f>
        <v>50.7886798463958</v>
      </c>
    </row>
    <row r="119" customFormat="false" ht="15" hidden="false" customHeight="false" outlineLevel="0" collapsed="false">
      <c r="A119" s="5" t="s">
        <v>655</v>
      </c>
      <c r="B119" s="0" t="s">
        <v>241</v>
      </c>
      <c r="D119" s="22" t="n">
        <f aca="false">D117-D118</f>
        <v>33.0344567995381</v>
      </c>
      <c r="E119" s="22" t="n">
        <f aca="false">E117-E118</f>
        <v>60.9896720019641</v>
      </c>
      <c r="F119" s="22" t="n">
        <f aca="false">F117-F118</f>
        <v>71.2866296126853</v>
      </c>
      <c r="G119" s="22" t="n">
        <f aca="false">G117-G118</f>
        <v>81.9796240545881</v>
      </c>
    </row>
    <row r="120" customFormat="false" ht="17.15" hidden="false" customHeight="false" outlineLevel="0" collapsed="false">
      <c r="A120" s="0" t="s">
        <v>656</v>
      </c>
      <c r="B120" s="5" t="s">
        <v>35</v>
      </c>
      <c r="D120" s="19" t="n">
        <f aca="false">D104+D105</f>
        <v>3.815</v>
      </c>
      <c r="E120" s="19" t="n">
        <f aca="false">E104+E105</f>
        <v>7.5625</v>
      </c>
      <c r="F120" s="19" t="n">
        <f aca="false">F104+F105</f>
        <v>8.8</v>
      </c>
      <c r="G120" s="19" t="n">
        <f aca="false">G104+G105</f>
        <v>10.12</v>
      </c>
    </row>
    <row r="121" customFormat="false" ht="17.15" hidden="false" customHeight="false" outlineLevel="0" collapsed="false">
      <c r="A121" s="1" t="s">
        <v>657</v>
      </c>
    </row>
    <row r="122" customFormat="false" ht="17.15" hidden="false" customHeight="false" outlineLevel="0" collapsed="false">
      <c r="A122" s="0" t="s">
        <v>658</v>
      </c>
      <c r="B122" s="0" t="s">
        <v>241</v>
      </c>
      <c r="D122" s="22" t="n">
        <f aca="false">net_26*1</f>
        <v>12.6075726</v>
      </c>
      <c r="E122" s="22" t="n">
        <f aca="false">net_27*1*1</f>
        <v>26.959549</v>
      </c>
      <c r="F122" s="22" t="n">
        <f aca="false">net_28*um28_A*1</f>
        <v>32.094922</v>
      </c>
      <c r="G122" s="22" t="n">
        <f aca="false">net_29*um29_A*1</f>
        <v>37.8328169</v>
      </c>
    </row>
    <row r="123" customFormat="false" ht="17.15" hidden="false" customHeight="false" outlineLevel="0" collapsed="false">
      <c r="A123" s="5" t="s">
        <v>659</v>
      </c>
      <c r="B123" s="0" t="s">
        <v>131</v>
      </c>
      <c r="D123" s="17" t="n">
        <f aca="false">a26_net/D122</f>
        <v>1.39598640899359</v>
      </c>
      <c r="H123" s="8" t="s">
        <v>660</v>
      </c>
    </row>
    <row r="124" customFormat="false" ht="17.15" hidden="false" customHeight="false" outlineLevel="0" collapsed="false">
      <c r="A124" s="0" t="s">
        <v>661</v>
      </c>
      <c r="B124" s="0" t="s">
        <v>241</v>
      </c>
      <c r="D124" s="22" t="n">
        <f aca="false">D122*$D$123</f>
        <v>17.6</v>
      </c>
      <c r="E124" s="22" t="n">
        <f aca="false">E122*$D$123</f>
        <v>37.6351639965968</v>
      </c>
      <c r="F124" s="22" t="n">
        <f aca="false">F122*$D$123</f>
        <v>44.8040749097094</v>
      </c>
      <c r="G124" s="22" t="n">
        <f aca="false">G122*$D$123</f>
        <v>52.8140982063431</v>
      </c>
    </row>
    <row r="125" customFormat="false" ht="17.15" hidden="false" customHeight="false" outlineLevel="0" collapsed="false">
      <c r="A125" s="0" t="s">
        <v>522</v>
      </c>
      <c r="B125" s="0" t="s">
        <v>241</v>
      </c>
      <c r="C125" s="22" t="n">
        <f aca="false">a25_ai</f>
        <v>20.2797202797203</v>
      </c>
      <c r="D125" s="22" t="n">
        <f aca="false">D117+D124</f>
        <v>57.6</v>
      </c>
      <c r="E125" s="22" t="n">
        <f aca="false">E117+E124</f>
        <v>129.271945114695</v>
      </c>
      <c r="F125" s="22" t="n">
        <f aca="false">F117+F124</f>
        <v>162.579198660972</v>
      </c>
      <c r="G125" s="22" t="n">
        <f aca="false">G117+G124</f>
        <v>185.582402107327</v>
      </c>
    </row>
    <row r="126" customFormat="false" ht="15" hidden="false" customHeight="false" outlineLevel="0" collapsed="false">
      <c r="A126" s="0" t="s">
        <v>662</v>
      </c>
      <c r="B126" s="0" t="s">
        <v>46</v>
      </c>
      <c r="D126" s="16" t="n">
        <f aca="false">D117/D125</f>
        <v>0.694444444444444</v>
      </c>
      <c r="E126" s="16" t="n">
        <f aca="false">E117/E125</f>
        <v>0.708868277929868</v>
      </c>
      <c r="F126" s="16" t="n">
        <f aca="false">F117/F125</f>
        <v>0.72441692861865</v>
      </c>
      <c r="G126" s="16" t="n">
        <f aca="false">G117/G125</f>
        <v>0.715414297871846</v>
      </c>
    </row>
    <row r="127" customFormat="false" ht="17.15" hidden="false" customHeight="false" outlineLevel="0" collapsed="false">
      <c r="A127" s="5" t="s">
        <v>663</v>
      </c>
      <c r="B127" s="0" t="s">
        <v>241</v>
      </c>
      <c r="C127" s="22" t="n">
        <f aca="false">a25_nai</f>
        <v>16.5782797202797</v>
      </c>
      <c r="D127" s="22" t="n">
        <f aca="false">a26_nai</f>
        <v>16.863</v>
      </c>
      <c r="E127" s="22" t="n">
        <f aca="false">D127*(1+g_nai)</f>
        <v>17.36889</v>
      </c>
      <c r="F127" s="22" t="n">
        <f aca="false">E127*(1+g_nai)</f>
        <v>17.8899567</v>
      </c>
      <c r="G127" s="22" t="n">
        <f aca="false">F127*(1+g_nai)</f>
        <v>18.426655401</v>
      </c>
    </row>
    <row r="128" customFormat="false" ht="15" hidden="false" customHeight="false" outlineLevel="0" collapsed="false">
      <c r="A128" s="5" t="s">
        <v>664</v>
      </c>
      <c r="B128" s="0" t="s">
        <v>241</v>
      </c>
      <c r="C128" s="22" t="n">
        <f aca="false">a25_sw</f>
        <v>27.029</v>
      </c>
      <c r="D128" s="22" t="n">
        <f aca="false">a26_sw</f>
        <v>31.426</v>
      </c>
      <c r="E128" s="22" t="n">
        <f aca="false">D128*(1+g_sw27)</f>
        <v>35.19712</v>
      </c>
      <c r="F128" s="22" t="n">
        <f aca="false">E128*(1+g_sw)</f>
        <v>38.0128896</v>
      </c>
      <c r="G128" s="22" t="n">
        <f aca="false">F128*(1+g_sw)</f>
        <v>41.053920768</v>
      </c>
    </row>
    <row r="129" customFormat="false" ht="17.15" hidden="false" customHeight="false" outlineLevel="0" collapsed="false">
      <c r="A129" s="1" t="s">
        <v>665</v>
      </c>
    </row>
    <row r="130" customFormat="false" ht="15" hidden="false" customHeight="false" outlineLevel="0" collapsed="false">
      <c r="A130" s="5" t="s">
        <v>514</v>
      </c>
      <c r="B130" s="0" t="s">
        <v>241</v>
      </c>
      <c r="C130" s="22" t="n">
        <f aca="false">a25_rev</f>
        <v>63.887</v>
      </c>
      <c r="D130" s="22" t="n">
        <f aca="false">a26_rev</f>
        <v>105.889</v>
      </c>
      <c r="E130" s="22" t="n">
        <f aca="false">E125+E127+E128</f>
        <v>181.837955114695</v>
      </c>
      <c r="F130" s="22" t="n">
        <f aca="false">F125+F127+F128</f>
        <v>218.482044960972</v>
      </c>
      <c r="G130" s="22" t="n">
        <f aca="false">G125+G127+G128</f>
        <v>245.062978276327</v>
      </c>
    </row>
    <row r="131" customFormat="false" ht="17.15" hidden="false" customHeight="false" outlineLevel="0" collapsed="false">
      <c r="A131" s="5" t="s">
        <v>666</v>
      </c>
      <c r="B131" s="0" t="s">
        <v>241</v>
      </c>
      <c r="D131" s="22" t="n">
        <f aca="false">D125+D127+D128</f>
        <v>105.889</v>
      </c>
      <c r="E131" s="22" t="n">
        <f aca="false">E125+E127+E128</f>
        <v>181.837955114695</v>
      </c>
      <c r="F131" s="22" t="n">
        <f aca="false">F125+F127+F128</f>
        <v>218.482044960972</v>
      </c>
      <c r="G131" s="22" t="n">
        <f aca="false">G125+G127+G128</f>
        <v>245.062978276327</v>
      </c>
    </row>
    <row r="132" customFormat="false" ht="17.15" hidden="false" customHeight="false" outlineLevel="0" collapsed="false">
      <c r="A132" s="5" t="s">
        <v>667</v>
      </c>
      <c r="B132" s="0" t="s">
        <v>241</v>
      </c>
      <c r="C132" s="22" t="n">
        <f aca="false">C125+C127</f>
        <v>36.858</v>
      </c>
      <c r="D132" s="22" t="n">
        <f aca="false">D125+D127</f>
        <v>74.463</v>
      </c>
      <c r="E132" s="22" t="n">
        <f aca="false">E125+E127</f>
        <v>146.640835114695</v>
      </c>
      <c r="F132" s="22" t="n">
        <f aca="false">F125+F127</f>
        <v>180.469155360972</v>
      </c>
      <c r="G132" s="22" t="n">
        <f aca="false">G125+G127</f>
        <v>204.009057508327</v>
      </c>
      <c r="H132" s="5" t="s">
        <v>668</v>
      </c>
    </row>
    <row r="133" customFormat="false" ht="17.15" hidden="false" customHeight="false" outlineLevel="0" collapsed="false">
      <c r="A133" s="5" t="s">
        <v>669</v>
      </c>
      <c r="B133" s="0" t="s">
        <v>241</v>
      </c>
      <c r="C133" s="17" t="n">
        <f aca="false">C132+C128-C130</f>
        <v>0</v>
      </c>
      <c r="D133" s="17" t="n">
        <f aca="false">D132+D128-D130</f>
        <v>0</v>
      </c>
      <c r="E133" s="17" t="n">
        <f aca="false">E132+E128-E130</f>
        <v>0</v>
      </c>
      <c r="F133" s="17" t="n">
        <f aca="false">F132+F128-F130</f>
        <v>0</v>
      </c>
      <c r="G133" s="17" t="n">
        <f aca="false">G132+G128-G130</f>
        <v>0</v>
      </c>
    </row>
    <row r="134" customFormat="false" ht="15" hidden="false" customHeight="false" outlineLevel="0" collapsed="false">
      <c r="A134" s="5" t="s">
        <v>670</v>
      </c>
      <c r="B134" s="0" t="s">
        <v>46</v>
      </c>
      <c r="D134" s="16" t="n">
        <f aca="false">D130/C130-1</f>
        <v>0.657442046112668</v>
      </c>
      <c r="E134" s="16" t="n">
        <f aca="false">E130/D130-1</f>
        <v>0.717250659791811</v>
      </c>
      <c r="F134" s="16" t="n">
        <f aca="false">F130/E130-1</f>
        <v>0.201520578160723</v>
      </c>
      <c r="G134" s="16" t="n">
        <f aca="false">G130/F130-1</f>
        <v>0.121661866173502</v>
      </c>
    </row>
    <row r="135" customFormat="false" ht="17.15" hidden="false" customHeight="false" outlineLevel="0" collapsed="false">
      <c r="A135" s="0" t="s">
        <v>671</v>
      </c>
      <c r="B135" s="0" t="s">
        <v>46</v>
      </c>
      <c r="C135" s="16" t="n">
        <f aca="false">C125/C130</f>
        <v>0.317431093645347</v>
      </c>
      <c r="D135" s="16" t="n">
        <f aca="false">D125/D130</f>
        <v>0.543965851032685</v>
      </c>
      <c r="E135" s="16" t="n">
        <f aca="false">E125/E130</f>
        <v>0.710918383530855</v>
      </c>
      <c r="F135" s="16" t="n">
        <f aca="false">F125/F130</f>
        <v>0.744130707354071</v>
      </c>
      <c r="G135" s="16" t="n">
        <f aca="false">G125/G130</f>
        <v>0.757284529114262</v>
      </c>
    </row>
    <row r="136" customFormat="false" ht="17.15" hidden="false" customHeight="false" outlineLevel="0" collapsed="false">
      <c r="A136" s="5" t="s">
        <v>672</v>
      </c>
      <c r="B136" s="0" t="s">
        <v>241</v>
      </c>
      <c r="D136" s="22" t="n">
        <f aca="false">gm_net*D124+gm_nai*D127+gm_sw*D128+m_hbm*D118</f>
        <v>53.5556843200462</v>
      </c>
      <c r="E136" s="22" t="n">
        <f aca="false">gm_net*E124+gm_nai*E127+gm_sw*E128+m_hbm*E118</f>
        <v>74.1851290891631</v>
      </c>
      <c r="F136" s="22" t="n">
        <f aca="false">gm_net*F124+gm_nai*F127+gm_sw*F128+m_hbm*F118</f>
        <v>83.8882425318485</v>
      </c>
      <c r="G136" s="22" t="n">
        <f aca="false">gm_net*G124+gm_nai*G127+gm_sw*G128+m_hbm*G118</f>
        <v>93.2624910180966</v>
      </c>
    </row>
    <row r="137" customFormat="false" ht="17.15" hidden="false" customHeight="false" outlineLevel="0" collapsed="false">
      <c r="A137" s="0" t="s">
        <v>673</v>
      </c>
      <c r="B137" s="0" t="s">
        <v>131</v>
      </c>
      <c r="D137" s="17" t="n">
        <f aca="false">(a26_gp-D136)/D119</f>
        <v>0.787550884757324</v>
      </c>
      <c r="H137" s="8" t="s">
        <v>674</v>
      </c>
    </row>
    <row r="138" customFormat="false" ht="15" hidden="false" customHeight="false" outlineLevel="0" collapsed="false">
      <c r="A138" s="5" t="s">
        <v>675</v>
      </c>
      <c r="B138" s="0" t="s">
        <v>241</v>
      </c>
      <c r="C138" s="22" t="n">
        <f aca="false">a25_gp</f>
        <v>50.245</v>
      </c>
      <c r="D138" s="22" t="n">
        <f aca="false">a26_gp</f>
        <v>79.572</v>
      </c>
      <c r="E138" s="22" t="n">
        <f aca="false">E136+$D$137*E119</f>
        <v>122.217599235369</v>
      </c>
      <c r="F138" s="22" t="n">
        <f aca="false">F136+$D$137*F119</f>
        <v>140.030090754686</v>
      </c>
      <c r="G138" s="22" t="n">
        <f aca="false">G136+$D$137*G119</f>
        <v>157.82561647436</v>
      </c>
    </row>
    <row r="139" customFormat="false" ht="15" hidden="false" customHeight="false" outlineLevel="0" collapsed="false">
      <c r="A139" s="5" t="s">
        <v>533</v>
      </c>
      <c r="B139" s="0" t="s">
        <v>46</v>
      </c>
      <c r="C139" s="16" t="n">
        <f aca="false">C138/C130</f>
        <v>0.786466730320723</v>
      </c>
      <c r="D139" s="16" t="n">
        <f aca="false">D138/D130</f>
        <v>0.751466157957862</v>
      </c>
      <c r="E139" s="16" t="n">
        <f aca="false">E138/E130</f>
        <v>0.672123700237828</v>
      </c>
      <c r="F139" s="16" t="n">
        <f aca="false">F138/F130</f>
        <v>0.640922647807056</v>
      </c>
      <c r="G139" s="16" t="n">
        <f aca="false">G138/G130</f>
        <v>0.644020641487512</v>
      </c>
    </row>
    <row r="140" customFormat="false" ht="17.15" hidden="false" customHeight="false" outlineLevel="0" collapsed="false">
      <c r="A140" s="5" t="s">
        <v>676</v>
      </c>
      <c r="B140" s="0" t="s">
        <v>46</v>
      </c>
      <c r="D140" s="16" t="n">
        <f aca="false">D118/D130</f>
        <v>0.0657815561622258</v>
      </c>
      <c r="E140" s="16" t="n">
        <f aca="false">E118/E130</f>
        <v>0.168540770802242</v>
      </c>
      <c r="F140" s="16" t="n">
        <f aca="false">F118/F130</f>
        <v>0.212779471864069</v>
      </c>
      <c r="G140" s="16" t="n">
        <f aca="false">G118/G130</f>
        <v>0.207247460239089</v>
      </c>
    </row>
    <row r="141" customFormat="false" ht="15" hidden="false" customHeight="false" outlineLevel="0" collapsed="false">
      <c r="A141" s="5" t="s">
        <v>677</v>
      </c>
      <c r="B141" s="0" t="s">
        <v>241</v>
      </c>
      <c r="C141" s="24" t="n">
        <f aca="false">a25_opx</f>
        <v>8.248</v>
      </c>
      <c r="D141" s="24" t="n">
        <f aca="false">a26_opx</f>
        <v>8.755</v>
      </c>
      <c r="E141" s="24" t="n">
        <f aca="false">D141*(1+MAX(g_opx_min,phi*E134))</f>
        <v>9.38295295264773</v>
      </c>
      <c r="F141" s="24" t="n">
        <f aca="false">E141*(1+MAX(g_opx_min,phi*F134))</f>
        <v>9.66444154122716</v>
      </c>
      <c r="G141" s="24" t="n">
        <f aca="false">F141*(1+MAX(g_opx_min,phi*G134))</f>
        <v>9.95437478746397</v>
      </c>
    </row>
    <row r="142" customFormat="false" ht="15" hidden="false" customHeight="false" outlineLevel="0" collapsed="false">
      <c r="A142" s="5" t="s">
        <v>678</v>
      </c>
      <c r="B142" s="0" t="s">
        <v>241</v>
      </c>
      <c r="C142" s="24" t="n">
        <f aca="false">C141</f>
        <v>8.248</v>
      </c>
      <c r="D142" s="24" t="n">
        <f aca="false">D141</f>
        <v>8.755</v>
      </c>
      <c r="E142" s="24" t="n">
        <f aca="false">E141+0*E130</f>
        <v>9.38295295264773</v>
      </c>
      <c r="F142" s="24" t="n">
        <f aca="false">F141+0*F130</f>
        <v>9.66444154122716</v>
      </c>
      <c r="G142" s="24" t="n">
        <f aca="false">G141+0*G130</f>
        <v>9.95437478746397</v>
      </c>
    </row>
    <row r="143" customFormat="false" ht="15" hidden="false" customHeight="false" outlineLevel="0" collapsed="false">
      <c r="A143" s="5" t="s">
        <v>679</v>
      </c>
      <c r="B143" s="0" t="s">
        <v>241</v>
      </c>
      <c r="C143" s="22" t="n">
        <f aca="false">C138-C142</f>
        <v>41.997</v>
      </c>
      <c r="D143" s="22" t="n">
        <f aca="false">D138-D142</f>
        <v>70.817</v>
      </c>
      <c r="E143" s="22" t="n">
        <f aca="false">E138-E142</f>
        <v>112.834646282721</v>
      </c>
      <c r="F143" s="22" t="n">
        <f aca="false">F138-F142</f>
        <v>130.365649213459</v>
      </c>
      <c r="G143" s="22" t="n">
        <f aca="false">G138-G142</f>
        <v>147.871241686896</v>
      </c>
    </row>
    <row r="144" customFormat="false" ht="15" hidden="false" customHeight="false" outlineLevel="0" collapsed="false">
      <c r="A144" s="5" t="s">
        <v>538</v>
      </c>
      <c r="B144" s="0" t="s">
        <v>46</v>
      </c>
      <c r="C144" s="16" t="n">
        <f aca="false">C143/C130</f>
        <v>0.657363782929235</v>
      </c>
      <c r="D144" s="16" t="n">
        <f aca="false">D143/D130</f>
        <v>0.66878523737121</v>
      </c>
      <c r="E144" s="16" t="n">
        <f aca="false">E143/E130</f>
        <v>0.620523070728277</v>
      </c>
      <c r="F144" s="16" t="n">
        <f aca="false">F143/F130</f>
        <v>0.596688159142537</v>
      </c>
      <c r="G144" s="16" t="n">
        <f aca="false">G143/G130</f>
        <v>0.60340098176788</v>
      </c>
    </row>
    <row r="145" customFormat="false" ht="15" hidden="false" customHeight="false" outlineLevel="0" collapsed="false">
      <c r="A145" s="5" t="s">
        <v>680</v>
      </c>
      <c r="B145" s="0" t="s">
        <v>241</v>
      </c>
      <c r="C145" s="19" t="n">
        <f aca="false">a25_int</f>
        <v>3.072</v>
      </c>
      <c r="D145" s="19" t="n">
        <f aca="false">a26_int</f>
        <v>2.894</v>
      </c>
      <c r="E145" s="19" t="n">
        <f aca="false">int_f</f>
        <v>2.8</v>
      </c>
      <c r="F145" s="19" t="n">
        <f aca="false">int_f</f>
        <v>2.8</v>
      </c>
      <c r="G145" s="19" t="n">
        <f aca="false">int_f</f>
        <v>2.8</v>
      </c>
    </row>
    <row r="146" customFormat="false" ht="15" hidden="false" customHeight="false" outlineLevel="0" collapsed="false">
      <c r="A146" s="5" t="s">
        <v>681</v>
      </c>
      <c r="B146" s="0" t="s">
        <v>241</v>
      </c>
      <c r="C146" s="19" t="n">
        <f aca="false">a25_oth</f>
        <v>0.294</v>
      </c>
      <c r="D146" s="19" t="n">
        <f aca="false">a26_oth</f>
        <v>0.434</v>
      </c>
      <c r="E146" s="19" t="n">
        <f aca="false">oth_f</f>
        <v>0.4</v>
      </c>
      <c r="F146" s="19" t="n">
        <f aca="false">oth_f</f>
        <v>0.4</v>
      </c>
      <c r="G146" s="19" t="n">
        <f aca="false">oth_f</f>
        <v>0.4</v>
      </c>
    </row>
    <row r="147" customFormat="false" ht="15" hidden="false" customHeight="false" outlineLevel="0" collapsed="false">
      <c r="A147" s="5" t="s">
        <v>543</v>
      </c>
      <c r="B147" s="0" t="s">
        <v>46</v>
      </c>
      <c r="C147" s="16" t="n">
        <f aca="false">a25_tax/(a25_oi-a25_int+a25_oth)</f>
        <v>0.140008669267447</v>
      </c>
      <c r="D147" s="16" t="n">
        <f aca="false">a26_tax/(a26_oi-a26_int+a26_oth)</f>
        <v>0.159996489020876</v>
      </c>
      <c r="E147" s="16" t="n">
        <f aca="false">tx_f</f>
        <v>0.16</v>
      </c>
      <c r="F147" s="16" t="n">
        <f aca="false">tx_f</f>
        <v>0.16</v>
      </c>
      <c r="G147" s="16" t="n">
        <f aca="false">tx_f</f>
        <v>0.16</v>
      </c>
    </row>
    <row r="148" customFormat="false" ht="17.15" hidden="false" customHeight="false" outlineLevel="0" collapsed="false">
      <c r="A148" s="5" t="s">
        <v>630</v>
      </c>
      <c r="B148" s="0" t="s">
        <v>241</v>
      </c>
      <c r="C148" s="22" t="n">
        <f aca="false">a25_ni</f>
        <v>33.728</v>
      </c>
      <c r="D148" s="22" t="n">
        <f aca="false">a26_ni</f>
        <v>57.42012</v>
      </c>
      <c r="E148" s="22" t="n">
        <f aca="false">(E143-E145+E146)*(1-E147)</f>
        <v>92.7651028774858</v>
      </c>
      <c r="F148" s="22" t="n">
        <f aca="false">(F143-F145+F146)*(1-F147)</f>
        <v>107.491145339306</v>
      </c>
      <c r="G148" s="22" t="n">
        <f aca="false">(G143-G145+G146)*(1-G147)</f>
        <v>122.195843016993</v>
      </c>
    </row>
    <row r="149" customFormat="false" ht="15" hidden="false" customHeight="false" outlineLevel="0" collapsed="false">
      <c r="A149" s="5" t="s">
        <v>682</v>
      </c>
      <c r="B149" s="5" t="s">
        <v>304</v>
      </c>
      <c r="C149" s="17" t="n">
        <f aca="false">a25_sh</f>
        <v>4.943</v>
      </c>
      <c r="D149" s="17" t="n">
        <f aca="false">a26_sh</f>
        <v>4.9435</v>
      </c>
      <c r="E149" s="17" t="n">
        <f aca="false">D149*(1+sh_g)</f>
        <v>4.9187825</v>
      </c>
      <c r="F149" s="17" t="n">
        <f aca="false">E149*(1+sh_g)</f>
        <v>4.8941885875</v>
      </c>
      <c r="G149" s="17" t="n">
        <f aca="false">F149*(1+sh_g)</f>
        <v>4.8697176445625</v>
      </c>
    </row>
    <row r="150" customFormat="false" ht="17.15" hidden="false" customHeight="false" outlineLevel="0" collapsed="false">
      <c r="A150" s="0" t="s">
        <v>631</v>
      </c>
      <c r="B150" s="0" t="s">
        <v>354</v>
      </c>
      <c r="C150" s="19" t="n">
        <f aca="false">C148/C149</f>
        <v>6.82338660732349</v>
      </c>
      <c r="D150" s="19" t="n">
        <f aca="false">D148/D149</f>
        <v>11.6152766258724</v>
      </c>
      <c r="E150" s="19" t="n">
        <f aca="false">E148/E149</f>
        <v>18.8593626324168</v>
      </c>
      <c r="F150" s="19" t="n">
        <f aca="false">F148/F149</f>
        <v>21.9630166303447</v>
      </c>
      <c r="G150" s="19" t="n">
        <f aca="false">G148/G149</f>
        <v>25.0930037295768</v>
      </c>
    </row>
    <row r="151" customFormat="false" ht="17.15" hidden="false" customHeight="false" outlineLevel="0" collapsed="false">
      <c r="A151" s="0" t="s">
        <v>683</v>
      </c>
      <c r="B151" s="0" t="s">
        <v>46</v>
      </c>
      <c r="D151" s="16" t="n">
        <f aca="false">D150/C150-1</f>
        <v>0.702274441463682</v>
      </c>
      <c r="E151" s="16" t="n">
        <f aca="false">E150/D150-1</f>
        <v>0.623668831993952</v>
      </c>
      <c r="F151" s="16" t="n">
        <f aca="false">F150/E150-1</f>
        <v>0.164568339790716</v>
      </c>
      <c r="G151" s="16" t="n">
        <f aca="false">G150/F150-1</f>
        <v>0.142511711934308</v>
      </c>
    </row>
    <row r="154" customFormat="false" ht="17.15" hidden="false" customHeight="false" outlineLevel="0" collapsed="false">
      <c r="A154" s="3" t="s">
        <v>1054</v>
      </c>
    </row>
    <row r="155" customFormat="false" ht="17.15" hidden="false" customHeight="false" outlineLevel="0" collapsed="false">
      <c r="A155" s="6" t="s">
        <v>24</v>
      </c>
      <c r="B155" s="6" t="s">
        <v>25</v>
      </c>
      <c r="C155" s="13" t="s">
        <v>507</v>
      </c>
      <c r="D155" s="13" t="s">
        <v>621</v>
      </c>
      <c r="E155" s="13" t="s">
        <v>622</v>
      </c>
      <c r="F155" s="13" t="s">
        <v>623</v>
      </c>
      <c r="G155" s="13" t="s">
        <v>624</v>
      </c>
      <c r="H155" s="6" t="s">
        <v>480</v>
      </c>
    </row>
    <row r="156" customFormat="false" ht="17.15" hidden="false" customHeight="false" outlineLevel="0" collapsed="false">
      <c r="A156" s="1" t="s">
        <v>639</v>
      </c>
    </row>
    <row r="157" customFormat="false" ht="17.15" hidden="false" customHeight="false" outlineLevel="0" collapsed="false">
      <c r="A157" s="0" t="s">
        <v>640</v>
      </c>
      <c r="B157" s="5" t="s">
        <v>35</v>
      </c>
      <c r="D157" s="19" t="n">
        <f aca="false">u_tpu_26</f>
        <v>3.85</v>
      </c>
      <c r="E157" s="19" t="n">
        <f aca="false">u_tpu_27</f>
        <v>5.5</v>
      </c>
      <c r="F157" s="19" t="n">
        <f aca="false">u_tpu_28*um28_A</f>
        <v>7</v>
      </c>
      <c r="G157" s="19" t="n">
        <f aca="false">u_tpu_28*(1+g29_tpu)*um29_A</f>
        <v>8.05</v>
      </c>
    </row>
    <row r="158" customFormat="false" ht="17.15" hidden="false" customHeight="false" outlineLevel="0" collapsed="false">
      <c r="A158" s="5" t="s">
        <v>641</v>
      </c>
      <c r="B158" s="5" t="s">
        <v>35</v>
      </c>
      <c r="D158" s="19" t="n">
        <f aca="false">u_oth_26</f>
        <v>1</v>
      </c>
      <c r="E158" s="19" t="n">
        <f aca="false">u_oth_27</f>
        <v>4.5</v>
      </c>
      <c r="F158" s="19" t="n">
        <f aca="false">u_oth_28*um28_A</f>
        <v>5</v>
      </c>
      <c r="G158" s="19" t="n">
        <f aca="false">u_oth_28*(1+g29_oth)*um29_A</f>
        <v>5.75</v>
      </c>
    </row>
    <row r="159" customFormat="false" ht="17.15" hidden="false" customHeight="false" outlineLevel="0" collapsed="false">
      <c r="A159" s="0" t="s">
        <v>566</v>
      </c>
      <c r="B159" s="0" t="s">
        <v>46</v>
      </c>
      <c r="D159" s="16" t="n">
        <f aca="false">sh_tpu_26</f>
        <v>0.9</v>
      </c>
      <c r="E159" s="16" t="n">
        <f aca="false">MIN(1,MAX(0,sh_tpu_27+(-0.15)))</f>
        <v>0.65</v>
      </c>
      <c r="F159" s="16" t="n">
        <f aca="false">MIN(1,MAX(0,sh_tpu_28+(-0.15)))</f>
        <v>0.6</v>
      </c>
      <c r="G159" s="16" t="n">
        <f aca="false">MIN(1,MAX(0,sh_tpu_28+(-0.15)))</f>
        <v>0.6</v>
      </c>
    </row>
    <row r="160" customFormat="false" ht="17.15" hidden="false" customHeight="false" outlineLevel="0" collapsed="false">
      <c r="A160" s="0" t="s">
        <v>578</v>
      </c>
      <c r="B160" s="0" t="s">
        <v>46</v>
      </c>
      <c r="D160" s="16" t="n">
        <f aca="false">sh_oth_26</f>
        <v>0.35</v>
      </c>
      <c r="E160" s="16" t="n">
        <f aca="false">MIN(1,MAX(0,sh_oth_27+0))</f>
        <v>0.55</v>
      </c>
      <c r="F160" s="16" t="n">
        <f aca="false">MIN(1,MAX(0,sh_oth_28+0))</f>
        <v>0.55</v>
      </c>
      <c r="G160" s="16" t="n">
        <f aca="false">MIN(1,MAX(0,sh_oth_28+0))</f>
        <v>0.55</v>
      </c>
    </row>
    <row r="161" customFormat="false" ht="17.15" hidden="false" customHeight="false" outlineLevel="0" collapsed="false">
      <c r="A161" s="0" t="s">
        <v>568</v>
      </c>
      <c r="B161" s="5" t="s">
        <v>35</v>
      </c>
      <c r="D161" s="19" t="n">
        <f aca="false">D157*D159</f>
        <v>3.465</v>
      </c>
      <c r="E161" s="19" t="n">
        <f aca="false">E157*E159*1</f>
        <v>3.575</v>
      </c>
      <c r="F161" s="19" t="n">
        <f aca="false">F157*F159*1</f>
        <v>4.2</v>
      </c>
      <c r="G161" s="19" t="n">
        <f aca="false">G157*G159*1</f>
        <v>4.83</v>
      </c>
    </row>
    <row r="162" customFormat="false" ht="17.15" hidden="false" customHeight="false" outlineLevel="0" collapsed="false">
      <c r="A162" s="0" t="s">
        <v>579</v>
      </c>
      <c r="B162" s="5" t="s">
        <v>35</v>
      </c>
      <c r="D162" s="19" t="n">
        <f aca="false">D158*D160</f>
        <v>0.35</v>
      </c>
      <c r="E162" s="19" t="n">
        <f aca="false">E158*E160*1</f>
        <v>2.475</v>
      </c>
      <c r="F162" s="19" t="n">
        <f aca="false">F158*F160*1</f>
        <v>2.75</v>
      </c>
      <c r="G162" s="19" t="n">
        <f aca="false">G158*G160*1</f>
        <v>3.1625</v>
      </c>
    </row>
    <row r="163" customFormat="false" ht="17.15" hidden="false" customHeight="false" outlineLevel="0" collapsed="false">
      <c r="A163" s="5" t="s">
        <v>570</v>
      </c>
      <c r="B163" s="0" t="s">
        <v>151</v>
      </c>
      <c r="D163" s="20" t="n">
        <f aca="false">gb_tpu_26</f>
        <v>192</v>
      </c>
      <c r="E163" s="20" t="n">
        <f aca="false">gb_tpu_27</f>
        <v>250</v>
      </c>
      <c r="F163" s="20" t="n">
        <f aca="false">gb_tpu_28</f>
        <v>288</v>
      </c>
      <c r="G163" s="20" t="n">
        <f aca="false">gb_tpu_28</f>
        <v>288</v>
      </c>
    </row>
    <row r="164" customFormat="false" ht="17.15" hidden="false" customHeight="false" outlineLevel="0" collapsed="false">
      <c r="A164" s="5" t="s">
        <v>580</v>
      </c>
      <c r="B164" s="0" t="s">
        <v>151</v>
      </c>
      <c r="D164" s="20" t="n">
        <f aca="false">gb_oth_26</f>
        <v>150</v>
      </c>
      <c r="E164" s="20" t="n">
        <f aca="false">gb_oth_27</f>
        <v>200</v>
      </c>
      <c r="F164" s="20" t="n">
        <f aca="false">gb_oth_28</f>
        <v>250</v>
      </c>
      <c r="G164" s="20" t="n">
        <f aca="false">gb_oth_28</f>
        <v>250</v>
      </c>
    </row>
    <row r="165" customFormat="false" ht="17.15" hidden="false" customHeight="false" outlineLevel="0" collapsed="false">
      <c r="A165" s="0" t="s">
        <v>642</v>
      </c>
      <c r="B165" s="0" t="s">
        <v>210</v>
      </c>
      <c r="D165" s="19" t="n">
        <f aca="false">hbm_A_26</f>
        <v>14.6</v>
      </c>
      <c r="E165" s="19" t="n">
        <f aca="false">hbm_A_27</f>
        <v>26.28</v>
      </c>
      <c r="F165" s="19" t="n">
        <f aca="false">hbm_A_28</f>
        <v>28.908</v>
      </c>
      <c r="G165" s="19" t="n">
        <f aca="false">hbm_A_29</f>
        <v>27.4626</v>
      </c>
    </row>
    <row r="166" customFormat="false" ht="17.15" hidden="false" customHeight="false" outlineLevel="0" collapsed="false">
      <c r="A166" s="5" t="s">
        <v>643</v>
      </c>
      <c r="B166" s="0" t="s">
        <v>188</v>
      </c>
      <c r="D166" s="19" t="n">
        <f aca="false">core_tpu</f>
        <v>8</v>
      </c>
      <c r="E166" s="19" t="n">
        <f aca="false">core_tpu*1</f>
        <v>8</v>
      </c>
      <c r="F166" s="19" t="n">
        <f aca="false">core_tpu*1</f>
        <v>8</v>
      </c>
      <c r="G166" s="19" t="n">
        <f aca="false">core_tpu*1</f>
        <v>8</v>
      </c>
    </row>
    <row r="167" customFormat="false" ht="17.15" hidden="false" customHeight="false" outlineLevel="0" collapsed="false">
      <c r="A167" s="5" t="s">
        <v>644</v>
      </c>
      <c r="B167" s="0" t="s">
        <v>188</v>
      </c>
      <c r="D167" s="19" t="n">
        <f aca="false">core_oth</f>
        <v>6</v>
      </c>
      <c r="E167" s="19" t="n">
        <f aca="false">core_oth*1</f>
        <v>6</v>
      </c>
      <c r="F167" s="19" t="n">
        <f aca="false">core_oth*1</f>
        <v>6</v>
      </c>
      <c r="G167" s="19" t="n">
        <f aca="false">core_oth*1</f>
        <v>6</v>
      </c>
    </row>
    <row r="168" customFormat="false" ht="17.15" hidden="false" customHeight="false" outlineLevel="0" collapsed="false">
      <c r="A168" s="5" t="s">
        <v>645</v>
      </c>
      <c r="B168" s="0" t="s">
        <v>188</v>
      </c>
      <c r="D168" s="19" t="n">
        <f aca="false">D163*D165/1000</f>
        <v>2.8032</v>
      </c>
      <c r="E168" s="19" t="n">
        <f aca="false">E163*E165/1000</f>
        <v>6.57</v>
      </c>
      <c r="F168" s="19" t="n">
        <f aca="false">F163*F165/1000</f>
        <v>8.325504</v>
      </c>
      <c r="G168" s="19" t="n">
        <f aca="false">G163*G165/1000</f>
        <v>7.9092288</v>
      </c>
    </row>
    <row r="169" customFormat="false" ht="17.15" hidden="false" customHeight="false" outlineLevel="0" collapsed="false">
      <c r="A169" s="5" t="s">
        <v>646</v>
      </c>
      <c r="B169" s="0" t="s">
        <v>188</v>
      </c>
      <c r="D169" s="19" t="n">
        <f aca="false">D164*D165/1000</f>
        <v>2.19</v>
      </c>
      <c r="E169" s="19" t="n">
        <f aca="false">E164*E165/1000</f>
        <v>5.256</v>
      </c>
      <c r="F169" s="19" t="n">
        <f aca="false">F164*F165/1000</f>
        <v>7.227</v>
      </c>
      <c r="G169" s="19" t="n">
        <f aca="false">G164*G165/1000</f>
        <v>6.86565</v>
      </c>
    </row>
    <row r="170" customFormat="false" ht="17.15" hidden="false" customHeight="false" outlineLevel="0" collapsed="false">
      <c r="A170" s="5" t="s">
        <v>647</v>
      </c>
      <c r="B170" s="0" t="s">
        <v>188</v>
      </c>
      <c r="D170" s="19" t="n">
        <f aca="false">D166+f_hbm*D168</f>
        <v>9.68192</v>
      </c>
      <c r="E170" s="19" t="n">
        <f aca="false">E166+f_hbm*E168</f>
        <v>11.942</v>
      </c>
      <c r="F170" s="19" t="n">
        <f aca="false">F166+f_hbm*F168</f>
        <v>12.9953024</v>
      </c>
      <c r="G170" s="19" t="n">
        <f aca="false">G166+f_hbm*G168</f>
        <v>12.74553728</v>
      </c>
      <c r="H170" s="5" t="s">
        <v>648</v>
      </c>
    </row>
    <row r="171" customFormat="false" ht="17.15" hidden="false" customHeight="false" outlineLevel="0" collapsed="false">
      <c r="A171" s="5" t="s">
        <v>649</v>
      </c>
      <c r="B171" s="0" t="s">
        <v>188</v>
      </c>
      <c r="D171" s="19" t="n">
        <f aca="false">D167+f_hbm*D169</f>
        <v>7.314</v>
      </c>
      <c r="E171" s="19" t="n">
        <f aca="false">E167+f_hbm*E169</f>
        <v>9.1536</v>
      </c>
      <c r="F171" s="19" t="n">
        <f aca="false">F167+f_hbm*F169</f>
        <v>10.3362</v>
      </c>
      <c r="G171" s="19" t="n">
        <f aca="false">G167+f_hbm*G169</f>
        <v>10.11939</v>
      </c>
    </row>
    <row r="172" customFormat="false" ht="17.15" hidden="false" customHeight="false" outlineLevel="0" collapsed="false">
      <c r="A172" s="0" t="s">
        <v>650</v>
      </c>
      <c r="B172" s="0" t="s">
        <v>241</v>
      </c>
      <c r="D172" s="22" t="n">
        <f aca="false">D161*D170+D162*D171</f>
        <v>36.1077528</v>
      </c>
      <c r="E172" s="22" t="n">
        <f aca="false">E161*E170+E162*E171</f>
        <v>65.34781</v>
      </c>
      <c r="F172" s="22" t="n">
        <f aca="false">F161*F170+F162*F171</f>
        <v>83.00482008</v>
      </c>
      <c r="G172" s="22" t="n">
        <f aca="false">G161*G170+G162*G171</f>
        <v>93.5635159374</v>
      </c>
    </row>
    <row r="173" customFormat="false" ht="17.15" hidden="false" customHeight="false" outlineLevel="0" collapsed="false">
      <c r="A173" s="0" t="s">
        <v>651</v>
      </c>
      <c r="B173" s="0" t="s">
        <v>131</v>
      </c>
      <c r="D173" s="17" t="n">
        <f aca="false">a26_xpu/D172</f>
        <v>1.10779533197646</v>
      </c>
      <c r="H173" s="8" t="s">
        <v>652</v>
      </c>
    </row>
    <row r="174" customFormat="false" ht="17.15" hidden="false" customHeight="false" outlineLevel="0" collapsed="false">
      <c r="A174" s="0" t="s">
        <v>653</v>
      </c>
      <c r="B174" s="0" t="s">
        <v>241</v>
      </c>
      <c r="D174" s="22" t="n">
        <f aca="false">D172*$D$173</f>
        <v>40</v>
      </c>
      <c r="E174" s="22" t="n">
        <f aca="false">E172*$D$173</f>
        <v>72.3919988728847</v>
      </c>
      <c r="F174" s="22" t="n">
        <f aca="false">F172*$D$173</f>
        <v>91.95235221617</v>
      </c>
      <c r="G174" s="22" t="n">
        <f aca="false">G172*$D$173</f>
        <v>103.649226198757</v>
      </c>
    </row>
    <row r="175" customFormat="false" ht="17.15" hidden="false" customHeight="false" outlineLevel="0" collapsed="false">
      <c r="A175" s="5" t="s">
        <v>654</v>
      </c>
      <c r="B175" s="0" t="s">
        <v>241</v>
      </c>
      <c r="D175" s="22" t="n">
        <f aca="false">$D$173*f_hbm*(D161*D168+D162*D169)</f>
        <v>6.96554320046192</v>
      </c>
      <c r="E175" s="22" t="n">
        <f aca="false">$D$173*f_hbm*(E161*E168+E162*E169)</f>
        <v>24.2582916985075</v>
      </c>
      <c r="F175" s="22" t="n">
        <f aca="false">$D$173*f_hbm*(F161*F168+F162*F169)</f>
        <v>36.4518060841493</v>
      </c>
      <c r="G175" s="22" t="n">
        <f aca="false">$D$173*f_hbm*(G161*G168+G162*G169)</f>
        <v>39.8235981469331</v>
      </c>
    </row>
    <row r="176" customFormat="false" ht="15" hidden="false" customHeight="false" outlineLevel="0" collapsed="false">
      <c r="A176" s="5" t="s">
        <v>655</v>
      </c>
      <c r="B176" s="0" t="s">
        <v>241</v>
      </c>
      <c r="D176" s="22" t="n">
        <f aca="false">D174-D175</f>
        <v>33.0344567995381</v>
      </c>
      <c r="E176" s="22" t="n">
        <f aca="false">E174-E175</f>
        <v>48.1337071743772</v>
      </c>
      <c r="F176" s="22" t="n">
        <f aca="false">F174-F175</f>
        <v>55.5005461320207</v>
      </c>
      <c r="G176" s="22" t="n">
        <f aca="false">G174-G175</f>
        <v>63.8256280518238</v>
      </c>
    </row>
    <row r="177" customFormat="false" ht="17.15" hidden="false" customHeight="false" outlineLevel="0" collapsed="false">
      <c r="A177" s="0" t="s">
        <v>656</v>
      </c>
      <c r="B177" s="5" t="s">
        <v>35</v>
      </c>
      <c r="D177" s="19" t="n">
        <f aca="false">D161+D162</f>
        <v>3.815</v>
      </c>
      <c r="E177" s="19" t="n">
        <f aca="false">E161+E162</f>
        <v>6.05</v>
      </c>
      <c r="F177" s="19" t="n">
        <f aca="false">F161+F162</f>
        <v>6.95</v>
      </c>
      <c r="G177" s="19" t="n">
        <f aca="false">G161+G162</f>
        <v>7.9925</v>
      </c>
    </row>
    <row r="178" customFormat="false" ht="17.15" hidden="false" customHeight="false" outlineLevel="0" collapsed="false">
      <c r="A178" s="1" t="s">
        <v>657</v>
      </c>
    </row>
    <row r="179" customFormat="false" ht="17.15" hidden="false" customHeight="false" outlineLevel="0" collapsed="false">
      <c r="A179" s="0" t="s">
        <v>658</v>
      </c>
      <c r="B179" s="0" t="s">
        <v>241</v>
      </c>
      <c r="D179" s="22" t="n">
        <f aca="false">net_26*1</f>
        <v>12.6075726</v>
      </c>
      <c r="E179" s="22" t="n">
        <f aca="false">net_27*1*1</f>
        <v>26.959549</v>
      </c>
      <c r="F179" s="22" t="n">
        <f aca="false">net_28*um28_A*1</f>
        <v>32.094922</v>
      </c>
      <c r="G179" s="22" t="n">
        <f aca="false">net_29*um29_A*1</f>
        <v>37.8328169</v>
      </c>
    </row>
    <row r="180" customFormat="false" ht="17.15" hidden="false" customHeight="false" outlineLevel="0" collapsed="false">
      <c r="A180" s="5" t="s">
        <v>659</v>
      </c>
      <c r="B180" s="0" t="s">
        <v>131</v>
      </c>
      <c r="D180" s="17" t="n">
        <f aca="false">a26_net/D179</f>
        <v>1.39598640899359</v>
      </c>
      <c r="H180" s="8" t="s">
        <v>660</v>
      </c>
    </row>
    <row r="181" customFormat="false" ht="17.15" hidden="false" customHeight="false" outlineLevel="0" collapsed="false">
      <c r="A181" s="0" t="s">
        <v>661</v>
      </c>
      <c r="B181" s="0" t="s">
        <v>241</v>
      </c>
      <c r="D181" s="22" t="n">
        <f aca="false">D179*$D$180</f>
        <v>17.6</v>
      </c>
      <c r="E181" s="22" t="n">
        <f aca="false">E179*$D$180</f>
        <v>37.6351639965968</v>
      </c>
      <c r="F181" s="22" t="n">
        <f aca="false">F179*$D$180</f>
        <v>44.8040749097094</v>
      </c>
      <c r="G181" s="22" t="n">
        <f aca="false">G179*$D$180</f>
        <v>52.8140982063431</v>
      </c>
    </row>
    <row r="182" customFormat="false" ht="17.15" hidden="false" customHeight="false" outlineLevel="0" collapsed="false">
      <c r="A182" s="0" t="s">
        <v>522</v>
      </c>
      <c r="B182" s="0" t="s">
        <v>241</v>
      </c>
      <c r="C182" s="22" t="n">
        <f aca="false">a25_ai</f>
        <v>20.2797202797203</v>
      </c>
      <c r="D182" s="22" t="n">
        <f aca="false">D174+D181</f>
        <v>57.6</v>
      </c>
      <c r="E182" s="22" t="n">
        <f aca="false">E174+E181</f>
        <v>110.027162869481</v>
      </c>
      <c r="F182" s="22" t="n">
        <f aca="false">F174+F181</f>
        <v>136.756427125879</v>
      </c>
      <c r="G182" s="22" t="n">
        <f aca="false">G174+G181</f>
        <v>156.4633244051</v>
      </c>
    </row>
    <row r="183" customFormat="false" ht="15" hidden="false" customHeight="false" outlineLevel="0" collapsed="false">
      <c r="A183" s="0" t="s">
        <v>662</v>
      </c>
      <c r="B183" s="0" t="s">
        <v>46</v>
      </c>
      <c r="D183" s="16" t="n">
        <f aca="false">D174/D182</f>
        <v>0.694444444444444</v>
      </c>
      <c r="E183" s="16" t="n">
        <f aca="false">E174/E182</f>
        <v>0.657946610499799</v>
      </c>
      <c r="F183" s="16" t="n">
        <f aca="false">F174/F182</f>
        <v>0.672380480747213</v>
      </c>
      <c r="G183" s="16" t="n">
        <f aca="false">G174/G182</f>
        <v>0.662450619612288</v>
      </c>
    </row>
    <row r="184" customFormat="false" ht="17.15" hidden="false" customHeight="false" outlineLevel="0" collapsed="false">
      <c r="A184" s="5" t="s">
        <v>663</v>
      </c>
      <c r="B184" s="0" t="s">
        <v>241</v>
      </c>
      <c r="C184" s="22" t="n">
        <f aca="false">a25_nai</f>
        <v>16.5782797202797</v>
      </c>
      <c r="D184" s="22" t="n">
        <f aca="false">a26_nai</f>
        <v>16.863</v>
      </c>
      <c r="E184" s="22" t="n">
        <f aca="false">D184*(1+g_nai)</f>
        <v>17.36889</v>
      </c>
      <c r="F184" s="22" t="n">
        <f aca="false">E184*(1+g_nai)</f>
        <v>17.8899567</v>
      </c>
      <c r="G184" s="22" t="n">
        <f aca="false">F184*(1+g_nai)</f>
        <v>18.426655401</v>
      </c>
    </row>
    <row r="185" customFormat="false" ht="15" hidden="false" customHeight="false" outlineLevel="0" collapsed="false">
      <c r="A185" s="5" t="s">
        <v>664</v>
      </c>
      <c r="B185" s="0" t="s">
        <v>241</v>
      </c>
      <c r="C185" s="22" t="n">
        <f aca="false">a25_sw</f>
        <v>27.029</v>
      </c>
      <c r="D185" s="22" t="n">
        <f aca="false">a26_sw</f>
        <v>31.426</v>
      </c>
      <c r="E185" s="22" t="n">
        <f aca="false">D185*(1+g_sw27)</f>
        <v>35.19712</v>
      </c>
      <c r="F185" s="22" t="n">
        <f aca="false">E185*(1+g_sw)</f>
        <v>38.0128896</v>
      </c>
      <c r="G185" s="22" t="n">
        <f aca="false">F185*(1+g_sw)</f>
        <v>41.053920768</v>
      </c>
    </row>
    <row r="186" customFormat="false" ht="17.15" hidden="false" customHeight="false" outlineLevel="0" collapsed="false">
      <c r="A186" s="1" t="s">
        <v>665</v>
      </c>
    </row>
    <row r="187" customFormat="false" ht="15" hidden="false" customHeight="false" outlineLevel="0" collapsed="false">
      <c r="A187" s="5" t="s">
        <v>514</v>
      </c>
      <c r="B187" s="0" t="s">
        <v>241</v>
      </c>
      <c r="C187" s="22" t="n">
        <f aca="false">a25_rev</f>
        <v>63.887</v>
      </c>
      <c r="D187" s="22" t="n">
        <f aca="false">a26_rev</f>
        <v>105.889</v>
      </c>
      <c r="E187" s="22" t="n">
        <f aca="false">E182+E184+E185</f>
        <v>162.593172869481</v>
      </c>
      <c r="F187" s="22" t="n">
        <f aca="false">F182+F184+F185</f>
        <v>192.659273425879</v>
      </c>
      <c r="G187" s="22" t="n">
        <f aca="false">G182+G184+G185</f>
        <v>215.9439005741</v>
      </c>
    </row>
    <row r="188" customFormat="false" ht="17.15" hidden="false" customHeight="false" outlineLevel="0" collapsed="false">
      <c r="A188" s="5" t="s">
        <v>666</v>
      </c>
      <c r="B188" s="0" t="s">
        <v>241</v>
      </c>
      <c r="D188" s="22" t="n">
        <f aca="false">D182+D184+D185</f>
        <v>105.889</v>
      </c>
      <c r="E188" s="22" t="n">
        <f aca="false">E182+E184+E185</f>
        <v>162.593172869481</v>
      </c>
      <c r="F188" s="22" t="n">
        <f aca="false">F182+F184+F185</f>
        <v>192.659273425879</v>
      </c>
      <c r="G188" s="22" t="n">
        <f aca="false">G182+G184+G185</f>
        <v>215.9439005741</v>
      </c>
    </row>
    <row r="189" customFormat="false" ht="17.15" hidden="false" customHeight="false" outlineLevel="0" collapsed="false">
      <c r="A189" s="5" t="s">
        <v>667</v>
      </c>
      <c r="B189" s="0" t="s">
        <v>241</v>
      </c>
      <c r="C189" s="22" t="n">
        <f aca="false">C182+C184</f>
        <v>36.858</v>
      </c>
      <c r="D189" s="22" t="n">
        <f aca="false">D182+D184</f>
        <v>74.463</v>
      </c>
      <c r="E189" s="22" t="n">
        <f aca="false">E182+E184</f>
        <v>127.396052869481</v>
      </c>
      <c r="F189" s="22" t="n">
        <f aca="false">F182+F184</f>
        <v>154.646383825879</v>
      </c>
      <c r="G189" s="22" t="n">
        <f aca="false">G182+G184</f>
        <v>174.8899798061</v>
      </c>
      <c r="H189" s="5" t="s">
        <v>668</v>
      </c>
    </row>
    <row r="190" customFormat="false" ht="17.15" hidden="false" customHeight="false" outlineLevel="0" collapsed="false">
      <c r="A190" s="5" t="s">
        <v>669</v>
      </c>
      <c r="B190" s="0" t="s">
        <v>241</v>
      </c>
      <c r="C190" s="17" t="n">
        <f aca="false">C189+C185-C187</f>
        <v>0</v>
      </c>
      <c r="D190" s="17" t="n">
        <f aca="false">D189+D185-D187</f>
        <v>0</v>
      </c>
      <c r="E190" s="17" t="n">
        <f aca="false">E189+E185-E187</f>
        <v>0</v>
      </c>
      <c r="F190" s="17" t="n">
        <f aca="false">F189+F185-F187</f>
        <v>0</v>
      </c>
      <c r="G190" s="17" t="n">
        <f aca="false">G189+G185-G187</f>
        <v>0</v>
      </c>
    </row>
    <row r="191" customFormat="false" ht="15" hidden="false" customHeight="false" outlineLevel="0" collapsed="false">
      <c r="A191" s="5" t="s">
        <v>670</v>
      </c>
      <c r="B191" s="0" t="s">
        <v>46</v>
      </c>
      <c r="D191" s="16" t="n">
        <f aca="false">D187/C187-1</f>
        <v>0.657442046112668</v>
      </c>
      <c r="E191" s="16" t="n">
        <f aca="false">E187/D187-1</f>
        <v>0.535505792570347</v>
      </c>
      <c r="F191" s="16" t="n">
        <f aca="false">F187/E187-1</f>
        <v>0.184916131629542</v>
      </c>
      <c r="G191" s="16" t="n">
        <f aca="false">G187/F187-1</f>
        <v>0.12085910392047</v>
      </c>
    </row>
    <row r="192" customFormat="false" ht="17.15" hidden="false" customHeight="false" outlineLevel="0" collapsed="false">
      <c r="A192" s="0" t="s">
        <v>671</v>
      </c>
      <c r="B192" s="0" t="s">
        <v>46</v>
      </c>
      <c r="C192" s="16" t="n">
        <f aca="false">C182/C187</f>
        <v>0.317431093645347</v>
      </c>
      <c r="D192" s="16" t="n">
        <f aca="false">D182/D187</f>
        <v>0.543965851032685</v>
      </c>
      <c r="E192" s="16" t="n">
        <f aca="false">E182/E187</f>
        <v>0.676702231266522</v>
      </c>
      <c r="F192" s="16" t="n">
        <f aca="false">F182/F187</f>
        <v>0.709835683972372</v>
      </c>
      <c r="G192" s="16" t="n">
        <f aca="false">G182/G187</f>
        <v>0.724555423835231</v>
      </c>
    </row>
    <row r="193" customFormat="false" ht="17.15" hidden="false" customHeight="false" outlineLevel="0" collapsed="false">
      <c r="A193" s="5" t="s">
        <v>672</v>
      </c>
      <c r="B193" s="0" t="s">
        <v>241</v>
      </c>
      <c r="D193" s="22" t="n">
        <f aca="false">gm_net*D181+gm_nai*D184+gm_sw*D185+m_hbm*D175</f>
        <v>53.5556843200462</v>
      </c>
      <c r="E193" s="22" t="n">
        <f aca="false">gm_net*E181+gm_nai*E184+gm_sw*E185+m_hbm*E175</f>
        <v>73.5462473474004</v>
      </c>
      <c r="F193" s="22" t="n">
        <f aca="false">gm_net*F181+gm_nai*F184+gm_sw*F185+m_hbm*F175</f>
        <v>82.8845737264057</v>
      </c>
      <c r="G193" s="22" t="n">
        <f aca="false">gm_net*G181+gm_nai*G184+gm_sw*G185+m_hbm*G175</f>
        <v>92.1659828481503</v>
      </c>
    </row>
    <row r="194" customFormat="false" ht="17.15" hidden="false" customHeight="false" outlineLevel="0" collapsed="false">
      <c r="A194" s="0" t="s">
        <v>673</v>
      </c>
      <c r="B194" s="0" t="s">
        <v>131</v>
      </c>
      <c r="D194" s="17" t="n">
        <f aca="false">(a26_gp-D193)/D176</f>
        <v>0.787550884757324</v>
      </c>
      <c r="H194" s="8" t="s">
        <v>674</v>
      </c>
    </row>
    <row r="195" customFormat="false" ht="15" hidden="false" customHeight="false" outlineLevel="0" collapsed="false">
      <c r="A195" s="5" t="s">
        <v>675</v>
      </c>
      <c r="B195" s="0" t="s">
        <v>241</v>
      </c>
      <c r="C195" s="22" t="n">
        <f aca="false">a25_gp</f>
        <v>50.245</v>
      </c>
      <c r="D195" s="22" t="n">
        <f aca="false">a26_gp</f>
        <v>79.572</v>
      </c>
      <c r="E195" s="22" t="n">
        <f aca="false">E193+$D$194*E176</f>
        <v>111.453991019231</v>
      </c>
      <c r="F195" s="22" t="n">
        <f aca="false">F193+$D$194*F176</f>
        <v>126.594077937193</v>
      </c>
      <c r="G195" s="22" t="n">
        <f aca="false">G193+$D$194*G176</f>
        <v>142.431912690556</v>
      </c>
    </row>
    <row r="196" customFormat="false" ht="15" hidden="false" customHeight="false" outlineLevel="0" collapsed="false">
      <c r="A196" s="5" t="s">
        <v>533</v>
      </c>
      <c r="B196" s="0" t="s">
        <v>46</v>
      </c>
      <c r="C196" s="16" t="n">
        <f aca="false">C195/C187</f>
        <v>0.786466730320723</v>
      </c>
      <c r="D196" s="16" t="n">
        <f aca="false">D195/D187</f>
        <v>0.751466157957862</v>
      </c>
      <c r="E196" s="16" t="n">
        <f aca="false">E195/E187</f>
        <v>0.685477680595475</v>
      </c>
      <c r="F196" s="16" t="n">
        <f aca="false">F195/F187</f>
        <v>0.65708790283535</v>
      </c>
      <c r="G196" s="16" t="n">
        <f aca="false">G195/G187</f>
        <v>0.659578308587981</v>
      </c>
    </row>
    <row r="197" customFormat="false" ht="17.15" hidden="false" customHeight="false" outlineLevel="0" collapsed="false">
      <c r="A197" s="5" t="s">
        <v>676</v>
      </c>
      <c r="B197" s="0" t="s">
        <v>46</v>
      </c>
      <c r="D197" s="16" t="n">
        <f aca="false">D175/D187</f>
        <v>0.0657815561622258</v>
      </c>
      <c r="E197" s="16" t="n">
        <f aca="false">E175/E187</f>
        <v>0.149196250189301</v>
      </c>
      <c r="F197" s="16" t="n">
        <f aca="false">F175/F187</f>
        <v>0.189203485697631</v>
      </c>
      <c r="G197" s="16" t="n">
        <f aca="false">G175/G187</f>
        <v>0.184416406488258</v>
      </c>
    </row>
    <row r="198" customFormat="false" ht="15" hidden="false" customHeight="false" outlineLevel="0" collapsed="false">
      <c r="A198" s="5" t="s">
        <v>677</v>
      </c>
      <c r="B198" s="0" t="s">
        <v>241</v>
      </c>
      <c r="C198" s="24" t="n">
        <f aca="false">a25_opx</f>
        <v>8.248</v>
      </c>
      <c r="D198" s="24" t="n">
        <f aca="false">a26_opx</f>
        <v>8.755</v>
      </c>
      <c r="E198" s="24" t="n">
        <f aca="false">D198*(1+MAX(g_opx_min,phi*E191))</f>
        <v>9.22383532139534</v>
      </c>
      <c r="F198" s="24" t="n">
        <f aca="false">E198*(1+MAX(g_opx_min,phi*F191))</f>
        <v>9.5005503810372</v>
      </c>
      <c r="G198" s="24" t="n">
        <f aca="false">F198*(1+MAX(g_opx_min,phi*G191))</f>
        <v>9.78556689246831</v>
      </c>
    </row>
    <row r="199" customFormat="false" ht="15" hidden="false" customHeight="false" outlineLevel="0" collapsed="false">
      <c r="A199" s="5" t="s">
        <v>678</v>
      </c>
      <c r="B199" s="0" t="s">
        <v>241</v>
      </c>
      <c r="C199" s="24" t="n">
        <f aca="false">C198</f>
        <v>8.248</v>
      </c>
      <c r="D199" s="24" t="n">
        <f aca="false">D198</f>
        <v>8.755</v>
      </c>
      <c r="E199" s="24" t="n">
        <f aca="false">E198+0*E187</f>
        <v>9.22383532139534</v>
      </c>
      <c r="F199" s="24" t="n">
        <f aca="false">F198+0*F187</f>
        <v>9.5005503810372</v>
      </c>
      <c r="G199" s="24" t="n">
        <f aca="false">G198+0*G187</f>
        <v>9.78556689246831</v>
      </c>
    </row>
    <row r="200" customFormat="false" ht="15" hidden="false" customHeight="false" outlineLevel="0" collapsed="false">
      <c r="A200" s="5" t="s">
        <v>679</v>
      </c>
      <c r="B200" s="0" t="s">
        <v>241</v>
      </c>
      <c r="C200" s="22" t="n">
        <f aca="false">C195-C199</f>
        <v>41.997</v>
      </c>
      <c r="D200" s="22" t="n">
        <f aca="false">D195-D199</f>
        <v>70.817</v>
      </c>
      <c r="E200" s="22" t="n">
        <f aca="false">E195-E199</f>
        <v>102.230155697836</v>
      </c>
      <c r="F200" s="22" t="n">
        <f aca="false">F195-F199</f>
        <v>117.093527556156</v>
      </c>
      <c r="G200" s="22" t="n">
        <f aca="false">G195-G199</f>
        <v>132.646345798088</v>
      </c>
    </row>
    <row r="201" customFormat="false" ht="15" hidden="false" customHeight="false" outlineLevel="0" collapsed="false">
      <c r="A201" s="5" t="s">
        <v>538</v>
      </c>
      <c r="B201" s="0" t="s">
        <v>46</v>
      </c>
      <c r="C201" s="16" t="n">
        <f aca="false">C200/C187</f>
        <v>0.657363782929235</v>
      </c>
      <c r="D201" s="16" t="n">
        <f aca="false">D200/D187</f>
        <v>0.66878523737121</v>
      </c>
      <c r="E201" s="16" t="n">
        <f aca="false">E200/E187</f>
        <v>0.62874814417884</v>
      </c>
      <c r="F201" s="16" t="n">
        <f aca="false">F200/F187</f>
        <v>0.607775195421386</v>
      </c>
      <c r="G201" s="16" t="n">
        <f aca="false">G200/G187</f>
        <v>0.614262988884795</v>
      </c>
    </row>
    <row r="202" customFormat="false" ht="15" hidden="false" customHeight="false" outlineLevel="0" collapsed="false">
      <c r="A202" s="5" t="s">
        <v>680</v>
      </c>
      <c r="B202" s="0" t="s">
        <v>241</v>
      </c>
      <c r="C202" s="19" t="n">
        <f aca="false">a25_int</f>
        <v>3.072</v>
      </c>
      <c r="D202" s="19" t="n">
        <f aca="false">a26_int</f>
        <v>2.894</v>
      </c>
      <c r="E202" s="19" t="n">
        <f aca="false">int_f</f>
        <v>2.8</v>
      </c>
      <c r="F202" s="19" t="n">
        <f aca="false">int_f</f>
        <v>2.8</v>
      </c>
      <c r="G202" s="19" t="n">
        <f aca="false">int_f</f>
        <v>2.8</v>
      </c>
    </row>
    <row r="203" customFormat="false" ht="15" hidden="false" customHeight="false" outlineLevel="0" collapsed="false">
      <c r="A203" s="5" t="s">
        <v>681</v>
      </c>
      <c r="B203" s="0" t="s">
        <v>241</v>
      </c>
      <c r="C203" s="19" t="n">
        <f aca="false">a25_oth</f>
        <v>0.294</v>
      </c>
      <c r="D203" s="19" t="n">
        <f aca="false">a26_oth</f>
        <v>0.434</v>
      </c>
      <c r="E203" s="19" t="n">
        <f aca="false">oth_f</f>
        <v>0.4</v>
      </c>
      <c r="F203" s="19" t="n">
        <f aca="false">oth_f</f>
        <v>0.4</v>
      </c>
      <c r="G203" s="19" t="n">
        <f aca="false">oth_f</f>
        <v>0.4</v>
      </c>
    </row>
    <row r="204" customFormat="false" ht="15" hidden="false" customHeight="false" outlineLevel="0" collapsed="false">
      <c r="A204" s="5" t="s">
        <v>543</v>
      </c>
      <c r="B204" s="0" t="s">
        <v>46</v>
      </c>
      <c r="C204" s="16" t="n">
        <f aca="false">a25_tax/(a25_oi-a25_int+a25_oth)</f>
        <v>0.140008669267447</v>
      </c>
      <c r="D204" s="16" t="n">
        <f aca="false">a26_tax/(a26_oi-a26_int+a26_oth)</f>
        <v>0.159996489020876</v>
      </c>
      <c r="E204" s="16" t="n">
        <f aca="false">tx_f</f>
        <v>0.16</v>
      </c>
      <c r="F204" s="16" t="n">
        <f aca="false">tx_f</f>
        <v>0.16</v>
      </c>
      <c r="G204" s="16" t="n">
        <f aca="false">tx_f</f>
        <v>0.16</v>
      </c>
    </row>
    <row r="205" customFormat="false" ht="17.15" hidden="false" customHeight="false" outlineLevel="0" collapsed="false">
      <c r="A205" s="5" t="s">
        <v>630</v>
      </c>
      <c r="B205" s="0" t="s">
        <v>241</v>
      </c>
      <c r="C205" s="22" t="n">
        <f aca="false">a25_ni</f>
        <v>33.728</v>
      </c>
      <c r="D205" s="22" t="n">
        <f aca="false">a26_ni</f>
        <v>57.42012</v>
      </c>
      <c r="E205" s="22" t="n">
        <f aca="false">(E200-E202+E203)*(1-E204)</f>
        <v>83.8573307861821</v>
      </c>
      <c r="F205" s="22" t="n">
        <f aca="false">(F200-F202+F203)*(1-F204)</f>
        <v>96.3425631471711</v>
      </c>
      <c r="G205" s="22" t="n">
        <f aca="false">(G200-G202+G203)*(1-G204)</f>
        <v>109.406930470394</v>
      </c>
    </row>
    <row r="206" customFormat="false" ht="15" hidden="false" customHeight="false" outlineLevel="0" collapsed="false">
      <c r="A206" s="5" t="s">
        <v>682</v>
      </c>
      <c r="B206" s="5" t="s">
        <v>304</v>
      </c>
      <c r="C206" s="17" t="n">
        <f aca="false">a25_sh</f>
        <v>4.943</v>
      </c>
      <c r="D206" s="17" t="n">
        <f aca="false">a26_sh</f>
        <v>4.9435</v>
      </c>
      <c r="E206" s="17" t="n">
        <f aca="false">D206*(1+sh_g)</f>
        <v>4.9187825</v>
      </c>
      <c r="F206" s="17" t="n">
        <f aca="false">E206*(1+sh_g)</f>
        <v>4.8941885875</v>
      </c>
      <c r="G206" s="17" t="n">
        <f aca="false">F206*(1+sh_g)</f>
        <v>4.8697176445625</v>
      </c>
    </row>
    <row r="207" customFormat="false" ht="17.15" hidden="false" customHeight="false" outlineLevel="0" collapsed="false">
      <c r="A207" s="0" t="s">
        <v>631</v>
      </c>
      <c r="B207" s="0" t="s">
        <v>354</v>
      </c>
      <c r="C207" s="19" t="n">
        <f aca="false">C205/C206</f>
        <v>6.82338660732349</v>
      </c>
      <c r="D207" s="19" t="n">
        <f aca="false">D205/D206</f>
        <v>11.6152766258724</v>
      </c>
      <c r="E207" s="19" t="n">
        <f aca="false">E205/E206</f>
        <v>17.0483917079444</v>
      </c>
      <c r="F207" s="19" t="n">
        <f aca="false">F205/F206</f>
        <v>19.6850941529378</v>
      </c>
      <c r="G207" s="19" t="n">
        <f aca="false">G205/G206</f>
        <v>22.4667913944778</v>
      </c>
    </row>
    <row r="208" customFormat="false" ht="17.15" hidden="false" customHeight="false" outlineLevel="0" collapsed="false">
      <c r="A208" s="0" t="s">
        <v>683</v>
      </c>
      <c r="B208" s="0" t="s">
        <v>46</v>
      </c>
      <c r="D208" s="16" t="n">
        <f aca="false">D207/C207-1</f>
        <v>0.702274441463682</v>
      </c>
      <c r="E208" s="16" t="n">
        <f aca="false">E207/D207-1</f>
        <v>0.467755978361299</v>
      </c>
      <c r="F208" s="16" t="n">
        <f aca="false">F207/E207-1</f>
        <v>0.154659893446999</v>
      </c>
      <c r="G208" s="16" t="n">
        <f aca="false">G207/F207-1</f>
        <v>0.141309826609334</v>
      </c>
    </row>
    <row r="211" customFormat="false" ht="17.15" hidden="false" customHeight="false" outlineLevel="0" collapsed="false">
      <c r="A211" s="3" t="s">
        <v>1055</v>
      </c>
    </row>
    <row r="212" customFormat="false" ht="17.15" hidden="false" customHeight="false" outlineLevel="0" collapsed="false">
      <c r="A212" s="6" t="s">
        <v>24</v>
      </c>
      <c r="B212" s="6" t="s">
        <v>25</v>
      </c>
      <c r="C212" s="13" t="s">
        <v>507</v>
      </c>
      <c r="D212" s="13" t="s">
        <v>621</v>
      </c>
      <c r="E212" s="13" t="s">
        <v>622</v>
      </c>
      <c r="F212" s="13" t="s">
        <v>623</v>
      </c>
      <c r="G212" s="13" t="s">
        <v>624</v>
      </c>
      <c r="H212" s="6" t="s">
        <v>480</v>
      </c>
    </row>
    <row r="213" customFormat="false" ht="17.15" hidden="false" customHeight="false" outlineLevel="0" collapsed="false">
      <c r="A213" s="1" t="s">
        <v>639</v>
      </c>
    </row>
    <row r="214" customFormat="false" ht="17.15" hidden="false" customHeight="false" outlineLevel="0" collapsed="false">
      <c r="A214" s="0" t="s">
        <v>640</v>
      </c>
      <c r="B214" s="5" t="s">
        <v>35</v>
      </c>
      <c r="D214" s="19" t="n">
        <f aca="false">u_tpu_26</f>
        <v>3.85</v>
      </c>
      <c r="E214" s="19" t="n">
        <f aca="false">u_tpu_27</f>
        <v>5.5</v>
      </c>
      <c r="F214" s="19" t="n">
        <f aca="false">u_tpu_28*um28_A</f>
        <v>7</v>
      </c>
      <c r="G214" s="19" t="n">
        <f aca="false">u_tpu_28*(1+g29_tpu)*um29_A</f>
        <v>8.05</v>
      </c>
    </row>
    <row r="215" customFormat="false" ht="17.15" hidden="false" customHeight="false" outlineLevel="0" collapsed="false">
      <c r="A215" s="5" t="s">
        <v>641</v>
      </c>
      <c r="B215" s="5" t="s">
        <v>35</v>
      </c>
      <c r="D215" s="19" t="n">
        <f aca="false">u_oth_26</f>
        <v>1</v>
      </c>
      <c r="E215" s="19" t="n">
        <f aca="false">u_oth_27</f>
        <v>4.5</v>
      </c>
      <c r="F215" s="19" t="n">
        <f aca="false">u_oth_28*um28_A</f>
        <v>5</v>
      </c>
      <c r="G215" s="19" t="n">
        <f aca="false">u_oth_28*(1+g29_oth)*um29_A</f>
        <v>5.75</v>
      </c>
    </row>
    <row r="216" customFormat="false" ht="17.15" hidden="false" customHeight="false" outlineLevel="0" collapsed="false">
      <c r="A216" s="0" t="s">
        <v>566</v>
      </c>
      <c r="B216" s="0" t="s">
        <v>46</v>
      </c>
      <c r="D216" s="16" t="n">
        <f aca="false">sh_tpu_26</f>
        <v>0.9</v>
      </c>
      <c r="E216" s="16" t="n">
        <f aca="false">MIN(1,MAX(0,sh_tpu_27+0.1))</f>
        <v>0.9</v>
      </c>
      <c r="F216" s="16" t="n">
        <f aca="false">MIN(1,MAX(0,sh_tpu_28+0.1))</f>
        <v>0.85</v>
      </c>
      <c r="G216" s="16" t="n">
        <f aca="false">MIN(1,MAX(0,sh_tpu_28+0.1))</f>
        <v>0.85</v>
      </c>
    </row>
    <row r="217" customFormat="false" ht="17.15" hidden="false" customHeight="false" outlineLevel="0" collapsed="false">
      <c r="A217" s="0" t="s">
        <v>578</v>
      </c>
      <c r="B217" s="0" t="s">
        <v>46</v>
      </c>
      <c r="D217" s="16" t="n">
        <f aca="false">sh_oth_26</f>
        <v>0.35</v>
      </c>
      <c r="E217" s="16" t="n">
        <f aca="false">MIN(1,MAX(0,sh_oth_27+0))</f>
        <v>0.55</v>
      </c>
      <c r="F217" s="16" t="n">
        <f aca="false">MIN(1,MAX(0,sh_oth_28+0))</f>
        <v>0.55</v>
      </c>
      <c r="G217" s="16" t="n">
        <f aca="false">MIN(1,MAX(0,sh_oth_28+0))</f>
        <v>0.55</v>
      </c>
    </row>
    <row r="218" customFormat="false" ht="17.15" hidden="false" customHeight="false" outlineLevel="0" collapsed="false">
      <c r="A218" s="0" t="s">
        <v>568</v>
      </c>
      <c r="B218" s="5" t="s">
        <v>35</v>
      </c>
      <c r="D218" s="19" t="n">
        <f aca="false">D214*D216</f>
        <v>3.465</v>
      </c>
      <c r="E218" s="19" t="n">
        <f aca="false">E214*E216*1</f>
        <v>4.95</v>
      </c>
      <c r="F218" s="19" t="n">
        <f aca="false">F214*F216*1</f>
        <v>5.95</v>
      </c>
      <c r="G218" s="19" t="n">
        <f aca="false">G214*G216*1</f>
        <v>6.8425</v>
      </c>
    </row>
    <row r="219" customFormat="false" ht="17.15" hidden="false" customHeight="false" outlineLevel="0" collapsed="false">
      <c r="A219" s="0" t="s">
        <v>579</v>
      </c>
      <c r="B219" s="5" t="s">
        <v>35</v>
      </c>
      <c r="D219" s="19" t="n">
        <f aca="false">D215*D217</f>
        <v>0.35</v>
      </c>
      <c r="E219" s="19" t="n">
        <f aca="false">E215*E217*1</f>
        <v>2.475</v>
      </c>
      <c r="F219" s="19" t="n">
        <f aca="false">F215*F217*1</f>
        <v>2.75</v>
      </c>
      <c r="G219" s="19" t="n">
        <f aca="false">G215*G217*1</f>
        <v>3.1625</v>
      </c>
    </row>
    <row r="220" customFormat="false" ht="17.15" hidden="false" customHeight="false" outlineLevel="0" collapsed="false">
      <c r="A220" s="5" t="s">
        <v>570</v>
      </c>
      <c r="B220" s="0" t="s">
        <v>151</v>
      </c>
      <c r="D220" s="20" t="n">
        <f aca="false">gb_tpu_26</f>
        <v>192</v>
      </c>
      <c r="E220" s="20" t="n">
        <f aca="false">gb_tpu_27</f>
        <v>250</v>
      </c>
      <c r="F220" s="20" t="n">
        <f aca="false">gb_tpu_28</f>
        <v>288</v>
      </c>
      <c r="G220" s="20" t="n">
        <f aca="false">gb_tpu_28</f>
        <v>288</v>
      </c>
    </row>
    <row r="221" customFormat="false" ht="17.15" hidden="false" customHeight="false" outlineLevel="0" collapsed="false">
      <c r="A221" s="5" t="s">
        <v>580</v>
      </c>
      <c r="B221" s="0" t="s">
        <v>151</v>
      </c>
      <c r="D221" s="20" t="n">
        <f aca="false">gb_oth_26</f>
        <v>150</v>
      </c>
      <c r="E221" s="20" t="n">
        <f aca="false">gb_oth_27</f>
        <v>200</v>
      </c>
      <c r="F221" s="20" t="n">
        <f aca="false">gb_oth_28</f>
        <v>250</v>
      </c>
      <c r="G221" s="20" t="n">
        <f aca="false">gb_oth_28</f>
        <v>250</v>
      </c>
    </row>
    <row r="222" customFormat="false" ht="17.15" hidden="false" customHeight="false" outlineLevel="0" collapsed="false">
      <c r="A222" s="0" t="s">
        <v>642</v>
      </c>
      <c r="B222" s="0" t="s">
        <v>210</v>
      </c>
      <c r="D222" s="19" t="n">
        <f aca="false">hbm_A_26</f>
        <v>14.6</v>
      </c>
      <c r="E222" s="19" t="n">
        <f aca="false">hbm_A_27</f>
        <v>26.28</v>
      </c>
      <c r="F222" s="19" t="n">
        <f aca="false">hbm_A_28</f>
        <v>28.908</v>
      </c>
      <c r="G222" s="19" t="n">
        <f aca="false">hbm_A_29</f>
        <v>27.4626</v>
      </c>
    </row>
    <row r="223" customFormat="false" ht="17.15" hidden="false" customHeight="false" outlineLevel="0" collapsed="false">
      <c r="A223" s="5" t="s">
        <v>643</v>
      </c>
      <c r="B223" s="0" t="s">
        <v>188</v>
      </c>
      <c r="D223" s="19" t="n">
        <f aca="false">core_tpu</f>
        <v>8</v>
      </c>
      <c r="E223" s="19" t="n">
        <f aca="false">core_tpu*1</f>
        <v>8</v>
      </c>
      <c r="F223" s="19" t="n">
        <f aca="false">core_tpu*1</f>
        <v>8</v>
      </c>
      <c r="G223" s="19" t="n">
        <f aca="false">core_tpu*1</f>
        <v>8</v>
      </c>
    </row>
    <row r="224" customFormat="false" ht="17.15" hidden="false" customHeight="false" outlineLevel="0" collapsed="false">
      <c r="A224" s="5" t="s">
        <v>644</v>
      </c>
      <c r="B224" s="0" t="s">
        <v>188</v>
      </c>
      <c r="D224" s="19" t="n">
        <f aca="false">core_oth</f>
        <v>6</v>
      </c>
      <c r="E224" s="19" t="n">
        <f aca="false">core_oth*1</f>
        <v>6</v>
      </c>
      <c r="F224" s="19" t="n">
        <f aca="false">core_oth*1</f>
        <v>6</v>
      </c>
      <c r="G224" s="19" t="n">
        <f aca="false">core_oth*1</f>
        <v>6</v>
      </c>
    </row>
    <row r="225" customFormat="false" ht="17.15" hidden="false" customHeight="false" outlineLevel="0" collapsed="false">
      <c r="A225" s="5" t="s">
        <v>645</v>
      </c>
      <c r="B225" s="0" t="s">
        <v>188</v>
      </c>
      <c r="D225" s="19" t="n">
        <f aca="false">D220*D222/1000</f>
        <v>2.8032</v>
      </c>
      <c r="E225" s="19" t="n">
        <f aca="false">E220*E222/1000</f>
        <v>6.57</v>
      </c>
      <c r="F225" s="19" t="n">
        <f aca="false">F220*F222/1000</f>
        <v>8.325504</v>
      </c>
      <c r="G225" s="19" t="n">
        <f aca="false">G220*G222/1000</f>
        <v>7.9092288</v>
      </c>
    </row>
    <row r="226" customFormat="false" ht="17.15" hidden="false" customHeight="false" outlineLevel="0" collapsed="false">
      <c r="A226" s="5" t="s">
        <v>646</v>
      </c>
      <c r="B226" s="0" t="s">
        <v>188</v>
      </c>
      <c r="D226" s="19" t="n">
        <f aca="false">D221*D222/1000</f>
        <v>2.19</v>
      </c>
      <c r="E226" s="19" t="n">
        <f aca="false">E221*E222/1000</f>
        <v>5.256</v>
      </c>
      <c r="F226" s="19" t="n">
        <f aca="false">F221*F222/1000</f>
        <v>7.227</v>
      </c>
      <c r="G226" s="19" t="n">
        <f aca="false">G221*G222/1000</f>
        <v>6.86565</v>
      </c>
    </row>
    <row r="227" customFormat="false" ht="17.15" hidden="false" customHeight="false" outlineLevel="0" collapsed="false">
      <c r="A227" s="5" t="s">
        <v>647</v>
      </c>
      <c r="B227" s="0" t="s">
        <v>188</v>
      </c>
      <c r="D227" s="19" t="n">
        <f aca="false">D223+f_hbm*D225</f>
        <v>9.68192</v>
      </c>
      <c r="E227" s="19" t="n">
        <f aca="false">E223+f_hbm*E225</f>
        <v>11.942</v>
      </c>
      <c r="F227" s="19" t="n">
        <f aca="false">F223+f_hbm*F225</f>
        <v>12.9953024</v>
      </c>
      <c r="G227" s="19" t="n">
        <f aca="false">G223+f_hbm*G225</f>
        <v>12.74553728</v>
      </c>
      <c r="H227" s="5" t="s">
        <v>648</v>
      </c>
    </row>
    <row r="228" customFormat="false" ht="17.15" hidden="false" customHeight="false" outlineLevel="0" collapsed="false">
      <c r="A228" s="5" t="s">
        <v>649</v>
      </c>
      <c r="B228" s="0" t="s">
        <v>188</v>
      </c>
      <c r="D228" s="19" t="n">
        <f aca="false">D224+f_hbm*D226</f>
        <v>7.314</v>
      </c>
      <c r="E228" s="19" t="n">
        <f aca="false">E224+f_hbm*E226</f>
        <v>9.1536</v>
      </c>
      <c r="F228" s="19" t="n">
        <f aca="false">F224+f_hbm*F226</f>
        <v>10.3362</v>
      </c>
      <c r="G228" s="19" t="n">
        <f aca="false">G224+f_hbm*G226</f>
        <v>10.11939</v>
      </c>
    </row>
    <row r="229" customFormat="false" ht="17.15" hidden="false" customHeight="false" outlineLevel="0" collapsed="false">
      <c r="A229" s="0" t="s">
        <v>650</v>
      </c>
      <c r="B229" s="0" t="s">
        <v>241</v>
      </c>
      <c r="D229" s="22" t="n">
        <f aca="false">D218*D227+D219*D228</f>
        <v>36.1077528</v>
      </c>
      <c r="E229" s="22" t="n">
        <f aca="false">E218*E227+E219*E228</f>
        <v>81.76806</v>
      </c>
      <c r="F229" s="22" t="n">
        <f aca="false">F218*F227+F219*F228</f>
        <v>105.74659928</v>
      </c>
      <c r="G229" s="22" t="n">
        <f aca="false">G218*G227+G219*G228</f>
        <v>119.2139097134</v>
      </c>
    </row>
    <row r="230" customFormat="false" ht="17.15" hidden="false" customHeight="false" outlineLevel="0" collapsed="false">
      <c r="A230" s="0" t="s">
        <v>651</v>
      </c>
      <c r="B230" s="0" t="s">
        <v>131</v>
      </c>
      <c r="D230" s="17" t="n">
        <f aca="false">a26_xpu/D229</f>
        <v>1.10779533197646</v>
      </c>
      <c r="H230" s="8" t="s">
        <v>652</v>
      </c>
    </row>
    <row r="231" customFormat="false" ht="17.15" hidden="false" customHeight="false" outlineLevel="0" collapsed="false">
      <c r="A231" s="0" t="s">
        <v>653</v>
      </c>
      <c r="B231" s="0" t="s">
        <v>241</v>
      </c>
      <c r="D231" s="22" t="n">
        <f aca="false">D229*$D$230</f>
        <v>40</v>
      </c>
      <c r="E231" s="22" t="n">
        <f aca="false">E229*$D$230</f>
        <v>90.5822751727712</v>
      </c>
      <c r="F231" s="22" t="n">
        <f aca="false">F229*$D$230</f>
        <v>117.145589054769</v>
      </c>
      <c r="G231" s="22" t="n">
        <f aca="false">G229*$D$230</f>
        <v>132.064612687168</v>
      </c>
    </row>
    <row r="232" customFormat="false" ht="17.15" hidden="false" customHeight="false" outlineLevel="0" collapsed="false">
      <c r="A232" s="5" t="s">
        <v>654</v>
      </c>
      <c r="B232" s="0" t="s">
        <v>241</v>
      </c>
      <c r="D232" s="22" t="n">
        <f aca="false">$D$230*f_hbm*(D218*D225+D219*D226)</f>
        <v>6.96554320046192</v>
      </c>
      <c r="E232" s="22" t="n">
        <f aca="false">$D$230*f_hbm*(E218*E225+E219*E226)</f>
        <v>30.2628193466529</v>
      </c>
      <c r="F232" s="22" t="n">
        <f aca="false">$D$230*f_hbm*(F218*F225+F219*F226)</f>
        <v>46.1359082750782</v>
      </c>
      <c r="G232" s="22" t="n">
        <f aca="false">$D$230*f_hbm*(G218*G225+G219*G226)</f>
        <v>50.403479790523</v>
      </c>
    </row>
    <row r="233" customFormat="false" ht="15" hidden="false" customHeight="false" outlineLevel="0" collapsed="false">
      <c r="A233" s="5" t="s">
        <v>655</v>
      </c>
      <c r="B233" s="0" t="s">
        <v>241</v>
      </c>
      <c r="D233" s="22" t="n">
        <f aca="false">D231-D232</f>
        <v>33.0344567995381</v>
      </c>
      <c r="E233" s="22" t="n">
        <f aca="false">E231-E232</f>
        <v>60.3194558261183</v>
      </c>
      <c r="F233" s="22" t="n">
        <f aca="false">F231-F232</f>
        <v>71.0096807796912</v>
      </c>
      <c r="G233" s="22" t="n">
        <f aca="false">G231-G232</f>
        <v>81.6611328966448</v>
      </c>
    </row>
    <row r="234" customFormat="false" ht="17.15" hidden="false" customHeight="false" outlineLevel="0" collapsed="false">
      <c r="A234" s="0" t="s">
        <v>656</v>
      </c>
      <c r="B234" s="5" t="s">
        <v>35</v>
      </c>
      <c r="D234" s="19" t="n">
        <f aca="false">D218+D219</f>
        <v>3.815</v>
      </c>
      <c r="E234" s="19" t="n">
        <f aca="false">E218+E219</f>
        <v>7.425</v>
      </c>
      <c r="F234" s="19" t="n">
        <f aca="false">F218+F219</f>
        <v>8.7</v>
      </c>
      <c r="G234" s="19" t="n">
        <f aca="false">G218+G219</f>
        <v>10.005</v>
      </c>
    </row>
    <row r="235" customFormat="false" ht="17.15" hidden="false" customHeight="false" outlineLevel="0" collapsed="false">
      <c r="A235" s="1" t="s">
        <v>657</v>
      </c>
    </row>
    <row r="236" customFormat="false" ht="17.15" hidden="false" customHeight="false" outlineLevel="0" collapsed="false">
      <c r="A236" s="0" t="s">
        <v>658</v>
      </c>
      <c r="B236" s="0" t="s">
        <v>241</v>
      </c>
      <c r="D236" s="22" t="n">
        <f aca="false">net_26*1</f>
        <v>12.6075726</v>
      </c>
      <c r="E236" s="22" t="n">
        <f aca="false">net_27*1*1</f>
        <v>26.959549</v>
      </c>
      <c r="F236" s="22" t="n">
        <f aca="false">net_28*um28_A*1</f>
        <v>32.094922</v>
      </c>
      <c r="G236" s="22" t="n">
        <f aca="false">net_29*um29_A*1</f>
        <v>37.8328169</v>
      </c>
    </row>
    <row r="237" customFormat="false" ht="17.15" hidden="false" customHeight="false" outlineLevel="0" collapsed="false">
      <c r="A237" s="5" t="s">
        <v>659</v>
      </c>
      <c r="B237" s="0" t="s">
        <v>131</v>
      </c>
      <c r="D237" s="17" t="n">
        <f aca="false">a26_net/D236</f>
        <v>1.39598640899359</v>
      </c>
      <c r="H237" s="8" t="s">
        <v>660</v>
      </c>
    </row>
    <row r="238" customFormat="false" ht="17.15" hidden="false" customHeight="false" outlineLevel="0" collapsed="false">
      <c r="A238" s="0" t="s">
        <v>661</v>
      </c>
      <c r="B238" s="0" t="s">
        <v>241</v>
      </c>
      <c r="D238" s="22" t="n">
        <f aca="false">D236*$D$237</f>
        <v>17.6</v>
      </c>
      <c r="E238" s="22" t="n">
        <f aca="false">E236*$D$237</f>
        <v>37.6351639965968</v>
      </c>
      <c r="F238" s="22" t="n">
        <f aca="false">F236*$D$237</f>
        <v>44.8040749097094</v>
      </c>
      <c r="G238" s="22" t="n">
        <f aca="false">G236*$D$237</f>
        <v>52.8140982063431</v>
      </c>
    </row>
    <row r="239" customFormat="false" ht="17.15" hidden="false" customHeight="false" outlineLevel="0" collapsed="false">
      <c r="A239" s="0" t="s">
        <v>522</v>
      </c>
      <c r="B239" s="0" t="s">
        <v>241</v>
      </c>
      <c r="C239" s="22" t="n">
        <f aca="false">a25_ai</f>
        <v>20.2797202797203</v>
      </c>
      <c r="D239" s="22" t="n">
        <f aca="false">D231+D238</f>
        <v>57.6</v>
      </c>
      <c r="E239" s="22" t="n">
        <f aca="false">E231+E238</f>
        <v>128.217439169368</v>
      </c>
      <c r="F239" s="22" t="n">
        <f aca="false">F231+F238</f>
        <v>161.949663964479</v>
      </c>
      <c r="G239" s="22" t="n">
        <f aca="false">G231+G238</f>
        <v>184.878710893511</v>
      </c>
    </row>
    <row r="240" customFormat="false" ht="15" hidden="false" customHeight="false" outlineLevel="0" collapsed="false">
      <c r="A240" s="0" t="s">
        <v>662</v>
      </c>
      <c r="B240" s="0" t="s">
        <v>46</v>
      </c>
      <c r="D240" s="16" t="n">
        <f aca="false">D231/D239</f>
        <v>0.694444444444444</v>
      </c>
      <c r="E240" s="16" t="n">
        <f aca="false">E231/E239</f>
        <v>0.70647390682259</v>
      </c>
      <c r="F240" s="16" t="n">
        <f aca="false">F231/F239</f>
        <v>0.723345675360361</v>
      </c>
      <c r="G240" s="16" t="n">
        <f aca="false">G231/G239</f>
        <v>0.714331098745254</v>
      </c>
    </row>
    <row r="241" customFormat="false" ht="17.15" hidden="false" customHeight="false" outlineLevel="0" collapsed="false">
      <c r="A241" s="5" t="s">
        <v>663</v>
      </c>
      <c r="B241" s="0" t="s">
        <v>241</v>
      </c>
      <c r="C241" s="22" t="n">
        <f aca="false">a25_nai</f>
        <v>16.5782797202797</v>
      </c>
      <c r="D241" s="22" t="n">
        <f aca="false">a26_nai</f>
        <v>16.863</v>
      </c>
      <c r="E241" s="22" t="n">
        <f aca="false">D241*(1+g_nai)</f>
        <v>17.36889</v>
      </c>
      <c r="F241" s="22" t="n">
        <f aca="false">E241*(1+g_nai)</f>
        <v>17.8899567</v>
      </c>
      <c r="G241" s="22" t="n">
        <f aca="false">F241*(1+g_nai)</f>
        <v>18.426655401</v>
      </c>
    </row>
    <row r="242" customFormat="false" ht="15" hidden="false" customHeight="false" outlineLevel="0" collapsed="false">
      <c r="A242" s="5" t="s">
        <v>664</v>
      </c>
      <c r="B242" s="0" t="s">
        <v>241</v>
      </c>
      <c r="C242" s="22" t="n">
        <f aca="false">a25_sw</f>
        <v>27.029</v>
      </c>
      <c r="D242" s="22" t="n">
        <f aca="false">a26_sw</f>
        <v>31.426</v>
      </c>
      <c r="E242" s="22" t="n">
        <f aca="false">D242*(1+g_sw27)</f>
        <v>35.19712</v>
      </c>
      <c r="F242" s="22" t="n">
        <f aca="false">E242*(1+g_sw)</f>
        <v>38.0128896</v>
      </c>
      <c r="G242" s="22" t="n">
        <f aca="false">F242*(1+g_sw)</f>
        <v>41.053920768</v>
      </c>
    </row>
    <row r="243" customFormat="false" ht="17.15" hidden="false" customHeight="false" outlineLevel="0" collapsed="false">
      <c r="A243" s="1" t="s">
        <v>665</v>
      </c>
    </row>
    <row r="244" customFormat="false" ht="15" hidden="false" customHeight="false" outlineLevel="0" collapsed="false">
      <c r="A244" s="5" t="s">
        <v>514</v>
      </c>
      <c r="B244" s="0" t="s">
        <v>241</v>
      </c>
      <c r="C244" s="22" t="n">
        <f aca="false">a25_rev</f>
        <v>63.887</v>
      </c>
      <c r="D244" s="22" t="n">
        <f aca="false">a26_rev</f>
        <v>105.889</v>
      </c>
      <c r="E244" s="22" t="n">
        <f aca="false">E239+E241+E242</f>
        <v>180.783449169368</v>
      </c>
      <c r="F244" s="22" t="n">
        <f aca="false">F239+F241+F242</f>
        <v>217.852510264479</v>
      </c>
      <c r="G244" s="22" t="n">
        <f aca="false">G239+G241+G242</f>
        <v>244.359287062511</v>
      </c>
    </row>
    <row r="245" customFormat="false" ht="17.15" hidden="false" customHeight="false" outlineLevel="0" collapsed="false">
      <c r="A245" s="5" t="s">
        <v>666</v>
      </c>
      <c r="B245" s="0" t="s">
        <v>241</v>
      </c>
      <c r="D245" s="22" t="n">
        <f aca="false">D239+D241+D242</f>
        <v>105.889</v>
      </c>
      <c r="E245" s="22" t="n">
        <f aca="false">E239+E241+E242</f>
        <v>180.783449169368</v>
      </c>
      <c r="F245" s="22" t="n">
        <f aca="false">F239+F241+F242</f>
        <v>217.852510264479</v>
      </c>
      <c r="G245" s="22" t="n">
        <f aca="false">G239+G241+G242</f>
        <v>244.359287062511</v>
      </c>
    </row>
    <row r="246" customFormat="false" ht="17.15" hidden="false" customHeight="false" outlineLevel="0" collapsed="false">
      <c r="A246" s="5" t="s">
        <v>667</v>
      </c>
      <c r="B246" s="0" t="s">
        <v>241</v>
      </c>
      <c r="C246" s="22" t="n">
        <f aca="false">C239+C241</f>
        <v>36.858</v>
      </c>
      <c r="D246" s="22" t="n">
        <f aca="false">D239+D241</f>
        <v>74.463</v>
      </c>
      <c r="E246" s="22" t="n">
        <f aca="false">E239+E241</f>
        <v>145.586329169368</v>
      </c>
      <c r="F246" s="22" t="n">
        <f aca="false">F239+F241</f>
        <v>179.839620664479</v>
      </c>
      <c r="G246" s="22" t="n">
        <f aca="false">G239+G241</f>
        <v>203.305366294511</v>
      </c>
      <c r="H246" s="5" t="s">
        <v>668</v>
      </c>
    </row>
    <row r="247" customFormat="false" ht="17.15" hidden="false" customHeight="false" outlineLevel="0" collapsed="false">
      <c r="A247" s="5" t="s">
        <v>669</v>
      </c>
      <c r="B247" s="0" t="s">
        <v>241</v>
      </c>
      <c r="C247" s="17" t="n">
        <f aca="false">C246+C242-C244</f>
        <v>0</v>
      </c>
      <c r="D247" s="17" t="n">
        <f aca="false">D246+D242-D244</f>
        <v>0</v>
      </c>
      <c r="E247" s="17" t="n">
        <f aca="false">E246+E242-E244</f>
        <v>0</v>
      </c>
      <c r="F247" s="17" t="n">
        <f aca="false">F246+F242-F244</f>
        <v>0</v>
      </c>
      <c r="G247" s="17" t="n">
        <f aca="false">G246+G242-G244</f>
        <v>0</v>
      </c>
    </row>
    <row r="248" customFormat="false" ht="15" hidden="false" customHeight="false" outlineLevel="0" collapsed="false">
      <c r="A248" s="5" t="s">
        <v>670</v>
      </c>
      <c r="B248" s="0" t="s">
        <v>46</v>
      </c>
      <c r="D248" s="16" t="n">
        <f aca="false">D244/C244-1</f>
        <v>0.657442046112668</v>
      </c>
      <c r="E248" s="16" t="n">
        <f aca="false">E244/D244-1</f>
        <v>0.707292062153462</v>
      </c>
      <c r="F248" s="16" t="n">
        <f aca="false">F244/E244-1</f>
        <v>0.20504676321549</v>
      </c>
      <c r="G248" s="16" t="n">
        <f aca="false">G244/F244-1</f>
        <v>0.121673038175471</v>
      </c>
    </row>
    <row r="249" customFormat="false" ht="17.15" hidden="false" customHeight="false" outlineLevel="0" collapsed="false">
      <c r="A249" s="0" t="s">
        <v>671</v>
      </c>
      <c r="B249" s="0" t="s">
        <v>46</v>
      </c>
      <c r="C249" s="16" t="n">
        <f aca="false">C239/C244</f>
        <v>0.317431093645347</v>
      </c>
      <c r="D249" s="16" t="n">
        <f aca="false">D239/D244</f>
        <v>0.543965851032685</v>
      </c>
      <c r="E249" s="16" t="n">
        <f aca="false">E239/E244</f>
        <v>0.709232176720153</v>
      </c>
      <c r="F249" s="16" t="n">
        <f aca="false">F239/F244</f>
        <v>0.743391314462558</v>
      </c>
      <c r="G249" s="16" t="n">
        <f aca="false">G239/G244</f>
        <v>0.756585571663646</v>
      </c>
    </row>
    <row r="250" customFormat="false" ht="17.15" hidden="false" customHeight="false" outlineLevel="0" collapsed="false">
      <c r="A250" s="5" t="s">
        <v>672</v>
      </c>
      <c r="B250" s="0" t="s">
        <v>241</v>
      </c>
      <c r="D250" s="22" t="n">
        <f aca="false">gm_net*D238+gm_nai*D241+gm_sw*D242+m_hbm*D232</f>
        <v>53.5556843200462</v>
      </c>
      <c r="E250" s="22" t="n">
        <f aca="false">gm_net*E238+gm_nai*E241+gm_sw*E242+m_hbm*E232</f>
        <v>74.146700112215</v>
      </c>
      <c r="F250" s="22" t="n">
        <f aca="false">gm_net*F238+gm_nai*F241+gm_sw*F242+m_hbm*F232</f>
        <v>83.8529839454986</v>
      </c>
      <c r="G250" s="22" t="n">
        <f aca="false">gm_net*G238+gm_nai*G241+gm_sw*G242+m_hbm*G232</f>
        <v>93.2239710125093</v>
      </c>
    </row>
    <row r="251" customFormat="false" ht="17.15" hidden="false" customHeight="false" outlineLevel="0" collapsed="false">
      <c r="A251" s="0" t="s">
        <v>673</v>
      </c>
      <c r="B251" s="0" t="s">
        <v>131</v>
      </c>
      <c r="D251" s="17" t="n">
        <f aca="false">(a26_gp-D250)/D233</f>
        <v>0.787550884757324</v>
      </c>
      <c r="H251" s="8" t="s">
        <v>674</v>
      </c>
    </row>
    <row r="252" customFormat="false" ht="15" hidden="false" customHeight="false" outlineLevel="0" collapsed="false">
      <c r="A252" s="5" t="s">
        <v>675</v>
      </c>
      <c r="B252" s="0" t="s">
        <v>241</v>
      </c>
      <c r="C252" s="22" t="n">
        <f aca="false">a25_gp</f>
        <v>50.245</v>
      </c>
      <c r="D252" s="22" t="n">
        <f aca="false">a26_gp</f>
        <v>79.572</v>
      </c>
      <c r="E252" s="22" t="n">
        <f aca="false">E250+$D$251*E233</f>
        <v>121.651340916155</v>
      </c>
      <c r="F252" s="22" t="n">
        <f aca="false">F250+$D$251*F233</f>
        <v>139.77672086988</v>
      </c>
      <c r="G252" s="22" t="n">
        <f aca="false">G250+$D$251*G233</f>
        <v>157.536268475547</v>
      </c>
    </row>
    <row r="253" customFormat="false" ht="15" hidden="false" customHeight="false" outlineLevel="0" collapsed="false">
      <c r="A253" s="5" t="s">
        <v>533</v>
      </c>
      <c r="B253" s="0" t="s">
        <v>46</v>
      </c>
      <c r="C253" s="16" t="n">
        <f aca="false">C252/C244</f>
        <v>0.786466730320723</v>
      </c>
      <c r="D253" s="16" t="n">
        <f aca="false">D252/D244</f>
        <v>0.751466157957862</v>
      </c>
      <c r="E253" s="16" t="n">
        <f aca="false">E252/E244</f>
        <v>0.672911936767979</v>
      </c>
      <c r="F253" s="16" t="n">
        <f aca="false">F252/F244</f>
        <v>0.641611706471442</v>
      </c>
      <c r="G253" s="16" t="n">
        <f aca="false">G252/G244</f>
        <v>0.644691144622824</v>
      </c>
    </row>
    <row r="254" customFormat="false" ht="17.15" hidden="false" customHeight="false" outlineLevel="0" collapsed="false">
      <c r="A254" s="5" t="s">
        <v>676</v>
      </c>
      <c r="B254" s="0" t="s">
        <v>46</v>
      </c>
      <c r="D254" s="16" t="n">
        <f aca="false">D232/D244</f>
        <v>0.0657815561622258</v>
      </c>
      <c r="E254" s="16" t="n">
        <f aca="false">E232/E244</f>
        <v>0.16739817436662</v>
      </c>
      <c r="F254" s="16" t="n">
        <f aca="false">F232/F244</f>
        <v>0.211775885524881</v>
      </c>
      <c r="G254" s="16" t="n">
        <f aca="false">G232/G244</f>
        <v>0.206267911469348</v>
      </c>
    </row>
    <row r="255" customFormat="false" ht="15" hidden="false" customHeight="false" outlineLevel="0" collapsed="false">
      <c r="A255" s="5" t="s">
        <v>677</v>
      </c>
      <c r="B255" s="0" t="s">
        <v>241</v>
      </c>
      <c r="C255" s="24" t="n">
        <f aca="false">a25_opx</f>
        <v>8.248</v>
      </c>
      <c r="D255" s="24" t="n">
        <f aca="false">a26_opx</f>
        <v>8.755</v>
      </c>
      <c r="E255" s="24" t="n">
        <f aca="false">D255*(1+MAX(g_opx_min,phi*E248))</f>
        <v>9.37423420041535</v>
      </c>
      <c r="F255" s="24" t="n">
        <f aca="false">E255*(1+MAX(g_opx_min,phi*F248))</f>
        <v>9.65546122642781</v>
      </c>
      <c r="G255" s="24" t="n">
        <f aca="false">F255*(1+MAX(g_opx_min,phi*G248))</f>
        <v>9.94512506322065</v>
      </c>
    </row>
    <row r="256" customFormat="false" ht="15" hidden="false" customHeight="false" outlineLevel="0" collapsed="false">
      <c r="A256" s="5" t="s">
        <v>678</v>
      </c>
      <c r="B256" s="0" t="s">
        <v>241</v>
      </c>
      <c r="C256" s="24" t="n">
        <f aca="false">C255</f>
        <v>8.248</v>
      </c>
      <c r="D256" s="24" t="n">
        <f aca="false">D255</f>
        <v>8.755</v>
      </c>
      <c r="E256" s="24" t="n">
        <f aca="false">E255+0*E244</f>
        <v>9.37423420041535</v>
      </c>
      <c r="F256" s="24" t="n">
        <f aca="false">F255+0*F244</f>
        <v>9.65546122642781</v>
      </c>
      <c r="G256" s="24" t="n">
        <f aca="false">G255+0*G244</f>
        <v>9.94512506322065</v>
      </c>
    </row>
    <row r="257" customFormat="false" ht="15" hidden="false" customHeight="false" outlineLevel="0" collapsed="false">
      <c r="A257" s="5" t="s">
        <v>679</v>
      </c>
      <c r="B257" s="0" t="s">
        <v>241</v>
      </c>
      <c r="C257" s="22" t="n">
        <f aca="false">C252-C256</f>
        <v>41.997</v>
      </c>
      <c r="D257" s="22" t="n">
        <f aca="false">D252-D256</f>
        <v>70.817</v>
      </c>
      <c r="E257" s="22" t="n">
        <f aca="false">E252-E256</f>
        <v>112.277106715739</v>
      </c>
      <c r="F257" s="22" t="n">
        <f aca="false">F252-F256</f>
        <v>130.121259643452</v>
      </c>
      <c r="G257" s="22" t="n">
        <f aca="false">G252-G256</f>
        <v>147.591143412327</v>
      </c>
    </row>
    <row r="258" customFormat="false" ht="15" hidden="false" customHeight="false" outlineLevel="0" collapsed="false">
      <c r="A258" s="5" t="s">
        <v>538</v>
      </c>
      <c r="B258" s="0" t="s">
        <v>46</v>
      </c>
      <c r="C258" s="16" t="n">
        <f aca="false">C257/C244</f>
        <v>0.657363782929235</v>
      </c>
      <c r="D258" s="16" t="n">
        <f aca="false">D257/D244</f>
        <v>0.66878523737121</v>
      </c>
      <c r="E258" s="16" t="n">
        <f aca="false">E257/E244</f>
        <v>0.621058549505558</v>
      </c>
      <c r="F258" s="16" t="n">
        <f aca="false">F257/F244</f>
        <v>0.597290614119989</v>
      </c>
      <c r="G258" s="16" t="n">
        <f aca="false">G257/G244</f>
        <v>0.603992363812105</v>
      </c>
    </row>
    <row r="259" customFormat="false" ht="15" hidden="false" customHeight="false" outlineLevel="0" collapsed="false">
      <c r="A259" s="5" t="s">
        <v>680</v>
      </c>
      <c r="B259" s="0" t="s">
        <v>241</v>
      </c>
      <c r="C259" s="19" t="n">
        <f aca="false">a25_int</f>
        <v>3.072</v>
      </c>
      <c r="D259" s="19" t="n">
        <f aca="false">a26_int</f>
        <v>2.894</v>
      </c>
      <c r="E259" s="19" t="n">
        <f aca="false">int_f</f>
        <v>2.8</v>
      </c>
      <c r="F259" s="19" t="n">
        <f aca="false">int_f</f>
        <v>2.8</v>
      </c>
      <c r="G259" s="19" t="n">
        <f aca="false">int_f</f>
        <v>2.8</v>
      </c>
    </row>
    <row r="260" customFormat="false" ht="15" hidden="false" customHeight="false" outlineLevel="0" collapsed="false">
      <c r="A260" s="5" t="s">
        <v>681</v>
      </c>
      <c r="B260" s="0" t="s">
        <v>241</v>
      </c>
      <c r="C260" s="19" t="n">
        <f aca="false">a25_oth</f>
        <v>0.294</v>
      </c>
      <c r="D260" s="19" t="n">
        <f aca="false">a26_oth</f>
        <v>0.434</v>
      </c>
      <c r="E260" s="19" t="n">
        <f aca="false">oth_f</f>
        <v>0.4</v>
      </c>
      <c r="F260" s="19" t="n">
        <f aca="false">oth_f</f>
        <v>0.4</v>
      </c>
      <c r="G260" s="19" t="n">
        <f aca="false">oth_f</f>
        <v>0.4</v>
      </c>
    </row>
    <row r="261" customFormat="false" ht="15" hidden="false" customHeight="false" outlineLevel="0" collapsed="false">
      <c r="A261" s="5" t="s">
        <v>543</v>
      </c>
      <c r="B261" s="0" t="s">
        <v>46</v>
      </c>
      <c r="C261" s="16" t="n">
        <f aca="false">a25_tax/(a25_oi-a25_int+a25_oth)</f>
        <v>0.140008669267447</v>
      </c>
      <c r="D261" s="16" t="n">
        <f aca="false">a26_tax/(a26_oi-a26_int+a26_oth)</f>
        <v>0.159996489020876</v>
      </c>
      <c r="E261" s="16" t="n">
        <f aca="false">tx_f</f>
        <v>0.16</v>
      </c>
      <c r="F261" s="16" t="n">
        <f aca="false">tx_f</f>
        <v>0.16</v>
      </c>
      <c r="G261" s="16" t="n">
        <f aca="false">tx_f</f>
        <v>0.16</v>
      </c>
    </row>
    <row r="262" customFormat="false" ht="17.15" hidden="false" customHeight="false" outlineLevel="0" collapsed="false">
      <c r="A262" s="5" t="s">
        <v>630</v>
      </c>
      <c r="B262" s="0" t="s">
        <v>241</v>
      </c>
      <c r="C262" s="22" t="n">
        <f aca="false">a25_ni</f>
        <v>33.728</v>
      </c>
      <c r="D262" s="22" t="n">
        <f aca="false">a26_ni</f>
        <v>57.42012</v>
      </c>
      <c r="E262" s="22" t="n">
        <f aca="false">(E257-E259+E260)*(1-E261)</f>
        <v>92.2967696412211</v>
      </c>
      <c r="F262" s="22" t="n">
        <f aca="false">(F257-F259+F260)*(1-F261)</f>
        <v>107.285858100499</v>
      </c>
      <c r="G262" s="22" t="n">
        <f aca="false">(G257-G259+G260)*(1-G261)</f>
        <v>121.960560466354</v>
      </c>
    </row>
    <row r="263" customFormat="false" ht="15" hidden="false" customHeight="false" outlineLevel="0" collapsed="false">
      <c r="A263" s="5" t="s">
        <v>682</v>
      </c>
      <c r="B263" s="5" t="s">
        <v>304</v>
      </c>
      <c r="C263" s="17" t="n">
        <f aca="false">a25_sh</f>
        <v>4.943</v>
      </c>
      <c r="D263" s="17" t="n">
        <f aca="false">a26_sh</f>
        <v>4.9435</v>
      </c>
      <c r="E263" s="17" t="n">
        <f aca="false">D263*(1+sh_g)</f>
        <v>4.9187825</v>
      </c>
      <c r="F263" s="17" t="n">
        <f aca="false">E263*(1+sh_g)</f>
        <v>4.8941885875</v>
      </c>
      <c r="G263" s="17" t="n">
        <f aca="false">F263*(1+sh_g)</f>
        <v>4.8697176445625</v>
      </c>
    </row>
    <row r="264" customFormat="false" ht="17.15" hidden="false" customHeight="false" outlineLevel="0" collapsed="false">
      <c r="A264" s="0" t="s">
        <v>631</v>
      </c>
      <c r="B264" s="0" t="s">
        <v>354</v>
      </c>
      <c r="C264" s="19" t="n">
        <f aca="false">C262/C263</f>
        <v>6.82338660732349</v>
      </c>
      <c r="D264" s="19" t="n">
        <f aca="false">D262/D263</f>
        <v>11.6152766258724</v>
      </c>
      <c r="E264" s="19" t="n">
        <f aca="false">E262/E263</f>
        <v>18.7641493888419</v>
      </c>
      <c r="F264" s="19" t="n">
        <f aca="false">F262/F263</f>
        <v>21.9210715284885</v>
      </c>
      <c r="G264" s="19" t="n">
        <f aca="false">G262/G263</f>
        <v>25.0446882895839</v>
      </c>
    </row>
    <row r="265" customFormat="false" ht="17.15" hidden="false" customHeight="false" outlineLevel="0" collapsed="false">
      <c r="A265" s="0" t="s">
        <v>683</v>
      </c>
      <c r="B265" s="0" t="s">
        <v>46</v>
      </c>
      <c r="D265" s="16" t="n">
        <f aca="false">D264/C264-1</f>
        <v>0.702274441463682</v>
      </c>
      <c r="E265" s="16" t="n">
        <f aca="false">E264/D264-1</f>
        <v>0.615471589117888</v>
      </c>
      <c r="F265" s="16" t="n">
        <f aca="false">F264/E264-1</f>
        <v>0.168242219470064</v>
      </c>
      <c r="G265" s="16" t="n">
        <f aca="false">G264/F264-1</f>
        <v>0.142493799038791</v>
      </c>
    </row>
    <row r="268" customFormat="false" ht="17.15" hidden="false" customHeight="false" outlineLevel="0" collapsed="false">
      <c r="A268" s="3" t="s">
        <v>1056</v>
      </c>
    </row>
    <row r="269" customFormat="false" ht="17.15" hidden="false" customHeight="false" outlineLevel="0" collapsed="false">
      <c r="A269" s="6" t="s">
        <v>24</v>
      </c>
      <c r="B269" s="6" t="s">
        <v>25</v>
      </c>
      <c r="C269" s="13" t="s">
        <v>507</v>
      </c>
      <c r="D269" s="13" t="s">
        <v>621</v>
      </c>
      <c r="E269" s="13" t="s">
        <v>622</v>
      </c>
      <c r="F269" s="13" t="s">
        <v>623</v>
      </c>
      <c r="G269" s="13" t="s">
        <v>624</v>
      </c>
      <c r="H269" s="6" t="s">
        <v>480</v>
      </c>
    </row>
    <row r="270" customFormat="false" ht="17.15" hidden="false" customHeight="false" outlineLevel="0" collapsed="false">
      <c r="A270" s="1" t="s">
        <v>639</v>
      </c>
    </row>
    <row r="271" customFormat="false" ht="17.15" hidden="false" customHeight="false" outlineLevel="0" collapsed="false">
      <c r="A271" s="0" t="s">
        <v>640</v>
      </c>
      <c r="B271" s="5" t="s">
        <v>35</v>
      </c>
      <c r="D271" s="19" t="n">
        <f aca="false">u_tpu_26</f>
        <v>3.85</v>
      </c>
      <c r="E271" s="19" t="n">
        <f aca="false">u_tpu_27</f>
        <v>5.5</v>
      </c>
      <c r="F271" s="19" t="n">
        <f aca="false">u_tpu_28*um28_A</f>
        <v>7</v>
      </c>
      <c r="G271" s="19" t="n">
        <f aca="false">u_tpu_28*(1+g29_tpu)*um29_A</f>
        <v>8.05</v>
      </c>
    </row>
    <row r="272" customFormat="false" ht="17.15" hidden="false" customHeight="false" outlineLevel="0" collapsed="false">
      <c r="A272" s="5" t="s">
        <v>641</v>
      </c>
      <c r="B272" s="5" t="s">
        <v>35</v>
      </c>
      <c r="D272" s="19" t="n">
        <f aca="false">u_oth_26</f>
        <v>1</v>
      </c>
      <c r="E272" s="19" t="n">
        <f aca="false">u_oth_27</f>
        <v>4.5</v>
      </c>
      <c r="F272" s="19" t="n">
        <f aca="false">u_oth_28*um28_A</f>
        <v>5</v>
      </c>
      <c r="G272" s="19" t="n">
        <f aca="false">u_oth_28*(1+g29_oth)*um29_A</f>
        <v>5.75</v>
      </c>
    </row>
    <row r="273" customFormat="false" ht="17.15" hidden="false" customHeight="false" outlineLevel="0" collapsed="false">
      <c r="A273" s="0" t="s">
        <v>566</v>
      </c>
      <c r="B273" s="0" t="s">
        <v>46</v>
      </c>
      <c r="D273" s="16" t="n">
        <f aca="false">sh_tpu_26</f>
        <v>0.9</v>
      </c>
      <c r="E273" s="16" t="n">
        <f aca="false">MIN(1,MAX(0,sh_tpu_27+0))</f>
        <v>0.8</v>
      </c>
      <c r="F273" s="16" t="n">
        <f aca="false">MIN(1,MAX(0,sh_tpu_28+0))</f>
        <v>0.75</v>
      </c>
      <c r="G273" s="16" t="n">
        <f aca="false">MIN(1,MAX(0,sh_tpu_28+0))</f>
        <v>0.75</v>
      </c>
    </row>
    <row r="274" customFormat="false" ht="17.15" hidden="false" customHeight="false" outlineLevel="0" collapsed="false">
      <c r="A274" s="0" t="s">
        <v>578</v>
      </c>
      <c r="B274" s="0" t="s">
        <v>46</v>
      </c>
      <c r="D274" s="16" t="n">
        <f aca="false">sh_oth_26</f>
        <v>0.35</v>
      </c>
      <c r="E274" s="16" t="n">
        <f aca="false">MIN(1,MAX(0,sh_oth_27+(-0.15)))</f>
        <v>0.4</v>
      </c>
      <c r="F274" s="16" t="n">
        <f aca="false">MIN(1,MAX(0,sh_oth_28+(-0.15)))</f>
        <v>0.4</v>
      </c>
      <c r="G274" s="16" t="n">
        <f aca="false">MIN(1,MAX(0,sh_oth_28+(-0.15)))</f>
        <v>0.4</v>
      </c>
    </row>
    <row r="275" customFormat="false" ht="17.15" hidden="false" customHeight="false" outlineLevel="0" collapsed="false">
      <c r="A275" s="0" t="s">
        <v>568</v>
      </c>
      <c r="B275" s="5" t="s">
        <v>35</v>
      </c>
      <c r="D275" s="19" t="n">
        <f aca="false">D271*D273</f>
        <v>3.465</v>
      </c>
      <c r="E275" s="19" t="n">
        <f aca="false">E271*E273*1</f>
        <v>4.4</v>
      </c>
      <c r="F275" s="19" t="n">
        <f aca="false">F271*F273*1</f>
        <v>5.25</v>
      </c>
      <c r="G275" s="19" t="n">
        <f aca="false">G271*G273*1</f>
        <v>6.0375</v>
      </c>
    </row>
    <row r="276" customFormat="false" ht="17.15" hidden="false" customHeight="false" outlineLevel="0" collapsed="false">
      <c r="A276" s="0" t="s">
        <v>579</v>
      </c>
      <c r="B276" s="5" t="s">
        <v>35</v>
      </c>
      <c r="D276" s="19" t="n">
        <f aca="false">D272*D274</f>
        <v>0.35</v>
      </c>
      <c r="E276" s="19" t="n">
        <f aca="false">E272*E274*1</f>
        <v>1.8</v>
      </c>
      <c r="F276" s="19" t="n">
        <f aca="false">F272*F274*1</f>
        <v>2</v>
      </c>
      <c r="G276" s="19" t="n">
        <f aca="false">G272*G274*1</f>
        <v>2.3</v>
      </c>
    </row>
    <row r="277" customFormat="false" ht="17.15" hidden="false" customHeight="false" outlineLevel="0" collapsed="false">
      <c r="A277" s="5" t="s">
        <v>570</v>
      </c>
      <c r="B277" s="0" t="s">
        <v>151</v>
      </c>
      <c r="D277" s="20" t="n">
        <f aca="false">gb_tpu_26</f>
        <v>192</v>
      </c>
      <c r="E277" s="20" t="n">
        <f aca="false">gb_tpu_27</f>
        <v>250</v>
      </c>
      <c r="F277" s="20" t="n">
        <f aca="false">gb_tpu_28</f>
        <v>288</v>
      </c>
      <c r="G277" s="20" t="n">
        <f aca="false">gb_tpu_28</f>
        <v>288</v>
      </c>
    </row>
    <row r="278" customFormat="false" ht="17.15" hidden="false" customHeight="false" outlineLevel="0" collapsed="false">
      <c r="A278" s="5" t="s">
        <v>580</v>
      </c>
      <c r="B278" s="0" t="s">
        <v>151</v>
      </c>
      <c r="D278" s="20" t="n">
        <f aca="false">gb_oth_26</f>
        <v>150</v>
      </c>
      <c r="E278" s="20" t="n">
        <f aca="false">gb_oth_27</f>
        <v>200</v>
      </c>
      <c r="F278" s="20" t="n">
        <f aca="false">gb_oth_28</f>
        <v>250</v>
      </c>
      <c r="G278" s="20" t="n">
        <f aca="false">gb_oth_28</f>
        <v>250</v>
      </c>
    </row>
    <row r="279" customFormat="false" ht="17.15" hidden="false" customHeight="false" outlineLevel="0" collapsed="false">
      <c r="A279" s="0" t="s">
        <v>642</v>
      </c>
      <c r="B279" s="0" t="s">
        <v>210</v>
      </c>
      <c r="D279" s="19" t="n">
        <f aca="false">hbm_A_26</f>
        <v>14.6</v>
      </c>
      <c r="E279" s="19" t="n">
        <f aca="false">hbm_A_27</f>
        <v>26.28</v>
      </c>
      <c r="F279" s="19" t="n">
        <f aca="false">hbm_A_28</f>
        <v>28.908</v>
      </c>
      <c r="G279" s="19" t="n">
        <f aca="false">hbm_A_29</f>
        <v>27.4626</v>
      </c>
    </row>
    <row r="280" customFormat="false" ht="17.15" hidden="false" customHeight="false" outlineLevel="0" collapsed="false">
      <c r="A280" s="5" t="s">
        <v>643</v>
      </c>
      <c r="B280" s="0" t="s">
        <v>188</v>
      </c>
      <c r="D280" s="19" t="n">
        <f aca="false">core_tpu</f>
        <v>8</v>
      </c>
      <c r="E280" s="19" t="n">
        <f aca="false">core_tpu*1</f>
        <v>8</v>
      </c>
      <c r="F280" s="19" t="n">
        <f aca="false">core_tpu*1</f>
        <v>8</v>
      </c>
      <c r="G280" s="19" t="n">
        <f aca="false">core_tpu*1</f>
        <v>8</v>
      </c>
    </row>
    <row r="281" customFormat="false" ht="17.15" hidden="false" customHeight="false" outlineLevel="0" collapsed="false">
      <c r="A281" s="5" t="s">
        <v>644</v>
      </c>
      <c r="B281" s="0" t="s">
        <v>188</v>
      </c>
      <c r="D281" s="19" t="n">
        <f aca="false">core_oth</f>
        <v>6</v>
      </c>
      <c r="E281" s="19" t="n">
        <f aca="false">core_oth*1</f>
        <v>6</v>
      </c>
      <c r="F281" s="19" t="n">
        <f aca="false">core_oth*1</f>
        <v>6</v>
      </c>
      <c r="G281" s="19" t="n">
        <f aca="false">core_oth*1</f>
        <v>6</v>
      </c>
    </row>
    <row r="282" customFormat="false" ht="17.15" hidden="false" customHeight="false" outlineLevel="0" collapsed="false">
      <c r="A282" s="5" t="s">
        <v>645</v>
      </c>
      <c r="B282" s="0" t="s">
        <v>188</v>
      </c>
      <c r="D282" s="19" t="n">
        <f aca="false">D277*D279/1000</f>
        <v>2.8032</v>
      </c>
      <c r="E282" s="19" t="n">
        <f aca="false">E277*E279/1000</f>
        <v>6.57</v>
      </c>
      <c r="F282" s="19" t="n">
        <f aca="false">F277*F279/1000</f>
        <v>8.325504</v>
      </c>
      <c r="G282" s="19" t="n">
        <f aca="false">G277*G279/1000</f>
        <v>7.9092288</v>
      </c>
    </row>
    <row r="283" customFormat="false" ht="17.15" hidden="false" customHeight="false" outlineLevel="0" collapsed="false">
      <c r="A283" s="5" t="s">
        <v>646</v>
      </c>
      <c r="B283" s="0" t="s">
        <v>188</v>
      </c>
      <c r="D283" s="19" t="n">
        <f aca="false">D278*D279/1000</f>
        <v>2.19</v>
      </c>
      <c r="E283" s="19" t="n">
        <f aca="false">E278*E279/1000</f>
        <v>5.256</v>
      </c>
      <c r="F283" s="19" t="n">
        <f aca="false">F278*F279/1000</f>
        <v>7.227</v>
      </c>
      <c r="G283" s="19" t="n">
        <f aca="false">G278*G279/1000</f>
        <v>6.86565</v>
      </c>
    </row>
    <row r="284" customFormat="false" ht="17.15" hidden="false" customHeight="false" outlineLevel="0" collapsed="false">
      <c r="A284" s="5" t="s">
        <v>647</v>
      </c>
      <c r="B284" s="0" t="s">
        <v>188</v>
      </c>
      <c r="D284" s="19" t="n">
        <f aca="false">D280+f_hbm*D282</f>
        <v>9.68192</v>
      </c>
      <c r="E284" s="19" t="n">
        <f aca="false">E280+f_hbm*E282</f>
        <v>11.942</v>
      </c>
      <c r="F284" s="19" t="n">
        <f aca="false">F280+f_hbm*F282</f>
        <v>12.9953024</v>
      </c>
      <c r="G284" s="19" t="n">
        <f aca="false">G280+f_hbm*G282</f>
        <v>12.74553728</v>
      </c>
      <c r="H284" s="5" t="s">
        <v>648</v>
      </c>
    </row>
    <row r="285" customFormat="false" ht="17.15" hidden="false" customHeight="false" outlineLevel="0" collapsed="false">
      <c r="A285" s="5" t="s">
        <v>649</v>
      </c>
      <c r="B285" s="0" t="s">
        <v>188</v>
      </c>
      <c r="D285" s="19" t="n">
        <f aca="false">D281+f_hbm*D283</f>
        <v>7.314</v>
      </c>
      <c r="E285" s="19" t="n">
        <f aca="false">E281+f_hbm*E283</f>
        <v>9.1536</v>
      </c>
      <c r="F285" s="19" t="n">
        <f aca="false">F281+f_hbm*F283</f>
        <v>10.3362</v>
      </c>
      <c r="G285" s="19" t="n">
        <f aca="false">G281+f_hbm*G283</f>
        <v>10.11939</v>
      </c>
    </row>
    <row r="286" customFormat="false" ht="17.15" hidden="false" customHeight="false" outlineLevel="0" collapsed="false">
      <c r="A286" s="0" t="s">
        <v>650</v>
      </c>
      <c r="B286" s="0" t="s">
        <v>241</v>
      </c>
      <c r="D286" s="22" t="n">
        <f aca="false">D275*D284+D276*D285</f>
        <v>36.1077528</v>
      </c>
      <c r="E286" s="22" t="n">
        <f aca="false">E275*E284+E276*E285</f>
        <v>69.02128</v>
      </c>
      <c r="F286" s="22" t="n">
        <f aca="false">F275*F284+F276*F285</f>
        <v>88.8977376</v>
      </c>
      <c r="G286" s="22" t="n">
        <f aca="false">G275*G284+G276*G285</f>
        <v>100.225778328</v>
      </c>
    </row>
    <row r="287" customFormat="false" ht="17.15" hidden="false" customHeight="false" outlineLevel="0" collapsed="false">
      <c r="A287" s="0" t="s">
        <v>651</v>
      </c>
      <c r="B287" s="0" t="s">
        <v>131</v>
      </c>
      <c r="D287" s="17" t="n">
        <f aca="false">a26_xpu/D286</f>
        <v>1.10779533197646</v>
      </c>
      <c r="H287" s="8" t="s">
        <v>652</v>
      </c>
    </row>
    <row r="288" customFormat="false" ht="17.15" hidden="false" customHeight="false" outlineLevel="0" collapsed="false">
      <c r="A288" s="0" t="s">
        <v>653</v>
      </c>
      <c r="B288" s="0" t="s">
        <v>241</v>
      </c>
      <c r="D288" s="22" t="n">
        <f aca="false">D286*$D$287</f>
        <v>40</v>
      </c>
      <c r="E288" s="22" t="n">
        <f aca="false">E286*$D$287</f>
        <v>76.4614517910403</v>
      </c>
      <c r="F288" s="22" t="n">
        <f aca="false">F286*$D$287</f>
        <v>98.4804987365483</v>
      </c>
      <c r="G288" s="22" t="n">
        <f aca="false">G286*$D$287</f>
        <v>111.029649375466</v>
      </c>
    </row>
    <row r="289" customFormat="false" ht="17.15" hidden="false" customHeight="false" outlineLevel="0" collapsed="false">
      <c r="A289" s="5" t="s">
        <v>654</v>
      </c>
      <c r="B289" s="0" t="s">
        <v>241</v>
      </c>
      <c r="D289" s="22" t="n">
        <f aca="false">$D$287*f_hbm*(D275*D282+D276*D283)</f>
        <v>6.96554320046192</v>
      </c>
      <c r="E289" s="22" t="n">
        <f aca="false">$D$287*f_hbm*(E275*E282+E276*E283)</f>
        <v>25.5028665201231</v>
      </c>
      <c r="F289" s="22" t="n">
        <f aca="false">$D$287*f_hbm*(F275*F282+F276*F283)</f>
        <v>38.6595508098194</v>
      </c>
      <c r="G289" s="22" t="n">
        <f aca="false">$D$287*f_hbm*(G275*G282+G276*G283)</f>
        <v>42.2355592597277</v>
      </c>
    </row>
    <row r="290" customFormat="false" ht="15" hidden="false" customHeight="false" outlineLevel="0" collapsed="false">
      <c r="A290" s="5" t="s">
        <v>655</v>
      </c>
      <c r="B290" s="0" t="s">
        <v>241</v>
      </c>
      <c r="D290" s="22" t="n">
        <f aca="false">D288-D289</f>
        <v>33.0344567995381</v>
      </c>
      <c r="E290" s="22" t="n">
        <f aca="false">E288-E289</f>
        <v>50.9585852709172</v>
      </c>
      <c r="F290" s="22" t="n">
        <f aca="false">F288-F289</f>
        <v>59.8209479267289</v>
      </c>
      <c r="G290" s="22" t="n">
        <f aca="false">G288-G289</f>
        <v>68.7940901157382</v>
      </c>
    </row>
    <row r="291" customFormat="false" ht="17.15" hidden="false" customHeight="false" outlineLevel="0" collapsed="false">
      <c r="A291" s="0" t="s">
        <v>656</v>
      </c>
      <c r="B291" s="5" t="s">
        <v>35</v>
      </c>
      <c r="D291" s="19" t="n">
        <f aca="false">D275+D276</f>
        <v>3.815</v>
      </c>
      <c r="E291" s="19" t="n">
        <f aca="false">E275+E276</f>
        <v>6.2</v>
      </c>
      <c r="F291" s="19" t="n">
        <f aca="false">F275+F276</f>
        <v>7.25</v>
      </c>
      <c r="G291" s="19" t="n">
        <f aca="false">G275+G276</f>
        <v>8.3375</v>
      </c>
    </row>
    <row r="292" customFormat="false" ht="17.15" hidden="false" customHeight="false" outlineLevel="0" collapsed="false">
      <c r="A292" s="1" t="s">
        <v>657</v>
      </c>
    </row>
    <row r="293" customFormat="false" ht="17.15" hidden="false" customHeight="false" outlineLevel="0" collapsed="false">
      <c r="A293" s="0" t="s">
        <v>658</v>
      </c>
      <c r="B293" s="0" t="s">
        <v>241</v>
      </c>
      <c r="D293" s="22" t="n">
        <f aca="false">net_26*1</f>
        <v>12.6075726</v>
      </c>
      <c r="E293" s="22" t="n">
        <f aca="false">net_27*1*1</f>
        <v>26.959549</v>
      </c>
      <c r="F293" s="22" t="n">
        <f aca="false">net_28*um28_A*1</f>
        <v>32.094922</v>
      </c>
      <c r="G293" s="22" t="n">
        <f aca="false">net_29*um29_A*1</f>
        <v>37.8328169</v>
      </c>
    </row>
    <row r="294" customFormat="false" ht="17.15" hidden="false" customHeight="false" outlineLevel="0" collapsed="false">
      <c r="A294" s="5" t="s">
        <v>659</v>
      </c>
      <c r="B294" s="0" t="s">
        <v>131</v>
      </c>
      <c r="D294" s="17" t="n">
        <f aca="false">a26_net/D293</f>
        <v>1.39598640899359</v>
      </c>
      <c r="H294" s="8" t="s">
        <v>660</v>
      </c>
    </row>
    <row r="295" customFormat="false" ht="17.15" hidden="false" customHeight="false" outlineLevel="0" collapsed="false">
      <c r="A295" s="0" t="s">
        <v>661</v>
      </c>
      <c r="B295" s="0" t="s">
        <v>241</v>
      </c>
      <c r="D295" s="22" t="n">
        <f aca="false">D293*$D$294</f>
        <v>17.6</v>
      </c>
      <c r="E295" s="22" t="n">
        <f aca="false">E293*$D$294</f>
        <v>37.6351639965968</v>
      </c>
      <c r="F295" s="22" t="n">
        <f aca="false">F293*$D$294</f>
        <v>44.8040749097094</v>
      </c>
      <c r="G295" s="22" t="n">
        <f aca="false">G293*$D$294</f>
        <v>52.8140982063431</v>
      </c>
    </row>
    <row r="296" customFormat="false" ht="17.15" hidden="false" customHeight="false" outlineLevel="0" collapsed="false">
      <c r="A296" s="0" t="s">
        <v>522</v>
      </c>
      <c r="B296" s="0" t="s">
        <v>241</v>
      </c>
      <c r="C296" s="22" t="n">
        <f aca="false">a25_ai</f>
        <v>20.2797202797203</v>
      </c>
      <c r="D296" s="22" t="n">
        <f aca="false">D288+D295</f>
        <v>57.6</v>
      </c>
      <c r="E296" s="22" t="n">
        <f aca="false">E288+E295</f>
        <v>114.096615787637</v>
      </c>
      <c r="F296" s="22" t="n">
        <f aca="false">F288+F295</f>
        <v>143.284573646258</v>
      </c>
      <c r="G296" s="22" t="n">
        <f aca="false">G288+G295</f>
        <v>163.843747581809</v>
      </c>
    </row>
    <row r="297" customFormat="false" ht="15" hidden="false" customHeight="false" outlineLevel="0" collapsed="false">
      <c r="A297" s="0" t="s">
        <v>662</v>
      </c>
      <c r="B297" s="0" t="s">
        <v>46</v>
      </c>
      <c r="D297" s="16" t="n">
        <f aca="false">D288/D296</f>
        <v>0.694444444444444</v>
      </c>
      <c r="E297" s="16" t="n">
        <f aca="false">E288/E296</f>
        <v>0.670146535576082</v>
      </c>
      <c r="F297" s="16" t="n">
        <f aca="false">F288/F296</f>
        <v>0.687307057769372</v>
      </c>
      <c r="G297" s="16" t="n">
        <f aca="false">G288/G296</f>
        <v>0.677655699495201</v>
      </c>
    </row>
    <row r="298" customFormat="false" ht="17.15" hidden="false" customHeight="false" outlineLevel="0" collapsed="false">
      <c r="A298" s="5" t="s">
        <v>663</v>
      </c>
      <c r="B298" s="0" t="s">
        <v>241</v>
      </c>
      <c r="C298" s="22" t="n">
        <f aca="false">a25_nai</f>
        <v>16.5782797202797</v>
      </c>
      <c r="D298" s="22" t="n">
        <f aca="false">a26_nai</f>
        <v>16.863</v>
      </c>
      <c r="E298" s="22" t="n">
        <f aca="false">D298*(1+g_nai)</f>
        <v>17.36889</v>
      </c>
      <c r="F298" s="22" t="n">
        <f aca="false">E298*(1+g_nai)</f>
        <v>17.8899567</v>
      </c>
      <c r="G298" s="22" t="n">
        <f aca="false">F298*(1+g_nai)</f>
        <v>18.426655401</v>
      </c>
    </row>
    <row r="299" customFormat="false" ht="15" hidden="false" customHeight="false" outlineLevel="0" collapsed="false">
      <c r="A299" s="5" t="s">
        <v>664</v>
      </c>
      <c r="B299" s="0" t="s">
        <v>241</v>
      </c>
      <c r="C299" s="22" t="n">
        <f aca="false">a25_sw</f>
        <v>27.029</v>
      </c>
      <c r="D299" s="22" t="n">
        <f aca="false">a26_sw</f>
        <v>31.426</v>
      </c>
      <c r="E299" s="22" t="n">
        <f aca="false">D299*(1+g_sw27)</f>
        <v>35.19712</v>
      </c>
      <c r="F299" s="22" t="n">
        <f aca="false">E299*(1+g_sw)</f>
        <v>38.0128896</v>
      </c>
      <c r="G299" s="22" t="n">
        <f aca="false">F299*(1+g_sw)</f>
        <v>41.053920768</v>
      </c>
    </row>
    <row r="300" customFormat="false" ht="17.15" hidden="false" customHeight="false" outlineLevel="0" collapsed="false">
      <c r="A300" s="1" t="s">
        <v>665</v>
      </c>
    </row>
    <row r="301" customFormat="false" ht="15" hidden="false" customHeight="false" outlineLevel="0" collapsed="false">
      <c r="A301" s="5" t="s">
        <v>514</v>
      </c>
      <c r="B301" s="0" t="s">
        <v>241</v>
      </c>
      <c r="C301" s="22" t="n">
        <f aca="false">a25_rev</f>
        <v>63.887</v>
      </c>
      <c r="D301" s="22" t="n">
        <f aca="false">a26_rev</f>
        <v>105.889</v>
      </c>
      <c r="E301" s="22" t="n">
        <f aca="false">E296+E298+E299</f>
        <v>166.662625787637</v>
      </c>
      <c r="F301" s="22" t="n">
        <f aca="false">F296+F298+F299</f>
        <v>199.187419946258</v>
      </c>
      <c r="G301" s="22" t="n">
        <f aca="false">G296+G298+G299</f>
        <v>223.324323750809</v>
      </c>
    </row>
    <row r="302" customFormat="false" ht="17.15" hidden="false" customHeight="false" outlineLevel="0" collapsed="false">
      <c r="A302" s="5" t="s">
        <v>666</v>
      </c>
      <c r="B302" s="0" t="s">
        <v>241</v>
      </c>
      <c r="D302" s="22" t="n">
        <f aca="false">D296+D298+D299</f>
        <v>105.889</v>
      </c>
      <c r="E302" s="22" t="n">
        <f aca="false">E296+E298+E299</f>
        <v>166.662625787637</v>
      </c>
      <c r="F302" s="22" t="n">
        <f aca="false">F296+F298+F299</f>
        <v>199.187419946258</v>
      </c>
      <c r="G302" s="22" t="n">
        <f aca="false">G296+G298+G299</f>
        <v>223.324323750809</v>
      </c>
    </row>
    <row r="303" customFormat="false" ht="17.15" hidden="false" customHeight="false" outlineLevel="0" collapsed="false">
      <c r="A303" s="5" t="s">
        <v>667</v>
      </c>
      <c r="B303" s="0" t="s">
        <v>241</v>
      </c>
      <c r="C303" s="22" t="n">
        <f aca="false">C296+C298</f>
        <v>36.858</v>
      </c>
      <c r="D303" s="22" t="n">
        <f aca="false">D296+D298</f>
        <v>74.463</v>
      </c>
      <c r="E303" s="22" t="n">
        <f aca="false">E296+E298</f>
        <v>131.465505787637</v>
      </c>
      <c r="F303" s="22" t="n">
        <f aca="false">F296+F298</f>
        <v>161.174530346258</v>
      </c>
      <c r="G303" s="22" t="n">
        <f aca="false">G296+G298</f>
        <v>182.270402982809</v>
      </c>
      <c r="H303" s="5" t="s">
        <v>668</v>
      </c>
    </row>
    <row r="304" customFormat="false" ht="17.15" hidden="false" customHeight="false" outlineLevel="0" collapsed="false">
      <c r="A304" s="5" t="s">
        <v>669</v>
      </c>
      <c r="B304" s="0" t="s">
        <v>241</v>
      </c>
      <c r="C304" s="17" t="n">
        <f aca="false">C303+C299-C301</f>
        <v>0</v>
      </c>
      <c r="D304" s="17" t="n">
        <f aca="false">D303+D299-D301</f>
        <v>0</v>
      </c>
      <c r="E304" s="17" t="n">
        <f aca="false">E303+E299-E301</f>
        <v>0</v>
      </c>
      <c r="F304" s="17" t="n">
        <f aca="false">F303+F299-F301</f>
        <v>0</v>
      </c>
      <c r="G304" s="17" t="n">
        <f aca="false">G303+G299-G301</f>
        <v>0</v>
      </c>
    </row>
    <row r="305" customFormat="false" ht="15" hidden="false" customHeight="false" outlineLevel="0" collapsed="false">
      <c r="A305" s="5" t="s">
        <v>670</v>
      </c>
      <c r="B305" s="0" t="s">
        <v>46</v>
      </c>
      <c r="D305" s="16" t="n">
        <f aca="false">D301/C301-1</f>
        <v>0.657442046112668</v>
      </c>
      <c r="E305" s="16" t="n">
        <f aca="false">E301/D301-1</f>
        <v>0.57393710194295</v>
      </c>
      <c r="F305" s="16" t="n">
        <f aca="false">F301/E301-1</f>
        <v>0.195153496501753</v>
      </c>
      <c r="G305" s="16" t="n">
        <f aca="false">G301/F301-1</f>
        <v>0.121176848472979</v>
      </c>
    </row>
    <row r="306" customFormat="false" ht="17.15" hidden="false" customHeight="false" outlineLevel="0" collapsed="false">
      <c r="A306" s="0" t="s">
        <v>671</v>
      </c>
      <c r="B306" s="0" t="s">
        <v>46</v>
      </c>
      <c r="C306" s="16" t="n">
        <f aca="false">C296/C301</f>
        <v>0.317431093645347</v>
      </c>
      <c r="D306" s="16" t="n">
        <f aca="false">D296/D301</f>
        <v>0.543965851032685</v>
      </c>
      <c r="E306" s="16" t="n">
        <f aca="false">E296/E301</f>
        <v>0.684596292950646</v>
      </c>
      <c r="F306" s="16" t="n">
        <f aca="false">F296/F301</f>
        <v>0.719345497245343</v>
      </c>
      <c r="G306" s="16" t="n">
        <f aca="false">G296/G301</f>
        <v>0.733658317329688</v>
      </c>
    </row>
    <row r="307" customFormat="false" ht="17.15" hidden="false" customHeight="false" outlineLevel="0" collapsed="false">
      <c r="A307" s="5" t="s">
        <v>672</v>
      </c>
      <c r="B307" s="0" t="s">
        <v>241</v>
      </c>
      <c r="D307" s="22" t="n">
        <f aca="false">gm_net*D295+gm_nai*D298+gm_sw*D299+m_hbm*D289</f>
        <v>53.5556843200462</v>
      </c>
      <c r="E307" s="22" t="n">
        <f aca="false">gm_net*E295+gm_nai*E298+gm_sw*E299+m_hbm*E289</f>
        <v>73.670704829562</v>
      </c>
      <c r="F307" s="22" t="n">
        <f aca="false">gm_net*F295+gm_nai*F298+gm_sw*F299+m_hbm*F289</f>
        <v>83.1053481989727</v>
      </c>
      <c r="G307" s="22" t="n">
        <f aca="false">gm_net*G295+gm_nai*G298+gm_sw*G299+m_hbm*G289</f>
        <v>92.4071789594298</v>
      </c>
    </row>
    <row r="308" customFormat="false" ht="17.15" hidden="false" customHeight="false" outlineLevel="0" collapsed="false">
      <c r="A308" s="0" t="s">
        <v>673</v>
      </c>
      <c r="B308" s="0" t="s">
        <v>131</v>
      </c>
      <c r="D308" s="17" t="n">
        <f aca="false">(a26_gp-D307)/D290</f>
        <v>0.787550884757324</v>
      </c>
      <c r="H308" s="8" t="s">
        <v>674</v>
      </c>
    </row>
    <row r="309" customFormat="false" ht="15" hidden="false" customHeight="false" outlineLevel="0" collapsed="false">
      <c r="A309" s="5" t="s">
        <v>675</v>
      </c>
      <c r="B309" s="0" t="s">
        <v>241</v>
      </c>
      <c r="C309" s="22" t="n">
        <f aca="false">a25_gp</f>
        <v>50.245</v>
      </c>
      <c r="D309" s="22" t="n">
        <f aca="false">a26_gp</f>
        <v>79.572</v>
      </c>
      <c r="E309" s="22" t="n">
        <f aca="false">E307+$D$308*E290</f>
        <v>113.803183745654</v>
      </c>
      <c r="F309" s="22" t="n">
        <f aca="false">F307+$D$308*F290</f>
        <v>130.21738866569</v>
      </c>
      <c r="G309" s="22" t="n">
        <f aca="false">G307+$D$308*G290</f>
        <v>146.586025496155</v>
      </c>
    </row>
    <row r="310" customFormat="false" ht="15" hidden="false" customHeight="false" outlineLevel="0" collapsed="false">
      <c r="A310" s="5" t="s">
        <v>533</v>
      </c>
      <c r="B310" s="0" t="s">
        <v>46</v>
      </c>
      <c r="C310" s="16" t="n">
        <f aca="false">C309/C301</f>
        <v>0.786466730320723</v>
      </c>
      <c r="D310" s="16" t="n">
        <f aca="false">D309/D301</f>
        <v>0.751466157957862</v>
      </c>
      <c r="E310" s="16" t="n">
        <f aca="false">E309/E301</f>
        <v>0.682835658011673</v>
      </c>
      <c r="F310" s="16" t="n">
        <f aca="false">F309/F301</f>
        <v>0.653743036085429</v>
      </c>
      <c r="G310" s="16" t="n">
        <f aca="false">G309/G301</f>
        <v>0.65638181741331</v>
      </c>
    </row>
    <row r="311" customFormat="false" ht="17.15" hidden="false" customHeight="false" outlineLevel="0" collapsed="false">
      <c r="A311" s="5" t="s">
        <v>676</v>
      </c>
      <c r="B311" s="0" t="s">
        <v>46</v>
      </c>
      <c r="D311" s="16" t="n">
        <f aca="false">D289/D301</f>
        <v>0.0657815561622258</v>
      </c>
      <c r="E311" s="16" t="n">
        <f aca="false">E289/E301</f>
        <v>0.153020909154636</v>
      </c>
      <c r="F311" s="16" t="n">
        <f aca="false">F289/F301</f>
        <v>0.194086307359421</v>
      </c>
      <c r="G311" s="16" t="n">
        <f aca="false">G289/G301</f>
        <v>0.189122073898476</v>
      </c>
    </row>
    <row r="312" customFormat="false" ht="15" hidden="false" customHeight="false" outlineLevel="0" collapsed="false">
      <c r="A312" s="5" t="s">
        <v>677</v>
      </c>
      <c r="B312" s="0" t="s">
        <v>241</v>
      </c>
      <c r="C312" s="24" t="n">
        <f aca="false">a25_opx</f>
        <v>8.248</v>
      </c>
      <c r="D312" s="24" t="n">
        <f aca="false">a26_opx</f>
        <v>8.755</v>
      </c>
      <c r="E312" s="24" t="n">
        <f aca="false">D312*(1+MAX(g_opx_min,phi*E305))</f>
        <v>9.25748193275105</v>
      </c>
      <c r="F312" s="24" t="n">
        <f aca="false">E312*(1+MAX(g_opx_min,phi*F305))</f>
        <v>9.53520639073358</v>
      </c>
      <c r="G312" s="24" t="n">
        <f aca="false">F312*(1+MAX(g_opx_min,phi*G305))</f>
        <v>9.82126258245559</v>
      </c>
    </row>
    <row r="313" customFormat="false" ht="15" hidden="false" customHeight="false" outlineLevel="0" collapsed="false">
      <c r="A313" s="5" t="s">
        <v>678</v>
      </c>
      <c r="B313" s="0" t="s">
        <v>241</v>
      </c>
      <c r="C313" s="24" t="n">
        <f aca="false">C312</f>
        <v>8.248</v>
      </c>
      <c r="D313" s="24" t="n">
        <f aca="false">D312</f>
        <v>8.755</v>
      </c>
      <c r="E313" s="24" t="n">
        <f aca="false">E312+0*E301</f>
        <v>9.25748193275105</v>
      </c>
      <c r="F313" s="24" t="n">
        <f aca="false">F312+0*F301</f>
        <v>9.53520639073358</v>
      </c>
      <c r="G313" s="24" t="n">
        <f aca="false">G312+0*G301</f>
        <v>9.82126258245559</v>
      </c>
    </row>
    <row r="314" customFormat="false" ht="15" hidden="false" customHeight="false" outlineLevel="0" collapsed="false">
      <c r="A314" s="5" t="s">
        <v>679</v>
      </c>
      <c r="B314" s="0" t="s">
        <v>241</v>
      </c>
      <c r="C314" s="22" t="n">
        <f aca="false">C309-C313</f>
        <v>41.997</v>
      </c>
      <c r="D314" s="22" t="n">
        <f aca="false">D309-D313</f>
        <v>70.817</v>
      </c>
      <c r="E314" s="22" t="n">
        <f aca="false">E309-E313</f>
        <v>104.545701812903</v>
      </c>
      <c r="F314" s="22" t="n">
        <f aca="false">F309-F313</f>
        <v>120.682182274956</v>
      </c>
      <c r="G314" s="22" t="n">
        <f aca="false">G309-G313</f>
        <v>136.764762913699</v>
      </c>
    </row>
    <row r="315" customFormat="false" ht="15" hidden="false" customHeight="false" outlineLevel="0" collapsed="false">
      <c r="A315" s="5" t="s">
        <v>538</v>
      </c>
      <c r="B315" s="0" t="s">
        <v>46</v>
      </c>
      <c r="C315" s="16" t="n">
        <f aca="false">C314/C301</f>
        <v>0.657363782929235</v>
      </c>
      <c r="D315" s="16" t="n">
        <f aca="false">D314/D301</f>
        <v>0.66878523737121</v>
      </c>
      <c r="E315" s="16" t="n">
        <f aca="false">E314/E301</f>
        <v>0.627289419681389</v>
      </c>
      <c r="F315" s="16" t="n">
        <f aca="false">F314/F301</f>
        <v>0.605872510962376</v>
      </c>
      <c r="G315" s="16" t="n">
        <f aca="false">G314/G301</f>
        <v>0.612404240687658</v>
      </c>
    </row>
    <row r="316" customFormat="false" ht="15" hidden="false" customHeight="false" outlineLevel="0" collapsed="false">
      <c r="A316" s="5" t="s">
        <v>680</v>
      </c>
      <c r="B316" s="0" t="s">
        <v>241</v>
      </c>
      <c r="C316" s="19" t="n">
        <f aca="false">a25_int</f>
        <v>3.072</v>
      </c>
      <c r="D316" s="19" t="n">
        <f aca="false">a26_int</f>
        <v>2.894</v>
      </c>
      <c r="E316" s="19" t="n">
        <f aca="false">int_f</f>
        <v>2.8</v>
      </c>
      <c r="F316" s="19" t="n">
        <f aca="false">int_f</f>
        <v>2.8</v>
      </c>
      <c r="G316" s="19" t="n">
        <f aca="false">int_f</f>
        <v>2.8</v>
      </c>
    </row>
    <row r="317" customFormat="false" ht="15" hidden="false" customHeight="false" outlineLevel="0" collapsed="false">
      <c r="A317" s="5" t="s">
        <v>681</v>
      </c>
      <c r="B317" s="0" t="s">
        <v>241</v>
      </c>
      <c r="C317" s="19" t="n">
        <f aca="false">a25_oth</f>
        <v>0.294</v>
      </c>
      <c r="D317" s="19" t="n">
        <f aca="false">a26_oth</f>
        <v>0.434</v>
      </c>
      <c r="E317" s="19" t="n">
        <f aca="false">oth_f</f>
        <v>0.4</v>
      </c>
      <c r="F317" s="19" t="n">
        <f aca="false">oth_f</f>
        <v>0.4</v>
      </c>
      <c r="G317" s="19" t="n">
        <f aca="false">oth_f</f>
        <v>0.4</v>
      </c>
    </row>
    <row r="318" customFormat="false" ht="15" hidden="false" customHeight="false" outlineLevel="0" collapsed="false">
      <c r="A318" s="5" t="s">
        <v>543</v>
      </c>
      <c r="B318" s="0" t="s">
        <v>46</v>
      </c>
      <c r="C318" s="16" t="n">
        <f aca="false">a25_tax/(a25_oi-a25_int+a25_oth)</f>
        <v>0.140008669267447</v>
      </c>
      <c r="D318" s="16" t="n">
        <f aca="false">a26_tax/(a26_oi-a26_int+a26_oth)</f>
        <v>0.159996489020876</v>
      </c>
      <c r="E318" s="16" t="n">
        <f aca="false">tx_f</f>
        <v>0.16</v>
      </c>
      <c r="F318" s="16" t="n">
        <f aca="false">tx_f</f>
        <v>0.16</v>
      </c>
      <c r="G318" s="16" t="n">
        <f aca="false">tx_f</f>
        <v>0.16</v>
      </c>
    </row>
    <row r="319" customFormat="false" ht="17.15" hidden="false" customHeight="false" outlineLevel="0" collapsed="false">
      <c r="A319" s="5" t="s">
        <v>630</v>
      </c>
      <c r="B319" s="0" t="s">
        <v>241</v>
      </c>
      <c r="C319" s="22" t="n">
        <f aca="false">a25_ni</f>
        <v>33.728</v>
      </c>
      <c r="D319" s="22" t="n">
        <f aca="false">a26_ni</f>
        <v>57.42012</v>
      </c>
      <c r="E319" s="22" t="n">
        <f aca="false">(E314-E316+E317)*(1-E318)</f>
        <v>85.8023895228388</v>
      </c>
      <c r="F319" s="22" t="n">
        <f aca="false">(F314-F316+F317)*(1-F318)</f>
        <v>99.3570331109633</v>
      </c>
      <c r="G319" s="22" t="n">
        <f aca="false">(G314-G316+G317)*(1-G318)</f>
        <v>112.866400847507</v>
      </c>
    </row>
    <row r="320" customFormat="false" ht="15" hidden="false" customHeight="false" outlineLevel="0" collapsed="false">
      <c r="A320" s="5" t="s">
        <v>682</v>
      </c>
      <c r="B320" s="5" t="s">
        <v>304</v>
      </c>
      <c r="C320" s="17" t="n">
        <f aca="false">a25_sh</f>
        <v>4.943</v>
      </c>
      <c r="D320" s="17" t="n">
        <f aca="false">a26_sh</f>
        <v>4.9435</v>
      </c>
      <c r="E320" s="17" t="n">
        <f aca="false">D320*(1+sh_g)</f>
        <v>4.9187825</v>
      </c>
      <c r="F320" s="17" t="n">
        <f aca="false">E320*(1+sh_g)</f>
        <v>4.8941885875</v>
      </c>
      <c r="G320" s="17" t="n">
        <f aca="false">F320*(1+sh_g)</f>
        <v>4.8697176445625</v>
      </c>
    </row>
    <row r="321" customFormat="false" ht="17.15" hidden="false" customHeight="false" outlineLevel="0" collapsed="false">
      <c r="A321" s="0" t="s">
        <v>631</v>
      </c>
      <c r="B321" s="0" t="s">
        <v>354</v>
      </c>
      <c r="C321" s="19" t="n">
        <f aca="false">C319/C320</f>
        <v>6.82338660732349</v>
      </c>
      <c r="D321" s="19" t="n">
        <f aca="false">D319/D320</f>
        <v>11.6152766258724</v>
      </c>
      <c r="E321" s="19" t="n">
        <f aca="false">E319/E320</f>
        <v>17.4438267036281</v>
      </c>
      <c r="F321" s="19" t="n">
        <f aca="false">F319/F320</f>
        <v>20.3010225974385</v>
      </c>
      <c r="G321" s="19" t="n">
        <f aca="false">G319/G320</f>
        <v>23.1771961098264</v>
      </c>
    </row>
    <row r="322" customFormat="false" ht="17.15" hidden="false" customHeight="false" outlineLevel="0" collapsed="false">
      <c r="A322" s="0" t="s">
        <v>683</v>
      </c>
      <c r="B322" s="0" t="s">
        <v>46</v>
      </c>
      <c r="D322" s="16" t="n">
        <f aca="false">D321/C321-1</f>
        <v>0.702274441463682</v>
      </c>
      <c r="E322" s="16" t="n">
        <f aca="false">E321/D321-1</f>
        <v>0.501800367351823</v>
      </c>
      <c r="F322" s="16" t="n">
        <f aca="false">F321/E321-1</f>
        <v>0.163794099904474</v>
      </c>
      <c r="G322" s="16" t="n">
        <f aca="false">G321/F321-1</f>
        <v>0.141676287417698</v>
      </c>
    </row>
    <row r="325" customFormat="false" ht="17.15" hidden="false" customHeight="false" outlineLevel="0" collapsed="false">
      <c r="A325" s="3" t="s">
        <v>1057</v>
      </c>
    </row>
    <row r="326" customFormat="false" ht="17.15" hidden="false" customHeight="false" outlineLevel="0" collapsed="false">
      <c r="A326" s="6" t="s">
        <v>24</v>
      </c>
      <c r="B326" s="6" t="s">
        <v>25</v>
      </c>
      <c r="C326" s="13" t="s">
        <v>507</v>
      </c>
      <c r="D326" s="13" t="s">
        <v>621</v>
      </c>
      <c r="E326" s="13" t="s">
        <v>622</v>
      </c>
      <c r="F326" s="13" t="s">
        <v>623</v>
      </c>
      <c r="G326" s="13" t="s">
        <v>624</v>
      </c>
      <c r="H326" s="6" t="s">
        <v>480</v>
      </c>
    </row>
    <row r="327" customFormat="false" ht="17.15" hidden="false" customHeight="false" outlineLevel="0" collapsed="false">
      <c r="A327" s="1" t="s">
        <v>639</v>
      </c>
    </row>
    <row r="328" customFormat="false" ht="17.15" hidden="false" customHeight="false" outlineLevel="0" collapsed="false">
      <c r="A328" s="0" t="s">
        <v>640</v>
      </c>
      <c r="B328" s="5" t="s">
        <v>35</v>
      </c>
      <c r="D328" s="19" t="n">
        <f aca="false">u_tpu_26</f>
        <v>3.85</v>
      </c>
      <c r="E328" s="19" t="n">
        <f aca="false">u_tpu_27</f>
        <v>5.5</v>
      </c>
      <c r="F328" s="19" t="n">
        <f aca="false">u_tpu_28*um28_A</f>
        <v>7</v>
      </c>
      <c r="G328" s="19" t="n">
        <f aca="false">u_tpu_28*(1+g29_tpu)*um29_A</f>
        <v>8.05</v>
      </c>
    </row>
    <row r="329" customFormat="false" ht="17.15" hidden="false" customHeight="false" outlineLevel="0" collapsed="false">
      <c r="A329" s="5" t="s">
        <v>641</v>
      </c>
      <c r="B329" s="5" t="s">
        <v>35</v>
      </c>
      <c r="D329" s="19" t="n">
        <f aca="false">u_oth_26</f>
        <v>1</v>
      </c>
      <c r="E329" s="19" t="n">
        <f aca="false">u_oth_27</f>
        <v>4.5</v>
      </c>
      <c r="F329" s="19" t="n">
        <f aca="false">u_oth_28*um28_A</f>
        <v>5</v>
      </c>
      <c r="G329" s="19" t="n">
        <f aca="false">u_oth_28*(1+g29_oth)*um29_A</f>
        <v>5.75</v>
      </c>
    </row>
    <row r="330" customFormat="false" ht="17.15" hidden="false" customHeight="false" outlineLevel="0" collapsed="false">
      <c r="A330" s="0" t="s">
        <v>566</v>
      </c>
      <c r="B330" s="0" t="s">
        <v>46</v>
      </c>
      <c r="D330" s="16" t="n">
        <f aca="false">sh_tpu_26</f>
        <v>0.9</v>
      </c>
      <c r="E330" s="16" t="n">
        <f aca="false">MIN(1,MAX(0,sh_tpu_27+0))</f>
        <v>0.8</v>
      </c>
      <c r="F330" s="16" t="n">
        <f aca="false">MIN(1,MAX(0,sh_tpu_28+0))</f>
        <v>0.75</v>
      </c>
      <c r="G330" s="16" t="n">
        <f aca="false">MIN(1,MAX(0,sh_tpu_28+0))</f>
        <v>0.75</v>
      </c>
    </row>
    <row r="331" customFormat="false" ht="17.15" hidden="false" customHeight="false" outlineLevel="0" collapsed="false">
      <c r="A331" s="0" t="s">
        <v>578</v>
      </c>
      <c r="B331" s="0" t="s">
        <v>46</v>
      </c>
      <c r="D331" s="16" t="n">
        <f aca="false">sh_oth_26</f>
        <v>0.35</v>
      </c>
      <c r="E331" s="16" t="n">
        <f aca="false">MIN(1,MAX(0,sh_oth_27+0.15))</f>
        <v>0.7</v>
      </c>
      <c r="F331" s="16" t="n">
        <f aca="false">MIN(1,MAX(0,sh_oth_28+0.15))</f>
        <v>0.7</v>
      </c>
      <c r="G331" s="16" t="n">
        <f aca="false">MIN(1,MAX(0,sh_oth_28+0.15))</f>
        <v>0.7</v>
      </c>
    </row>
    <row r="332" customFormat="false" ht="17.15" hidden="false" customHeight="false" outlineLevel="0" collapsed="false">
      <c r="A332" s="0" t="s">
        <v>568</v>
      </c>
      <c r="B332" s="5" t="s">
        <v>35</v>
      </c>
      <c r="D332" s="19" t="n">
        <f aca="false">D328*D330</f>
        <v>3.465</v>
      </c>
      <c r="E332" s="19" t="n">
        <f aca="false">E328*E330*1</f>
        <v>4.4</v>
      </c>
      <c r="F332" s="19" t="n">
        <f aca="false">F328*F330*1</f>
        <v>5.25</v>
      </c>
      <c r="G332" s="19" t="n">
        <f aca="false">G328*G330*1</f>
        <v>6.0375</v>
      </c>
    </row>
    <row r="333" customFormat="false" ht="17.15" hidden="false" customHeight="false" outlineLevel="0" collapsed="false">
      <c r="A333" s="0" t="s">
        <v>579</v>
      </c>
      <c r="B333" s="5" t="s">
        <v>35</v>
      </c>
      <c r="D333" s="19" t="n">
        <f aca="false">D329*D331</f>
        <v>0.35</v>
      </c>
      <c r="E333" s="19" t="n">
        <f aca="false">E329*E331*1</f>
        <v>3.15</v>
      </c>
      <c r="F333" s="19" t="n">
        <f aca="false">F329*F331*1</f>
        <v>3.5</v>
      </c>
      <c r="G333" s="19" t="n">
        <f aca="false">G329*G331*1</f>
        <v>4.025</v>
      </c>
    </row>
    <row r="334" customFormat="false" ht="17.15" hidden="false" customHeight="false" outlineLevel="0" collapsed="false">
      <c r="A334" s="5" t="s">
        <v>570</v>
      </c>
      <c r="B334" s="0" t="s">
        <v>151</v>
      </c>
      <c r="D334" s="20" t="n">
        <f aca="false">gb_tpu_26</f>
        <v>192</v>
      </c>
      <c r="E334" s="20" t="n">
        <f aca="false">gb_tpu_27</f>
        <v>250</v>
      </c>
      <c r="F334" s="20" t="n">
        <f aca="false">gb_tpu_28</f>
        <v>288</v>
      </c>
      <c r="G334" s="20" t="n">
        <f aca="false">gb_tpu_28</f>
        <v>288</v>
      </c>
    </row>
    <row r="335" customFormat="false" ht="17.15" hidden="false" customHeight="false" outlineLevel="0" collapsed="false">
      <c r="A335" s="5" t="s">
        <v>580</v>
      </c>
      <c r="B335" s="0" t="s">
        <v>151</v>
      </c>
      <c r="D335" s="20" t="n">
        <f aca="false">gb_oth_26</f>
        <v>150</v>
      </c>
      <c r="E335" s="20" t="n">
        <f aca="false">gb_oth_27</f>
        <v>200</v>
      </c>
      <c r="F335" s="20" t="n">
        <f aca="false">gb_oth_28</f>
        <v>250</v>
      </c>
      <c r="G335" s="20" t="n">
        <f aca="false">gb_oth_28</f>
        <v>250</v>
      </c>
    </row>
    <row r="336" customFormat="false" ht="17.15" hidden="false" customHeight="false" outlineLevel="0" collapsed="false">
      <c r="A336" s="0" t="s">
        <v>642</v>
      </c>
      <c r="B336" s="0" t="s">
        <v>210</v>
      </c>
      <c r="D336" s="19" t="n">
        <f aca="false">hbm_A_26</f>
        <v>14.6</v>
      </c>
      <c r="E336" s="19" t="n">
        <f aca="false">hbm_A_27</f>
        <v>26.28</v>
      </c>
      <c r="F336" s="19" t="n">
        <f aca="false">hbm_A_28</f>
        <v>28.908</v>
      </c>
      <c r="G336" s="19" t="n">
        <f aca="false">hbm_A_29</f>
        <v>27.4626</v>
      </c>
    </row>
    <row r="337" customFormat="false" ht="17.15" hidden="false" customHeight="false" outlineLevel="0" collapsed="false">
      <c r="A337" s="5" t="s">
        <v>643</v>
      </c>
      <c r="B337" s="0" t="s">
        <v>188</v>
      </c>
      <c r="D337" s="19" t="n">
        <f aca="false">core_tpu</f>
        <v>8</v>
      </c>
      <c r="E337" s="19" t="n">
        <f aca="false">core_tpu*1</f>
        <v>8</v>
      </c>
      <c r="F337" s="19" t="n">
        <f aca="false">core_tpu*1</f>
        <v>8</v>
      </c>
      <c r="G337" s="19" t="n">
        <f aca="false">core_tpu*1</f>
        <v>8</v>
      </c>
    </row>
    <row r="338" customFormat="false" ht="17.15" hidden="false" customHeight="false" outlineLevel="0" collapsed="false">
      <c r="A338" s="5" t="s">
        <v>644</v>
      </c>
      <c r="B338" s="0" t="s">
        <v>188</v>
      </c>
      <c r="D338" s="19" t="n">
        <f aca="false">core_oth</f>
        <v>6</v>
      </c>
      <c r="E338" s="19" t="n">
        <f aca="false">core_oth*1</f>
        <v>6</v>
      </c>
      <c r="F338" s="19" t="n">
        <f aca="false">core_oth*1</f>
        <v>6</v>
      </c>
      <c r="G338" s="19" t="n">
        <f aca="false">core_oth*1</f>
        <v>6</v>
      </c>
    </row>
    <row r="339" customFormat="false" ht="17.15" hidden="false" customHeight="false" outlineLevel="0" collapsed="false">
      <c r="A339" s="5" t="s">
        <v>645</v>
      </c>
      <c r="B339" s="0" t="s">
        <v>188</v>
      </c>
      <c r="D339" s="19" t="n">
        <f aca="false">D334*D336/1000</f>
        <v>2.8032</v>
      </c>
      <c r="E339" s="19" t="n">
        <f aca="false">E334*E336/1000</f>
        <v>6.57</v>
      </c>
      <c r="F339" s="19" t="n">
        <f aca="false">F334*F336/1000</f>
        <v>8.325504</v>
      </c>
      <c r="G339" s="19" t="n">
        <f aca="false">G334*G336/1000</f>
        <v>7.9092288</v>
      </c>
    </row>
    <row r="340" customFormat="false" ht="17.15" hidden="false" customHeight="false" outlineLevel="0" collapsed="false">
      <c r="A340" s="5" t="s">
        <v>646</v>
      </c>
      <c r="B340" s="0" t="s">
        <v>188</v>
      </c>
      <c r="D340" s="19" t="n">
        <f aca="false">D335*D336/1000</f>
        <v>2.19</v>
      </c>
      <c r="E340" s="19" t="n">
        <f aca="false">E335*E336/1000</f>
        <v>5.256</v>
      </c>
      <c r="F340" s="19" t="n">
        <f aca="false">F335*F336/1000</f>
        <v>7.227</v>
      </c>
      <c r="G340" s="19" t="n">
        <f aca="false">G335*G336/1000</f>
        <v>6.86565</v>
      </c>
    </row>
    <row r="341" customFormat="false" ht="17.15" hidden="false" customHeight="false" outlineLevel="0" collapsed="false">
      <c r="A341" s="5" t="s">
        <v>647</v>
      </c>
      <c r="B341" s="0" t="s">
        <v>188</v>
      </c>
      <c r="D341" s="19" t="n">
        <f aca="false">D337+f_hbm*D339</f>
        <v>9.68192</v>
      </c>
      <c r="E341" s="19" t="n">
        <f aca="false">E337+f_hbm*E339</f>
        <v>11.942</v>
      </c>
      <c r="F341" s="19" t="n">
        <f aca="false">F337+f_hbm*F339</f>
        <v>12.9953024</v>
      </c>
      <c r="G341" s="19" t="n">
        <f aca="false">G337+f_hbm*G339</f>
        <v>12.74553728</v>
      </c>
      <c r="H341" s="5" t="s">
        <v>648</v>
      </c>
    </row>
    <row r="342" customFormat="false" ht="17.15" hidden="false" customHeight="false" outlineLevel="0" collapsed="false">
      <c r="A342" s="5" t="s">
        <v>649</v>
      </c>
      <c r="B342" s="0" t="s">
        <v>188</v>
      </c>
      <c r="D342" s="19" t="n">
        <f aca="false">D338+f_hbm*D340</f>
        <v>7.314</v>
      </c>
      <c r="E342" s="19" t="n">
        <f aca="false">E338+f_hbm*E340</f>
        <v>9.1536</v>
      </c>
      <c r="F342" s="19" t="n">
        <f aca="false">F338+f_hbm*F340</f>
        <v>10.3362</v>
      </c>
      <c r="G342" s="19" t="n">
        <f aca="false">G338+f_hbm*G340</f>
        <v>10.11939</v>
      </c>
    </row>
    <row r="343" customFormat="false" ht="17.15" hidden="false" customHeight="false" outlineLevel="0" collapsed="false">
      <c r="A343" s="0" t="s">
        <v>650</v>
      </c>
      <c r="B343" s="0" t="s">
        <v>241</v>
      </c>
      <c r="D343" s="22" t="n">
        <f aca="false">D332*D341+D333*D342</f>
        <v>36.1077528</v>
      </c>
      <c r="E343" s="22" t="n">
        <f aca="false">E332*E341+E333*E342</f>
        <v>81.37864</v>
      </c>
      <c r="F343" s="22" t="n">
        <f aca="false">F332*F341+F333*F342</f>
        <v>104.4020376</v>
      </c>
      <c r="G343" s="22" t="n">
        <f aca="false">G332*G341+G333*G342</f>
        <v>117.681726078</v>
      </c>
    </row>
    <row r="344" customFormat="false" ht="17.15" hidden="false" customHeight="false" outlineLevel="0" collapsed="false">
      <c r="A344" s="0" t="s">
        <v>651</v>
      </c>
      <c r="B344" s="0" t="s">
        <v>131</v>
      </c>
      <c r="D344" s="17" t="n">
        <f aca="false">a26_xpu/D343</f>
        <v>1.10779533197646</v>
      </c>
      <c r="H344" s="8" t="s">
        <v>652</v>
      </c>
    </row>
    <row r="345" customFormat="false" ht="17.15" hidden="false" customHeight="false" outlineLevel="0" collapsed="false">
      <c r="A345" s="0" t="s">
        <v>653</v>
      </c>
      <c r="B345" s="0" t="s">
        <v>241</v>
      </c>
      <c r="D345" s="22" t="n">
        <f aca="false">D343*$D$344</f>
        <v>40</v>
      </c>
      <c r="E345" s="22" t="n">
        <f aca="false">E343*$D$344</f>
        <v>90.1508775145929</v>
      </c>
      <c r="F345" s="22" t="n">
        <f aca="false">F343*$D$344</f>
        <v>115.656089902111</v>
      </c>
      <c r="G345" s="22" t="n">
        <f aca="false">G343*$D$344</f>
        <v>130.367266808141</v>
      </c>
    </row>
    <row r="346" customFormat="false" ht="17.15" hidden="false" customHeight="false" outlineLevel="0" collapsed="false">
      <c r="A346" s="5" t="s">
        <v>654</v>
      </c>
      <c r="B346" s="0" t="s">
        <v>241</v>
      </c>
      <c r="D346" s="22" t="n">
        <f aca="false">$D$344*f_hbm*(D332*D339+D333*D340)</f>
        <v>6.96554320046192</v>
      </c>
      <c r="E346" s="22" t="n">
        <f aca="false">$D$344*f_hbm*(E332*E339+E333*E340)</f>
        <v>30.2191500546664</v>
      </c>
      <c r="F346" s="22" t="n">
        <f aca="false">$D$344*f_hbm*(F332*F339+F333*F340)</f>
        <v>45.8649839875939</v>
      </c>
      <c r="G346" s="22" t="n">
        <f aca="false">$D$344*f_hbm*(G332*G339+G333*G340)</f>
        <v>50.1074950064464</v>
      </c>
    </row>
    <row r="347" customFormat="false" ht="15" hidden="false" customHeight="false" outlineLevel="0" collapsed="false">
      <c r="A347" s="5" t="s">
        <v>655</v>
      </c>
      <c r="B347" s="0" t="s">
        <v>241</v>
      </c>
      <c r="D347" s="22" t="n">
        <f aca="false">D345-D346</f>
        <v>33.0344567995381</v>
      </c>
      <c r="E347" s="22" t="n">
        <f aca="false">E345-E346</f>
        <v>59.9317274599265</v>
      </c>
      <c r="F347" s="22" t="n">
        <f aca="false">F345-F346</f>
        <v>69.7911059145171</v>
      </c>
      <c r="G347" s="22" t="n">
        <f aca="false">G345-G346</f>
        <v>80.2597718016946</v>
      </c>
    </row>
    <row r="348" customFormat="false" ht="17.15" hidden="false" customHeight="false" outlineLevel="0" collapsed="false">
      <c r="A348" s="0" t="s">
        <v>656</v>
      </c>
      <c r="B348" s="5" t="s">
        <v>35</v>
      </c>
      <c r="D348" s="19" t="n">
        <f aca="false">D332+D333</f>
        <v>3.815</v>
      </c>
      <c r="E348" s="19" t="n">
        <f aca="false">E332+E333</f>
        <v>7.55</v>
      </c>
      <c r="F348" s="19" t="n">
        <f aca="false">F332+F333</f>
        <v>8.75</v>
      </c>
      <c r="G348" s="19" t="n">
        <f aca="false">G332+G333</f>
        <v>10.0625</v>
      </c>
    </row>
    <row r="349" customFormat="false" ht="17.15" hidden="false" customHeight="false" outlineLevel="0" collapsed="false">
      <c r="A349" s="1" t="s">
        <v>657</v>
      </c>
    </row>
    <row r="350" customFormat="false" ht="17.15" hidden="false" customHeight="false" outlineLevel="0" collapsed="false">
      <c r="A350" s="0" t="s">
        <v>658</v>
      </c>
      <c r="B350" s="0" t="s">
        <v>241</v>
      </c>
      <c r="D350" s="22" t="n">
        <f aca="false">net_26*1</f>
        <v>12.6075726</v>
      </c>
      <c r="E350" s="22" t="n">
        <f aca="false">net_27*1*1</f>
        <v>26.959549</v>
      </c>
      <c r="F350" s="22" t="n">
        <f aca="false">net_28*um28_A*1</f>
        <v>32.094922</v>
      </c>
      <c r="G350" s="22" t="n">
        <f aca="false">net_29*um29_A*1</f>
        <v>37.8328169</v>
      </c>
    </row>
    <row r="351" customFormat="false" ht="17.15" hidden="false" customHeight="false" outlineLevel="0" collapsed="false">
      <c r="A351" s="5" t="s">
        <v>659</v>
      </c>
      <c r="B351" s="0" t="s">
        <v>131</v>
      </c>
      <c r="D351" s="17" t="n">
        <f aca="false">a26_net/D350</f>
        <v>1.39598640899359</v>
      </c>
      <c r="H351" s="8" t="s">
        <v>660</v>
      </c>
    </row>
    <row r="352" customFormat="false" ht="17.15" hidden="false" customHeight="false" outlineLevel="0" collapsed="false">
      <c r="A352" s="0" t="s">
        <v>661</v>
      </c>
      <c r="B352" s="0" t="s">
        <v>241</v>
      </c>
      <c r="D352" s="22" t="n">
        <f aca="false">D350*$D$351</f>
        <v>17.6</v>
      </c>
      <c r="E352" s="22" t="n">
        <f aca="false">E350*$D$351</f>
        <v>37.6351639965968</v>
      </c>
      <c r="F352" s="22" t="n">
        <f aca="false">F350*$D$351</f>
        <v>44.8040749097094</v>
      </c>
      <c r="G352" s="22" t="n">
        <f aca="false">G350*$D$351</f>
        <v>52.8140982063431</v>
      </c>
    </row>
    <row r="353" customFormat="false" ht="17.15" hidden="false" customHeight="false" outlineLevel="0" collapsed="false">
      <c r="A353" s="0" t="s">
        <v>522</v>
      </c>
      <c r="B353" s="0" t="s">
        <v>241</v>
      </c>
      <c r="C353" s="22" t="n">
        <f aca="false">a25_ai</f>
        <v>20.2797202797203</v>
      </c>
      <c r="D353" s="22" t="n">
        <f aca="false">D345+D352</f>
        <v>57.6</v>
      </c>
      <c r="E353" s="22" t="n">
        <f aca="false">E345+E352</f>
        <v>127.78604151119</v>
      </c>
      <c r="F353" s="22" t="n">
        <f aca="false">F345+F352</f>
        <v>160.46016481182</v>
      </c>
      <c r="G353" s="22" t="n">
        <f aca="false">G345+G352</f>
        <v>183.181365014484</v>
      </c>
    </row>
    <row r="354" customFormat="false" ht="15" hidden="false" customHeight="false" outlineLevel="0" collapsed="false">
      <c r="A354" s="0" t="s">
        <v>662</v>
      </c>
      <c r="B354" s="0" t="s">
        <v>46</v>
      </c>
      <c r="D354" s="16" t="n">
        <f aca="false">D345/D353</f>
        <v>0.694444444444444</v>
      </c>
      <c r="E354" s="16" t="n">
        <f aca="false">E345/E353</f>
        <v>0.705482981149383</v>
      </c>
      <c r="F354" s="16" t="n">
        <f aca="false">F345/F353</f>
        <v>0.720777583880377</v>
      </c>
      <c r="G354" s="16" t="n">
        <f aca="false">G345/G353</f>
        <v>0.711684110432483</v>
      </c>
    </row>
    <row r="355" customFormat="false" ht="17.15" hidden="false" customHeight="false" outlineLevel="0" collapsed="false">
      <c r="A355" s="5" t="s">
        <v>663</v>
      </c>
      <c r="B355" s="0" t="s">
        <v>241</v>
      </c>
      <c r="C355" s="22" t="n">
        <f aca="false">a25_nai</f>
        <v>16.5782797202797</v>
      </c>
      <c r="D355" s="22" t="n">
        <f aca="false">a26_nai</f>
        <v>16.863</v>
      </c>
      <c r="E355" s="22" t="n">
        <f aca="false">D355*(1+g_nai)</f>
        <v>17.36889</v>
      </c>
      <c r="F355" s="22" t="n">
        <f aca="false">E355*(1+g_nai)</f>
        <v>17.8899567</v>
      </c>
      <c r="G355" s="22" t="n">
        <f aca="false">F355*(1+g_nai)</f>
        <v>18.426655401</v>
      </c>
    </row>
    <row r="356" customFormat="false" ht="15" hidden="false" customHeight="false" outlineLevel="0" collapsed="false">
      <c r="A356" s="5" t="s">
        <v>664</v>
      </c>
      <c r="B356" s="0" t="s">
        <v>241</v>
      </c>
      <c r="C356" s="22" t="n">
        <f aca="false">a25_sw</f>
        <v>27.029</v>
      </c>
      <c r="D356" s="22" t="n">
        <f aca="false">a26_sw</f>
        <v>31.426</v>
      </c>
      <c r="E356" s="22" t="n">
        <f aca="false">D356*(1+g_sw27)</f>
        <v>35.19712</v>
      </c>
      <c r="F356" s="22" t="n">
        <f aca="false">E356*(1+g_sw)</f>
        <v>38.0128896</v>
      </c>
      <c r="G356" s="22" t="n">
        <f aca="false">F356*(1+g_sw)</f>
        <v>41.053920768</v>
      </c>
    </row>
    <row r="357" customFormat="false" ht="17.15" hidden="false" customHeight="false" outlineLevel="0" collapsed="false">
      <c r="A357" s="1" t="s">
        <v>665</v>
      </c>
    </row>
    <row r="358" customFormat="false" ht="15" hidden="false" customHeight="false" outlineLevel="0" collapsed="false">
      <c r="A358" s="5" t="s">
        <v>514</v>
      </c>
      <c r="B358" s="0" t="s">
        <v>241</v>
      </c>
      <c r="C358" s="22" t="n">
        <f aca="false">a25_rev</f>
        <v>63.887</v>
      </c>
      <c r="D358" s="22" t="n">
        <f aca="false">a26_rev</f>
        <v>105.889</v>
      </c>
      <c r="E358" s="22" t="n">
        <f aca="false">E353+E355+E356</f>
        <v>180.35205151119</v>
      </c>
      <c r="F358" s="22" t="n">
        <f aca="false">F353+F355+F356</f>
        <v>216.36301111182</v>
      </c>
      <c r="G358" s="22" t="n">
        <f aca="false">G353+G355+G356</f>
        <v>242.661941183484</v>
      </c>
    </row>
    <row r="359" customFormat="false" ht="17.15" hidden="false" customHeight="false" outlineLevel="0" collapsed="false">
      <c r="A359" s="5" t="s">
        <v>666</v>
      </c>
      <c r="B359" s="0" t="s">
        <v>241</v>
      </c>
      <c r="D359" s="22" t="n">
        <f aca="false">D353+D355+D356</f>
        <v>105.889</v>
      </c>
      <c r="E359" s="22" t="n">
        <f aca="false">E353+E355+E356</f>
        <v>180.35205151119</v>
      </c>
      <c r="F359" s="22" t="n">
        <f aca="false">F353+F355+F356</f>
        <v>216.36301111182</v>
      </c>
      <c r="G359" s="22" t="n">
        <f aca="false">G353+G355+G356</f>
        <v>242.661941183484</v>
      </c>
    </row>
    <row r="360" customFormat="false" ht="17.15" hidden="false" customHeight="false" outlineLevel="0" collapsed="false">
      <c r="A360" s="5" t="s">
        <v>667</v>
      </c>
      <c r="B360" s="0" t="s">
        <v>241</v>
      </c>
      <c r="C360" s="22" t="n">
        <f aca="false">C353+C355</f>
        <v>36.858</v>
      </c>
      <c r="D360" s="22" t="n">
        <f aca="false">D353+D355</f>
        <v>74.463</v>
      </c>
      <c r="E360" s="22" t="n">
        <f aca="false">E353+E355</f>
        <v>145.15493151119</v>
      </c>
      <c r="F360" s="22" t="n">
        <f aca="false">F353+F355</f>
        <v>178.35012151182</v>
      </c>
      <c r="G360" s="22" t="n">
        <f aca="false">G353+G355</f>
        <v>201.608020415484</v>
      </c>
      <c r="H360" s="5" t="s">
        <v>668</v>
      </c>
    </row>
    <row r="361" customFormat="false" ht="17.15" hidden="false" customHeight="false" outlineLevel="0" collapsed="false">
      <c r="A361" s="5" t="s">
        <v>669</v>
      </c>
      <c r="B361" s="0" t="s">
        <v>241</v>
      </c>
      <c r="C361" s="17" t="n">
        <f aca="false">C360+C356-C358</f>
        <v>0</v>
      </c>
      <c r="D361" s="17" t="n">
        <f aca="false">D360+D356-D358</f>
        <v>0</v>
      </c>
      <c r="E361" s="17" t="n">
        <f aca="false">E360+E356-E358</f>
        <v>0</v>
      </c>
      <c r="F361" s="17" t="n">
        <f aca="false">F360+F356-F358</f>
        <v>0</v>
      </c>
      <c r="G361" s="17" t="n">
        <f aca="false">G360+G356-G358</f>
        <v>0</v>
      </c>
    </row>
    <row r="362" customFormat="false" ht="15" hidden="false" customHeight="false" outlineLevel="0" collapsed="false">
      <c r="A362" s="5" t="s">
        <v>670</v>
      </c>
      <c r="B362" s="0" t="s">
        <v>46</v>
      </c>
      <c r="D362" s="16" t="n">
        <f aca="false">D358/C358-1</f>
        <v>0.657442046112668</v>
      </c>
      <c r="E362" s="16" t="n">
        <f aca="false">E358/D358-1</f>
        <v>0.703218006697482</v>
      </c>
      <c r="F362" s="16" t="n">
        <f aca="false">F358/E358-1</f>
        <v>0.199670363042122</v>
      </c>
      <c r="G362" s="16" t="n">
        <f aca="false">G358/F358-1</f>
        <v>0.121550028059426</v>
      </c>
    </row>
    <row r="363" customFormat="false" ht="17.15" hidden="false" customHeight="false" outlineLevel="0" collapsed="false">
      <c r="A363" s="0" t="s">
        <v>671</v>
      </c>
      <c r="B363" s="0" t="s">
        <v>46</v>
      </c>
      <c r="C363" s="16" t="n">
        <f aca="false">C353/C358</f>
        <v>0.317431093645347</v>
      </c>
      <c r="D363" s="16" t="n">
        <f aca="false">D353/D358</f>
        <v>0.543965851032685</v>
      </c>
      <c r="E363" s="16" t="n">
        <f aca="false">E353/E358</f>
        <v>0.708536667259709</v>
      </c>
      <c r="F363" s="16" t="n">
        <f aca="false">F353/F358</f>
        <v>0.74162475363634</v>
      </c>
      <c r="G363" s="16" t="n">
        <f aca="false">G353/G358</f>
        <v>0.754882962367696</v>
      </c>
    </row>
    <row r="364" customFormat="false" ht="17.15" hidden="false" customHeight="false" outlineLevel="0" collapsed="false">
      <c r="A364" s="5" t="s">
        <v>672</v>
      </c>
      <c r="B364" s="0" t="s">
        <v>241</v>
      </c>
      <c r="D364" s="22" t="n">
        <f aca="false">gm_net*D352+gm_nai*D355+gm_sw*D356+m_hbm*D346</f>
        <v>53.5556843200462</v>
      </c>
      <c r="E364" s="22" t="n">
        <f aca="false">gm_net*E352+gm_nai*E355+gm_sw*E356+m_hbm*E346</f>
        <v>74.1423331830163</v>
      </c>
      <c r="F364" s="22" t="n">
        <f aca="false">gm_net*F352+gm_nai*F355+gm_sw*F356+m_hbm*F346</f>
        <v>83.8258915167502</v>
      </c>
      <c r="G364" s="22" t="n">
        <f aca="false">gm_net*G352+gm_nai*G355+gm_sw*G356+m_hbm*G346</f>
        <v>93.1943725341017</v>
      </c>
    </row>
    <row r="365" customFormat="false" ht="17.15" hidden="false" customHeight="false" outlineLevel="0" collapsed="false">
      <c r="A365" s="0" t="s">
        <v>673</v>
      </c>
      <c r="B365" s="0" t="s">
        <v>131</v>
      </c>
      <c r="D365" s="17" t="n">
        <f aca="false">(a26_gp-D364)/D347</f>
        <v>0.787550884757324</v>
      </c>
      <c r="H365" s="8" t="s">
        <v>674</v>
      </c>
    </row>
    <row r="366" customFormat="false" ht="15" hidden="false" customHeight="false" outlineLevel="0" collapsed="false">
      <c r="A366" s="5" t="s">
        <v>675</v>
      </c>
      <c r="B366" s="0" t="s">
        <v>241</v>
      </c>
      <c r="C366" s="22" t="n">
        <f aca="false">a25_gp</f>
        <v>50.245</v>
      </c>
      <c r="D366" s="22" t="n">
        <f aca="false">a26_gp</f>
        <v>79.572</v>
      </c>
      <c r="E366" s="22" t="n">
        <f aca="false">E364+$D$365*E347</f>
        <v>121.341618169116</v>
      </c>
      <c r="F366" s="22" t="n">
        <f aca="false">F364+$D$365*F347</f>
        <v>138.78993872792</v>
      </c>
      <c r="G366" s="22" t="n">
        <f aca="false">G364+$D$365*G347</f>
        <v>156.403026826947</v>
      </c>
    </row>
    <row r="367" customFormat="false" ht="15" hidden="false" customHeight="false" outlineLevel="0" collapsed="false">
      <c r="A367" s="5" t="s">
        <v>533</v>
      </c>
      <c r="B367" s="0" t="s">
        <v>46</v>
      </c>
      <c r="C367" s="16" t="n">
        <f aca="false">C366/C358</f>
        <v>0.786466730320723</v>
      </c>
      <c r="D367" s="16" t="n">
        <f aca="false">D366/D358</f>
        <v>0.751466157957862</v>
      </c>
      <c r="E367" s="16" t="n">
        <f aca="false">E366/E358</f>
        <v>0.672804202405138</v>
      </c>
      <c r="F367" s="16" t="n">
        <f aca="false">F366/F358</f>
        <v>0.641467957090831</v>
      </c>
      <c r="G367" s="16" t="n">
        <f aca="false">G366/G358</f>
        <v>0.644530518729701</v>
      </c>
    </row>
    <row r="368" customFormat="false" ht="17.15" hidden="false" customHeight="false" outlineLevel="0" collapsed="false">
      <c r="A368" s="5" t="s">
        <v>676</v>
      </c>
      <c r="B368" s="0" t="s">
        <v>46</v>
      </c>
      <c r="D368" s="16" t="n">
        <f aca="false">D346/D358</f>
        <v>0.0657815561622258</v>
      </c>
      <c r="E368" s="16" t="n">
        <f aca="false">E346/E358</f>
        <v>0.167556453067524</v>
      </c>
      <c r="F368" s="16" t="n">
        <f aca="false">F346/F358</f>
        <v>0.211981631018668</v>
      </c>
      <c r="G368" s="16" t="n">
        <f aca="false">G346/G358</f>
        <v>0.206490950999846</v>
      </c>
    </row>
    <row r="369" customFormat="false" ht="15" hidden="false" customHeight="false" outlineLevel="0" collapsed="false">
      <c r="A369" s="5" t="s">
        <v>677</v>
      </c>
      <c r="B369" s="0" t="s">
        <v>241</v>
      </c>
      <c r="C369" s="24" t="n">
        <f aca="false">a25_opx</f>
        <v>8.248</v>
      </c>
      <c r="D369" s="24" t="n">
        <f aca="false">a26_opx</f>
        <v>8.755</v>
      </c>
      <c r="E369" s="24" t="n">
        <f aca="false">D369*(1+MAX(g_opx_min,phi*E362))</f>
        <v>9.37066736486364</v>
      </c>
      <c r="F369" s="24" t="n">
        <f aca="false">E369*(1+MAX(g_opx_min,phi*F362))</f>
        <v>9.65178738580955</v>
      </c>
      <c r="G369" s="24" t="n">
        <f aca="false">F369*(1+MAX(g_opx_min,phi*G362))</f>
        <v>9.94134100738384</v>
      </c>
    </row>
    <row r="370" customFormat="false" ht="15" hidden="false" customHeight="false" outlineLevel="0" collapsed="false">
      <c r="A370" s="5" t="s">
        <v>678</v>
      </c>
      <c r="B370" s="0" t="s">
        <v>241</v>
      </c>
      <c r="C370" s="24" t="n">
        <f aca="false">C369</f>
        <v>8.248</v>
      </c>
      <c r="D370" s="24" t="n">
        <f aca="false">D369</f>
        <v>8.755</v>
      </c>
      <c r="E370" s="24" t="n">
        <f aca="false">E369+0*E358</f>
        <v>9.37066736486364</v>
      </c>
      <c r="F370" s="24" t="n">
        <f aca="false">F369+0*F358</f>
        <v>9.65178738580955</v>
      </c>
      <c r="G370" s="24" t="n">
        <f aca="false">G369+0*G358</f>
        <v>9.94134100738384</v>
      </c>
    </row>
    <row r="371" customFormat="false" ht="15" hidden="false" customHeight="false" outlineLevel="0" collapsed="false">
      <c r="A371" s="5" t="s">
        <v>679</v>
      </c>
      <c r="B371" s="0" t="s">
        <v>241</v>
      </c>
      <c r="C371" s="22" t="n">
        <f aca="false">C366-C370</f>
        <v>41.997</v>
      </c>
      <c r="D371" s="22" t="n">
        <f aca="false">D366-D370</f>
        <v>70.817</v>
      </c>
      <c r="E371" s="22" t="n">
        <f aca="false">E366-E370</f>
        <v>111.970950804253</v>
      </c>
      <c r="F371" s="22" t="n">
        <f aca="false">F366-F370</f>
        <v>129.138151342111</v>
      </c>
      <c r="G371" s="22" t="n">
        <f aca="false">G366-G370</f>
        <v>146.461685819563</v>
      </c>
    </row>
    <row r="372" customFormat="false" ht="15" hidden="false" customHeight="false" outlineLevel="0" collapsed="false">
      <c r="A372" s="5" t="s">
        <v>538</v>
      </c>
      <c r="B372" s="0" t="s">
        <v>46</v>
      </c>
      <c r="C372" s="16" t="n">
        <f aca="false">C371/C358</f>
        <v>0.657363782929235</v>
      </c>
      <c r="D372" s="16" t="n">
        <f aca="false">D371/D358</f>
        <v>0.66878523737121</v>
      </c>
      <c r="E372" s="16" t="n">
        <f aca="false">E371/E358</f>
        <v>0.620846560191779</v>
      </c>
      <c r="F372" s="16" t="n">
        <f aca="false">F371/F358</f>
        <v>0.59685872681523</v>
      </c>
      <c r="G372" s="16" t="n">
        <f aca="false">G371/G358</f>
        <v>0.60356265636571</v>
      </c>
    </row>
    <row r="373" customFormat="false" ht="15" hidden="false" customHeight="false" outlineLevel="0" collapsed="false">
      <c r="A373" s="5" t="s">
        <v>680</v>
      </c>
      <c r="B373" s="0" t="s">
        <v>241</v>
      </c>
      <c r="C373" s="19" t="n">
        <f aca="false">a25_int</f>
        <v>3.072</v>
      </c>
      <c r="D373" s="19" t="n">
        <f aca="false">a26_int</f>
        <v>2.894</v>
      </c>
      <c r="E373" s="19" t="n">
        <f aca="false">int_f</f>
        <v>2.8</v>
      </c>
      <c r="F373" s="19" t="n">
        <f aca="false">int_f</f>
        <v>2.8</v>
      </c>
      <c r="G373" s="19" t="n">
        <f aca="false">int_f</f>
        <v>2.8</v>
      </c>
    </row>
    <row r="374" customFormat="false" ht="15" hidden="false" customHeight="false" outlineLevel="0" collapsed="false">
      <c r="A374" s="5" t="s">
        <v>681</v>
      </c>
      <c r="B374" s="0" t="s">
        <v>241</v>
      </c>
      <c r="C374" s="19" t="n">
        <f aca="false">a25_oth</f>
        <v>0.294</v>
      </c>
      <c r="D374" s="19" t="n">
        <f aca="false">a26_oth</f>
        <v>0.434</v>
      </c>
      <c r="E374" s="19" t="n">
        <f aca="false">oth_f</f>
        <v>0.4</v>
      </c>
      <c r="F374" s="19" t="n">
        <f aca="false">oth_f</f>
        <v>0.4</v>
      </c>
      <c r="G374" s="19" t="n">
        <f aca="false">oth_f</f>
        <v>0.4</v>
      </c>
    </row>
    <row r="375" customFormat="false" ht="15" hidden="false" customHeight="false" outlineLevel="0" collapsed="false">
      <c r="A375" s="5" t="s">
        <v>543</v>
      </c>
      <c r="B375" s="0" t="s">
        <v>46</v>
      </c>
      <c r="C375" s="16" t="n">
        <f aca="false">a25_tax/(a25_oi-a25_int+a25_oth)</f>
        <v>0.140008669267447</v>
      </c>
      <c r="D375" s="16" t="n">
        <f aca="false">a26_tax/(a26_oi-a26_int+a26_oth)</f>
        <v>0.159996489020876</v>
      </c>
      <c r="E375" s="16" t="n">
        <f aca="false">tx_f</f>
        <v>0.16</v>
      </c>
      <c r="F375" s="16" t="n">
        <f aca="false">tx_f</f>
        <v>0.16</v>
      </c>
      <c r="G375" s="16" t="n">
        <f aca="false">tx_f</f>
        <v>0.16</v>
      </c>
    </row>
    <row r="376" customFormat="false" ht="17.15" hidden="false" customHeight="false" outlineLevel="0" collapsed="false">
      <c r="A376" s="5" t="s">
        <v>630</v>
      </c>
      <c r="B376" s="0" t="s">
        <v>241</v>
      </c>
      <c r="C376" s="22" t="n">
        <f aca="false">a25_ni</f>
        <v>33.728</v>
      </c>
      <c r="D376" s="22" t="n">
        <f aca="false">a26_ni</f>
        <v>57.42012</v>
      </c>
      <c r="E376" s="22" t="n">
        <f aca="false">(E371-E373+E374)*(1-E375)</f>
        <v>92.0395986755722</v>
      </c>
      <c r="F376" s="22" t="n">
        <f aca="false">(F371-F373+F374)*(1-F375)</f>
        <v>106.460047127373</v>
      </c>
      <c r="G376" s="22" t="n">
        <f aca="false">(G371-G373+G374)*(1-G375)</f>
        <v>121.011816088433</v>
      </c>
    </row>
    <row r="377" customFormat="false" ht="15" hidden="false" customHeight="false" outlineLevel="0" collapsed="false">
      <c r="A377" s="5" t="s">
        <v>682</v>
      </c>
      <c r="B377" s="5" t="s">
        <v>304</v>
      </c>
      <c r="C377" s="17" t="n">
        <f aca="false">a25_sh</f>
        <v>4.943</v>
      </c>
      <c r="D377" s="17" t="n">
        <f aca="false">a26_sh</f>
        <v>4.9435</v>
      </c>
      <c r="E377" s="17" t="n">
        <f aca="false">D377*(1+sh_g)</f>
        <v>4.9187825</v>
      </c>
      <c r="F377" s="17" t="n">
        <f aca="false">E377*(1+sh_g)</f>
        <v>4.8941885875</v>
      </c>
      <c r="G377" s="17" t="n">
        <f aca="false">F377*(1+sh_g)</f>
        <v>4.8697176445625</v>
      </c>
    </row>
    <row r="378" customFormat="false" ht="17.15" hidden="false" customHeight="false" outlineLevel="0" collapsed="false">
      <c r="A378" s="0" t="s">
        <v>631</v>
      </c>
      <c r="B378" s="0" t="s">
        <v>354</v>
      </c>
      <c r="C378" s="19" t="n">
        <f aca="false">C376/C377</f>
        <v>6.82338660732349</v>
      </c>
      <c r="D378" s="19" t="n">
        <f aca="false">D376/D377</f>
        <v>11.6152766258724</v>
      </c>
      <c r="E378" s="19" t="n">
        <f aca="false">E376/E377</f>
        <v>18.7118659293376</v>
      </c>
      <c r="F378" s="19" t="n">
        <f aca="false">F376/F377</f>
        <v>21.7523385590979</v>
      </c>
      <c r="G378" s="19" t="n">
        <f aca="false">G376/G377</f>
        <v>24.8498629532565</v>
      </c>
    </row>
    <row r="379" customFormat="false" ht="17.15" hidden="false" customHeight="false" outlineLevel="0" collapsed="false">
      <c r="A379" s="0" t="s">
        <v>683</v>
      </c>
      <c r="B379" s="0" t="s">
        <v>46</v>
      </c>
      <c r="D379" s="16" t="n">
        <f aca="false">D378/C378-1</f>
        <v>0.702274441463682</v>
      </c>
      <c r="E379" s="16" t="n">
        <f aca="false">E378/D378-1</f>
        <v>0.610970322278683</v>
      </c>
      <c r="F379" s="16" t="n">
        <f aca="false">F378/E378-1</f>
        <v>0.162489013187785</v>
      </c>
      <c r="G379" s="16" t="n">
        <f aca="false">G378/F378-1</f>
        <v>0.142399603874458</v>
      </c>
    </row>
    <row r="382" customFormat="false" ht="17.15" hidden="false" customHeight="false" outlineLevel="0" collapsed="false">
      <c r="A382" s="3" t="s">
        <v>1058</v>
      </c>
    </row>
    <row r="383" customFormat="false" ht="17.15" hidden="false" customHeight="false" outlineLevel="0" collapsed="false">
      <c r="A383" s="6" t="s">
        <v>24</v>
      </c>
      <c r="B383" s="6" t="s">
        <v>25</v>
      </c>
      <c r="C383" s="13" t="s">
        <v>507</v>
      </c>
      <c r="D383" s="13" t="s">
        <v>621</v>
      </c>
      <c r="E383" s="13" t="s">
        <v>622</v>
      </c>
      <c r="F383" s="13" t="s">
        <v>623</v>
      </c>
      <c r="G383" s="13" t="s">
        <v>624</v>
      </c>
      <c r="H383" s="6" t="s">
        <v>480</v>
      </c>
    </row>
    <row r="384" customFormat="false" ht="17.15" hidden="false" customHeight="false" outlineLevel="0" collapsed="false">
      <c r="A384" s="1" t="s">
        <v>639</v>
      </c>
    </row>
    <row r="385" customFormat="false" ht="17.15" hidden="false" customHeight="false" outlineLevel="0" collapsed="false">
      <c r="A385" s="0" t="s">
        <v>640</v>
      </c>
      <c r="B385" s="5" t="s">
        <v>35</v>
      </c>
      <c r="D385" s="19" t="n">
        <f aca="false">u_tpu_26</f>
        <v>3.85</v>
      </c>
      <c r="E385" s="19" t="n">
        <f aca="false">u_tpu_27</f>
        <v>5.5</v>
      </c>
      <c r="F385" s="19" t="n">
        <f aca="false">u_tpu_28*um28_A</f>
        <v>7</v>
      </c>
      <c r="G385" s="19" t="n">
        <f aca="false">u_tpu_28*(1+g29_tpu)*um29_A</f>
        <v>8.05</v>
      </c>
    </row>
    <row r="386" customFormat="false" ht="17.15" hidden="false" customHeight="false" outlineLevel="0" collapsed="false">
      <c r="A386" s="5" t="s">
        <v>641</v>
      </c>
      <c r="B386" s="5" t="s">
        <v>35</v>
      </c>
      <c r="D386" s="19" t="n">
        <f aca="false">u_oth_26</f>
        <v>1</v>
      </c>
      <c r="E386" s="19" t="n">
        <f aca="false">u_oth_27</f>
        <v>4.5</v>
      </c>
      <c r="F386" s="19" t="n">
        <f aca="false">u_oth_28*um28_A</f>
        <v>5</v>
      </c>
      <c r="G386" s="19" t="n">
        <f aca="false">u_oth_28*(1+g29_oth)*um29_A</f>
        <v>5.75</v>
      </c>
    </row>
    <row r="387" customFormat="false" ht="17.15" hidden="false" customHeight="false" outlineLevel="0" collapsed="false">
      <c r="A387" s="0" t="s">
        <v>566</v>
      </c>
      <c r="B387" s="0" t="s">
        <v>46</v>
      </c>
      <c r="D387" s="16" t="n">
        <f aca="false">sh_tpu_26</f>
        <v>0.9</v>
      </c>
      <c r="E387" s="16" t="n">
        <f aca="false">MIN(1,MAX(0,sh_tpu_27+0))</f>
        <v>0.8</v>
      </c>
      <c r="F387" s="16" t="n">
        <f aca="false">MIN(1,MAX(0,sh_tpu_28+0))</f>
        <v>0.75</v>
      </c>
      <c r="G387" s="16" t="n">
        <f aca="false">MIN(1,MAX(0,sh_tpu_28+0))</f>
        <v>0.75</v>
      </c>
    </row>
    <row r="388" customFormat="false" ht="17.15" hidden="false" customHeight="false" outlineLevel="0" collapsed="false">
      <c r="A388" s="0" t="s">
        <v>578</v>
      </c>
      <c r="B388" s="0" t="s">
        <v>46</v>
      </c>
      <c r="D388" s="16" t="n">
        <f aca="false">sh_oth_26</f>
        <v>0.35</v>
      </c>
      <c r="E388" s="16" t="n">
        <f aca="false">MIN(1,MAX(0,sh_oth_27+0))</f>
        <v>0.55</v>
      </c>
      <c r="F388" s="16" t="n">
        <f aca="false">MIN(1,MAX(0,sh_oth_28+0))</f>
        <v>0.55</v>
      </c>
      <c r="G388" s="16" t="n">
        <f aca="false">MIN(1,MAX(0,sh_oth_28+0))</f>
        <v>0.55</v>
      </c>
    </row>
    <row r="389" customFormat="false" ht="17.15" hidden="false" customHeight="false" outlineLevel="0" collapsed="false">
      <c r="A389" s="0" t="s">
        <v>568</v>
      </c>
      <c r="B389" s="5" t="s">
        <v>35</v>
      </c>
      <c r="D389" s="19" t="n">
        <f aca="false">D385*D387</f>
        <v>3.465</v>
      </c>
      <c r="E389" s="19" t="n">
        <f aca="false">E385*E387*1</f>
        <v>4.4</v>
      </c>
      <c r="F389" s="19" t="n">
        <f aca="false">F385*F387*1</f>
        <v>5.25</v>
      </c>
      <c r="G389" s="19" t="n">
        <f aca="false">G385*G387*1</f>
        <v>6.0375</v>
      </c>
    </row>
    <row r="390" customFormat="false" ht="17.15" hidden="false" customHeight="false" outlineLevel="0" collapsed="false">
      <c r="A390" s="0" t="s">
        <v>579</v>
      </c>
      <c r="B390" s="5" t="s">
        <v>35</v>
      </c>
      <c r="D390" s="19" t="n">
        <f aca="false">D386*D388</f>
        <v>0.35</v>
      </c>
      <c r="E390" s="19" t="n">
        <f aca="false">E386*E388*1</f>
        <v>2.475</v>
      </c>
      <c r="F390" s="19" t="n">
        <f aca="false">F386*F388*1</f>
        <v>2.75</v>
      </c>
      <c r="G390" s="19" t="n">
        <f aca="false">G386*G388*1</f>
        <v>3.1625</v>
      </c>
    </row>
    <row r="391" customFormat="false" ht="17.15" hidden="false" customHeight="false" outlineLevel="0" collapsed="false">
      <c r="A391" s="5" t="s">
        <v>570</v>
      </c>
      <c r="B391" s="0" t="s">
        <v>151</v>
      </c>
      <c r="D391" s="20" t="n">
        <f aca="false">gb_tpu_26</f>
        <v>192</v>
      </c>
      <c r="E391" s="20" t="n">
        <f aca="false">gb_tpu_27</f>
        <v>250</v>
      </c>
      <c r="F391" s="20" t="n">
        <f aca="false">gb_tpu_28</f>
        <v>288</v>
      </c>
      <c r="G391" s="20" t="n">
        <f aca="false">gb_tpu_28</f>
        <v>288</v>
      </c>
    </row>
    <row r="392" customFormat="false" ht="17.15" hidden="false" customHeight="false" outlineLevel="0" collapsed="false">
      <c r="A392" s="5" t="s">
        <v>580</v>
      </c>
      <c r="B392" s="0" t="s">
        <v>151</v>
      </c>
      <c r="D392" s="20" t="n">
        <f aca="false">gb_oth_26</f>
        <v>150</v>
      </c>
      <c r="E392" s="20" t="n">
        <f aca="false">gb_oth_27</f>
        <v>200</v>
      </c>
      <c r="F392" s="20" t="n">
        <f aca="false">gb_oth_28</f>
        <v>250</v>
      </c>
      <c r="G392" s="20" t="n">
        <f aca="false">gb_oth_28</f>
        <v>250</v>
      </c>
    </row>
    <row r="393" customFormat="false" ht="17.15" hidden="false" customHeight="false" outlineLevel="0" collapsed="false">
      <c r="A393" s="0" t="s">
        <v>642</v>
      </c>
      <c r="B393" s="0" t="s">
        <v>210</v>
      </c>
      <c r="D393" s="19" t="n">
        <f aca="false">hbm_A_26</f>
        <v>14.6</v>
      </c>
      <c r="E393" s="19" t="n">
        <f aca="false">hbm_A_27</f>
        <v>26.28</v>
      </c>
      <c r="F393" s="19" t="n">
        <f aca="false">hbm_A_28</f>
        <v>28.908</v>
      </c>
      <c r="G393" s="19" t="n">
        <f aca="false">hbm_A_29</f>
        <v>27.4626</v>
      </c>
    </row>
    <row r="394" customFormat="false" ht="17.15" hidden="false" customHeight="false" outlineLevel="0" collapsed="false">
      <c r="A394" s="5" t="s">
        <v>643</v>
      </c>
      <c r="B394" s="0" t="s">
        <v>188</v>
      </c>
      <c r="D394" s="19" t="n">
        <f aca="false">core_tpu</f>
        <v>8</v>
      </c>
      <c r="E394" s="19" t="n">
        <f aca="false">core_tpu*pfc_lo</f>
        <v>6.4</v>
      </c>
      <c r="F394" s="19" t="n">
        <f aca="false">core_tpu*pfc_lo</f>
        <v>6.4</v>
      </c>
      <c r="G394" s="19" t="n">
        <f aca="false">core_tpu*pfc_lo</f>
        <v>6.4</v>
      </c>
    </row>
    <row r="395" customFormat="false" ht="17.15" hidden="false" customHeight="false" outlineLevel="0" collapsed="false">
      <c r="A395" s="5" t="s">
        <v>644</v>
      </c>
      <c r="B395" s="0" t="s">
        <v>188</v>
      </c>
      <c r="D395" s="19" t="n">
        <f aca="false">core_oth</f>
        <v>6</v>
      </c>
      <c r="E395" s="19" t="n">
        <f aca="false">core_oth*pfc_lo</f>
        <v>4.8</v>
      </c>
      <c r="F395" s="19" t="n">
        <f aca="false">core_oth*pfc_lo</f>
        <v>4.8</v>
      </c>
      <c r="G395" s="19" t="n">
        <f aca="false">core_oth*pfc_lo</f>
        <v>4.8</v>
      </c>
    </row>
    <row r="396" customFormat="false" ht="17.15" hidden="false" customHeight="false" outlineLevel="0" collapsed="false">
      <c r="A396" s="5" t="s">
        <v>645</v>
      </c>
      <c r="B396" s="0" t="s">
        <v>188</v>
      </c>
      <c r="D396" s="19" t="n">
        <f aca="false">D391*D393/1000</f>
        <v>2.8032</v>
      </c>
      <c r="E396" s="19" t="n">
        <f aca="false">E391*E393/1000</f>
        <v>6.57</v>
      </c>
      <c r="F396" s="19" t="n">
        <f aca="false">F391*F393/1000</f>
        <v>8.325504</v>
      </c>
      <c r="G396" s="19" t="n">
        <f aca="false">G391*G393/1000</f>
        <v>7.9092288</v>
      </c>
    </row>
    <row r="397" customFormat="false" ht="17.15" hidden="false" customHeight="false" outlineLevel="0" collapsed="false">
      <c r="A397" s="5" t="s">
        <v>646</v>
      </c>
      <c r="B397" s="0" t="s">
        <v>188</v>
      </c>
      <c r="D397" s="19" t="n">
        <f aca="false">D392*D393/1000</f>
        <v>2.19</v>
      </c>
      <c r="E397" s="19" t="n">
        <f aca="false">E392*E393/1000</f>
        <v>5.256</v>
      </c>
      <c r="F397" s="19" t="n">
        <f aca="false">F392*F393/1000</f>
        <v>7.227</v>
      </c>
      <c r="G397" s="19" t="n">
        <f aca="false">G392*G393/1000</f>
        <v>6.86565</v>
      </c>
    </row>
    <row r="398" customFormat="false" ht="17.15" hidden="false" customHeight="false" outlineLevel="0" collapsed="false">
      <c r="A398" s="5" t="s">
        <v>647</v>
      </c>
      <c r="B398" s="0" t="s">
        <v>188</v>
      </c>
      <c r="D398" s="19" t="n">
        <f aca="false">D394+f_hbm*D396</f>
        <v>9.68192</v>
      </c>
      <c r="E398" s="19" t="n">
        <f aca="false">E394+f_hbm*E396</f>
        <v>10.342</v>
      </c>
      <c r="F398" s="19" t="n">
        <f aca="false">F394+f_hbm*F396</f>
        <v>11.3953024</v>
      </c>
      <c r="G398" s="19" t="n">
        <f aca="false">G394+f_hbm*G396</f>
        <v>11.14553728</v>
      </c>
      <c r="H398" s="5" t="s">
        <v>648</v>
      </c>
    </row>
    <row r="399" customFormat="false" ht="17.15" hidden="false" customHeight="false" outlineLevel="0" collapsed="false">
      <c r="A399" s="5" t="s">
        <v>649</v>
      </c>
      <c r="B399" s="0" t="s">
        <v>188</v>
      </c>
      <c r="D399" s="19" t="n">
        <f aca="false">D395+f_hbm*D397</f>
        <v>7.314</v>
      </c>
      <c r="E399" s="19" t="n">
        <f aca="false">E395+f_hbm*E397</f>
        <v>7.9536</v>
      </c>
      <c r="F399" s="19" t="n">
        <f aca="false">F395+f_hbm*F397</f>
        <v>9.1362</v>
      </c>
      <c r="G399" s="19" t="n">
        <f aca="false">G395+f_hbm*G397</f>
        <v>8.91939</v>
      </c>
    </row>
    <row r="400" customFormat="false" ht="17.15" hidden="false" customHeight="false" outlineLevel="0" collapsed="false">
      <c r="A400" s="0" t="s">
        <v>650</v>
      </c>
      <c r="B400" s="0" t="s">
        <v>241</v>
      </c>
      <c r="D400" s="22" t="n">
        <f aca="false">D389*D398+D390*D399</f>
        <v>36.1077528</v>
      </c>
      <c r="E400" s="22" t="n">
        <f aca="false">E389*E398+E390*E399</f>
        <v>65.18996</v>
      </c>
      <c r="F400" s="22" t="n">
        <f aca="false">F389*F398+F390*F399</f>
        <v>84.9498876</v>
      </c>
      <c r="G400" s="22" t="n">
        <f aca="false">G389*G398+G390*G399</f>
        <v>95.498752203</v>
      </c>
    </row>
    <row r="401" customFormat="false" ht="17.15" hidden="false" customHeight="false" outlineLevel="0" collapsed="false">
      <c r="A401" s="0" t="s">
        <v>651</v>
      </c>
      <c r="B401" s="0" t="s">
        <v>131</v>
      </c>
      <c r="D401" s="17" t="n">
        <f aca="false">a26_xpu/D400</f>
        <v>1.10779533197646</v>
      </c>
      <c r="H401" s="8" t="s">
        <v>652</v>
      </c>
    </row>
    <row r="402" customFormat="false" ht="17.15" hidden="false" customHeight="false" outlineLevel="0" collapsed="false">
      <c r="A402" s="0" t="s">
        <v>653</v>
      </c>
      <c r="B402" s="0" t="s">
        <v>241</v>
      </c>
      <c r="D402" s="22" t="n">
        <f aca="false">D400*$D$401</f>
        <v>40</v>
      </c>
      <c r="E402" s="22" t="n">
        <f aca="false">E400*$D$401</f>
        <v>72.2171333797322</v>
      </c>
      <c r="F402" s="22" t="n">
        <f aca="false">F400*$D$401</f>
        <v>94.1070889352051</v>
      </c>
      <c r="G402" s="22" t="n">
        <f aca="false">G400*$D$401</f>
        <v>105.79307190006</v>
      </c>
    </row>
    <row r="403" customFormat="false" ht="17.15" hidden="false" customHeight="false" outlineLevel="0" collapsed="false">
      <c r="A403" s="5" t="s">
        <v>654</v>
      </c>
      <c r="B403" s="0" t="s">
        <v>241</v>
      </c>
      <c r="D403" s="22" t="n">
        <f aca="false">$D$401*f_hbm*(D389*D396+D390*D397)</f>
        <v>6.96554320046192</v>
      </c>
      <c r="E403" s="22" t="n">
        <f aca="false">$D$401*f_hbm*(E389*E396+E390*E397)</f>
        <v>27.8610082873947</v>
      </c>
      <c r="F403" s="22" t="n">
        <f aca="false">$D$401*f_hbm*(F389*F396+F390*F397)</f>
        <v>42.2622673987067</v>
      </c>
      <c r="G403" s="22" t="n">
        <f aca="false">$D$401*f_hbm*(G389*G396+G390*G397)</f>
        <v>46.171527133087</v>
      </c>
    </row>
    <row r="404" customFormat="false" ht="15" hidden="false" customHeight="false" outlineLevel="0" collapsed="false">
      <c r="A404" s="5" t="s">
        <v>655</v>
      </c>
      <c r="B404" s="0" t="s">
        <v>241</v>
      </c>
      <c r="D404" s="22" t="n">
        <f aca="false">D402-D403</f>
        <v>33.0344567995381</v>
      </c>
      <c r="E404" s="22" t="n">
        <f aca="false">E402-E403</f>
        <v>44.3561250923375</v>
      </c>
      <c r="F404" s="22" t="n">
        <f aca="false">F402-F403</f>
        <v>51.8448215364984</v>
      </c>
      <c r="G404" s="22" t="n">
        <f aca="false">G402-G403</f>
        <v>59.6215447669731</v>
      </c>
    </row>
    <row r="405" customFormat="false" ht="17.15" hidden="false" customHeight="false" outlineLevel="0" collapsed="false">
      <c r="A405" s="0" t="s">
        <v>656</v>
      </c>
      <c r="B405" s="5" t="s">
        <v>35</v>
      </c>
      <c r="D405" s="19" t="n">
        <f aca="false">D389+D390</f>
        <v>3.815</v>
      </c>
      <c r="E405" s="19" t="n">
        <f aca="false">E389+E390</f>
        <v>6.875</v>
      </c>
      <c r="F405" s="19" t="n">
        <f aca="false">F389+F390</f>
        <v>8</v>
      </c>
      <c r="G405" s="19" t="n">
        <f aca="false">G389+G390</f>
        <v>9.2</v>
      </c>
    </row>
    <row r="406" customFormat="false" ht="17.15" hidden="false" customHeight="false" outlineLevel="0" collapsed="false">
      <c r="A406" s="1" t="s">
        <v>657</v>
      </c>
    </row>
    <row r="407" customFormat="false" ht="17.15" hidden="false" customHeight="false" outlineLevel="0" collapsed="false">
      <c r="A407" s="0" t="s">
        <v>658</v>
      </c>
      <c r="B407" s="0" t="s">
        <v>241</v>
      </c>
      <c r="D407" s="22" t="n">
        <f aca="false">net_26*1</f>
        <v>12.6075726</v>
      </c>
      <c r="E407" s="22" t="n">
        <f aca="false">net_27*1*1</f>
        <v>26.959549</v>
      </c>
      <c r="F407" s="22" t="n">
        <f aca="false">net_28*um28_A*1</f>
        <v>32.094922</v>
      </c>
      <c r="G407" s="22" t="n">
        <f aca="false">net_29*um29_A*1</f>
        <v>37.8328169</v>
      </c>
    </row>
    <row r="408" customFormat="false" ht="17.15" hidden="false" customHeight="false" outlineLevel="0" collapsed="false">
      <c r="A408" s="5" t="s">
        <v>659</v>
      </c>
      <c r="B408" s="0" t="s">
        <v>131</v>
      </c>
      <c r="D408" s="17" t="n">
        <f aca="false">a26_net/D407</f>
        <v>1.39598640899359</v>
      </c>
      <c r="H408" s="8" t="s">
        <v>660</v>
      </c>
    </row>
    <row r="409" customFormat="false" ht="17.15" hidden="false" customHeight="false" outlineLevel="0" collapsed="false">
      <c r="A409" s="0" t="s">
        <v>661</v>
      </c>
      <c r="B409" s="0" t="s">
        <v>241</v>
      </c>
      <c r="D409" s="22" t="n">
        <f aca="false">D407*$D$408</f>
        <v>17.6</v>
      </c>
      <c r="E409" s="22" t="n">
        <f aca="false">E407*$D$408</f>
        <v>37.6351639965968</v>
      </c>
      <c r="F409" s="22" t="n">
        <f aca="false">F407*$D$408</f>
        <v>44.8040749097094</v>
      </c>
      <c r="G409" s="22" t="n">
        <f aca="false">G407*$D$408</f>
        <v>52.8140982063431</v>
      </c>
    </row>
    <row r="410" customFormat="false" ht="17.15" hidden="false" customHeight="false" outlineLevel="0" collapsed="false">
      <c r="A410" s="0" t="s">
        <v>522</v>
      </c>
      <c r="B410" s="0" t="s">
        <v>241</v>
      </c>
      <c r="C410" s="22" t="n">
        <f aca="false">a25_ai</f>
        <v>20.2797202797203</v>
      </c>
      <c r="D410" s="22" t="n">
        <f aca="false">D402+D409</f>
        <v>57.6</v>
      </c>
      <c r="E410" s="22" t="n">
        <f aca="false">E402+E409</f>
        <v>109.852297376329</v>
      </c>
      <c r="F410" s="22" t="n">
        <f aca="false">F402+F409</f>
        <v>138.911163844914</v>
      </c>
      <c r="G410" s="22" t="n">
        <f aca="false">G402+G409</f>
        <v>158.607170106403</v>
      </c>
    </row>
    <row r="411" customFormat="false" ht="15" hidden="false" customHeight="false" outlineLevel="0" collapsed="false">
      <c r="A411" s="0" t="s">
        <v>662</v>
      </c>
      <c r="B411" s="0" t="s">
        <v>46</v>
      </c>
      <c r="D411" s="16" t="n">
        <f aca="false">D402/D410</f>
        <v>0.694444444444444</v>
      </c>
      <c r="E411" s="16" t="n">
        <f aca="false">E402/E410</f>
        <v>0.657402121799353</v>
      </c>
      <c r="F411" s="16" t="n">
        <f aca="false">F402/F410</f>
        <v>0.677462389130003</v>
      </c>
      <c r="G411" s="16" t="n">
        <f aca="false">G402/G410</f>
        <v>0.667013173673598</v>
      </c>
    </row>
    <row r="412" customFormat="false" ht="17.15" hidden="false" customHeight="false" outlineLevel="0" collapsed="false">
      <c r="A412" s="5" t="s">
        <v>663</v>
      </c>
      <c r="B412" s="0" t="s">
        <v>241</v>
      </c>
      <c r="C412" s="22" t="n">
        <f aca="false">a25_nai</f>
        <v>16.5782797202797</v>
      </c>
      <c r="D412" s="22" t="n">
        <f aca="false">a26_nai</f>
        <v>16.863</v>
      </c>
      <c r="E412" s="22" t="n">
        <f aca="false">D412*(1+g_nai)</f>
        <v>17.36889</v>
      </c>
      <c r="F412" s="22" t="n">
        <f aca="false">E412*(1+g_nai)</f>
        <v>17.8899567</v>
      </c>
      <c r="G412" s="22" t="n">
        <f aca="false">F412*(1+g_nai)</f>
        <v>18.426655401</v>
      </c>
    </row>
    <row r="413" customFormat="false" ht="15" hidden="false" customHeight="false" outlineLevel="0" collapsed="false">
      <c r="A413" s="5" t="s">
        <v>664</v>
      </c>
      <c r="B413" s="0" t="s">
        <v>241</v>
      </c>
      <c r="C413" s="22" t="n">
        <f aca="false">a25_sw</f>
        <v>27.029</v>
      </c>
      <c r="D413" s="22" t="n">
        <f aca="false">a26_sw</f>
        <v>31.426</v>
      </c>
      <c r="E413" s="22" t="n">
        <f aca="false">D413*(1+g_sw27)</f>
        <v>35.19712</v>
      </c>
      <c r="F413" s="22" t="n">
        <f aca="false">E413*(1+g_sw)</f>
        <v>38.0128896</v>
      </c>
      <c r="G413" s="22" t="n">
        <f aca="false">F413*(1+g_sw)</f>
        <v>41.053920768</v>
      </c>
    </row>
    <row r="414" customFormat="false" ht="17.15" hidden="false" customHeight="false" outlineLevel="0" collapsed="false">
      <c r="A414" s="1" t="s">
        <v>665</v>
      </c>
    </row>
    <row r="415" customFormat="false" ht="15" hidden="false" customHeight="false" outlineLevel="0" collapsed="false">
      <c r="A415" s="5" t="s">
        <v>514</v>
      </c>
      <c r="B415" s="0" t="s">
        <v>241</v>
      </c>
      <c r="C415" s="22" t="n">
        <f aca="false">a25_rev</f>
        <v>63.887</v>
      </c>
      <c r="D415" s="22" t="n">
        <f aca="false">a26_rev</f>
        <v>105.889</v>
      </c>
      <c r="E415" s="22" t="n">
        <f aca="false">E410+E412+E413</f>
        <v>162.418307376329</v>
      </c>
      <c r="F415" s="22" t="n">
        <f aca="false">F410+F412+F413</f>
        <v>194.814010144914</v>
      </c>
      <c r="G415" s="22" t="n">
        <f aca="false">G410+G412+G413</f>
        <v>218.087746275403</v>
      </c>
    </row>
    <row r="416" customFormat="false" ht="17.15" hidden="false" customHeight="false" outlineLevel="0" collapsed="false">
      <c r="A416" s="5" t="s">
        <v>666</v>
      </c>
      <c r="B416" s="0" t="s">
        <v>241</v>
      </c>
      <c r="D416" s="22" t="n">
        <f aca="false">D410+D412+D413</f>
        <v>105.889</v>
      </c>
      <c r="E416" s="22" t="n">
        <f aca="false">E410+E412+E413</f>
        <v>162.418307376329</v>
      </c>
      <c r="F416" s="22" t="n">
        <f aca="false">F410+F412+F413</f>
        <v>194.814010144914</v>
      </c>
      <c r="G416" s="22" t="n">
        <f aca="false">G410+G412+G413</f>
        <v>218.087746275403</v>
      </c>
    </row>
    <row r="417" customFormat="false" ht="17.15" hidden="false" customHeight="false" outlineLevel="0" collapsed="false">
      <c r="A417" s="5" t="s">
        <v>667</v>
      </c>
      <c r="B417" s="0" t="s">
        <v>241</v>
      </c>
      <c r="C417" s="22" t="n">
        <f aca="false">C410+C412</f>
        <v>36.858</v>
      </c>
      <c r="D417" s="22" t="n">
        <f aca="false">D410+D412</f>
        <v>74.463</v>
      </c>
      <c r="E417" s="22" t="n">
        <f aca="false">E410+E412</f>
        <v>127.221187376329</v>
      </c>
      <c r="F417" s="22" t="n">
        <f aca="false">F410+F412</f>
        <v>156.801120544914</v>
      </c>
      <c r="G417" s="22" t="n">
        <f aca="false">G410+G412</f>
        <v>177.033825507403</v>
      </c>
      <c r="H417" s="5" t="s">
        <v>668</v>
      </c>
    </row>
    <row r="418" customFormat="false" ht="17.15" hidden="false" customHeight="false" outlineLevel="0" collapsed="false">
      <c r="A418" s="5" t="s">
        <v>669</v>
      </c>
      <c r="B418" s="0" t="s">
        <v>241</v>
      </c>
      <c r="C418" s="17" t="n">
        <f aca="false">C417+C413-C415</f>
        <v>0</v>
      </c>
      <c r="D418" s="17" t="n">
        <f aca="false">D417+D413-D415</f>
        <v>0</v>
      </c>
      <c r="E418" s="17" t="n">
        <f aca="false">E417+E413-E415</f>
        <v>0</v>
      </c>
      <c r="F418" s="17" t="n">
        <f aca="false">F417+F413-F415</f>
        <v>0</v>
      </c>
      <c r="G418" s="17" t="n">
        <f aca="false">G417+G413-G415</f>
        <v>0</v>
      </c>
    </row>
    <row r="419" customFormat="false" ht="15" hidden="false" customHeight="false" outlineLevel="0" collapsed="false">
      <c r="A419" s="5" t="s">
        <v>670</v>
      </c>
      <c r="B419" s="0" t="s">
        <v>46</v>
      </c>
      <c r="D419" s="16" t="n">
        <f aca="false">D415/C415-1</f>
        <v>0.657442046112668</v>
      </c>
      <c r="E419" s="16" t="n">
        <f aca="false">E415/D415-1</f>
        <v>0.533854388806476</v>
      </c>
      <c r="F419" s="16" t="n">
        <f aca="false">F415/E415-1</f>
        <v>0.199458443397785</v>
      </c>
      <c r="G419" s="16" t="n">
        <f aca="false">G415/F415-1</f>
        <v>0.119466439365302</v>
      </c>
    </row>
    <row r="420" customFormat="false" ht="17.15" hidden="false" customHeight="false" outlineLevel="0" collapsed="false">
      <c r="A420" s="0" t="s">
        <v>671</v>
      </c>
      <c r="B420" s="0" t="s">
        <v>46</v>
      </c>
      <c r="C420" s="16" t="n">
        <f aca="false">C410/C415</f>
        <v>0.317431093645347</v>
      </c>
      <c r="D420" s="16" t="n">
        <f aca="false">D410/D415</f>
        <v>0.543965851032685</v>
      </c>
      <c r="E420" s="16" t="n">
        <f aca="false">E410/E415</f>
        <v>0.676354157058153</v>
      </c>
      <c r="F420" s="16" t="n">
        <f aca="false">F410/F415</f>
        <v>0.713045040967967</v>
      </c>
      <c r="G420" s="16" t="n">
        <f aca="false">G410/G415</f>
        <v>0.727263098524172</v>
      </c>
    </row>
    <row r="421" customFormat="false" ht="17.15" hidden="false" customHeight="false" outlineLevel="0" collapsed="false">
      <c r="A421" s="5" t="s">
        <v>672</v>
      </c>
      <c r="B421" s="0" t="s">
        <v>241</v>
      </c>
      <c r="D421" s="22" t="n">
        <f aca="false">gm_net*D409+gm_nai*D412+gm_sw*D413+m_hbm*D403</f>
        <v>53.5556843200462</v>
      </c>
      <c r="E421" s="22" t="n">
        <f aca="false">gm_net*E409+gm_nai*E412+gm_sw*E413+m_hbm*E403</f>
        <v>73.9065190062892</v>
      </c>
      <c r="F421" s="22" t="n">
        <f aca="false">gm_net*F409+gm_nai*F412+gm_sw*F413+m_hbm*F403</f>
        <v>83.4656198578614</v>
      </c>
      <c r="G421" s="22" t="n">
        <f aca="false">gm_net*G409+gm_nai*G412+gm_sw*G413+m_hbm*G403</f>
        <v>92.8007757467657</v>
      </c>
    </row>
    <row r="422" customFormat="false" ht="17.15" hidden="false" customHeight="false" outlineLevel="0" collapsed="false">
      <c r="A422" s="0" t="s">
        <v>673</v>
      </c>
      <c r="B422" s="0" t="s">
        <v>131</v>
      </c>
      <c r="D422" s="17" t="n">
        <f aca="false">(a26_gp-D421)/D404</f>
        <v>0.787550884757324</v>
      </c>
      <c r="H422" s="8" t="s">
        <v>674</v>
      </c>
    </row>
    <row r="423" customFormat="false" ht="15" hidden="false" customHeight="false" outlineLevel="0" collapsed="false">
      <c r="A423" s="5" t="s">
        <v>675</v>
      </c>
      <c r="B423" s="0" t="s">
        <v>241</v>
      </c>
      <c r="C423" s="22" t="n">
        <f aca="false">a25_gp</f>
        <v>50.245</v>
      </c>
      <c r="D423" s="22" t="n">
        <f aca="false">a26_gp</f>
        <v>79.572</v>
      </c>
      <c r="E423" s="22" t="n">
        <f aca="false">E421+$D$422*E404</f>
        <v>108.839224567166</v>
      </c>
      <c r="F423" s="22" t="n">
        <f aca="false">F421+$D$422*F404</f>
        <v>124.296054929016</v>
      </c>
      <c r="G423" s="22" t="n">
        <f aca="false">G421+$D$422*G404</f>
        <v>139.755776078594</v>
      </c>
    </row>
    <row r="424" customFormat="false" ht="15" hidden="false" customHeight="false" outlineLevel="0" collapsed="false">
      <c r="A424" s="5" t="s">
        <v>533</v>
      </c>
      <c r="B424" s="0" t="s">
        <v>46</v>
      </c>
      <c r="C424" s="16" t="n">
        <f aca="false">C423/C415</f>
        <v>0.786466730320723</v>
      </c>
      <c r="D424" s="16" t="n">
        <f aca="false">D423/D415</f>
        <v>0.751466157957862</v>
      </c>
      <c r="E424" s="16" t="n">
        <f aca="false">E423/E415</f>
        <v>0.670116727143214</v>
      </c>
      <c r="F424" s="16" t="n">
        <f aca="false">F423/F415</f>
        <v>0.638024210048124</v>
      </c>
      <c r="G424" s="16" t="n">
        <f aca="false">G423/G415</f>
        <v>0.640823606394231</v>
      </c>
    </row>
    <row r="425" customFormat="false" ht="17.15" hidden="false" customHeight="false" outlineLevel="0" collapsed="false">
      <c r="A425" s="5" t="s">
        <v>676</v>
      </c>
      <c r="B425" s="0" t="s">
        <v>46</v>
      </c>
      <c r="D425" s="16" t="n">
        <f aca="false">D403/D415</f>
        <v>0.0657815561622258</v>
      </c>
      <c r="E425" s="16" t="n">
        <f aca="false">E403/E415</f>
        <v>0.171538595232616</v>
      </c>
      <c r="F425" s="16" t="n">
        <f aca="false">F403/F415</f>
        <v>0.216936489153267</v>
      </c>
      <c r="G425" s="16" t="n">
        <f aca="false">G403/G415</f>
        <v>0.211710781195296</v>
      </c>
    </row>
    <row r="426" customFormat="false" ht="15" hidden="false" customHeight="false" outlineLevel="0" collapsed="false">
      <c r="A426" s="5" t="s">
        <v>677</v>
      </c>
      <c r="B426" s="0" t="s">
        <v>241</v>
      </c>
      <c r="C426" s="24" t="n">
        <f aca="false">a25_opx</f>
        <v>8.248</v>
      </c>
      <c r="D426" s="24" t="n">
        <f aca="false">a26_opx</f>
        <v>8.755</v>
      </c>
      <c r="E426" s="24" t="n">
        <f aca="false">D426*(1+MAX(g_opx_min,phi*E419))</f>
        <v>9.22238951740007</v>
      </c>
      <c r="F426" s="24" t="n">
        <f aca="false">E426*(1+MAX(g_opx_min,phi*F419))</f>
        <v>9.49906120292207</v>
      </c>
      <c r="G426" s="24" t="n">
        <f aca="false">F426*(1+MAX(g_opx_min,phi*G419))</f>
        <v>9.78403303900973</v>
      </c>
    </row>
    <row r="427" customFormat="false" ht="15" hidden="false" customHeight="false" outlineLevel="0" collapsed="false">
      <c r="A427" s="5" t="s">
        <v>678</v>
      </c>
      <c r="B427" s="0" t="s">
        <v>241</v>
      </c>
      <c r="C427" s="24" t="n">
        <f aca="false">C426</f>
        <v>8.248</v>
      </c>
      <c r="D427" s="24" t="n">
        <f aca="false">D426</f>
        <v>8.755</v>
      </c>
      <c r="E427" s="24" t="n">
        <f aca="false">E426+0*E415</f>
        <v>9.22238951740007</v>
      </c>
      <c r="F427" s="24" t="n">
        <f aca="false">F426+0*F415</f>
        <v>9.49906120292207</v>
      </c>
      <c r="G427" s="24" t="n">
        <f aca="false">G426+0*G415</f>
        <v>9.78403303900973</v>
      </c>
    </row>
    <row r="428" customFormat="false" ht="15" hidden="false" customHeight="false" outlineLevel="0" collapsed="false">
      <c r="A428" s="5" t="s">
        <v>679</v>
      </c>
      <c r="B428" s="0" t="s">
        <v>241</v>
      </c>
      <c r="C428" s="22" t="n">
        <f aca="false">C423-C427</f>
        <v>41.997</v>
      </c>
      <c r="D428" s="22" t="n">
        <f aca="false">D423-D427</f>
        <v>70.817</v>
      </c>
      <c r="E428" s="22" t="n">
        <f aca="false">E423-E427</f>
        <v>99.6168350497661</v>
      </c>
      <c r="F428" s="22" t="n">
        <f aca="false">F423-F427</f>
        <v>114.796993726094</v>
      </c>
      <c r="G428" s="22" t="n">
        <f aca="false">G423-G427</f>
        <v>129.971743039584</v>
      </c>
    </row>
    <row r="429" customFormat="false" ht="15" hidden="false" customHeight="false" outlineLevel="0" collapsed="false">
      <c r="A429" s="5" t="s">
        <v>538</v>
      </c>
      <c r="B429" s="0" t="s">
        <v>46</v>
      </c>
      <c r="C429" s="16" t="n">
        <f aca="false">C428/C415</f>
        <v>0.657363782929235</v>
      </c>
      <c r="D429" s="16" t="n">
        <f aca="false">D428/D415</f>
        <v>0.66878523737121</v>
      </c>
      <c r="E429" s="16" t="n">
        <f aca="false">E428/E415</f>
        <v>0.613335015362217</v>
      </c>
      <c r="F429" s="16" t="n">
        <f aca="false">F428/F415</f>
        <v>0.589264569014833</v>
      </c>
      <c r="G429" s="16" t="n">
        <f aca="false">G428/G415</f>
        <v>0.595960778444904</v>
      </c>
    </row>
    <row r="430" customFormat="false" ht="15" hidden="false" customHeight="false" outlineLevel="0" collapsed="false">
      <c r="A430" s="5" t="s">
        <v>680</v>
      </c>
      <c r="B430" s="0" t="s">
        <v>241</v>
      </c>
      <c r="C430" s="19" t="n">
        <f aca="false">a25_int</f>
        <v>3.072</v>
      </c>
      <c r="D430" s="19" t="n">
        <f aca="false">a26_int</f>
        <v>2.894</v>
      </c>
      <c r="E430" s="19" t="n">
        <f aca="false">int_f</f>
        <v>2.8</v>
      </c>
      <c r="F430" s="19" t="n">
        <f aca="false">int_f</f>
        <v>2.8</v>
      </c>
      <c r="G430" s="19" t="n">
        <f aca="false">int_f</f>
        <v>2.8</v>
      </c>
    </row>
    <row r="431" customFormat="false" ht="15" hidden="false" customHeight="false" outlineLevel="0" collapsed="false">
      <c r="A431" s="5" t="s">
        <v>681</v>
      </c>
      <c r="B431" s="0" t="s">
        <v>241</v>
      </c>
      <c r="C431" s="19" t="n">
        <f aca="false">a25_oth</f>
        <v>0.294</v>
      </c>
      <c r="D431" s="19" t="n">
        <f aca="false">a26_oth</f>
        <v>0.434</v>
      </c>
      <c r="E431" s="19" t="n">
        <f aca="false">oth_f</f>
        <v>0.4</v>
      </c>
      <c r="F431" s="19" t="n">
        <f aca="false">oth_f</f>
        <v>0.4</v>
      </c>
      <c r="G431" s="19" t="n">
        <f aca="false">oth_f</f>
        <v>0.4</v>
      </c>
    </row>
    <row r="432" customFormat="false" ht="15" hidden="false" customHeight="false" outlineLevel="0" collapsed="false">
      <c r="A432" s="5" t="s">
        <v>543</v>
      </c>
      <c r="B432" s="0" t="s">
        <v>46</v>
      </c>
      <c r="C432" s="16" t="n">
        <f aca="false">a25_tax/(a25_oi-a25_int+a25_oth)</f>
        <v>0.140008669267447</v>
      </c>
      <c r="D432" s="16" t="n">
        <f aca="false">a26_tax/(a26_oi-a26_int+a26_oth)</f>
        <v>0.159996489020876</v>
      </c>
      <c r="E432" s="16" t="n">
        <f aca="false">tx_f</f>
        <v>0.16</v>
      </c>
      <c r="F432" s="16" t="n">
        <f aca="false">tx_f</f>
        <v>0.16</v>
      </c>
      <c r="G432" s="16" t="n">
        <f aca="false">tx_f</f>
        <v>0.16</v>
      </c>
    </row>
    <row r="433" customFormat="false" ht="17.15" hidden="false" customHeight="false" outlineLevel="0" collapsed="false">
      <c r="A433" s="5" t="s">
        <v>630</v>
      </c>
      <c r="B433" s="0" t="s">
        <v>241</v>
      </c>
      <c r="C433" s="22" t="n">
        <f aca="false">a25_ni</f>
        <v>33.728</v>
      </c>
      <c r="D433" s="22" t="n">
        <f aca="false">a26_ni</f>
        <v>57.42012</v>
      </c>
      <c r="E433" s="22" t="n">
        <f aca="false">(E428-E430+E431)*(1-E432)</f>
        <v>81.6621414418035</v>
      </c>
      <c r="F433" s="22" t="n">
        <f aca="false">(F428-F430+F431)*(1-F432)</f>
        <v>94.4134747299192</v>
      </c>
      <c r="G433" s="22" t="n">
        <f aca="false">(G428-G430+G431)*(1-G432)</f>
        <v>107.160264153251</v>
      </c>
    </row>
    <row r="434" customFormat="false" ht="15" hidden="false" customHeight="false" outlineLevel="0" collapsed="false">
      <c r="A434" s="5" t="s">
        <v>682</v>
      </c>
      <c r="B434" s="5" t="s">
        <v>304</v>
      </c>
      <c r="C434" s="17" t="n">
        <f aca="false">a25_sh</f>
        <v>4.943</v>
      </c>
      <c r="D434" s="17" t="n">
        <f aca="false">a26_sh</f>
        <v>4.9435</v>
      </c>
      <c r="E434" s="17" t="n">
        <f aca="false">D434*(1+sh_g)</f>
        <v>4.9187825</v>
      </c>
      <c r="F434" s="17" t="n">
        <f aca="false">E434*(1+sh_g)</f>
        <v>4.8941885875</v>
      </c>
      <c r="G434" s="17" t="n">
        <f aca="false">F434*(1+sh_g)</f>
        <v>4.8697176445625</v>
      </c>
    </row>
    <row r="435" customFormat="false" ht="17.15" hidden="false" customHeight="false" outlineLevel="0" collapsed="false">
      <c r="A435" s="0" t="s">
        <v>631</v>
      </c>
      <c r="B435" s="0" t="s">
        <v>354</v>
      </c>
      <c r="C435" s="19" t="n">
        <f aca="false">C433/C434</f>
        <v>6.82338660732349</v>
      </c>
      <c r="D435" s="19" t="n">
        <f aca="false">D433/D434</f>
        <v>11.6152766258724</v>
      </c>
      <c r="E435" s="19" t="n">
        <f aca="false">E433/E434</f>
        <v>16.6021045740086</v>
      </c>
      <c r="F435" s="19" t="n">
        <f aca="false">F433/F434</f>
        <v>19.2909351656485</v>
      </c>
      <c r="G435" s="19" t="n">
        <f aca="false">G433/G434</f>
        <v>22.0054368599595</v>
      </c>
    </row>
    <row r="436" customFormat="false" ht="17.15" hidden="false" customHeight="false" outlineLevel="0" collapsed="false">
      <c r="A436" s="0" t="s">
        <v>683</v>
      </c>
      <c r="B436" s="0" t="s">
        <v>46</v>
      </c>
      <c r="D436" s="16" t="n">
        <f aca="false">D435/C435-1</f>
        <v>0.702274441463682</v>
      </c>
      <c r="E436" s="16" t="n">
        <f aca="false">E435/D435-1</f>
        <v>0.429333550010198</v>
      </c>
      <c r="F436" s="16" t="n">
        <f aca="false">F435/E435-1</f>
        <v>0.161957213295076</v>
      </c>
      <c r="G436" s="16" t="n">
        <f aca="false">G435/F435-1</f>
        <v>0.140713846736924</v>
      </c>
    </row>
    <row r="439" customFormat="false" ht="17.15" hidden="false" customHeight="false" outlineLevel="0" collapsed="false">
      <c r="A439" s="3" t="s">
        <v>1059</v>
      </c>
    </row>
    <row r="440" customFormat="false" ht="17.15" hidden="false" customHeight="false" outlineLevel="0" collapsed="false">
      <c r="A440" s="6" t="s">
        <v>24</v>
      </c>
      <c r="B440" s="6" t="s">
        <v>25</v>
      </c>
      <c r="C440" s="13" t="s">
        <v>507</v>
      </c>
      <c r="D440" s="13" t="s">
        <v>621</v>
      </c>
      <c r="E440" s="13" t="s">
        <v>622</v>
      </c>
      <c r="F440" s="13" t="s">
        <v>623</v>
      </c>
      <c r="G440" s="13" t="s">
        <v>624</v>
      </c>
      <c r="H440" s="6" t="s">
        <v>480</v>
      </c>
    </row>
    <row r="441" customFormat="false" ht="17.15" hidden="false" customHeight="false" outlineLevel="0" collapsed="false">
      <c r="A441" s="1" t="s">
        <v>639</v>
      </c>
    </row>
    <row r="442" customFormat="false" ht="17.15" hidden="false" customHeight="false" outlineLevel="0" collapsed="false">
      <c r="A442" s="0" t="s">
        <v>640</v>
      </c>
      <c r="B442" s="5" t="s">
        <v>35</v>
      </c>
      <c r="D442" s="19" t="n">
        <f aca="false">u_tpu_26</f>
        <v>3.85</v>
      </c>
      <c r="E442" s="19" t="n">
        <f aca="false">u_tpu_27</f>
        <v>5.5</v>
      </c>
      <c r="F442" s="19" t="n">
        <f aca="false">u_tpu_28*um28_A</f>
        <v>7</v>
      </c>
      <c r="G442" s="19" t="n">
        <f aca="false">u_tpu_28*(1+g29_tpu)*um29_A</f>
        <v>8.05</v>
      </c>
    </row>
    <row r="443" customFormat="false" ht="17.15" hidden="false" customHeight="false" outlineLevel="0" collapsed="false">
      <c r="A443" s="5" t="s">
        <v>641</v>
      </c>
      <c r="B443" s="5" t="s">
        <v>35</v>
      </c>
      <c r="D443" s="19" t="n">
        <f aca="false">u_oth_26</f>
        <v>1</v>
      </c>
      <c r="E443" s="19" t="n">
        <f aca="false">u_oth_27</f>
        <v>4.5</v>
      </c>
      <c r="F443" s="19" t="n">
        <f aca="false">u_oth_28*um28_A</f>
        <v>5</v>
      </c>
      <c r="G443" s="19" t="n">
        <f aca="false">u_oth_28*(1+g29_oth)*um29_A</f>
        <v>5.75</v>
      </c>
    </row>
    <row r="444" customFormat="false" ht="17.15" hidden="false" customHeight="false" outlineLevel="0" collapsed="false">
      <c r="A444" s="0" t="s">
        <v>566</v>
      </c>
      <c r="B444" s="0" t="s">
        <v>46</v>
      </c>
      <c r="D444" s="16" t="n">
        <f aca="false">sh_tpu_26</f>
        <v>0.9</v>
      </c>
      <c r="E444" s="16" t="n">
        <f aca="false">MIN(1,MAX(0,sh_tpu_27+0))</f>
        <v>0.8</v>
      </c>
      <c r="F444" s="16" t="n">
        <f aca="false">MIN(1,MAX(0,sh_tpu_28+0))</f>
        <v>0.75</v>
      </c>
      <c r="G444" s="16" t="n">
        <f aca="false">MIN(1,MAX(0,sh_tpu_28+0))</f>
        <v>0.75</v>
      </c>
    </row>
    <row r="445" customFormat="false" ht="17.15" hidden="false" customHeight="false" outlineLevel="0" collapsed="false">
      <c r="A445" s="0" t="s">
        <v>578</v>
      </c>
      <c r="B445" s="0" t="s">
        <v>46</v>
      </c>
      <c r="D445" s="16" t="n">
        <f aca="false">sh_oth_26</f>
        <v>0.35</v>
      </c>
      <c r="E445" s="16" t="n">
        <f aca="false">MIN(1,MAX(0,sh_oth_27+0))</f>
        <v>0.55</v>
      </c>
      <c r="F445" s="16" t="n">
        <f aca="false">MIN(1,MAX(0,sh_oth_28+0))</f>
        <v>0.55</v>
      </c>
      <c r="G445" s="16" t="n">
        <f aca="false">MIN(1,MAX(0,sh_oth_28+0))</f>
        <v>0.55</v>
      </c>
    </row>
    <row r="446" customFormat="false" ht="17.15" hidden="false" customHeight="false" outlineLevel="0" collapsed="false">
      <c r="A446" s="0" t="s">
        <v>568</v>
      </c>
      <c r="B446" s="5" t="s">
        <v>35</v>
      </c>
      <c r="D446" s="19" t="n">
        <f aca="false">D442*D444</f>
        <v>3.465</v>
      </c>
      <c r="E446" s="19" t="n">
        <f aca="false">E442*E444*1</f>
        <v>4.4</v>
      </c>
      <c r="F446" s="19" t="n">
        <f aca="false">F442*F444*1</f>
        <v>5.25</v>
      </c>
      <c r="G446" s="19" t="n">
        <f aca="false">G442*G444*1</f>
        <v>6.0375</v>
      </c>
    </row>
    <row r="447" customFormat="false" ht="17.15" hidden="false" customHeight="false" outlineLevel="0" collapsed="false">
      <c r="A447" s="0" t="s">
        <v>579</v>
      </c>
      <c r="B447" s="5" t="s">
        <v>35</v>
      </c>
      <c r="D447" s="19" t="n">
        <f aca="false">D443*D445</f>
        <v>0.35</v>
      </c>
      <c r="E447" s="19" t="n">
        <f aca="false">E443*E445*1</f>
        <v>2.475</v>
      </c>
      <c r="F447" s="19" t="n">
        <f aca="false">F443*F445*1</f>
        <v>2.75</v>
      </c>
      <c r="G447" s="19" t="n">
        <f aca="false">G443*G445*1</f>
        <v>3.1625</v>
      </c>
    </row>
    <row r="448" customFormat="false" ht="17.15" hidden="false" customHeight="false" outlineLevel="0" collapsed="false">
      <c r="A448" s="5" t="s">
        <v>570</v>
      </c>
      <c r="B448" s="0" t="s">
        <v>151</v>
      </c>
      <c r="D448" s="20" t="n">
        <f aca="false">gb_tpu_26</f>
        <v>192</v>
      </c>
      <c r="E448" s="20" t="n">
        <f aca="false">gb_tpu_27</f>
        <v>250</v>
      </c>
      <c r="F448" s="20" t="n">
        <f aca="false">gb_tpu_28</f>
        <v>288</v>
      </c>
      <c r="G448" s="20" t="n">
        <f aca="false">gb_tpu_28</f>
        <v>288</v>
      </c>
    </row>
    <row r="449" customFormat="false" ht="17.15" hidden="false" customHeight="false" outlineLevel="0" collapsed="false">
      <c r="A449" s="5" t="s">
        <v>580</v>
      </c>
      <c r="B449" s="0" t="s">
        <v>151</v>
      </c>
      <c r="D449" s="20" t="n">
        <f aca="false">gb_oth_26</f>
        <v>150</v>
      </c>
      <c r="E449" s="20" t="n">
        <f aca="false">gb_oth_27</f>
        <v>200</v>
      </c>
      <c r="F449" s="20" t="n">
        <f aca="false">gb_oth_28</f>
        <v>250</v>
      </c>
      <c r="G449" s="20" t="n">
        <f aca="false">gb_oth_28</f>
        <v>250</v>
      </c>
    </row>
    <row r="450" customFormat="false" ht="17.15" hidden="false" customHeight="false" outlineLevel="0" collapsed="false">
      <c r="A450" s="0" t="s">
        <v>642</v>
      </c>
      <c r="B450" s="0" t="s">
        <v>210</v>
      </c>
      <c r="D450" s="19" t="n">
        <f aca="false">hbm_A_26</f>
        <v>14.6</v>
      </c>
      <c r="E450" s="19" t="n">
        <f aca="false">hbm_A_27</f>
        <v>26.28</v>
      </c>
      <c r="F450" s="19" t="n">
        <f aca="false">hbm_A_28</f>
        <v>28.908</v>
      </c>
      <c r="G450" s="19" t="n">
        <f aca="false">hbm_A_29</f>
        <v>27.4626</v>
      </c>
    </row>
    <row r="451" customFormat="false" ht="17.15" hidden="false" customHeight="false" outlineLevel="0" collapsed="false">
      <c r="A451" s="5" t="s">
        <v>643</v>
      </c>
      <c r="B451" s="0" t="s">
        <v>188</v>
      </c>
      <c r="D451" s="19" t="n">
        <f aca="false">core_tpu</f>
        <v>8</v>
      </c>
      <c r="E451" s="19" t="n">
        <f aca="false">core_tpu*pfc_hi</f>
        <v>9.6</v>
      </c>
      <c r="F451" s="19" t="n">
        <f aca="false">core_tpu*pfc_hi</f>
        <v>9.6</v>
      </c>
      <c r="G451" s="19" t="n">
        <f aca="false">core_tpu*pfc_hi</f>
        <v>9.6</v>
      </c>
    </row>
    <row r="452" customFormat="false" ht="17.15" hidden="false" customHeight="false" outlineLevel="0" collapsed="false">
      <c r="A452" s="5" t="s">
        <v>644</v>
      </c>
      <c r="B452" s="0" t="s">
        <v>188</v>
      </c>
      <c r="D452" s="19" t="n">
        <f aca="false">core_oth</f>
        <v>6</v>
      </c>
      <c r="E452" s="19" t="n">
        <f aca="false">core_oth*pfc_hi</f>
        <v>7.2</v>
      </c>
      <c r="F452" s="19" t="n">
        <f aca="false">core_oth*pfc_hi</f>
        <v>7.2</v>
      </c>
      <c r="G452" s="19" t="n">
        <f aca="false">core_oth*pfc_hi</f>
        <v>7.2</v>
      </c>
    </row>
    <row r="453" customFormat="false" ht="17.15" hidden="false" customHeight="false" outlineLevel="0" collapsed="false">
      <c r="A453" s="5" t="s">
        <v>645</v>
      </c>
      <c r="B453" s="0" t="s">
        <v>188</v>
      </c>
      <c r="D453" s="19" t="n">
        <f aca="false">D448*D450/1000</f>
        <v>2.8032</v>
      </c>
      <c r="E453" s="19" t="n">
        <f aca="false">E448*E450/1000</f>
        <v>6.57</v>
      </c>
      <c r="F453" s="19" t="n">
        <f aca="false">F448*F450/1000</f>
        <v>8.325504</v>
      </c>
      <c r="G453" s="19" t="n">
        <f aca="false">G448*G450/1000</f>
        <v>7.9092288</v>
      </c>
    </row>
    <row r="454" customFormat="false" ht="17.15" hidden="false" customHeight="false" outlineLevel="0" collapsed="false">
      <c r="A454" s="5" t="s">
        <v>646</v>
      </c>
      <c r="B454" s="0" t="s">
        <v>188</v>
      </c>
      <c r="D454" s="19" t="n">
        <f aca="false">D449*D450/1000</f>
        <v>2.19</v>
      </c>
      <c r="E454" s="19" t="n">
        <f aca="false">E449*E450/1000</f>
        <v>5.256</v>
      </c>
      <c r="F454" s="19" t="n">
        <f aca="false">F449*F450/1000</f>
        <v>7.227</v>
      </c>
      <c r="G454" s="19" t="n">
        <f aca="false">G449*G450/1000</f>
        <v>6.86565</v>
      </c>
    </row>
    <row r="455" customFormat="false" ht="17.15" hidden="false" customHeight="false" outlineLevel="0" collapsed="false">
      <c r="A455" s="5" t="s">
        <v>647</v>
      </c>
      <c r="B455" s="0" t="s">
        <v>188</v>
      </c>
      <c r="D455" s="19" t="n">
        <f aca="false">D451+f_hbm*D453</f>
        <v>9.68192</v>
      </c>
      <c r="E455" s="19" t="n">
        <f aca="false">E451+f_hbm*E453</f>
        <v>13.542</v>
      </c>
      <c r="F455" s="19" t="n">
        <f aca="false">F451+f_hbm*F453</f>
        <v>14.5953024</v>
      </c>
      <c r="G455" s="19" t="n">
        <f aca="false">G451+f_hbm*G453</f>
        <v>14.34553728</v>
      </c>
      <c r="H455" s="5" t="s">
        <v>648</v>
      </c>
    </row>
    <row r="456" customFormat="false" ht="17.15" hidden="false" customHeight="false" outlineLevel="0" collapsed="false">
      <c r="A456" s="5" t="s">
        <v>649</v>
      </c>
      <c r="B456" s="0" t="s">
        <v>188</v>
      </c>
      <c r="D456" s="19" t="n">
        <f aca="false">D452+f_hbm*D454</f>
        <v>7.314</v>
      </c>
      <c r="E456" s="19" t="n">
        <f aca="false">E452+f_hbm*E454</f>
        <v>10.3536</v>
      </c>
      <c r="F456" s="19" t="n">
        <f aca="false">F452+f_hbm*F454</f>
        <v>11.5362</v>
      </c>
      <c r="G456" s="19" t="n">
        <f aca="false">G452+f_hbm*G454</f>
        <v>11.31939</v>
      </c>
    </row>
    <row r="457" customFormat="false" ht="17.15" hidden="false" customHeight="false" outlineLevel="0" collapsed="false">
      <c r="A457" s="0" t="s">
        <v>650</v>
      </c>
      <c r="B457" s="0" t="s">
        <v>241</v>
      </c>
      <c r="D457" s="22" t="n">
        <f aca="false">D446*D455+D447*D456</f>
        <v>36.1077528</v>
      </c>
      <c r="E457" s="22" t="n">
        <f aca="false">E446*E455+E447*E456</f>
        <v>85.20996</v>
      </c>
      <c r="F457" s="22" t="n">
        <f aca="false">F446*F455+F447*F456</f>
        <v>108.3498876</v>
      </c>
      <c r="G457" s="22" t="n">
        <f aca="false">G446*G455+G447*G456</f>
        <v>122.408752203</v>
      </c>
    </row>
    <row r="458" customFormat="false" ht="17.15" hidden="false" customHeight="false" outlineLevel="0" collapsed="false">
      <c r="A458" s="0" t="s">
        <v>651</v>
      </c>
      <c r="B458" s="0" t="s">
        <v>131</v>
      </c>
      <c r="D458" s="17" t="n">
        <f aca="false">a26_xpu/D457</f>
        <v>1.10779533197646</v>
      </c>
      <c r="H458" s="8" t="s">
        <v>652</v>
      </c>
    </row>
    <row r="459" customFormat="false" ht="17.15" hidden="false" customHeight="false" outlineLevel="0" collapsed="false">
      <c r="A459" s="0" t="s">
        <v>653</v>
      </c>
      <c r="B459" s="0" t="s">
        <v>241</v>
      </c>
      <c r="D459" s="22" t="n">
        <f aca="false">D457*$D$458</f>
        <v>40</v>
      </c>
      <c r="E459" s="22" t="n">
        <f aca="false">E457*$D$458</f>
        <v>94.395195925901</v>
      </c>
      <c r="F459" s="22" t="n">
        <f aca="false">F457*$D$458</f>
        <v>120.029499703454</v>
      </c>
      <c r="G459" s="22" t="n">
        <f aca="false">G457*$D$458</f>
        <v>135.603844283547</v>
      </c>
    </row>
    <row r="460" customFormat="false" ht="17.15" hidden="false" customHeight="false" outlineLevel="0" collapsed="false">
      <c r="A460" s="5" t="s">
        <v>654</v>
      </c>
      <c r="B460" s="0" t="s">
        <v>241</v>
      </c>
      <c r="D460" s="22" t="n">
        <f aca="false">$D$458*f_hbm*(D446*D453+D447*D454)</f>
        <v>6.96554320046192</v>
      </c>
      <c r="E460" s="22" t="n">
        <f aca="false">$D$458*f_hbm*(E446*E453+E447*E454)</f>
        <v>27.8610082873947</v>
      </c>
      <c r="F460" s="22" t="n">
        <f aca="false">$D$458*f_hbm*(F446*F453+F447*F454)</f>
        <v>42.2622673987067</v>
      </c>
      <c r="G460" s="22" t="n">
        <f aca="false">$D$458*f_hbm*(G446*G453+G447*G454)</f>
        <v>46.171527133087</v>
      </c>
    </row>
    <row r="461" customFormat="false" ht="15" hidden="false" customHeight="false" outlineLevel="0" collapsed="false">
      <c r="A461" s="5" t="s">
        <v>655</v>
      </c>
      <c r="B461" s="0" t="s">
        <v>241</v>
      </c>
      <c r="D461" s="22" t="n">
        <f aca="false">D459-D460</f>
        <v>33.0344567995381</v>
      </c>
      <c r="E461" s="22" t="n">
        <f aca="false">E459-E460</f>
        <v>66.5341876385062</v>
      </c>
      <c r="F461" s="22" t="n">
        <f aca="false">F459-F460</f>
        <v>77.7672323047476</v>
      </c>
      <c r="G461" s="22" t="n">
        <f aca="false">G459-G460</f>
        <v>89.4323171504597</v>
      </c>
    </row>
    <row r="462" customFormat="false" ht="17.15" hidden="false" customHeight="false" outlineLevel="0" collapsed="false">
      <c r="A462" s="0" t="s">
        <v>656</v>
      </c>
      <c r="B462" s="5" t="s">
        <v>35</v>
      </c>
      <c r="D462" s="19" t="n">
        <f aca="false">D446+D447</f>
        <v>3.815</v>
      </c>
      <c r="E462" s="19" t="n">
        <f aca="false">E446+E447</f>
        <v>6.875</v>
      </c>
      <c r="F462" s="19" t="n">
        <f aca="false">F446+F447</f>
        <v>8</v>
      </c>
      <c r="G462" s="19" t="n">
        <f aca="false">G446+G447</f>
        <v>9.2</v>
      </c>
    </row>
    <row r="463" customFormat="false" ht="17.15" hidden="false" customHeight="false" outlineLevel="0" collapsed="false">
      <c r="A463" s="1" t="s">
        <v>657</v>
      </c>
    </row>
    <row r="464" customFormat="false" ht="17.15" hidden="false" customHeight="false" outlineLevel="0" collapsed="false">
      <c r="A464" s="0" t="s">
        <v>658</v>
      </c>
      <c r="B464" s="0" t="s">
        <v>241</v>
      </c>
      <c r="D464" s="22" t="n">
        <f aca="false">net_26*1</f>
        <v>12.6075726</v>
      </c>
      <c r="E464" s="22" t="n">
        <f aca="false">net_27*1*1</f>
        <v>26.959549</v>
      </c>
      <c r="F464" s="22" t="n">
        <f aca="false">net_28*um28_A*1</f>
        <v>32.094922</v>
      </c>
      <c r="G464" s="22" t="n">
        <f aca="false">net_29*um29_A*1</f>
        <v>37.8328169</v>
      </c>
    </row>
    <row r="465" customFormat="false" ht="17.15" hidden="false" customHeight="false" outlineLevel="0" collapsed="false">
      <c r="A465" s="5" t="s">
        <v>659</v>
      </c>
      <c r="B465" s="0" t="s">
        <v>131</v>
      </c>
      <c r="D465" s="17" t="n">
        <f aca="false">a26_net/D464</f>
        <v>1.39598640899359</v>
      </c>
      <c r="H465" s="8" t="s">
        <v>660</v>
      </c>
    </row>
    <row r="466" customFormat="false" ht="17.15" hidden="false" customHeight="false" outlineLevel="0" collapsed="false">
      <c r="A466" s="0" t="s">
        <v>661</v>
      </c>
      <c r="B466" s="0" t="s">
        <v>241</v>
      </c>
      <c r="D466" s="22" t="n">
        <f aca="false">D464*$D$465</f>
        <v>17.6</v>
      </c>
      <c r="E466" s="22" t="n">
        <f aca="false">E464*$D$465</f>
        <v>37.6351639965968</v>
      </c>
      <c r="F466" s="22" t="n">
        <f aca="false">F464*$D$465</f>
        <v>44.8040749097094</v>
      </c>
      <c r="G466" s="22" t="n">
        <f aca="false">G464*$D$465</f>
        <v>52.8140982063431</v>
      </c>
    </row>
    <row r="467" customFormat="false" ht="17.15" hidden="false" customHeight="false" outlineLevel="0" collapsed="false">
      <c r="A467" s="0" t="s">
        <v>522</v>
      </c>
      <c r="B467" s="0" t="s">
        <v>241</v>
      </c>
      <c r="C467" s="22" t="n">
        <f aca="false">a25_ai</f>
        <v>20.2797202797203</v>
      </c>
      <c r="D467" s="22" t="n">
        <f aca="false">D459+D466</f>
        <v>57.6</v>
      </c>
      <c r="E467" s="22" t="n">
        <f aca="false">E459+E466</f>
        <v>132.030359922498</v>
      </c>
      <c r="F467" s="22" t="n">
        <f aca="false">F459+F466</f>
        <v>164.833574613164</v>
      </c>
      <c r="G467" s="22" t="n">
        <f aca="false">G459+G466</f>
        <v>188.41794248989</v>
      </c>
    </row>
    <row r="468" customFormat="false" ht="15" hidden="false" customHeight="false" outlineLevel="0" collapsed="false">
      <c r="A468" s="0" t="s">
        <v>662</v>
      </c>
      <c r="B468" s="0" t="s">
        <v>46</v>
      </c>
      <c r="D468" s="16" t="n">
        <f aca="false">D459/D467</f>
        <v>0.694444444444444</v>
      </c>
      <c r="E468" s="16" t="n">
        <f aca="false">E459/E467</f>
        <v>0.714950682413585</v>
      </c>
      <c r="F468" s="16" t="n">
        <f aca="false">F459/F467</f>
        <v>0.728185989930407</v>
      </c>
      <c r="G468" s="16" t="n">
        <f aca="false">G459/G467</f>
        <v>0.719697086655232</v>
      </c>
    </row>
    <row r="469" customFormat="false" ht="17.15" hidden="false" customHeight="false" outlineLevel="0" collapsed="false">
      <c r="A469" s="5" t="s">
        <v>663</v>
      </c>
      <c r="B469" s="0" t="s">
        <v>241</v>
      </c>
      <c r="C469" s="22" t="n">
        <f aca="false">a25_nai</f>
        <v>16.5782797202797</v>
      </c>
      <c r="D469" s="22" t="n">
        <f aca="false">a26_nai</f>
        <v>16.863</v>
      </c>
      <c r="E469" s="22" t="n">
        <f aca="false">D469*(1+g_nai)</f>
        <v>17.36889</v>
      </c>
      <c r="F469" s="22" t="n">
        <f aca="false">E469*(1+g_nai)</f>
        <v>17.8899567</v>
      </c>
      <c r="G469" s="22" t="n">
        <f aca="false">F469*(1+g_nai)</f>
        <v>18.426655401</v>
      </c>
    </row>
    <row r="470" customFormat="false" ht="15" hidden="false" customHeight="false" outlineLevel="0" collapsed="false">
      <c r="A470" s="5" t="s">
        <v>664</v>
      </c>
      <c r="B470" s="0" t="s">
        <v>241</v>
      </c>
      <c r="C470" s="22" t="n">
        <f aca="false">a25_sw</f>
        <v>27.029</v>
      </c>
      <c r="D470" s="22" t="n">
        <f aca="false">a26_sw</f>
        <v>31.426</v>
      </c>
      <c r="E470" s="22" t="n">
        <f aca="false">D470*(1+g_sw27)</f>
        <v>35.19712</v>
      </c>
      <c r="F470" s="22" t="n">
        <f aca="false">E470*(1+g_sw)</f>
        <v>38.0128896</v>
      </c>
      <c r="G470" s="22" t="n">
        <f aca="false">F470*(1+g_sw)</f>
        <v>41.053920768</v>
      </c>
    </row>
    <row r="471" customFormat="false" ht="17.15" hidden="false" customHeight="false" outlineLevel="0" collapsed="false">
      <c r="A471" s="1" t="s">
        <v>665</v>
      </c>
    </row>
    <row r="472" customFormat="false" ht="15" hidden="false" customHeight="false" outlineLevel="0" collapsed="false">
      <c r="A472" s="5" t="s">
        <v>514</v>
      </c>
      <c r="B472" s="0" t="s">
        <v>241</v>
      </c>
      <c r="C472" s="22" t="n">
        <f aca="false">a25_rev</f>
        <v>63.887</v>
      </c>
      <c r="D472" s="22" t="n">
        <f aca="false">a26_rev</f>
        <v>105.889</v>
      </c>
      <c r="E472" s="22" t="n">
        <f aca="false">E467+E469+E470</f>
        <v>184.596369922498</v>
      </c>
      <c r="F472" s="22" t="n">
        <f aca="false">F467+F469+F470</f>
        <v>220.736420913164</v>
      </c>
      <c r="G472" s="22" t="n">
        <f aca="false">G467+G469+G470</f>
        <v>247.89851865889</v>
      </c>
    </row>
    <row r="473" customFormat="false" ht="17.15" hidden="false" customHeight="false" outlineLevel="0" collapsed="false">
      <c r="A473" s="5" t="s">
        <v>666</v>
      </c>
      <c r="B473" s="0" t="s">
        <v>241</v>
      </c>
      <c r="D473" s="22" t="n">
        <f aca="false">D467+D469+D470</f>
        <v>105.889</v>
      </c>
      <c r="E473" s="22" t="n">
        <f aca="false">E467+E469+E470</f>
        <v>184.596369922498</v>
      </c>
      <c r="F473" s="22" t="n">
        <f aca="false">F467+F469+F470</f>
        <v>220.736420913164</v>
      </c>
      <c r="G473" s="22" t="n">
        <f aca="false">G467+G469+G470</f>
        <v>247.89851865889</v>
      </c>
    </row>
    <row r="474" customFormat="false" ht="17.15" hidden="false" customHeight="false" outlineLevel="0" collapsed="false">
      <c r="A474" s="5" t="s">
        <v>667</v>
      </c>
      <c r="B474" s="0" t="s">
        <v>241</v>
      </c>
      <c r="C474" s="22" t="n">
        <f aca="false">C467+C469</f>
        <v>36.858</v>
      </c>
      <c r="D474" s="22" t="n">
        <f aca="false">D467+D469</f>
        <v>74.463</v>
      </c>
      <c r="E474" s="22" t="n">
        <f aca="false">E467+E469</f>
        <v>149.399249922498</v>
      </c>
      <c r="F474" s="22" t="n">
        <f aca="false">F467+F469</f>
        <v>182.723531313164</v>
      </c>
      <c r="G474" s="22" t="n">
        <f aca="false">G467+G469</f>
        <v>206.84459789089</v>
      </c>
      <c r="H474" s="5" t="s">
        <v>668</v>
      </c>
    </row>
    <row r="475" customFormat="false" ht="17.15" hidden="false" customHeight="false" outlineLevel="0" collapsed="false">
      <c r="A475" s="5" t="s">
        <v>669</v>
      </c>
      <c r="B475" s="0" t="s">
        <v>241</v>
      </c>
      <c r="C475" s="17" t="n">
        <f aca="false">C474+C470-C472</f>
        <v>0</v>
      </c>
      <c r="D475" s="17" t="n">
        <f aca="false">D474+D470-D472</f>
        <v>0</v>
      </c>
      <c r="E475" s="17" t="n">
        <f aca="false">E474+E470-E472</f>
        <v>0</v>
      </c>
      <c r="F475" s="17" t="n">
        <f aca="false">F474+F470-F472</f>
        <v>0</v>
      </c>
      <c r="G475" s="17" t="n">
        <f aca="false">G474+G470-G472</f>
        <v>0</v>
      </c>
    </row>
    <row r="476" customFormat="false" ht="15" hidden="false" customHeight="false" outlineLevel="0" collapsed="false">
      <c r="A476" s="5" t="s">
        <v>670</v>
      </c>
      <c r="B476" s="0" t="s">
        <v>46</v>
      </c>
      <c r="D476" s="16" t="n">
        <f aca="false">D472/C472-1</f>
        <v>0.657442046112668</v>
      </c>
      <c r="E476" s="16" t="n">
        <f aca="false">E472/D472-1</f>
        <v>0.743300719833956</v>
      </c>
      <c r="F476" s="16" t="n">
        <f aca="false">F472/E472-1</f>
        <v>0.195778774012941</v>
      </c>
      <c r="G476" s="16" t="n">
        <f aca="false">G472/F472-1</f>
        <v>0.123052179759731</v>
      </c>
    </row>
    <row r="477" customFormat="false" ht="17.15" hidden="false" customHeight="false" outlineLevel="0" collapsed="false">
      <c r="A477" s="0" t="s">
        <v>671</v>
      </c>
      <c r="B477" s="0" t="s">
        <v>46</v>
      </c>
      <c r="C477" s="16" t="n">
        <f aca="false">C467/C472</f>
        <v>0.317431093645347</v>
      </c>
      <c r="D477" s="16" t="n">
        <f aca="false">D467/D472</f>
        <v>0.543965851032685</v>
      </c>
      <c r="E477" s="16" t="n">
        <f aca="false">E467/E472</f>
        <v>0.715238116426289</v>
      </c>
      <c r="F477" s="16" t="n">
        <f aca="false">F467/F472</f>
        <v>0.74674389451122</v>
      </c>
      <c r="G477" s="16" t="n">
        <f aca="false">G467/G472</f>
        <v>0.760060784183847</v>
      </c>
    </row>
    <row r="478" customFormat="false" ht="17.15" hidden="false" customHeight="false" outlineLevel="0" collapsed="false">
      <c r="A478" s="5" t="s">
        <v>672</v>
      </c>
      <c r="B478" s="0" t="s">
        <v>241</v>
      </c>
      <c r="D478" s="22" t="n">
        <f aca="false">gm_net*D466+gm_nai*D469+gm_sw*D470+m_hbm*D460</f>
        <v>53.5556843200462</v>
      </c>
      <c r="E478" s="22" t="n">
        <f aca="false">gm_net*E466+gm_nai*E469+gm_sw*E470+m_hbm*E460</f>
        <v>73.9065190062892</v>
      </c>
      <c r="F478" s="22" t="n">
        <f aca="false">gm_net*F466+gm_nai*F469+gm_sw*F470+m_hbm*F460</f>
        <v>83.4656198578614</v>
      </c>
      <c r="G478" s="22" t="n">
        <f aca="false">gm_net*G466+gm_nai*G469+gm_sw*G470+m_hbm*G460</f>
        <v>92.8007757467657</v>
      </c>
    </row>
    <row r="479" customFormat="false" ht="17.15" hidden="false" customHeight="false" outlineLevel="0" collapsed="false">
      <c r="A479" s="0" t="s">
        <v>673</v>
      </c>
      <c r="B479" s="0" t="s">
        <v>131</v>
      </c>
      <c r="D479" s="17" t="n">
        <f aca="false">(a26_gp-D478)/D461</f>
        <v>0.787550884757324</v>
      </c>
      <c r="H479" s="8" t="s">
        <v>674</v>
      </c>
    </row>
    <row r="480" customFormat="false" ht="15" hidden="false" customHeight="false" outlineLevel="0" collapsed="false">
      <c r="A480" s="5" t="s">
        <v>675</v>
      </c>
      <c r="B480" s="0" t="s">
        <v>241</v>
      </c>
      <c r="C480" s="22" t="n">
        <f aca="false">a25_gp</f>
        <v>50.245</v>
      </c>
      <c r="D480" s="22" t="n">
        <f aca="false">a26_gp</f>
        <v>79.572</v>
      </c>
      <c r="E480" s="22" t="n">
        <f aca="false">E478+$D$479*E461</f>
        <v>126.305577347605</v>
      </c>
      <c r="F480" s="22" t="n">
        <f aca="false">F478+$D$479*F461</f>
        <v>144.711272464594</v>
      </c>
      <c r="G480" s="22" t="n">
        <f aca="false">G478+$D$479*G461</f>
        <v>163.233276244508</v>
      </c>
    </row>
    <row r="481" customFormat="false" ht="15" hidden="false" customHeight="false" outlineLevel="0" collapsed="false">
      <c r="A481" s="5" t="s">
        <v>533</v>
      </c>
      <c r="B481" s="0" t="s">
        <v>46</v>
      </c>
      <c r="C481" s="16" t="n">
        <f aca="false">C480/C472</f>
        <v>0.786466730320723</v>
      </c>
      <c r="D481" s="16" t="n">
        <f aca="false">D480/D472</f>
        <v>0.751466157957862</v>
      </c>
      <c r="E481" s="16" t="n">
        <f aca="false">E480/E472</f>
        <v>0.68422568331454</v>
      </c>
      <c r="F481" s="16" t="n">
        <f aca="false">F480/F472</f>
        <v>0.655584030337804</v>
      </c>
      <c r="G481" s="16" t="n">
        <f aca="false">G480/G472</f>
        <v>0.658468139009407</v>
      </c>
    </row>
    <row r="482" customFormat="false" ht="17.15" hidden="false" customHeight="false" outlineLevel="0" collapsed="false">
      <c r="A482" s="5" t="s">
        <v>676</v>
      </c>
      <c r="B482" s="0" t="s">
        <v>46</v>
      </c>
      <c r="D482" s="16" t="n">
        <f aca="false">D460/D472</f>
        <v>0.0657815561622258</v>
      </c>
      <c r="E482" s="16" t="n">
        <f aca="false">E460/E472</f>
        <v>0.150929340046568</v>
      </c>
      <c r="F482" s="16" t="n">
        <f aca="false">F460/F472</f>
        <v>0.191460327316498</v>
      </c>
      <c r="G482" s="16" t="n">
        <f aca="false">G460/G472</f>
        <v>0.186251726645529</v>
      </c>
    </row>
    <row r="483" customFormat="false" ht="15" hidden="false" customHeight="false" outlineLevel="0" collapsed="false">
      <c r="A483" s="5" t="s">
        <v>677</v>
      </c>
      <c r="B483" s="0" t="s">
        <v>241</v>
      </c>
      <c r="C483" s="24" t="n">
        <f aca="false">a25_opx</f>
        <v>8.248</v>
      </c>
      <c r="D483" s="24" t="n">
        <f aca="false">a26_opx</f>
        <v>8.755</v>
      </c>
      <c r="E483" s="24" t="n">
        <f aca="false">D483*(1+MAX(g_opx_min,phi*E476))</f>
        <v>9.40575978021462</v>
      </c>
      <c r="F483" s="24" t="n">
        <f aca="false">E483*(1+MAX(g_opx_min,phi*F476))</f>
        <v>9.68793257362106</v>
      </c>
      <c r="G483" s="24" t="n">
        <f aca="false">F483*(1+MAX(g_opx_min,phi*G476))</f>
        <v>9.97857055082969</v>
      </c>
    </row>
    <row r="484" customFormat="false" ht="15" hidden="false" customHeight="false" outlineLevel="0" collapsed="false">
      <c r="A484" s="5" t="s">
        <v>678</v>
      </c>
      <c r="B484" s="0" t="s">
        <v>241</v>
      </c>
      <c r="C484" s="24" t="n">
        <f aca="false">C483</f>
        <v>8.248</v>
      </c>
      <c r="D484" s="24" t="n">
        <f aca="false">D483</f>
        <v>8.755</v>
      </c>
      <c r="E484" s="24" t="n">
        <f aca="false">E483+0*E472</f>
        <v>9.40575978021462</v>
      </c>
      <c r="F484" s="24" t="n">
        <f aca="false">F483+0*F472</f>
        <v>9.68793257362106</v>
      </c>
      <c r="G484" s="24" t="n">
        <f aca="false">G483+0*G472</f>
        <v>9.97857055082969</v>
      </c>
    </row>
    <row r="485" customFormat="false" ht="15" hidden="false" customHeight="false" outlineLevel="0" collapsed="false">
      <c r="A485" s="5" t="s">
        <v>679</v>
      </c>
      <c r="B485" s="0" t="s">
        <v>241</v>
      </c>
      <c r="C485" s="22" t="n">
        <f aca="false">C480-C484</f>
        <v>41.997</v>
      </c>
      <c r="D485" s="22" t="n">
        <f aca="false">D480-D484</f>
        <v>70.817</v>
      </c>
      <c r="E485" s="22" t="n">
        <f aca="false">E480-E484</f>
        <v>116.89981756739</v>
      </c>
      <c r="F485" s="22" t="n">
        <f aca="false">F480-F484</f>
        <v>135.023339890973</v>
      </c>
      <c r="G485" s="22" t="n">
        <f aca="false">G480-G484</f>
        <v>153.254705693678</v>
      </c>
    </row>
    <row r="486" customFormat="false" ht="15" hidden="false" customHeight="false" outlineLevel="0" collapsed="false">
      <c r="A486" s="5" t="s">
        <v>538</v>
      </c>
      <c r="B486" s="0" t="s">
        <v>46</v>
      </c>
      <c r="C486" s="16" t="n">
        <f aca="false">C485/C472</f>
        <v>0.657363782929235</v>
      </c>
      <c r="D486" s="16" t="n">
        <f aca="false">D485/D472</f>
        <v>0.66878523737121</v>
      </c>
      <c r="E486" s="16" t="n">
        <f aca="false">E485/E472</f>
        <v>0.633272569858606</v>
      </c>
      <c r="F486" s="16" t="n">
        <f aca="false">F485/F472</f>
        <v>0.611694886291964</v>
      </c>
      <c r="G486" s="16" t="n">
        <f aca="false">G485/G472</f>
        <v>0.61821549609402</v>
      </c>
    </row>
    <row r="487" customFormat="false" ht="15" hidden="false" customHeight="false" outlineLevel="0" collapsed="false">
      <c r="A487" s="5" t="s">
        <v>680</v>
      </c>
      <c r="B487" s="0" t="s">
        <v>241</v>
      </c>
      <c r="C487" s="19" t="n">
        <f aca="false">a25_int</f>
        <v>3.072</v>
      </c>
      <c r="D487" s="19" t="n">
        <f aca="false">a26_int</f>
        <v>2.894</v>
      </c>
      <c r="E487" s="19" t="n">
        <f aca="false">int_f</f>
        <v>2.8</v>
      </c>
      <c r="F487" s="19" t="n">
        <f aca="false">int_f</f>
        <v>2.8</v>
      </c>
      <c r="G487" s="19" t="n">
        <f aca="false">int_f</f>
        <v>2.8</v>
      </c>
    </row>
    <row r="488" customFormat="false" ht="15" hidden="false" customHeight="false" outlineLevel="0" collapsed="false">
      <c r="A488" s="5" t="s">
        <v>681</v>
      </c>
      <c r="B488" s="0" t="s">
        <v>241</v>
      </c>
      <c r="C488" s="19" t="n">
        <f aca="false">a25_oth</f>
        <v>0.294</v>
      </c>
      <c r="D488" s="19" t="n">
        <f aca="false">a26_oth</f>
        <v>0.434</v>
      </c>
      <c r="E488" s="19" t="n">
        <f aca="false">oth_f</f>
        <v>0.4</v>
      </c>
      <c r="F488" s="19" t="n">
        <f aca="false">oth_f</f>
        <v>0.4</v>
      </c>
      <c r="G488" s="19" t="n">
        <f aca="false">oth_f</f>
        <v>0.4</v>
      </c>
    </row>
    <row r="489" customFormat="false" ht="15" hidden="false" customHeight="false" outlineLevel="0" collapsed="false">
      <c r="A489" s="5" t="s">
        <v>543</v>
      </c>
      <c r="B489" s="0" t="s">
        <v>46</v>
      </c>
      <c r="C489" s="16" t="n">
        <f aca="false">a25_tax/(a25_oi-a25_int+a25_oth)</f>
        <v>0.140008669267447</v>
      </c>
      <c r="D489" s="16" t="n">
        <f aca="false">a26_tax/(a26_oi-a26_int+a26_oth)</f>
        <v>0.159996489020876</v>
      </c>
      <c r="E489" s="16" t="n">
        <f aca="false">tx_f</f>
        <v>0.16</v>
      </c>
      <c r="F489" s="16" t="n">
        <f aca="false">tx_f</f>
        <v>0.16</v>
      </c>
      <c r="G489" s="16" t="n">
        <f aca="false">tx_f</f>
        <v>0.16</v>
      </c>
    </row>
    <row r="490" customFormat="false" ht="17.15" hidden="false" customHeight="false" outlineLevel="0" collapsed="false">
      <c r="A490" s="5" t="s">
        <v>630</v>
      </c>
      <c r="B490" s="0" t="s">
        <v>241</v>
      </c>
      <c r="C490" s="22" t="n">
        <f aca="false">a25_ni</f>
        <v>33.728</v>
      </c>
      <c r="D490" s="22" t="n">
        <f aca="false">a26_ni</f>
        <v>57.42012</v>
      </c>
      <c r="E490" s="22" t="n">
        <f aca="false">(E485-E487+E488)*(1-E489)</f>
        <v>96.1798467566076</v>
      </c>
      <c r="F490" s="22" t="n">
        <f aca="false">(F485-F487+F488)*(1-F489)</f>
        <v>111.403605508417</v>
      </c>
      <c r="G490" s="22" t="n">
        <f aca="false">(G485-G487+G488)*(1-G489)</f>
        <v>126.71795278269</v>
      </c>
    </row>
    <row r="491" customFormat="false" ht="15" hidden="false" customHeight="false" outlineLevel="0" collapsed="false">
      <c r="A491" s="5" t="s">
        <v>682</v>
      </c>
      <c r="B491" s="5" t="s">
        <v>304</v>
      </c>
      <c r="C491" s="17" t="n">
        <f aca="false">a25_sh</f>
        <v>4.943</v>
      </c>
      <c r="D491" s="17" t="n">
        <f aca="false">a26_sh</f>
        <v>4.9435</v>
      </c>
      <c r="E491" s="17" t="n">
        <f aca="false">D491*(1+sh_g)</f>
        <v>4.9187825</v>
      </c>
      <c r="F491" s="17" t="n">
        <f aca="false">E491*(1+sh_g)</f>
        <v>4.8941885875</v>
      </c>
      <c r="G491" s="17" t="n">
        <f aca="false">F491*(1+sh_g)</f>
        <v>4.8697176445625</v>
      </c>
    </row>
    <row r="492" customFormat="false" ht="17.15" hidden="false" customHeight="false" outlineLevel="0" collapsed="false">
      <c r="A492" s="0" t="s">
        <v>631</v>
      </c>
      <c r="B492" s="0" t="s">
        <v>354</v>
      </c>
      <c r="C492" s="19" t="n">
        <f aca="false">C490/C491</f>
        <v>6.82338660732349</v>
      </c>
      <c r="D492" s="19" t="n">
        <f aca="false">D490/D491</f>
        <v>11.6152766258724</v>
      </c>
      <c r="E492" s="19" t="n">
        <f aca="false">E490/E491</f>
        <v>19.5535880589572</v>
      </c>
      <c r="F492" s="19" t="n">
        <f aca="false">F490/F491</f>
        <v>22.7624259908879</v>
      </c>
      <c r="G492" s="19" t="n">
        <f aca="false">G490/G491</f>
        <v>26.0216222031235</v>
      </c>
    </row>
    <row r="493" customFormat="false" ht="17.15" hidden="false" customHeight="false" outlineLevel="0" collapsed="false">
      <c r="A493" s="0" t="s">
        <v>683</v>
      </c>
      <c r="B493" s="0" t="s">
        <v>46</v>
      </c>
      <c r="D493" s="16" t="n">
        <f aca="false">D492/C492-1</f>
        <v>0.702274441463682</v>
      </c>
      <c r="E493" s="16" t="n">
        <f aca="false">E492/D492-1</f>
        <v>0.683437139620308</v>
      </c>
      <c r="F493" s="16" t="n">
        <f aca="false">F492/E492-1</f>
        <v>0.164104814024699</v>
      </c>
      <c r="G493" s="16" t="n">
        <f aca="false">G492/F492-1</f>
        <v>0.143183165693333</v>
      </c>
    </row>
    <row r="496" customFormat="false" ht="17.15" hidden="false" customHeight="false" outlineLevel="0" collapsed="false">
      <c r="A496" s="3" t="s">
        <v>1060</v>
      </c>
    </row>
    <row r="497" customFormat="false" ht="17.15" hidden="false" customHeight="false" outlineLevel="0" collapsed="false">
      <c r="A497" s="6" t="s">
        <v>24</v>
      </c>
      <c r="B497" s="6" t="s">
        <v>25</v>
      </c>
      <c r="C497" s="13" t="s">
        <v>507</v>
      </c>
      <c r="D497" s="13" t="s">
        <v>621</v>
      </c>
      <c r="E497" s="13" t="s">
        <v>622</v>
      </c>
      <c r="F497" s="13" t="s">
        <v>623</v>
      </c>
      <c r="G497" s="13" t="s">
        <v>624</v>
      </c>
      <c r="H497" s="6" t="s">
        <v>480</v>
      </c>
    </row>
    <row r="498" customFormat="false" ht="17.15" hidden="false" customHeight="false" outlineLevel="0" collapsed="false">
      <c r="A498" s="1" t="s">
        <v>639</v>
      </c>
    </row>
    <row r="499" customFormat="false" ht="17.15" hidden="false" customHeight="false" outlineLevel="0" collapsed="false">
      <c r="A499" s="0" t="s">
        <v>640</v>
      </c>
      <c r="B499" s="5" t="s">
        <v>35</v>
      </c>
      <c r="D499" s="19" t="n">
        <f aca="false">u_tpu_26</f>
        <v>3.85</v>
      </c>
      <c r="E499" s="19" t="n">
        <f aca="false">u_tpu_27</f>
        <v>5.5</v>
      </c>
      <c r="F499" s="19" t="n">
        <f aca="false">u_tpu_28*um28_A</f>
        <v>7</v>
      </c>
      <c r="G499" s="19" t="n">
        <f aca="false">u_tpu_28*(1+g29_tpu)*um29_A</f>
        <v>8.05</v>
      </c>
    </row>
    <row r="500" customFormat="false" ht="17.15" hidden="false" customHeight="false" outlineLevel="0" collapsed="false">
      <c r="A500" s="5" t="s">
        <v>641</v>
      </c>
      <c r="B500" s="5" t="s">
        <v>35</v>
      </c>
      <c r="D500" s="19" t="n">
        <f aca="false">u_oth_26</f>
        <v>1</v>
      </c>
      <c r="E500" s="19" t="n">
        <f aca="false">u_oth_27</f>
        <v>4.5</v>
      </c>
      <c r="F500" s="19" t="n">
        <f aca="false">u_oth_28*um28_A</f>
        <v>5</v>
      </c>
      <c r="G500" s="19" t="n">
        <f aca="false">u_oth_28*(1+g29_oth)*um29_A</f>
        <v>5.75</v>
      </c>
    </row>
    <row r="501" customFormat="false" ht="17.15" hidden="false" customHeight="false" outlineLevel="0" collapsed="false">
      <c r="A501" s="0" t="s">
        <v>566</v>
      </c>
      <c r="B501" s="0" t="s">
        <v>46</v>
      </c>
      <c r="D501" s="16" t="n">
        <f aca="false">sh_tpu_26</f>
        <v>0.9</v>
      </c>
      <c r="E501" s="16" t="n">
        <f aca="false">MIN(1,MAX(0,sh_tpu_27+0))</f>
        <v>0.8</v>
      </c>
      <c r="F501" s="16" t="n">
        <f aca="false">MIN(1,MAX(0,sh_tpu_28+0))</f>
        <v>0.75</v>
      </c>
      <c r="G501" s="16" t="n">
        <f aca="false">MIN(1,MAX(0,sh_tpu_28+0))</f>
        <v>0.75</v>
      </c>
    </row>
    <row r="502" customFormat="false" ht="17.15" hidden="false" customHeight="false" outlineLevel="0" collapsed="false">
      <c r="A502" s="0" t="s">
        <v>578</v>
      </c>
      <c r="B502" s="0" t="s">
        <v>46</v>
      </c>
      <c r="D502" s="16" t="n">
        <f aca="false">sh_oth_26</f>
        <v>0.35</v>
      </c>
      <c r="E502" s="16" t="n">
        <f aca="false">MIN(1,MAX(0,sh_oth_27+0))</f>
        <v>0.55</v>
      </c>
      <c r="F502" s="16" t="n">
        <f aca="false">MIN(1,MAX(0,sh_oth_28+0))</f>
        <v>0.55</v>
      </c>
      <c r="G502" s="16" t="n">
        <f aca="false">MIN(1,MAX(0,sh_oth_28+0))</f>
        <v>0.55</v>
      </c>
    </row>
    <row r="503" customFormat="false" ht="17.15" hidden="false" customHeight="false" outlineLevel="0" collapsed="false">
      <c r="A503" s="0" t="s">
        <v>568</v>
      </c>
      <c r="B503" s="5" t="s">
        <v>35</v>
      </c>
      <c r="D503" s="19" t="n">
        <f aca="false">D499*D501</f>
        <v>3.465</v>
      </c>
      <c r="E503" s="19" t="n">
        <f aca="false">E499*E501*1</f>
        <v>4.4</v>
      </c>
      <c r="F503" s="19" t="n">
        <f aca="false">F499*F501*1</f>
        <v>5.25</v>
      </c>
      <c r="G503" s="19" t="n">
        <f aca="false">G499*G501*1</f>
        <v>6.0375</v>
      </c>
    </row>
    <row r="504" customFormat="false" ht="17.15" hidden="false" customHeight="false" outlineLevel="0" collapsed="false">
      <c r="A504" s="0" t="s">
        <v>579</v>
      </c>
      <c r="B504" s="5" t="s">
        <v>35</v>
      </c>
      <c r="D504" s="19" t="n">
        <f aca="false">D500*D502</f>
        <v>0.35</v>
      </c>
      <c r="E504" s="19" t="n">
        <f aca="false">E500*E502*1</f>
        <v>2.475</v>
      </c>
      <c r="F504" s="19" t="n">
        <f aca="false">F500*F502*1</f>
        <v>2.75</v>
      </c>
      <c r="G504" s="19" t="n">
        <f aca="false">G500*G502*1</f>
        <v>3.1625</v>
      </c>
    </row>
    <row r="505" customFormat="false" ht="17.15" hidden="false" customHeight="false" outlineLevel="0" collapsed="false">
      <c r="A505" s="5" t="s">
        <v>570</v>
      </c>
      <c r="B505" s="0" t="s">
        <v>151</v>
      </c>
      <c r="D505" s="20" t="n">
        <f aca="false">gb_tpu_26</f>
        <v>192</v>
      </c>
      <c r="E505" s="20" t="n">
        <f aca="false">gb_tpu_27</f>
        <v>250</v>
      </c>
      <c r="F505" s="20" t="n">
        <f aca="false">gb_tpu_28</f>
        <v>288</v>
      </c>
      <c r="G505" s="20" t="n">
        <f aca="false">gb_tpu_28</f>
        <v>288</v>
      </c>
    </row>
    <row r="506" customFormat="false" ht="17.15" hidden="false" customHeight="false" outlineLevel="0" collapsed="false">
      <c r="A506" s="5" t="s">
        <v>580</v>
      </c>
      <c r="B506" s="0" t="s">
        <v>151</v>
      </c>
      <c r="D506" s="20" t="n">
        <f aca="false">gb_oth_26</f>
        <v>150</v>
      </c>
      <c r="E506" s="20" t="n">
        <f aca="false">gb_oth_27</f>
        <v>200</v>
      </c>
      <c r="F506" s="20" t="n">
        <f aca="false">gb_oth_28</f>
        <v>250</v>
      </c>
      <c r="G506" s="20" t="n">
        <f aca="false">gb_oth_28</f>
        <v>250</v>
      </c>
    </row>
    <row r="507" customFormat="false" ht="17.15" hidden="false" customHeight="false" outlineLevel="0" collapsed="false">
      <c r="A507" s="0" t="s">
        <v>642</v>
      </c>
      <c r="B507" s="0" t="s">
        <v>210</v>
      </c>
      <c r="D507" s="19" t="n">
        <f aca="false">hbm_A_26</f>
        <v>14.6</v>
      </c>
      <c r="E507" s="19" t="n">
        <f aca="false">hbm_A_27</f>
        <v>26.28</v>
      </c>
      <c r="F507" s="19" t="n">
        <f aca="false">hbm_A_28</f>
        <v>28.908</v>
      </c>
      <c r="G507" s="19" t="n">
        <f aca="false">hbm_A_29</f>
        <v>27.4626</v>
      </c>
    </row>
    <row r="508" customFormat="false" ht="17.15" hidden="false" customHeight="false" outlineLevel="0" collapsed="false">
      <c r="A508" s="5" t="s">
        <v>643</v>
      </c>
      <c r="B508" s="0" t="s">
        <v>188</v>
      </c>
      <c r="D508" s="19" t="n">
        <f aca="false">core_tpu</f>
        <v>8</v>
      </c>
      <c r="E508" s="19" t="n">
        <f aca="false">core_tpu*1</f>
        <v>8</v>
      </c>
      <c r="F508" s="19" t="n">
        <f aca="false">core_tpu*1</f>
        <v>8</v>
      </c>
      <c r="G508" s="19" t="n">
        <f aca="false">core_tpu*1</f>
        <v>8</v>
      </c>
    </row>
    <row r="509" customFormat="false" ht="17.15" hidden="false" customHeight="false" outlineLevel="0" collapsed="false">
      <c r="A509" s="5" t="s">
        <v>644</v>
      </c>
      <c r="B509" s="0" t="s">
        <v>188</v>
      </c>
      <c r="D509" s="19" t="n">
        <f aca="false">core_oth</f>
        <v>6</v>
      </c>
      <c r="E509" s="19" t="n">
        <f aca="false">core_oth*1</f>
        <v>6</v>
      </c>
      <c r="F509" s="19" t="n">
        <f aca="false">core_oth*1</f>
        <v>6</v>
      </c>
      <c r="G509" s="19" t="n">
        <f aca="false">core_oth*1</f>
        <v>6</v>
      </c>
    </row>
    <row r="510" customFormat="false" ht="17.15" hidden="false" customHeight="false" outlineLevel="0" collapsed="false">
      <c r="A510" s="5" t="s">
        <v>645</v>
      </c>
      <c r="B510" s="0" t="s">
        <v>188</v>
      </c>
      <c r="D510" s="19" t="n">
        <f aca="false">D505*D507/1000</f>
        <v>2.8032</v>
      </c>
      <c r="E510" s="19" t="n">
        <f aca="false">E505*E507/1000</f>
        <v>6.57</v>
      </c>
      <c r="F510" s="19" t="n">
        <f aca="false">F505*F507/1000</f>
        <v>8.325504</v>
      </c>
      <c r="G510" s="19" t="n">
        <f aca="false">G505*G507/1000</f>
        <v>7.9092288</v>
      </c>
    </row>
    <row r="511" customFormat="false" ht="17.15" hidden="false" customHeight="false" outlineLevel="0" collapsed="false">
      <c r="A511" s="5" t="s">
        <v>646</v>
      </c>
      <c r="B511" s="0" t="s">
        <v>188</v>
      </c>
      <c r="D511" s="19" t="n">
        <f aca="false">D506*D507/1000</f>
        <v>2.19</v>
      </c>
      <c r="E511" s="19" t="n">
        <f aca="false">E506*E507/1000</f>
        <v>5.256</v>
      </c>
      <c r="F511" s="19" t="n">
        <f aca="false">F506*F507/1000</f>
        <v>7.227</v>
      </c>
      <c r="G511" s="19" t="n">
        <f aca="false">G506*G507/1000</f>
        <v>6.86565</v>
      </c>
    </row>
    <row r="512" customFormat="false" ht="17.15" hidden="false" customHeight="false" outlineLevel="0" collapsed="false">
      <c r="A512" s="5" t="s">
        <v>647</v>
      </c>
      <c r="B512" s="0" t="s">
        <v>188</v>
      </c>
      <c r="D512" s="19" t="n">
        <f aca="false">D508+f_hbm_lo*D510</f>
        <v>8.84096</v>
      </c>
      <c r="E512" s="19" t="n">
        <f aca="false">E508+f_hbm_lo*E510</f>
        <v>9.971</v>
      </c>
      <c r="F512" s="19" t="n">
        <f aca="false">F508+f_hbm_lo*F510</f>
        <v>10.4976512</v>
      </c>
      <c r="G512" s="19" t="n">
        <f aca="false">G508+f_hbm_lo*G510</f>
        <v>10.37276864</v>
      </c>
      <c r="H512" s="5" t="s">
        <v>648</v>
      </c>
    </row>
    <row r="513" customFormat="false" ht="17.15" hidden="false" customHeight="false" outlineLevel="0" collapsed="false">
      <c r="A513" s="5" t="s">
        <v>649</v>
      </c>
      <c r="B513" s="0" t="s">
        <v>188</v>
      </c>
      <c r="D513" s="19" t="n">
        <f aca="false">D509+f_hbm_lo*D511</f>
        <v>6.657</v>
      </c>
      <c r="E513" s="19" t="n">
        <f aca="false">E509+f_hbm_lo*E511</f>
        <v>7.5768</v>
      </c>
      <c r="F513" s="19" t="n">
        <f aca="false">F509+f_hbm_lo*F511</f>
        <v>8.1681</v>
      </c>
      <c r="G513" s="19" t="n">
        <f aca="false">G509+f_hbm_lo*G511</f>
        <v>8.059695</v>
      </c>
    </row>
    <row r="514" customFormat="false" ht="17.15" hidden="false" customHeight="false" outlineLevel="0" collapsed="false">
      <c r="A514" s="0" t="s">
        <v>650</v>
      </c>
      <c r="B514" s="0" t="s">
        <v>241</v>
      </c>
      <c r="D514" s="22" t="n">
        <f aca="false">D503*D512+D504*D513</f>
        <v>32.9638764</v>
      </c>
      <c r="E514" s="22" t="n">
        <f aca="false">E503*E512+E504*E513</f>
        <v>62.62498</v>
      </c>
      <c r="F514" s="22" t="n">
        <f aca="false">F503*F512+F504*F513</f>
        <v>77.5749438</v>
      </c>
      <c r="G514" s="22" t="n">
        <f aca="false">G503*G512+G504*G513</f>
        <v>88.1143761015</v>
      </c>
    </row>
    <row r="515" customFormat="false" ht="17.15" hidden="false" customHeight="false" outlineLevel="0" collapsed="false">
      <c r="A515" s="0" t="s">
        <v>651</v>
      </c>
      <c r="B515" s="0" t="s">
        <v>131</v>
      </c>
      <c r="D515" s="17" t="n">
        <f aca="false">a26_xpu/D514</f>
        <v>1.21344952015413</v>
      </c>
      <c r="H515" s="8" t="s">
        <v>652</v>
      </c>
    </row>
    <row r="516" customFormat="false" ht="17.15" hidden="false" customHeight="false" outlineLevel="0" collapsed="false">
      <c r="A516" s="0" t="s">
        <v>653</v>
      </c>
      <c r="B516" s="0" t="s">
        <v>241</v>
      </c>
      <c r="D516" s="22" t="n">
        <f aca="false">D514*$D$515</f>
        <v>40</v>
      </c>
      <c r="E516" s="22" t="n">
        <f aca="false">E514*$D$515</f>
        <v>75.9922519306619</v>
      </c>
      <c r="F516" s="22" t="n">
        <f aca="false">F514*$D$515</f>
        <v>94.1332783300935</v>
      </c>
      <c r="G516" s="22" t="n">
        <f aca="false">G514*$D$515</f>
        <v>106.922347399046</v>
      </c>
    </row>
    <row r="517" customFormat="false" ht="17.15" hidden="false" customHeight="false" outlineLevel="0" collapsed="false">
      <c r="A517" s="5" t="s">
        <v>654</v>
      </c>
      <c r="B517" s="0" t="s">
        <v>241</v>
      </c>
      <c r="D517" s="22" t="n">
        <f aca="false">$D$515*f_hbm_lo*(D503*D510+D504*D511)</f>
        <v>3.81493530900389</v>
      </c>
      <c r="E517" s="22" t="n">
        <f aca="false">$D$515*f_hbm_lo*(E503*E510+E504*E511)</f>
        <v>15.2591034469478</v>
      </c>
      <c r="F517" s="22" t="n">
        <f aca="false">$D$515*f_hbm_lo*(F503*F510+F504*F511)</f>
        <v>23.146481401077</v>
      </c>
      <c r="G517" s="22" t="n">
        <f aca="false">$D$515*f_hbm_lo*(G503*G510+G504*G511)</f>
        <v>25.2875309306766</v>
      </c>
    </row>
    <row r="518" customFormat="false" ht="15" hidden="false" customHeight="false" outlineLevel="0" collapsed="false">
      <c r="A518" s="5" t="s">
        <v>655</v>
      </c>
      <c r="B518" s="0" t="s">
        <v>241</v>
      </c>
      <c r="D518" s="22" t="n">
        <f aca="false">D516-D517</f>
        <v>36.1850646909961</v>
      </c>
      <c r="E518" s="22" t="n">
        <f aca="false">E516-E517</f>
        <v>60.7331484837141</v>
      </c>
      <c r="F518" s="22" t="n">
        <f aca="false">F516-F517</f>
        <v>70.9867969290165</v>
      </c>
      <c r="G518" s="22" t="n">
        <f aca="false">G516-G517</f>
        <v>81.634816468369</v>
      </c>
    </row>
    <row r="519" customFormat="false" ht="17.15" hidden="false" customHeight="false" outlineLevel="0" collapsed="false">
      <c r="A519" s="0" t="s">
        <v>656</v>
      </c>
      <c r="B519" s="5" t="s">
        <v>35</v>
      </c>
      <c r="D519" s="19" t="n">
        <f aca="false">D503+D504</f>
        <v>3.815</v>
      </c>
      <c r="E519" s="19" t="n">
        <f aca="false">E503+E504</f>
        <v>6.875</v>
      </c>
      <c r="F519" s="19" t="n">
        <f aca="false">F503+F504</f>
        <v>8</v>
      </c>
      <c r="G519" s="19" t="n">
        <f aca="false">G503+G504</f>
        <v>9.2</v>
      </c>
    </row>
    <row r="520" customFormat="false" ht="17.15" hidden="false" customHeight="false" outlineLevel="0" collapsed="false">
      <c r="A520" s="1" t="s">
        <v>657</v>
      </c>
    </row>
    <row r="521" customFormat="false" ht="17.15" hidden="false" customHeight="false" outlineLevel="0" collapsed="false">
      <c r="A521" s="0" t="s">
        <v>658</v>
      </c>
      <c r="B521" s="0" t="s">
        <v>241</v>
      </c>
      <c r="D521" s="22" t="n">
        <f aca="false">net_26*1</f>
        <v>12.6075726</v>
      </c>
      <c r="E521" s="22" t="n">
        <f aca="false">net_27*1*1</f>
        <v>26.959549</v>
      </c>
      <c r="F521" s="22" t="n">
        <f aca="false">net_28*um28_A*1</f>
        <v>32.094922</v>
      </c>
      <c r="G521" s="22" t="n">
        <f aca="false">net_29*um29_A*1</f>
        <v>37.8328169</v>
      </c>
    </row>
    <row r="522" customFormat="false" ht="17.15" hidden="false" customHeight="false" outlineLevel="0" collapsed="false">
      <c r="A522" s="5" t="s">
        <v>659</v>
      </c>
      <c r="B522" s="0" t="s">
        <v>131</v>
      </c>
      <c r="D522" s="17" t="n">
        <f aca="false">a26_net/D521</f>
        <v>1.39598640899359</v>
      </c>
      <c r="H522" s="8" t="s">
        <v>660</v>
      </c>
    </row>
    <row r="523" customFormat="false" ht="17.15" hidden="false" customHeight="false" outlineLevel="0" collapsed="false">
      <c r="A523" s="0" t="s">
        <v>661</v>
      </c>
      <c r="B523" s="0" t="s">
        <v>241</v>
      </c>
      <c r="D523" s="22" t="n">
        <f aca="false">D521*$D$522</f>
        <v>17.6</v>
      </c>
      <c r="E523" s="22" t="n">
        <f aca="false">E521*$D$522</f>
        <v>37.6351639965968</v>
      </c>
      <c r="F523" s="22" t="n">
        <f aca="false">F521*$D$522</f>
        <v>44.8040749097094</v>
      </c>
      <c r="G523" s="22" t="n">
        <f aca="false">G521*$D$522</f>
        <v>52.8140982063431</v>
      </c>
    </row>
    <row r="524" customFormat="false" ht="17.15" hidden="false" customHeight="false" outlineLevel="0" collapsed="false">
      <c r="A524" s="0" t="s">
        <v>522</v>
      </c>
      <c r="B524" s="0" t="s">
        <v>241</v>
      </c>
      <c r="C524" s="22" t="n">
        <f aca="false">a25_ai</f>
        <v>20.2797202797203</v>
      </c>
      <c r="D524" s="22" t="n">
        <f aca="false">D516+D523</f>
        <v>57.6</v>
      </c>
      <c r="E524" s="22" t="n">
        <f aca="false">E516+E523</f>
        <v>113.627415927259</v>
      </c>
      <c r="F524" s="22" t="n">
        <f aca="false">F516+F523</f>
        <v>138.937353239803</v>
      </c>
      <c r="G524" s="22" t="n">
        <f aca="false">G516+G523</f>
        <v>159.736445605389</v>
      </c>
    </row>
    <row r="525" customFormat="false" ht="15" hidden="false" customHeight="false" outlineLevel="0" collapsed="false">
      <c r="A525" s="0" t="s">
        <v>662</v>
      </c>
      <c r="B525" s="0" t="s">
        <v>46</v>
      </c>
      <c r="D525" s="16" t="n">
        <f aca="false">D516/D524</f>
        <v>0.694444444444444</v>
      </c>
      <c r="E525" s="16" t="n">
        <f aca="false">E516/E524</f>
        <v>0.668784476972619</v>
      </c>
      <c r="F525" s="16" t="n">
        <f aca="false">F516/F524</f>
        <v>0.677523186782042</v>
      </c>
      <c r="G525" s="16" t="n">
        <f aca="false">G516/G524</f>
        <v>0.669367263017643</v>
      </c>
    </row>
    <row r="526" customFormat="false" ht="17.15" hidden="false" customHeight="false" outlineLevel="0" collapsed="false">
      <c r="A526" s="5" t="s">
        <v>663</v>
      </c>
      <c r="B526" s="0" t="s">
        <v>241</v>
      </c>
      <c r="C526" s="22" t="n">
        <f aca="false">a25_nai</f>
        <v>16.5782797202797</v>
      </c>
      <c r="D526" s="22" t="n">
        <f aca="false">a26_nai</f>
        <v>16.863</v>
      </c>
      <c r="E526" s="22" t="n">
        <f aca="false">D526*(1+g_nai)</f>
        <v>17.36889</v>
      </c>
      <c r="F526" s="22" t="n">
        <f aca="false">E526*(1+g_nai)</f>
        <v>17.8899567</v>
      </c>
      <c r="G526" s="22" t="n">
        <f aca="false">F526*(1+g_nai)</f>
        <v>18.426655401</v>
      </c>
    </row>
    <row r="527" customFormat="false" ht="15" hidden="false" customHeight="false" outlineLevel="0" collapsed="false">
      <c r="A527" s="5" t="s">
        <v>664</v>
      </c>
      <c r="B527" s="0" t="s">
        <v>241</v>
      </c>
      <c r="C527" s="22" t="n">
        <f aca="false">a25_sw</f>
        <v>27.029</v>
      </c>
      <c r="D527" s="22" t="n">
        <f aca="false">a26_sw</f>
        <v>31.426</v>
      </c>
      <c r="E527" s="22" t="n">
        <f aca="false">D527*(1+g_sw27)</f>
        <v>35.19712</v>
      </c>
      <c r="F527" s="22" t="n">
        <f aca="false">E527*(1+g_sw)</f>
        <v>38.0128896</v>
      </c>
      <c r="G527" s="22" t="n">
        <f aca="false">F527*(1+g_sw)</f>
        <v>41.053920768</v>
      </c>
    </row>
    <row r="528" customFormat="false" ht="17.15" hidden="false" customHeight="false" outlineLevel="0" collapsed="false">
      <c r="A528" s="1" t="s">
        <v>665</v>
      </c>
    </row>
    <row r="529" customFormat="false" ht="15" hidden="false" customHeight="false" outlineLevel="0" collapsed="false">
      <c r="A529" s="5" t="s">
        <v>514</v>
      </c>
      <c r="B529" s="0" t="s">
        <v>241</v>
      </c>
      <c r="C529" s="22" t="n">
        <f aca="false">a25_rev</f>
        <v>63.887</v>
      </c>
      <c r="D529" s="22" t="n">
        <f aca="false">a26_rev</f>
        <v>105.889</v>
      </c>
      <c r="E529" s="22" t="n">
        <f aca="false">E524+E526+E527</f>
        <v>166.193425927259</v>
      </c>
      <c r="F529" s="22" t="n">
        <f aca="false">F524+F526+F527</f>
        <v>194.840199539803</v>
      </c>
      <c r="G529" s="22" t="n">
        <f aca="false">G524+G526+G527</f>
        <v>219.217021774389</v>
      </c>
    </row>
    <row r="530" customFormat="false" ht="17.15" hidden="false" customHeight="false" outlineLevel="0" collapsed="false">
      <c r="A530" s="5" t="s">
        <v>666</v>
      </c>
      <c r="B530" s="0" t="s">
        <v>241</v>
      </c>
      <c r="D530" s="22" t="n">
        <f aca="false">D524+D526+D527</f>
        <v>105.889</v>
      </c>
      <c r="E530" s="22" t="n">
        <f aca="false">E524+E526+E527</f>
        <v>166.193425927259</v>
      </c>
      <c r="F530" s="22" t="n">
        <f aca="false">F524+F526+F527</f>
        <v>194.840199539803</v>
      </c>
      <c r="G530" s="22" t="n">
        <f aca="false">G524+G526+G527</f>
        <v>219.217021774389</v>
      </c>
    </row>
    <row r="531" customFormat="false" ht="17.15" hidden="false" customHeight="false" outlineLevel="0" collapsed="false">
      <c r="A531" s="5" t="s">
        <v>667</v>
      </c>
      <c r="B531" s="0" t="s">
        <v>241</v>
      </c>
      <c r="C531" s="22" t="n">
        <f aca="false">C524+C526</f>
        <v>36.858</v>
      </c>
      <c r="D531" s="22" t="n">
        <f aca="false">D524+D526</f>
        <v>74.463</v>
      </c>
      <c r="E531" s="22" t="n">
        <f aca="false">E524+E526</f>
        <v>130.996305927259</v>
      </c>
      <c r="F531" s="22" t="n">
        <f aca="false">F524+F526</f>
        <v>156.827309939803</v>
      </c>
      <c r="G531" s="22" t="n">
        <f aca="false">G524+G526</f>
        <v>178.163101006389</v>
      </c>
      <c r="H531" s="5" t="s">
        <v>668</v>
      </c>
    </row>
    <row r="532" customFormat="false" ht="17.15" hidden="false" customHeight="false" outlineLevel="0" collapsed="false">
      <c r="A532" s="5" t="s">
        <v>669</v>
      </c>
      <c r="B532" s="0" t="s">
        <v>241</v>
      </c>
      <c r="C532" s="17" t="n">
        <f aca="false">C531+C527-C529</f>
        <v>0</v>
      </c>
      <c r="D532" s="17" t="n">
        <f aca="false">D531+D527-D529</f>
        <v>0</v>
      </c>
      <c r="E532" s="17" t="n">
        <f aca="false">E531+E527-E529</f>
        <v>0</v>
      </c>
      <c r="F532" s="17" t="n">
        <f aca="false">F531+F527-F529</f>
        <v>0</v>
      </c>
      <c r="G532" s="17" t="n">
        <f aca="false">G531+G527-G529</f>
        <v>0</v>
      </c>
    </row>
    <row r="533" customFormat="false" ht="15" hidden="false" customHeight="false" outlineLevel="0" collapsed="false">
      <c r="A533" s="5" t="s">
        <v>670</v>
      </c>
      <c r="B533" s="0" t="s">
        <v>46</v>
      </c>
      <c r="D533" s="16" t="n">
        <f aca="false">D529/C529-1</f>
        <v>0.657442046112668</v>
      </c>
      <c r="E533" s="16" t="n">
        <f aca="false">E529/D529-1</f>
        <v>0.569506048099979</v>
      </c>
      <c r="F533" s="16" t="n">
        <f aca="false">F529/E529-1</f>
        <v>0.172370076931218</v>
      </c>
      <c r="G533" s="16" t="n">
        <f aca="false">G529/F529-1</f>
        <v>0.125111872663659</v>
      </c>
    </row>
    <row r="534" customFormat="false" ht="17.15" hidden="false" customHeight="false" outlineLevel="0" collapsed="false">
      <c r="A534" s="0" t="s">
        <v>671</v>
      </c>
      <c r="B534" s="0" t="s">
        <v>46</v>
      </c>
      <c r="C534" s="16" t="n">
        <f aca="false">C524/C529</f>
        <v>0.317431093645347</v>
      </c>
      <c r="D534" s="16" t="n">
        <f aca="false">D524/D529</f>
        <v>0.543965851032685</v>
      </c>
      <c r="E534" s="16" t="n">
        <f aca="false">E524/E529</f>
        <v>0.683705840307982</v>
      </c>
      <c r="F534" s="16" t="n">
        <f aca="false">F524/F529</f>
        <v>0.713083611944362</v>
      </c>
      <c r="G534" s="16" t="n">
        <f aca="false">G524/G529</f>
        <v>0.728668076559239</v>
      </c>
    </row>
    <row r="535" customFormat="false" ht="17.15" hidden="false" customHeight="false" outlineLevel="0" collapsed="false">
      <c r="A535" s="5" t="s">
        <v>672</v>
      </c>
      <c r="B535" s="0" t="s">
        <v>241</v>
      </c>
      <c r="D535" s="22" t="n">
        <f aca="false">gm_net*D523+gm_nai*D526+gm_sw*D527+m_hbm*D517</f>
        <v>53.2406235309004</v>
      </c>
      <c r="E535" s="22" t="n">
        <f aca="false">gm_net*E523+gm_nai*E526+gm_sw*E527+m_hbm*E517</f>
        <v>72.6463285222445</v>
      </c>
      <c r="F535" s="22" t="n">
        <f aca="false">gm_net*F523+gm_nai*F526+gm_sw*F527+m_hbm*F517</f>
        <v>81.5540412580985</v>
      </c>
      <c r="G535" s="22" t="n">
        <f aca="false">gm_net*G523+gm_nai*G526+gm_sw*G527+m_hbm*G517</f>
        <v>90.7123761265247</v>
      </c>
    </row>
    <row r="536" customFormat="false" ht="17.15" hidden="false" customHeight="false" outlineLevel="0" collapsed="false">
      <c r="A536" s="0" t="s">
        <v>673</v>
      </c>
      <c r="B536" s="0" t="s">
        <v>131</v>
      </c>
      <c r="D536" s="17" t="n">
        <f aca="false">(a26_gp-D535)/D518</f>
        <v>0.727686317378662</v>
      </c>
      <c r="H536" s="8" t="s">
        <v>674</v>
      </c>
    </row>
    <row r="537" customFormat="false" ht="15" hidden="false" customHeight="false" outlineLevel="0" collapsed="false">
      <c r="A537" s="5" t="s">
        <v>675</v>
      </c>
      <c r="B537" s="0" t="s">
        <v>241</v>
      </c>
      <c r="C537" s="22" t="n">
        <f aca="false">a25_gp</f>
        <v>50.245</v>
      </c>
      <c r="D537" s="22" t="n">
        <f aca="false">a26_gp</f>
        <v>79.572</v>
      </c>
      <c r="E537" s="22" t="n">
        <f aca="false">E535+$D$536*E518</f>
        <v>116.84100968517</v>
      </c>
      <c r="F537" s="22" t="n">
        <f aca="false">F535+$D$536*F518</f>
        <v>133.210162097881</v>
      </c>
      <c r="G537" s="22" t="n">
        <f aca="false">G535+$D$536*G518</f>
        <v>150.116915092275</v>
      </c>
    </row>
    <row r="538" customFormat="false" ht="15" hidden="false" customHeight="false" outlineLevel="0" collapsed="false">
      <c r="A538" s="5" t="s">
        <v>533</v>
      </c>
      <c r="B538" s="0" t="s">
        <v>46</v>
      </c>
      <c r="C538" s="16" t="n">
        <f aca="false">C537/C529</f>
        <v>0.786466730320723</v>
      </c>
      <c r="D538" s="16" t="n">
        <f aca="false">D537/D529</f>
        <v>0.751466157957862</v>
      </c>
      <c r="E538" s="16" t="n">
        <f aca="false">E537/E529</f>
        <v>0.703042307680149</v>
      </c>
      <c r="F538" s="16" t="n">
        <f aca="false">F537/F529</f>
        <v>0.683689312639349</v>
      </c>
      <c r="G538" s="16" t="n">
        <f aca="false">G537/G529</f>
        <v>0.684786764628026</v>
      </c>
    </row>
    <row r="539" customFormat="false" ht="17.15" hidden="false" customHeight="false" outlineLevel="0" collapsed="false">
      <c r="A539" s="5" t="s">
        <v>676</v>
      </c>
      <c r="B539" s="0" t="s">
        <v>46</v>
      </c>
      <c r="D539" s="16" t="n">
        <f aca="false">D517/D529</f>
        <v>0.0360276828471691</v>
      </c>
      <c r="E539" s="16" t="n">
        <f aca="false">E517/E529</f>
        <v>0.091815325195995</v>
      </c>
      <c r="F539" s="16" t="n">
        <f aca="false">F517/F529</f>
        <v>0.118797257730936</v>
      </c>
      <c r="G539" s="16" t="n">
        <f aca="false">G517/G529</f>
        <v>0.115353865890495</v>
      </c>
    </row>
    <row r="540" customFormat="false" ht="15" hidden="false" customHeight="false" outlineLevel="0" collapsed="false">
      <c r="A540" s="5" t="s">
        <v>677</v>
      </c>
      <c r="B540" s="0" t="s">
        <v>241</v>
      </c>
      <c r="C540" s="24" t="n">
        <f aca="false">a25_opx</f>
        <v>8.248</v>
      </c>
      <c r="D540" s="24" t="n">
        <f aca="false">a26_opx</f>
        <v>8.755</v>
      </c>
      <c r="E540" s="24" t="n">
        <f aca="false">D540*(1+MAX(g_opx_min,phi*E533))</f>
        <v>9.25360254511153</v>
      </c>
      <c r="F540" s="24" t="n">
        <f aca="false">E540*(1+MAX(g_opx_min,phi*F533))</f>
        <v>9.53121062146487</v>
      </c>
      <c r="G540" s="24" t="n">
        <f aca="false">F540*(1+MAX(g_opx_min,phi*G533))</f>
        <v>9.81714694010882</v>
      </c>
    </row>
    <row r="541" customFormat="false" ht="15" hidden="false" customHeight="false" outlineLevel="0" collapsed="false">
      <c r="A541" s="5" t="s">
        <v>678</v>
      </c>
      <c r="B541" s="0" t="s">
        <v>241</v>
      </c>
      <c r="C541" s="24" t="n">
        <f aca="false">C540</f>
        <v>8.248</v>
      </c>
      <c r="D541" s="24" t="n">
        <f aca="false">D540</f>
        <v>8.755</v>
      </c>
      <c r="E541" s="24" t="n">
        <f aca="false">E540+0*E529</f>
        <v>9.25360254511153</v>
      </c>
      <c r="F541" s="24" t="n">
        <f aca="false">F540+0*F529</f>
        <v>9.53121062146487</v>
      </c>
      <c r="G541" s="24" t="n">
        <f aca="false">G540+0*G529</f>
        <v>9.81714694010882</v>
      </c>
    </row>
    <row r="542" customFormat="false" ht="15" hidden="false" customHeight="false" outlineLevel="0" collapsed="false">
      <c r="A542" s="5" t="s">
        <v>679</v>
      </c>
      <c r="B542" s="0" t="s">
        <v>241</v>
      </c>
      <c r="C542" s="22" t="n">
        <f aca="false">C537-C541</f>
        <v>41.997</v>
      </c>
      <c r="D542" s="22" t="n">
        <f aca="false">D537-D541</f>
        <v>70.817</v>
      </c>
      <c r="E542" s="22" t="n">
        <f aca="false">E537-E541</f>
        <v>107.587407140058</v>
      </c>
      <c r="F542" s="22" t="n">
        <f aca="false">F537-F541</f>
        <v>123.678951476417</v>
      </c>
      <c r="G542" s="22" t="n">
        <f aca="false">G537-G541</f>
        <v>140.299768152166</v>
      </c>
    </row>
    <row r="543" customFormat="false" ht="15" hidden="false" customHeight="false" outlineLevel="0" collapsed="false">
      <c r="A543" s="5" t="s">
        <v>538</v>
      </c>
      <c r="B543" s="0" t="s">
        <v>46</v>
      </c>
      <c r="C543" s="16" t="n">
        <f aca="false">C542/C529</f>
        <v>0.657363782929235</v>
      </c>
      <c r="D543" s="16" t="n">
        <f aca="false">D542/D529</f>
        <v>0.66878523737121</v>
      </c>
      <c r="E543" s="16" t="n">
        <f aca="false">E542/E529</f>
        <v>0.647362592953276</v>
      </c>
      <c r="F543" s="16" t="n">
        <f aca="false">F542/F529</f>
        <v>0.634771221588443</v>
      </c>
      <c r="G543" s="16" t="n">
        <f aca="false">G542/G529</f>
        <v>0.640003987904545</v>
      </c>
    </row>
    <row r="544" customFormat="false" ht="15" hidden="false" customHeight="false" outlineLevel="0" collapsed="false">
      <c r="A544" s="5" t="s">
        <v>680</v>
      </c>
      <c r="B544" s="0" t="s">
        <v>241</v>
      </c>
      <c r="C544" s="19" t="n">
        <f aca="false">a25_int</f>
        <v>3.072</v>
      </c>
      <c r="D544" s="19" t="n">
        <f aca="false">a26_int</f>
        <v>2.894</v>
      </c>
      <c r="E544" s="19" t="n">
        <f aca="false">int_f</f>
        <v>2.8</v>
      </c>
      <c r="F544" s="19" t="n">
        <f aca="false">int_f</f>
        <v>2.8</v>
      </c>
      <c r="G544" s="19" t="n">
        <f aca="false">int_f</f>
        <v>2.8</v>
      </c>
    </row>
    <row r="545" customFormat="false" ht="15" hidden="false" customHeight="false" outlineLevel="0" collapsed="false">
      <c r="A545" s="5" t="s">
        <v>681</v>
      </c>
      <c r="B545" s="0" t="s">
        <v>241</v>
      </c>
      <c r="C545" s="19" t="n">
        <f aca="false">a25_oth</f>
        <v>0.294</v>
      </c>
      <c r="D545" s="19" t="n">
        <f aca="false">a26_oth</f>
        <v>0.434</v>
      </c>
      <c r="E545" s="19" t="n">
        <f aca="false">oth_f</f>
        <v>0.4</v>
      </c>
      <c r="F545" s="19" t="n">
        <f aca="false">oth_f</f>
        <v>0.4</v>
      </c>
      <c r="G545" s="19" t="n">
        <f aca="false">oth_f</f>
        <v>0.4</v>
      </c>
    </row>
    <row r="546" customFormat="false" ht="15" hidden="false" customHeight="false" outlineLevel="0" collapsed="false">
      <c r="A546" s="5" t="s">
        <v>543</v>
      </c>
      <c r="B546" s="0" t="s">
        <v>46</v>
      </c>
      <c r="C546" s="16" t="n">
        <f aca="false">a25_tax/(a25_oi-a25_int+a25_oth)</f>
        <v>0.140008669267447</v>
      </c>
      <c r="D546" s="16" t="n">
        <f aca="false">a26_tax/(a26_oi-a26_int+a26_oth)</f>
        <v>0.159996489020876</v>
      </c>
      <c r="E546" s="16" t="n">
        <f aca="false">tx_f</f>
        <v>0.16</v>
      </c>
      <c r="F546" s="16" t="n">
        <f aca="false">tx_f</f>
        <v>0.16</v>
      </c>
      <c r="G546" s="16" t="n">
        <f aca="false">tx_f</f>
        <v>0.16</v>
      </c>
    </row>
    <row r="547" customFormat="false" ht="17.15" hidden="false" customHeight="false" outlineLevel="0" collapsed="false">
      <c r="A547" s="5" t="s">
        <v>630</v>
      </c>
      <c r="B547" s="0" t="s">
        <v>241</v>
      </c>
      <c r="C547" s="22" t="n">
        <f aca="false">a25_ni</f>
        <v>33.728</v>
      </c>
      <c r="D547" s="22" t="n">
        <f aca="false">a26_ni</f>
        <v>57.42012</v>
      </c>
      <c r="E547" s="22" t="n">
        <f aca="false">(E542-E544+E545)*(1-E546)</f>
        <v>88.357421997649</v>
      </c>
      <c r="F547" s="22" t="n">
        <f aca="false">(F542-F544+F545)*(1-F546)</f>
        <v>101.87431924019</v>
      </c>
      <c r="G547" s="22" t="n">
        <f aca="false">(G542-G544+G545)*(1-G546)</f>
        <v>115.83580524782</v>
      </c>
    </row>
    <row r="548" customFormat="false" ht="15" hidden="false" customHeight="false" outlineLevel="0" collapsed="false">
      <c r="A548" s="5" t="s">
        <v>682</v>
      </c>
      <c r="B548" s="5" t="s">
        <v>304</v>
      </c>
      <c r="C548" s="17" t="n">
        <f aca="false">a25_sh</f>
        <v>4.943</v>
      </c>
      <c r="D548" s="17" t="n">
        <f aca="false">a26_sh</f>
        <v>4.9435</v>
      </c>
      <c r="E548" s="17" t="n">
        <f aca="false">D548*(1+sh_g)</f>
        <v>4.9187825</v>
      </c>
      <c r="F548" s="17" t="n">
        <f aca="false">E548*(1+sh_g)</f>
        <v>4.8941885875</v>
      </c>
      <c r="G548" s="17" t="n">
        <f aca="false">F548*(1+sh_g)</f>
        <v>4.8697176445625</v>
      </c>
    </row>
    <row r="549" customFormat="false" ht="17.15" hidden="false" customHeight="false" outlineLevel="0" collapsed="false">
      <c r="A549" s="0" t="s">
        <v>631</v>
      </c>
      <c r="B549" s="0" t="s">
        <v>354</v>
      </c>
      <c r="C549" s="19" t="n">
        <f aca="false">C547/C548</f>
        <v>6.82338660732349</v>
      </c>
      <c r="D549" s="19" t="n">
        <f aca="false">D547/D548</f>
        <v>11.6152766258724</v>
      </c>
      <c r="E549" s="19" t="n">
        <f aca="false">E547/E548</f>
        <v>17.9632707885842</v>
      </c>
      <c r="F549" s="19" t="n">
        <f aca="false">F547/F548</f>
        <v>20.8153644713205</v>
      </c>
      <c r="G549" s="19" t="n">
        <f aca="false">G547/G548</f>
        <v>23.7869654264578</v>
      </c>
    </row>
    <row r="550" customFormat="false" ht="17.15" hidden="false" customHeight="false" outlineLevel="0" collapsed="false">
      <c r="A550" s="0" t="s">
        <v>683</v>
      </c>
      <c r="B550" s="0" t="s">
        <v>46</v>
      </c>
      <c r="D550" s="16" t="n">
        <f aca="false">D549/C549-1</f>
        <v>0.702274441463682</v>
      </c>
      <c r="E550" s="16" t="n">
        <f aca="false">E549/D549-1</f>
        <v>0.546521134810688</v>
      </c>
      <c r="F550" s="16" t="n">
        <f aca="false">F549/E549-1</f>
        <v>0.1587736284947</v>
      </c>
      <c r="G550" s="16" t="n">
        <f aca="false">G549/F549-1</f>
        <v>0.142759977094398</v>
      </c>
    </row>
    <row r="553" customFormat="false" ht="17.15" hidden="false" customHeight="false" outlineLevel="0" collapsed="false">
      <c r="A553" s="3" t="s">
        <v>1061</v>
      </c>
    </row>
    <row r="554" customFormat="false" ht="17.15" hidden="false" customHeight="false" outlineLevel="0" collapsed="false">
      <c r="A554" s="6" t="s">
        <v>24</v>
      </c>
      <c r="B554" s="6" t="s">
        <v>25</v>
      </c>
      <c r="C554" s="13" t="s">
        <v>507</v>
      </c>
      <c r="D554" s="13" t="s">
        <v>621</v>
      </c>
      <c r="E554" s="13" t="s">
        <v>622</v>
      </c>
      <c r="F554" s="13" t="s">
        <v>623</v>
      </c>
      <c r="G554" s="13" t="s">
        <v>624</v>
      </c>
      <c r="H554" s="6" t="s">
        <v>480</v>
      </c>
    </row>
    <row r="555" customFormat="false" ht="17.15" hidden="false" customHeight="false" outlineLevel="0" collapsed="false">
      <c r="A555" s="1" t="s">
        <v>639</v>
      </c>
    </row>
    <row r="556" customFormat="false" ht="17.15" hidden="false" customHeight="false" outlineLevel="0" collapsed="false">
      <c r="A556" s="0" t="s">
        <v>640</v>
      </c>
      <c r="B556" s="5" t="s">
        <v>35</v>
      </c>
      <c r="D556" s="19" t="n">
        <f aca="false">u_tpu_26</f>
        <v>3.85</v>
      </c>
      <c r="E556" s="19" t="n">
        <f aca="false">u_tpu_27</f>
        <v>5.5</v>
      </c>
      <c r="F556" s="19" t="n">
        <f aca="false">u_tpu_28*um28_A</f>
        <v>7</v>
      </c>
      <c r="G556" s="19" t="n">
        <f aca="false">u_tpu_28*(1+g29_tpu)*um29_A</f>
        <v>8.05</v>
      </c>
    </row>
    <row r="557" customFormat="false" ht="17.15" hidden="false" customHeight="false" outlineLevel="0" collapsed="false">
      <c r="A557" s="5" t="s">
        <v>641</v>
      </c>
      <c r="B557" s="5" t="s">
        <v>35</v>
      </c>
      <c r="D557" s="19" t="n">
        <f aca="false">u_oth_26</f>
        <v>1</v>
      </c>
      <c r="E557" s="19" t="n">
        <f aca="false">u_oth_27</f>
        <v>4.5</v>
      </c>
      <c r="F557" s="19" t="n">
        <f aca="false">u_oth_28*um28_A</f>
        <v>5</v>
      </c>
      <c r="G557" s="19" t="n">
        <f aca="false">u_oth_28*(1+g29_oth)*um29_A</f>
        <v>5.75</v>
      </c>
    </row>
    <row r="558" customFormat="false" ht="17.15" hidden="false" customHeight="false" outlineLevel="0" collapsed="false">
      <c r="A558" s="0" t="s">
        <v>566</v>
      </c>
      <c r="B558" s="0" t="s">
        <v>46</v>
      </c>
      <c r="D558" s="16" t="n">
        <f aca="false">sh_tpu_26</f>
        <v>0.9</v>
      </c>
      <c r="E558" s="16" t="n">
        <f aca="false">MIN(1,MAX(0,sh_tpu_27+0))</f>
        <v>0.8</v>
      </c>
      <c r="F558" s="16" t="n">
        <f aca="false">MIN(1,MAX(0,sh_tpu_28+0))</f>
        <v>0.75</v>
      </c>
      <c r="G558" s="16" t="n">
        <f aca="false">MIN(1,MAX(0,sh_tpu_28+0))</f>
        <v>0.75</v>
      </c>
    </row>
    <row r="559" customFormat="false" ht="17.15" hidden="false" customHeight="false" outlineLevel="0" collapsed="false">
      <c r="A559" s="0" t="s">
        <v>578</v>
      </c>
      <c r="B559" s="0" t="s">
        <v>46</v>
      </c>
      <c r="D559" s="16" t="n">
        <f aca="false">sh_oth_26</f>
        <v>0.35</v>
      </c>
      <c r="E559" s="16" t="n">
        <f aca="false">MIN(1,MAX(0,sh_oth_27+0))</f>
        <v>0.55</v>
      </c>
      <c r="F559" s="16" t="n">
        <f aca="false">MIN(1,MAX(0,sh_oth_28+0))</f>
        <v>0.55</v>
      </c>
      <c r="G559" s="16" t="n">
        <f aca="false">MIN(1,MAX(0,sh_oth_28+0))</f>
        <v>0.55</v>
      </c>
    </row>
    <row r="560" customFormat="false" ht="17.15" hidden="false" customHeight="false" outlineLevel="0" collapsed="false">
      <c r="A560" s="0" t="s">
        <v>568</v>
      </c>
      <c r="B560" s="5" t="s">
        <v>35</v>
      </c>
      <c r="D560" s="19" t="n">
        <f aca="false">D556*D558</f>
        <v>3.465</v>
      </c>
      <c r="E560" s="19" t="n">
        <f aca="false">E556*E558*1</f>
        <v>4.4</v>
      </c>
      <c r="F560" s="19" t="n">
        <f aca="false">F556*F558*1</f>
        <v>5.25</v>
      </c>
      <c r="G560" s="19" t="n">
        <f aca="false">G556*G558*1</f>
        <v>6.0375</v>
      </c>
    </row>
    <row r="561" customFormat="false" ht="17.15" hidden="false" customHeight="false" outlineLevel="0" collapsed="false">
      <c r="A561" s="0" t="s">
        <v>579</v>
      </c>
      <c r="B561" s="5" t="s">
        <v>35</v>
      </c>
      <c r="D561" s="19" t="n">
        <f aca="false">D557*D559</f>
        <v>0.35</v>
      </c>
      <c r="E561" s="19" t="n">
        <f aca="false">E557*E559*1</f>
        <v>2.475</v>
      </c>
      <c r="F561" s="19" t="n">
        <f aca="false">F557*F559*1</f>
        <v>2.75</v>
      </c>
      <c r="G561" s="19" t="n">
        <f aca="false">G557*G559*1</f>
        <v>3.1625</v>
      </c>
    </row>
    <row r="562" customFormat="false" ht="17.15" hidden="false" customHeight="false" outlineLevel="0" collapsed="false">
      <c r="A562" s="5" t="s">
        <v>570</v>
      </c>
      <c r="B562" s="0" t="s">
        <v>151</v>
      </c>
      <c r="D562" s="20" t="n">
        <f aca="false">gb_tpu_26</f>
        <v>192</v>
      </c>
      <c r="E562" s="20" t="n">
        <f aca="false">gb_tpu_27</f>
        <v>250</v>
      </c>
      <c r="F562" s="20" t="n">
        <f aca="false">gb_tpu_28</f>
        <v>288</v>
      </c>
      <c r="G562" s="20" t="n">
        <f aca="false">gb_tpu_28</f>
        <v>288</v>
      </c>
    </row>
    <row r="563" customFormat="false" ht="17.15" hidden="false" customHeight="false" outlineLevel="0" collapsed="false">
      <c r="A563" s="5" t="s">
        <v>580</v>
      </c>
      <c r="B563" s="0" t="s">
        <v>151</v>
      </c>
      <c r="D563" s="20" t="n">
        <f aca="false">gb_oth_26</f>
        <v>150</v>
      </c>
      <c r="E563" s="20" t="n">
        <f aca="false">gb_oth_27</f>
        <v>200</v>
      </c>
      <c r="F563" s="20" t="n">
        <f aca="false">gb_oth_28</f>
        <v>250</v>
      </c>
      <c r="G563" s="20" t="n">
        <f aca="false">gb_oth_28</f>
        <v>250</v>
      </c>
    </row>
    <row r="564" customFormat="false" ht="17.15" hidden="false" customHeight="false" outlineLevel="0" collapsed="false">
      <c r="A564" s="0" t="s">
        <v>642</v>
      </c>
      <c r="B564" s="0" t="s">
        <v>210</v>
      </c>
      <c r="D564" s="19" t="n">
        <f aca="false">hbm_A_26</f>
        <v>14.6</v>
      </c>
      <c r="E564" s="19" t="n">
        <f aca="false">hbm_A_27</f>
        <v>26.28</v>
      </c>
      <c r="F564" s="19" t="n">
        <f aca="false">hbm_A_28</f>
        <v>28.908</v>
      </c>
      <c r="G564" s="19" t="n">
        <f aca="false">hbm_A_29</f>
        <v>27.4626</v>
      </c>
    </row>
    <row r="565" customFormat="false" ht="17.15" hidden="false" customHeight="false" outlineLevel="0" collapsed="false">
      <c r="A565" s="5" t="s">
        <v>643</v>
      </c>
      <c r="B565" s="0" t="s">
        <v>188</v>
      </c>
      <c r="D565" s="19" t="n">
        <f aca="false">core_tpu</f>
        <v>8</v>
      </c>
      <c r="E565" s="19" t="n">
        <f aca="false">core_tpu*1</f>
        <v>8</v>
      </c>
      <c r="F565" s="19" t="n">
        <f aca="false">core_tpu*1</f>
        <v>8</v>
      </c>
      <c r="G565" s="19" t="n">
        <f aca="false">core_tpu*1</f>
        <v>8</v>
      </c>
    </row>
    <row r="566" customFormat="false" ht="17.15" hidden="false" customHeight="false" outlineLevel="0" collapsed="false">
      <c r="A566" s="5" t="s">
        <v>644</v>
      </c>
      <c r="B566" s="0" t="s">
        <v>188</v>
      </c>
      <c r="D566" s="19" t="n">
        <f aca="false">core_oth</f>
        <v>6</v>
      </c>
      <c r="E566" s="19" t="n">
        <f aca="false">core_oth*1</f>
        <v>6</v>
      </c>
      <c r="F566" s="19" t="n">
        <f aca="false">core_oth*1</f>
        <v>6</v>
      </c>
      <c r="G566" s="19" t="n">
        <f aca="false">core_oth*1</f>
        <v>6</v>
      </c>
    </row>
    <row r="567" customFormat="false" ht="17.15" hidden="false" customHeight="false" outlineLevel="0" collapsed="false">
      <c r="A567" s="5" t="s">
        <v>645</v>
      </c>
      <c r="B567" s="0" t="s">
        <v>188</v>
      </c>
      <c r="D567" s="19" t="n">
        <f aca="false">D562*D564/1000</f>
        <v>2.8032</v>
      </c>
      <c r="E567" s="19" t="n">
        <f aca="false">E562*E564/1000</f>
        <v>6.57</v>
      </c>
      <c r="F567" s="19" t="n">
        <f aca="false">F562*F564/1000</f>
        <v>8.325504</v>
      </c>
      <c r="G567" s="19" t="n">
        <f aca="false">G562*G564/1000</f>
        <v>7.9092288</v>
      </c>
    </row>
    <row r="568" customFormat="false" ht="17.15" hidden="false" customHeight="false" outlineLevel="0" collapsed="false">
      <c r="A568" s="5" t="s">
        <v>646</v>
      </c>
      <c r="B568" s="0" t="s">
        <v>188</v>
      </c>
      <c r="D568" s="19" t="n">
        <f aca="false">D563*D564/1000</f>
        <v>2.19</v>
      </c>
      <c r="E568" s="19" t="n">
        <f aca="false">E563*E564/1000</f>
        <v>5.256</v>
      </c>
      <c r="F568" s="19" t="n">
        <f aca="false">F563*F564/1000</f>
        <v>7.227</v>
      </c>
      <c r="G568" s="19" t="n">
        <f aca="false">G563*G564/1000</f>
        <v>6.86565</v>
      </c>
    </row>
    <row r="569" customFormat="false" ht="17.15" hidden="false" customHeight="false" outlineLevel="0" collapsed="false">
      <c r="A569" s="5" t="s">
        <v>647</v>
      </c>
      <c r="B569" s="0" t="s">
        <v>188</v>
      </c>
      <c r="D569" s="19" t="n">
        <f aca="false">D565+f_hbm_hi*D567</f>
        <v>10.8032</v>
      </c>
      <c r="E569" s="19" t="n">
        <f aca="false">E565+f_hbm_hi*E567</f>
        <v>14.57</v>
      </c>
      <c r="F569" s="19" t="n">
        <f aca="false">F565+f_hbm_hi*F567</f>
        <v>16.325504</v>
      </c>
      <c r="G569" s="19" t="n">
        <f aca="false">G565+f_hbm_hi*G567</f>
        <v>15.9092288</v>
      </c>
      <c r="H569" s="5" t="s">
        <v>648</v>
      </c>
    </row>
    <row r="570" customFormat="false" ht="17.15" hidden="false" customHeight="false" outlineLevel="0" collapsed="false">
      <c r="A570" s="5" t="s">
        <v>649</v>
      </c>
      <c r="B570" s="0" t="s">
        <v>188</v>
      </c>
      <c r="D570" s="19" t="n">
        <f aca="false">D566+f_hbm_hi*D568</f>
        <v>8.19</v>
      </c>
      <c r="E570" s="19" t="n">
        <f aca="false">E566+f_hbm_hi*E568</f>
        <v>11.256</v>
      </c>
      <c r="F570" s="19" t="n">
        <f aca="false">F566+f_hbm_hi*F568</f>
        <v>13.227</v>
      </c>
      <c r="G570" s="19" t="n">
        <f aca="false">G566+f_hbm_hi*G568</f>
        <v>12.86565</v>
      </c>
    </row>
    <row r="571" customFormat="false" ht="17.15" hidden="false" customHeight="false" outlineLevel="0" collapsed="false">
      <c r="A571" s="0" t="s">
        <v>650</v>
      </c>
      <c r="B571" s="0" t="s">
        <v>241</v>
      </c>
      <c r="D571" s="22" t="n">
        <f aca="false">D560*D569+D561*D570</f>
        <v>40.299588</v>
      </c>
      <c r="E571" s="22" t="n">
        <f aca="false">E560*E569+E561*E570</f>
        <v>91.9666</v>
      </c>
      <c r="F571" s="22" t="n">
        <f aca="false">F560*F569+F561*F570</f>
        <v>122.083146</v>
      </c>
      <c r="G571" s="22" t="n">
        <f aca="false">G560*G569+G561*G570</f>
        <v>136.739587005</v>
      </c>
    </row>
    <row r="572" customFormat="false" ht="17.15" hidden="false" customHeight="false" outlineLevel="0" collapsed="false">
      <c r="A572" s="0" t="s">
        <v>651</v>
      </c>
      <c r="B572" s="0" t="s">
        <v>131</v>
      </c>
      <c r="D572" s="17" t="n">
        <f aca="false">a26_xpu/D571</f>
        <v>0.992565978590153</v>
      </c>
      <c r="H572" s="8" t="s">
        <v>652</v>
      </c>
    </row>
    <row r="573" customFormat="false" ht="17.15" hidden="false" customHeight="false" outlineLevel="0" collapsed="false">
      <c r="A573" s="0" t="s">
        <v>653</v>
      </c>
      <c r="B573" s="0" t="s">
        <v>241</v>
      </c>
      <c r="D573" s="22" t="n">
        <f aca="false">D571*$D$572</f>
        <v>40</v>
      </c>
      <c r="E573" s="22" t="n">
        <f aca="false">E571*$D$572</f>
        <v>91.2829183266092</v>
      </c>
      <c r="F573" s="22" t="n">
        <f aca="false">F571*$D$572</f>
        <v>121.175577278855</v>
      </c>
      <c r="G573" s="22" t="n">
        <f aca="false">G571*$D$572</f>
        <v>135.723061987631</v>
      </c>
    </row>
    <row r="574" customFormat="false" ht="17.15" hidden="false" customHeight="false" outlineLevel="0" collapsed="false">
      <c r="A574" s="5" t="s">
        <v>654</v>
      </c>
      <c r="B574" s="0" t="s">
        <v>241</v>
      </c>
      <c r="D574" s="22" t="n">
        <f aca="false">$D$572*f_hbm_hi*(D560*D567+D561*D568)</f>
        <v>10.4016825184416</v>
      </c>
      <c r="E574" s="22" t="n">
        <f aca="false">$D$572*f_hbm_hi*(E560*E567+E561*E568)</f>
        <v>41.604991098172</v>
      </c>
      <c r="F574" s="22" t="n">
        <f aca="false">$D$572*f_hbm_hi*(F560*F567+F561*F568)</f>
        <v>63.1104675313306</v>
      </c>
      <c r="G574" s="22" t="n">
        <f aca="false">$D$572*f_hbm_hi*(G560*G567+G561*G568)</f>
        <v>68.9481857779787</v>
      </c>
    </row>
    <row r="575" customFormat="false" ht="15" hidden="false" customHeight="false" outlineLevel="0" collapsed="false">
      <c r="A575" s="5" t="s">
        <v>655</v>
      </c>
      <c r="B575" s="0" t="s">
        <v>241</v>
      </c>
      <c r="D575" s="22" t="n">
        <f aca="false">D573-D574</f>
        <v>29.5983174815584</v>
      </c>
      <c r="E575" s="22" t="n">
        <f aca="false">E573-E574</f>
        <v>49.6779272284372</v>
      </c>
      <c r="F575" s="22" t="n">
        <f aca="false">F573-F574</f>
        <v>58.065109747524</v>
      </c>
      <c r="G575" s="22" t="n">
        <f aca="false">G573-G574</f>
        <v>66.7748762096525</v>
      </c>
    </row>
    <row r="576" customFormat="false" ht="17.15" hidden="false" customHeight="false" outlineLevel="0" collapsed="false">
      <c r="A576" s="0" t="s">
        <v>656</v>
      </c>
      <c r="B576" s="5" t="s">
        <v>35</v>
      </c>
      <c r="D576" s="19" t="n">
        <f aca="false">D560+D561</f>
        <v>3.815</v>
      </c>
      <c r="E576" s="19" t="n">
        <f aca="false">E560+E561</f>
        <v>6.875</v>
      </c>
      <c r="F576" s="19" t="n">
        <f aca="false">F560+F561</f>
        <v>8</v>
      </c>
      <c r="G576" s="19" t="n">
        <f aca="false">G560+G561</f>
        <v>9.2</v>
      </c>
    </row>
    <row r="577" customFormat="false" ht="17.15" hidden="false" customHeight="false" outlineLevel="0" collapsed="false">
      <c r="A577" s="1" t="s">
        <v>657</v>
      </c>
    </row>
    <row r="578" customFormat="false" ht="17.15" hidden="false" customHeight="false" outlineLevel="0" collapsed="false">
      <c r="A578" s="0" t="s">
        <v>658</v>
      </c>
      <c r="B578" s="0" t="s">
        <v>241</v>
      </c>
      <c r="D578" s="22" t="n">
        <f aca="false">net_26*1</f>
        <v>12.6075726</v>
      </c>
      <c r="E578" s="22" t="n">
        <f aca="false">net_27*1*1</f>
        <v>26.959549</v>
      </c>
      <c r="F578" s="22" t="n">
        <f aca="false">net_28*um28_A*1</f>
        <v>32.094922</v>
      </c>
      <c r="G578" s="22" t="n">
        <f aca="false">net_29*um29_A*1</f>
        <v>37.8328169</v>
      </c>
    </row>
    <row r="579" customFormat="false" ht="17.15" hidden="false" customHeight="false" outlineLevel="0" collapsed="false">
      <c r="A579" s="5" t="s">
        <v>659</v>
      </c>
      <c r="B579" s="0" t="s">
        <v>131</v>
      </c>
      <c r="D579" s="17" t="n">
        <f aca="false">a26_net/D578</f>
        <v>1.39598640899359</v>
      </c>
      <c r="H579" s="8" t="s">
        <v>660</v>
      </c>
    </row>
    <row r="580" customFormat="false" ht="17.15" hidden="false" customHeight="false" outlineLevel="0" collapsed="false">
      <c r="A580" s="0" t="s">
        <v>661</v>
      </c>
      <c r="B580" s="0" t="s">
        <v>241</v>
      </c>
      <c r="D580" s="22" t="n">
        <f aca="false">D578*$D$579</f>
        <v>17.6</v>
      </c>
      <c r="E580" s="22" t="n">
        <f aca="false">E578*$D$579</f>
        <v>37.6351639965968</v>
      </c>
      <c r="F580" s="22" t="n">
        <f aca="false">F578*$D$579</f>
        <v>44.8040749097094</v>
      </c>
      <c r="G580" s="22" t="n">
        <f aca="false">G578*$D$579</f>
        <v>52.8140982063431</v>
      </c>
    </row>
    <row r="581" customFormat="false" ht="17.15" hidden="false" customHeight="false" outlineLevel="0" collapsed="false">
      <c r="A581" s="0" t="s">
        <v>522</v>
      </c>
      <c r="B581" s="0" t="s">
        <v>241</v>
      </c>
      <c r="C581" s="22" t="n">
        <f aca="false">a25_ai</f>
        <v>20.2797202797203</v>
      </c>
      <c r="D581" s="22" t="n">
        <f aca="false">D573+D580</f>
        <v>57.6</v>
      </c>
      <c r="E581" s="22" t="n">
        <f aca="false">E573+E580</f>
        <v>128.918082323206</v>
      </c>
      <c r="F581" s="22" t="n">
        <f aca="false">F573+F580</f>
        <v>165.979652188564</v>
      </c>
      <c r="G581" s="22" t="n">
        <f aca="false">G573+G580</f>
        <v>188.537160193974</v>
      </c>
    </row>
    <row r="582" customFormat="false" ht="15" hidden="false" customHeight="false" outlineLevel="0" collapsed="false">
      <c r="A582" s="0" t="s">
        <v>662</v>
      </c>
      <c r="B582" s="0" t="s">
        <v>46</v>
      </c>
      <c r="D582" s="16" t="n">
        <f aca="false">D573/D581</f>
        <v>0.694444444444444</v>
      </c>
      <c r="E582" s="16" t="n">
        <f aca="false">E573/E581</f>
        <v>0.708069160521307</v>
      </c>
      <c r="F582" s="16" t="n">
        <f aca="false">F573/F581</f>
        <v>0.730062846144484</v>
      </c>
      <c r="G582" s="16" t="n">
        <f aca="false">G573/G581</f>
        <v>0.719874330598775</v>
      </c>
    </row>
    <row r="583" customFormat="false" ht="17.15" hidden="false" customHeight="false" outlineLevel="0" collapsed="false">
      <c r="A583" s="5" t="s">
        <v>663</v>
      </c>
      <c r="B583" s="0" t="s">
        <v>241</v>
      </c>
      <c r="C583" s="22" t="n">
        <f aca="false">a25_nai</f>
        <v>16.5782797202797</v>
      </c>
      <c r="D583" s="22" t="n">
        <f aca="false">a26_nai</f>
        <v>16.863</v>
      </c>
      <c r="E583" s="22" t="n">
        <f aca="false">D583*(1+g_nai)</f>
        <v>17.36889</v>
      </c>
      <c r="F583" s="22" t="n">
        <f aca="false">E583*(1+g_nai)</f>
        <v>17.8899567</v>
      </c>
      <c r="G583" s="22" t="n">
        <f aca="false">F583*(1+g_nai)</f>
        <v>18.426655401</v>
      </c>
    </row>
    <row r="584" customFormat="false" ht="15" hidden="false" customHeight="false" outlineLevel="0" collapsed="false">
      <c r="A584" s="5" t="s">
        <v>664</v>
      </c>
      <c r="B584" s="0" t="s">
        <v>241</v>
      </c>
      <c r="C584" s="22" t="n">
        <f aca="false">a25_sw</f>
        <v>27.029</v>
      </c>
      <c r="D584" s="22" t="n">
        <f aca="false">a26_sw</f>
        <v>31.426</v>
      </c>
      <c r="E584" s="22" t="n">
        <f aca="false">D584*(1+g_sw27)</f>
        <v>35.19712</v>
      </c>
      <c r="F584" s="22" t="n">
        <f aca="false">E584*(1+g_sw)</f>
        <v>38.0128896</v>
      </c>
      <c r="G584" s="22" t="n">
        <f aca="false">F584*(1+g_sw)</f>
        <v>41.053920768</v>
      </c>
    </row>
    <row r="585" customFormat="false" ht="17.15" hidden="false" customHeight="false" outlineLevel="0" collapsed="false">
      <c r="A585" s="1" t="s">
        <v>665</v>
      </c>
    </row>
    <row r="586" customFormat="false" ht="15" hidden="false" customHeight="false" outlineLevel="0" collapsed="false">
      <c r="A586" s="5" t="s">
        <v>514</v>
      </c>
      <c r="B586" s="0" t="s">
        <v>241</v>
      </c>
      <c r="C586" s="22" t="n">
        <f aca="false">a25_rev</f>
        <v>63.887</v>
      </c>
      <c r="D586" s="22" t="n">
        <f aca="false">a26_rev</f>
        <v>105.889</v>
      </c>
      <c r="E586" s="22" t="n">
        <f aca="false">E581+E583+E584</f>
        <v>181.484092323206</v>
      </c>
      <c r="F586" s="22" t="n">
        <f aca="false">F581+F583+F584</f>
        <v>221.882498488564</v>
      </c>
      <c r="G586" s="22" t="n">
        <f aca="false">G581+G583+G584</f>
        <v>248.017736362974</v>
      </c>
    </row>
    <row r="587" customFormat="false" ht="17.15" hidden="false" customHeight="false" outlineLevel="0" collapsed="false">
      <c r="A587" s="5" t="s">
        <v>666</v>
      </c>
      <c r="B587" s="0" t="s">
        <v>241</v>
      </c>
      <c r="D587" s="22" t="n">
        <f aca="false">D581+D583+D584</f>
        <v>105.889</v>
      </c>
      <c r="E587" s="22" t="n">
        <f aca="false">E581+E583+E584</f>
        <v>181.484092323206</v>
      </c>
      <c r="F587" s="22" t="n">
        <f aca="false">F581+F583+F584</f>
        <v>221.882498488564</v>
      </c>
      <c r="G587" s="22" t="n">
        <f aca="false">G581+G583+G584</f>
        <v>248.017736362974</v>
      </c>
    </row>
    <row r="588" customFormat="false" ht="17.15" hidden="false" customHeight="false" outlineLevel="0" collapsed="false">
      <c r="A588" s="5" t="s">
        <v>667</v>
      </c>
      <c r="B588" s="0" t="s">
        <v>241</v>
      </c>
      <c r="C588" s="22" t="n">
        <f aca="false">C581+C583</f>
        <v>36.858</v>
      </c>
      <c r="D588" s="22" t="n">
        <f aca="false">D581+D583</f>
        <v>74.463</v>
      </c>
      <c r="E588" s="22" t="n">
        <f aca="false">E581+E583</f>
        <v>146.286972323206</v>
      </c>
      <c r="F588" s="22" t="n">
        <f aca="false">F581+F583</f>
        <v>183.869608888564</v>
      </c>
      <c r="G588" s="22" t="n">
        <f aca="false">G581+G583</f>
        <v>206.963815594974</v>
      </c>
      <c r="H588" s="5" t="s">
        <v>668</v>
      </c>
    </row>
    <row r="589" customFormat="false" ht="17.15" hidden="false" customHeight="false" outlineLevel="0" collapsed="false">
      <c r="A589" s="5" t="s">
        <v>669</v>
      </c>
      <c r="B589" s="0" t="s">
        <v>241</v>
      </c>
      <c r="C589" s="17" t="n">
        <f aca="false">C588+C584-C586</f>
        <v>0</v>
      </c>
      <c r="D589" s="17" t="n">
        <f aca="false">D588+D584-D586</f>
        <v>0</v>
      </c>
      <c r="E589" s="17" t="n">
        <f aca="false">E588+E584-E586</f>
        <v>0</v>
      </c>
      <c r="F589" s="17" t="n">
        <f aca="false">F588+F584-F586</f>
        <v>0</v>
      </c>
      <c r="G589" s="17" t="n">
        <f aca="false">G588+G584-G586</f>
        <v>0</v>
      </c>
    </row>
    <row r="590" customFormat="false" ht="15" hidden="false" customHeight="false" outlineLevel="0" collapsed="false">
      <c r="A590" s="5" t="s">
        <v>670</v>
      </c>
      <c r="B590" s="0" t="s">
        <v>46</v>
      </c>
      <c r="D590" s="16" t="n">
        <f aca="false">D586/C586-1</f>
        <v>0.657442046112668</v>
      </c>
      <c r="E590" s="16" t="n">
        <f aca="false">E586/D586-1</f>
        <v>0.713908832109151</v>
      </c>
      <c r="F590" s="16" t="n">
        <f aca="false">F586/E586-1</f>
        <v>0.222600260156203</v>
      </c>
      <c r="G590" s="16" t="n">
        <f aca="false">G586/F586-1</f>
        <v>0.11778864062033</v>
      </c>
    </row>
    <row r="591" customFormat="false" ht="17.15" hidden="false" customHeight="false" outlineLevel="0" collapsed="false">
      <c r="A591" s="0" t="s">
        <v>671</v>
      </c>
      <c r="B591" s="0" t="s">
        <v>46</v>
      </c>
      <c r="C591" s="16" t="n">
        <f aca="false">C581/C586</f>
        <v>0.317431093645347</v>
      </c>
      <c r="D591" s="16" t="n">
        <f aca="false">D581/D586</f>
        <v>0.543965851032685</v>
      </c>
      <c r="E591" s="16" t="n">
        <f aca="false">E581/E586</f>
        <v>0.710354724058212</v>
      </c>
      <c r="F591" s="16" t="n">
        <f aca="false">F581/F586</f>
        <v>0.748052024468792</v>
      </c>
      <c r="G591" s="16" t="n">
        <f aca="false">G581/G586</f>
        <v>0.760176118687132</v>
      </c>
    </row>
    <row r="592" customFormat="false" ht="17.15" hidden="false" customHeight="false" outlineLevel="0" collapsed="false">
      <c r="A592" s="5" t="s">
        <v>672</v>
      </c>
      <c r="B592" s="0" t="s">
        <v>241</v>
      </c>
      <c r="D592" s="22" t="n">
        <f aca="false">gm_net*D580+gm_nai*D583+gm_sw*D584+m_hbm*D574</f>
        <v>53.8992982518442</v>
      </c>
      <c r="E592" s="22" t="n">
        <f aca="false">gm_net*E580+gm_nai*E583+gm_sw*E584+m_hbm*E574</f>
        <v>75.2809172873669</v>
      </c>
      <c r="F592" s="22" t="n">
        <f aca="false">gm_net*F580+gm_nai*F583+gm_sw*F584+m_hbm*F574</f>
        <v>85.5504398711238</v>
      </c>
      <c r="G592" s="22" t="n">
        <f aca="false">gm_net*G580+gm_nai*G583+gm_sw*G584+m_hbm*G574</f>
        <v>95.0784416112549</v>
      </c>
    </row>
    <row r="593" customFormat="false" ht="17.15" hidden="false" customHeight="false" outlineLevel="0" collapsed="false">
      <c r="A593" s="0" t="s">
        <v>673</v>
      </c>
      <c r="B593" s="0" t="s">
        <v>131</v>
      </c>
      <c r="D593" s="17" t="n">
        <f aca="false">(a26_gp-D592)/D575</f>
        <v>0.867370307928873</v>
      </c>
      <c r="H593" s="8" t="s">
        <v>674</v>
      </c>
    </row>
    <row r="594" customFormat="false" ht="15" hidden="false" customHeight="false" outlineLevel="0" collapsed="false">
      <c r="A594" s="5" t="s">
        <v>675</v>
      </c>
      <c r="B594" s="0" t="s">
        <v>241</v>
      </c>
      <c r="C594" s="22" t="n">
        <f aca="false">a25_gp</f>
        <v>50.245</v>
      </c>
      <c r="D594" s="22" t="n">
        <f aca="false">a26_gp</f>
        <v>79.572</v>
      </c>
      <c r="E594" s="22" t="n">
        <f aca="false">E592+$D$593*E575</f>
        <v>118.370076324765</v>
      </c>
      <c r="F594" s="22" t="n">
        <f aca="false">F592+$D$593*F575</f>
        <v>135.914391992758</v>
      </c>
      <c r="G594" s="22" t="n">
        <f aca="false">G592+$D$593*G575</f>
        <v>152.996986551134</v>
      </c>
    </row>
    <row r="595" customFormat="false" ht="15" hidden="false" customHeight="false" outlineLevel="0" collapsed="false">
      <c r="A595" s="5" t="s">
        <v>533</v>
      </c>
      <c r="B595" s="0" t="s">
        <v>46</v>
      </c>
      <c r="C595" s="16" t="n">
        <f aca="false">C594/C586</f>
        <v>0.786466730320723</v>
      </c>
      <c r="D595" s="16" t="n">
        <f aca="false">D594/D586</f>
        <v>0.751466157957862</v>
      </c>
      <c r="E595" s="16" t="n">
        <f aca="false">E594/E586</f>
        <v>0.652233894494503</v>
      </c>
      <c r="F595" s="16" t="n">
        <f aca="false">F594/F586</f>
        <v>0.612551205789503</v>
      </c>
      <c r="G595" s="16" t="n">
        <f aca="false">G594/G586</f>
        <v>0.616879215151058</v>
      </c>
    </row>
    <row r="596" customFormat="false" ht="17.15" hidden="false" customHeight="false" outlineLevel="0" collapsed="false">
      <c r="A596" s="5" t="s">
        <v>676</v>
      </c>
      <c r="B596" s="0" t="s">
        <v>46</v>
      </c>
      <c r="D596" s="16" t="n">
        <f aca="false">D574/D586</f>
        <v>0.0982319458909011</v>
      </c>
      <c r="E596" s="16" t="n">
        <f aca="false">E574/E586</f>
        <v>0.229248693731666</v>
      </c>
      <c r="F596" s="16" t="n">
        <f aca="false">F574/F586</f>
        <v>0.284431931140271</v>
      </c>
      <c r="G596" s="16" t="n">
        <f aca="false">G574/G586</f>
        <v>0.277996996461063</v>
      </c>
    </row>
    <row r="597" customFormat="false" ht="15" hidden="false" customHeight="false" outlineLevel="0" collapsed="false">
      <c r="A597" s="5" t="s">
        <v>677</v>
      </c>
      <c r="B597" s="0" t="s">
        <v>241</v>
      </c>
      <c r="C597" s="24" t="n">
        <f aca="false">a25_opx</f>
        <v>8.248</v>
      </c>
      <c r="D597" s="24" t="n">
        <f aca="false">a26_opx</f>
        <v>8.755</v>
      </c>
      <c r="E597" s="24" t="n">
        <f aca="false">D597*(1+MAX(g_opx_min,phi*E590))</f>
        <v>9.38002718251156</v>
      </c>
      <c r="F597" s="24" t="n">
        <f aca="false">E597*(1+MAX(g_opx_min,phi*F590))</f>
        <v>9.66142799798691</v>
      </c>
      <c r="G597" s="24" t="n">
        <f aca="false">F597*(1+MAX(g_opx_min,phi*G590))</f>
        <v>9.95127083792651</v>
      </c>
    </row>
    <row r="598" customFormat="false" ht="15" hidden="false" customHeight="false" outlineLevel="0" collapsed="false">
      <c r="A598" s="5" t="s">
        <v>678</v>
      </c>
      <c r="B598" s="0" t="s">
        <v>241</v>
      </c>
      <c r="C598" s="24" t="n">
        <f aca="false">C597</f>
        <v>8.248</v>
      </c>
      <c r="D598" s="24" t="n">
        <f aca="false">D597</f>
        <v>8.755</v>
      </c>
      <c r="E598" s="24" t="n">
        <f aca="false">E597+0*E586</f>
        <v>9.38002718251156</v>
      </c>
      <c r="F598" s="24" t="n">
        <f aca="false">F597+0*F586</f>
        <v>9.66142799798691</v>
      </c>
      <c r="G598" s="24" t="n">
        <f aca="false">G597+0*G586</f>
        <v>9.95127083792651</v>
      </c>
    </row>
    <row r="599" customFormat="false" ht="15" hidden="false" customHeight="false" outlineLevel="0" collapsed="false">
      <c r="A599" s="5" t="s">
        <v>679</v>
      </c>
      <c r="B599" s="0" t="s">
        <v>241</v>
      </c>
      <c r="C599" s="22" t="n">
        <f aca="false">C594-C598</f>
        <v>41.997</v>
      </c>
      <c r="D599" s="22" t="n">
        <f aca="false">D594-D598</f>
        <v>70.817</v>
      </c>
      <c r="E599" s="22" t="n">
        <f aca="false">E594-E598</f>
        <v>108.990049142253</v>
      </c>
      <c r="F599" s="22" t="n">
        <f aca="false">F594-F598</f>
        <v>126.252963994771</v>
      </c>
      <c r="G599" s="22" t="n">
        <f aca="false">G594-G598</f>
        <v>143.045715713207</v>
      </c>
    </row>
    <row r="600" customFormat="false" ht="15" hidden="false" customHeight="false" outlineLevel="0" collapsed="false">
      <c r="A600" s="5" t="s">
        <v>538</v>
      </c>
      <c r="B600" s="0" t="s">
        <v>46</v>
      </c>
      <c r="C600" s="16" t="n">
        <f aca="false">C599/C586</f>
        <v>0.657363782929235</v>
      </c>
      <c r="D600" s="16" t="n">
        <f aca="false">D599/D586</f>
        <v>0.66878523737121</v>
      </c>
      <c r="E600" s="16" t="n">
        <f aca="false">E599/E586</f>
        <v>0.600548773983739</v>
      </c>
      <c r="F600" s="16" t="n">
        <f aca="false">F599/F586</f>
        <v>0.569008213152412</v>
      </c>
      <c r="G600" s="16" t="n">
        <f aca="false">G599/G586</f>
        <v>0.576755992578932</v>
      </c>
    </row>
    <row r="601" customFormat="false" ht="15" hidden="false" customHeight="false" outlineLevel="0" collapsed="false">
      <c r="A601" s="5" t="s">
        <v>680</v>
      </c>
      <c r="B601" s="0" t="s">
        <v>241</v>
      </c>
      <c r="C601" s="19" t="n">
        <f aca="false">a25_int</f>
        <v>3.072</v>
      </c>
      <c r="D601" s="19" t="n">
        <f aca="false">a26_int</f>
        <v>2.894</v>
      </c>
      <c r="E601" s="19" t="n">
        <f aca="false">int_f</f>
        <v>2.8</v>
      </c>
      <c r="F601" s="19" t="n">
        <f aca="false">int_f</f>
        <v>2.8</v>
      </c>
      <c r="G601" s="19" t="n">
        <f aca="false">int_f</f>
        <v>2.8</v>
      </c>
    </row>
    <row r="602" customFormat="false" ht="15" hidden="false" customHeight="false" outlineLevel="0" collapsed="false">
      <c r="A602" s="5" t="s">
        <v>681</v>
      </c>
      <c r="B602" s="0" t="s">
        <v>241</v>
      </c>
      <c r="C602" s="19" t="n">
        <f aca="false">a25_oth</f>
        <v>0.294</v>
      </c>
      <c r="D602" s="19" t="n">
        <f aca="false">a26_oth</f>
        <v>0.434</v>
      </c>
      <c r="E602" s="19" t="n">
        <f aca="false">oth_f</f>
        <v>0.4</v>
      </c>
      <c r="F602" s="19" t="n">
        <f aca="false">oth_f</f>
        <v>0.4</v>
      </c>
      <c r="G602" s="19" t="n">
        <f aca="false">oth_f</f>
        <v>0.4</v>
      </c>
    </row>
    <row r="603" customFormat="false" ht="15" hidden="false" customHeight="false" outlineLevel="0" collapsed="false">
      <c r="A603" s="5" t="s">
        <v>543</v>
      </c>
      <c r="B603" s="0" t="s">
        <v>46</v>
      </c>
      <c r="C603" s="16" t="n">
        <f aca="false">a25_tax/(a25_oi-a25_int+a25_oth)</f>
        <v>0.140008669267447</v>
      </c>
      <c r="D603" s="16" t="n">
        <f aca="false">a26_tax/(a26_oi-a26_int+a26_oth)</f>
        <v>0.159996489020876</v>
      </c>
      <c r="E603" s="16" t="n">
        <f aca="false">tx_f</f>
        <v>0.16</v>
      </c>
      <c r="F603" s="16" t="n">
        <f aca="false">tx_f</f>
        <v>0.16</v>
      </c>
      <c r="G603" s="16" t="n">
        <f aca="false">tx_f</f>
        <v>0.16</v>
      </c>
    </row>
    <row r="604" customFormat="false" ht="17.15" hidden="false" customHeight="false" outlineLevel="0" collapsed="false">
      <c r="A604" s="5" t="s">
        <v>630</v>
      </c>
      <c r="B604" s="0" t="s">
        <v>241</v>
      </c>
      <c r="C604" s="22" t="n">
        <f aca="false">a25_ni</f>
        <v>33.728</v>
      </c>
      <c r="D604" s="22" t="n">
        <f aca="false">a26_ni</f>
        <v>57.42012</v>
      </c>
      <c r="E604" s="22" t="n">
        <f aca="false">(E599-E601+E602)*(1-E603)</f>
        <v>89.5356412794925</v>
      </c>
      <c r="F604" s="22" t="n">
        <f aca="false">(F599-F601+F602)*(1-F603)</f>
        <v>104.036489755607</v>
      </c>
      <c r="G604" s="22" t="n">
        <f aca="false">(G599-G601+G602)*(1-G603)</f>
        <v>118.142401199094</v>
      </c>
    </row>
    <row r="605" customFormat="false" ht="15" hidden="false" customHeight="false" outlineLevel="0" collapsed="false">
      <c r="A605" s="5" t="s">
        <v>682</v>
      </c>
      <c r="B605" s="5" t="s">
        <v>304</v>
      </c>
      <c r="C605" s="17" t="n">
        <f aca="false">a25_sh</f>
        <v>4.943</v>
      </c>
      <c r="D605" s="17" t="n">
        <f aca="false">a26_sh</f>
        <v>4.9435</v>
      </c>
      <c r="E605" s="17" t="n">
        <f aca="false">D605*(1+sh_g)</f>
        <v>4.9187825</v>
      </c>
      <c r="F605" s="17" t="n">
        <f aca="false">E605*(1+sh_g)</f>
        <v>4.8941885875</v>
      </c>
      <c r="G605" s="17" t="n">
        <f aca="false">F605*(1+sh_g)</f>
        <v>4.8697176445625</v>
      </c>
    </row>
    <row r="606" customFormat="false" ht="17.15" hidden="false" customHeight="false" outlineLevel="0" collapsed="false">
      <c r="A606" s="0" t="s">
        <v>631</v>
      </c>
      <c r="B606" s="0" t="s">
        <v>354</v>
      </c>
      <c r="C606" s="19" t="n">
        <f aca="false">C604/C605</f>
        <v>6.82338660732349</v>
      </c>
      <c r="D606" s="19" t="n">
        <f aca="false">D604/D605</f>
        <v>11.6152766258724</v>
      </c>
      <c r="E606" s="19" t="n">
        <f aca="false">E604/E605</f>
        <v>18.2028055274842</v>
      </c>
      <c r="F606" s="19" t="n">
        <f aca="false">F604/F605</f>
        <v>21.2571477162367</v>
      </c>
      <c r="G606" s="19" t="n">
        <f aca="false">G604/G605</f>
        <v>24.2606265541928</v>
      </c>
    </row>
    <row r="607" customFormat="false" ht="17.15" hidden="false" customHeight="false" outlineLevel="0" collapsed="false">
      <c r="A607" s="0" t="s">
        <v>683</v>
      </c>
      <c r="B607" s="0" t="s">
        <v>46</v>
      </c>
      <c r="D607" s="16" t="n">
        <f aca="false">D606/C606-1</f>
        <v>0.702274441463682</v>
      </c>
      <c r="E607" s="16" t="n">
        <f aca="false">E606/D606-1</f>
        <v>0.567143522603543</v>
      </c>
      <c r="F607" s="16" t="n">
        <f aca="false">F606/E606-1</f>
        <v>0.167795133785327</v>
      </c>
      <c r="G607" s="16" t="n">
        <f aca="false">G606/F606-1</f>
        <v>0.141292654971858</v>
      </c>
    </row>
    <row r="610" customFormat="false" ht="17.15" hidden="false" customHeight="false" outlineLevel="0" collapsed="false">
      <c r="A610" s="3" t="s">
        <v>1062</v>
      </c>
    </row>
    <row r="611" customFormat="false" ht="17.15" hidden="false" customHeight="false" outlineLevel="0" collapsed="false">
      <c r="A611" s="6" t="s">
        <v>24</v>
      </c>
      <c r="B611" s="6" t="s">
        <v>25</v>
      </c>
      <c r="C611" s="13" t="s">
        <v>507</v>
      </c>
      <c r="D611" s="13" t="s">
        <v>621</v>
      </c>
      <c r="E611" s="13" t="s">
        <v>622</v>
      </c>
      <c r="F611" s="13" t="s">
        <v>623</v>
      </c>
      <c r="G611" s="13" t="s">
        <v>624</v>
      </c>
      <c r="H611" s="6" t="s">
        <v>480</v>
      </c>
    </row>
    <row r="612" customFormat="false" ht="17.15" hidden="false" customHeight="false" outlineLevel="0" collapsed="false">
      <c r="A612" s="1" t="s">
        <v>639</v>
      </c>
    </row>
    <row r="613" customFormat="false" ht="17.15" hidden="false" customHeight="false" outlineLevel="0" collapsed="false">
      <c r="A613" s="0" t="s">
        <v>640</v>
      </c>
      <c r="B613" s="5" t="s">
        <v>35</v>
      </c>
      <c r="D613" s="19" t="n">
        <f aca="false">u_tpu_26</f>
        <v>3.85</v>
      </c>
      <c r="E613" s="19" t="n">
        <f aca="false">u_tpu_27</f>
        <v>5.5</v>
      </c>
      <c r="F613" s="19" t="n">
        <f aca="false">u_tpu_28*um28_A</f>
        <v>7</v>
      </c>
      <c r="G613" s="19" t="n">
        <f aca="false">u_tpu_28*(1+g29_tpu)*um29_A</f>
        <v>8.05</v>
      </c>
    </row>
    <row r="614" customFormat="false" ht="17.15" hidden="false" customHeight="false" outlineLevel="0" collapsed="false">
      <c r="A614" s="5" t="s">
        <v>641</v>
      </c>
      <c r="B614" s="5" t="s">
        <v>35</v>
      </c>
      <c r="D614" s="19" t="n">
        <f aca="false">u_oth_26</f>
        <v>1</v>
      </c>
      <c r="E614" s="19" t="n">
        <f aca="false">u_oth_27</f>
        <v>4.5</v>
      </c>
      <c r="F614" s="19" t="n">
        <f aca="false">u_oth_28*um28_A</f>
        <v>5</v>
      </c>
      <c r="G614" s="19" t="n">
        <f aca="false">u_oth_28*(1+g29_oth)*um29_A</f>
        <v>5.75</v>
      </c>
    </row>
    <row r="615" customFormat="false" ht="17.15" hidden="false" customHeight="false" outlineLevel="0" collapsed="false">
      <c r="A615" s="0" t="s">
        <v>566</v>
      </c>
      <c r="B615" s="0" t="s">
        <v>46</v>
      </c>
      <c r="D615" s="16" t="n">
        <f aca="false">sh_tpu_26</f>
        <v>0.9</v>
      </c>
      <c r="E615" s="16" t="n">
        <f aca="false">MIN(1,MAX(0,sh_tpu_27+0))</f>
        <v>0.8</v>
      </c>
      <c r="F615" s="16" t="n">
        <f aca="false">MIN(1,MAX(0,sh_tpu_28+0))</f>
        <v>0.75</v>
      </c>
      <c r="G615" s="16" t="n">
        <f aca="false">MIN(1,MAX(0,sh_tpu_28+0))</f>
        <v>0.75</v>
      </c>
    </row>
    <row r="616" customFormat="false" ht="17.15" hidden="false" customHeight="false" outlineLevel="0" collapsed="false">
      <c r="A616" s="0" t="s">
        <v>578</v>
      </c>
      <c r="B616" s="0" t="s">
        <v>46</v>
      </c>
      <c r="D616" s="16" t="n">
        <f aca="false">sh_oth_26</f>
        <v>0.35</v>
      </c>
      <c r="E616" s="16" t="n">
        <f aca="false">MIN(1,MAX(0,sh_oth_27+0))</f>
        <v>0.55</v>
      </c>
      <c r="F616" s="16" t="n">
        <f aca="false">MIN(1,MAX(0,sh_oth_28+0))</f>
        <v>0.55</v>
      </c>
      <c r="G616" s="16" t="n">
        <f aca="false">MIN(1,MAX(0,sh_oth_28+0))</f>
        <v>0.55</v>
      </c>
    </row>
    <row r="617" customFormat="false" ht="17.15" hidden="false" customHeight="false" outlineLevel="0" collapsed="false">
      <c r="A617" s="0" t="s">
        <v>568</v>
      </c>
      <c r="B617" s="5" t="s">
        <v>35</v>
      </c>
      <c r="D617" s="19" t="n">
        <f aca="false">D613*D615</f>
        <v>3.465</v>
      </c>
      <c r="E617" s="19" t="n">
        <f aca="false">E613*E615*1</f>
        <v>4.4</v>
      </c>
      <c r="F617" s="19" t="n">
        <f aca="false">F613*F615*1</f>
        <v>5.25</v>
      </c>
      <c r="G617" s="19" t="n">
        <f aca="false">G613*G615*1</f>
        <v>6.0375</v>
      </c>
    </row>
    <row r="618" customFormat="false" ht="17.15" hidden="false" customHeight="false" outlineLevel="0" collapsed="false">
      <c r="A618" s="0" t="s">
        <v>579</v>
      </c>
      <c r="B618" s="5" t="s">
        <v>35</v>
      </c>
      <c r="D618" s="19" t="n">
        <f aca="false">D614*D616</f>
        <v>0.35</v>
      </c>
      <c r="E618" s="19" t="n">
        <f aca="false">E614*E616*1</f>
        <v>2.475</v>
      </c>
      <c r="F618" s="19" t="n">
        <f aca="false">F614*F616*1</f>
        <v>2.75</v>
      </c>
      <c r="G618" s="19" t="n">
        <f aca="false">G614*G616*1</f>
        <v>3.1625</v>
      </c>
    </row>
    <row r="619" customFormat="false" ht="17.15" hidden="false" customHeight="false" outlineLevel="0" collapsed="false">
      <c r="A619" s="5" t="s">
        <v>570</v>
      </c>
      <c r="B619" s="0" t="s">
        <v>151</v>
      </c>
      <c r="D619" s="20" t="n">
        <f aca="false">gb_tpu_26</f>
        <v>192</v>
      </c>
      <c r="E619" s="20" t="n">
        <f aca="false">gb_tpu_27</f>
        <v>250</v>
      </c>
      <c r="F619" s="20" t="n">
        <f aca="false">gb_tpu_28</f>
        <v>288</v>
      </c>
      <c r="G619" s="20" t="n">
        <f aca="false">gb_tpu_28</f>
        <v>288</v>
      </c>
    </row>
    <row r="620" customFormat="false" ht="17.15" hidden="false" customHeight="false" outlineLevel="0" collapsed="false">
      <c r="A620" s="5" t="s">
        <v>580</v>
      </c>
      <c r="B620" s="0" t="s">
        <v>151</v>
      </c>
      <c r="D620" s="20" t="n">
        <f aca="false">gb_oth_26</f>
        <v>150</v>
      </c>
      <c r="E620" s="20" t="n">
        <f aca="false">gb_oth_27</f>
        <v>200</v>
      </c>
      <c r="F620" s="20" t="n">
        <f aca="false">gb_oth_28</f>
        <v>250</v>
      </c>
      <c r="G620" s="20" t="n">
        <f aca="false">gb_oth_28</f>
        <v>250</v>
      </c>
    </row>
    <row r="621" customFormat="false" ht="17.15" hidden="false" customHeight="false" outlineLevel="0" collapsed="false">
      <c r="A621" s="0" t="s">
        <v>642</v>
      </c>
      <c r="B621" s="0" t="s">
        <v>210</v>
      </c>
      <c r="D621" s="19" t="n">
        <f aca="false">hbm_A_26</f>
        <v>14.6</v>
      </c>
      <c r="E621" s="19" t="n">
        <f aca="false">hbm_A_27</f>
        <v>26.28</v>
      </c>
      <c r="F621" s="19" t="n">
        <f aca="false">hbm_A_28</f>
        <v>28.908</v>
      </c>
      <c r="G621" s="19" t="n">
        <f aca="false">hbm_A_29</f>
        <v>27.4626</v>
      </c>
    </row>
    <row r="622" customFormat="false" ht="17.15" hidden="false" customHeight="false" outlineLevel="0" collapsed="false">
      <c r="A622" s="5" t="s">
        <v>643</v>
      </c>
      <c r="B622" s="0" t="s">
        <v>188</v>
      </c>
      <c r="D622" s="19" t="n">
        <f aca="false">core_tpu</f>
        <v>8</v>
      </c>
      <c r="E622" s="19" t="n">
        <f aca="false">core_tpu*1</f>
        <v>8</v>
      </c>
      <c r="F622" s="19" t="n">
        <f aca="false">core_tpu*1</f>
        <v>8</v>
      </c>
      <c r="G622" s="19" t="n">
        <f aca="false">core_tpu*1</f>
        <v>8</v>
      </c>
    </row>
    <row r="623" customFormat="false" ht="17.15" hidden="false" customHeight="false" outlineLevel="0" collapsed="false">
      <c r="A623" s="5" t="s">
        <v>644</v>
      </c>
      <c r="B623" s="0" t="s">
        <v>188</v>
      </c>
      <c r="D623" s="19" t="n">
        <f aca="false">core_oth</f>
        <v>6</v>
      </c>
      <c r="E623" s="19" t="n">
        <f aca="false">core_oth*1</f>
        <v>6</v>
      </c>
      <c r="F623" s="19" t="n">
        <f aca="false">core_oth*1</f>
        <v>6</v>
      </c>
      <c r="G623" s="19" t="n">
        <f aca="false">core_oth*1</f>
        <v>6</v>
      </c>
    </row>
    <row r="624" customFormat="false" ht="17.15" hidden="false" customHeight="false" outlineLevel="0" collapsed="false">
      <c r="A624" s="5" t="s">
        <v>645</v>
      </c>
      <c r="B624" s="0" t="s">
        <v>188</v>
      </c>
      <c r="D624" s="19" t="n">
        <f aca="false">D619*D621/1000</f>
        <v>2.8032</v>
      </c>
      <c r="E624" s="19" t="n">
        <f aca="false">E619*E621/1000</f>
        <v>6.57</v>
      </c>
      <c r="F624" s="19" t="n">
        <f aca="false">F619*F621/1000</f>
        <v>8.325504</v>
      </c>
      <c r="G624" s="19" t="n">
        <f aca="false">G619*G621/1000</f>
        <v>7.9092288</v>
      </c>
    </row>
    <row r="625" customFormat="false" ht="17.15" hidden="false" customHeight="false" outlineLevel="0" collapsed="false">
      <c r="A625" s="5" t="s">
        <v>646</v>
      </c>
      <c r="B625" s="0" t="s">
        <v>188</v>
      </c>
      <c r="D625" s="19" t="n">
        <f aca="false">D620*D621/1000</f>
        <v>2.19</v>
      </c>
      <c r="E625" s="19" t="n">
        <f aca="false">E620*E621/1000</f>
        <v>5.256</v>
      </c>
      <c r="F625" s="19" t="n">
        <f aca="false">F620*F621/1000</f>
        <v>7.227</v>
      </c>
      <c r="G625" s="19" t="n">
        <f aca="false">G620*G621/1000</f>
        <v>6.86565</v>
      </c>
    </row>
    <row r="626" customFormat="false" ht="17.15" hidden="false" customHeight="false" outlineLevel="0" collapsed="false">
      <c r="A626" s="5" t="s">
        <v>647</v>
      </c>
      <c r="B626" s="0" t="s">
        <v>188</v>
      </c>
      <c r="D626" s="19" t="n">
        <f aca="false">D622+f_hbm*D624</f>
        <v>9.68192</v>
      </c>
      <c r="E626" s="19" t="n">
        <f aca="false">E622+f_hbm*E624</f>
        <v>11.942</v>
      </c>
      <c r="F626" s="19" t="n">
        <f aca="false">F622+f_hbm*F624</f>
        <v>12.9953024</v>
      </c>
      <c r="G626" s="19" t="n">
        <f aca="false">G622+f_hbm*G624</f>
        <v>12.74553728</v>
      </c>
      <c r="H626" s="5" t="s">
        <v>648</v>
      </c>
    </row>
    <row r="627" customFormat="false" ht="17.15" hidden="false" customHeight="false" outlineLevel="0" collapsed="false">
      <c r="A627" s="5" t="s">
        <v>649</v>
      </c>
      <c r="B627" s="0" t="s">
        <v>188</v>
      </c>
      <c r="D627" s="19" t="n">
        <f aca="false">D623+f_hbm*D625</f>
        <v>7.314</v>
      </c>
      <c r="E627" s="19" t="n">
        <f aca="false">E623+f_hbm*E625</f>
        <v>9.1536</v>
      </c>
      <c r="F627" s="19" t="n">
        <f aca="false">F623+f_hbm*F625</f>
        <v>10.3362</v>
      </c>
      <c r="G627" s="19" t="n">
        <f aca="false">G623+f_hbm*G625</f>
        <v>10.11939</v>
      </c>
    </row>
    <row r="628" customFormat="false" ht="17.15" hidden="false" customHeight="false" outlineLevel="0" collapsed="false">
      <c r="A628" s="0" t="s">
        <v>650</v>
      </c>
      <c r="B628" s="0" t="s">
        <v>241</v>
      </c>
      <c r="D628" s="22" t="n">
        <f aca="false">D617*D626+D618*D627</f>
        <v>36.1077528</v>
      </c>
      <c r="E628" s="22" t="n">
        <f aca="false">E617*E626+E618*E627</f>
        <v>75.19996</v>
      </c>
      <c r="F628" s="22" t="n">
        <f aca="false">F617*F626+F618*F627</f>
        <v>96.6498876</v>
      </c>
      <c r="G628" s="22" t="n">
        <f aca="false">G617*G626+G618*G627</f>
        <v>108.953752203</v>
      </c>
    </row>
    <row r="629" customFormat="false" ht="17.15" hidden="false" customHeight="false" outlineLevel="0" collapsed="false">
      <c r="A629" s="0" t="s">
        <v>651</v>
      </c>
      <c r="B629" s="0" t="s">
        <v>131</v>
      </c>
      <c r="D629" s="17" t="n">
        <f aca="false">a26_xpu/D628</f>
        <v>1.10779533197646</v>
      </c>
      <c r="H629" s="8" t="s">
        <v>652</v>
      </c>
    </row>
    <row r="630" customFormat="false" ht="17.15" hidden="false" customHeight="false" outlineLevel="0" collapsed="false">
      <c r="A630" s="0" t="s">
        <v>653</v>
      </c>
      <c r="B630" s="0" t="s">
        <v>241</v>
      </c>
      <c r="D630" s="22" t="n">
        <f aca="false">D628*$D$629</f>
        <v>40</v>
      </c>
      <c r="E630" s="22" t="n">
        <f aca="false">E628*$D$629</f>
        <v>83.3061646528166</v>
      </c>
      <c r="F630" s="22" t="n">
        <f aca="false">F628*$D$629</f>
        <v>107.06829431933</v>
      </c>
      <c r="G630" s="22" t="n">
        <f aca="false">G628*$D$629</f>
        <v>120.698458091803</v>
      </c>
    </row>
    <row r="631" customFormat="false" ht="17.15" hidden="false" customHeight="false" outlineLevel="0" collapsed="false">
      <c r="A631" s="5" t="s">
        <v>654</v>
      </c>
      <c r="B631" s="0" t="s">
        <v>241</v>
      </c>
      <c r="D631" s="22" t="n">
        <f aca="false">$D$629*f_hbm*(D617*D624+D618*D625)</f>
        <v>6.96554320046192</v>
      </c>
      <c r="E631" s="22" t="n">
        <f aca="false">$D$629*f_hbm*(E617*E624+E618*E625)</f>
        <v>27.8610082873947</v>
      </c>
      <c r="F631" s="22" t="n">
        <f aca="false">$D$629*f_hbm*(F617*F624+F618*F625)</f>
        <v>42.2622673987067</v>
      </c>
      <c r="G631" s="22" t="n">
        <f aca="false">$D$629*f_hbm*(G617*G624+G618*G625)</f>
        <v>46.171527133087</v>
      </c>
    </row>
    <row r="632" customFormat="false" ht="15" hidden="false" customHeight="false" outlineLevel="0" collapsed="false">
      <c r="A632" s="5" t="s">
        <v>655</v>
      </c>
      <c r="B632" s="0" t="s">
        <v>241</v>
      </c>
      <c r="D632" s="22" t="n">
        <f aca="false">D630-D631</f>
        <v>33.0344567995381</v>
      </c>
      <c r="E632" s="22" t="n">
        <f aca="false">E630-E631</f>
        <v>55.4451563654219</v>
      </c>
      <c r="F632" s="22" t="n">
        <f aca="false">F630-F631</f>
        <v>64.806026920623</v>
      </c>
      <c r="G632" s="22" t="n">
        <f aca="false">G630-G631</f>
        <v>74.5269309587164</v>
      </c>
    </row>
    <row r="633" customFormat="false" ht="17.15" hidden="false" customHeight="false" outlineLevel="0" collapsed="false">
      <c r="A633" s="0" t="s">
        <v>656</v>
      </c>
      <c r="B633" s="5" t="s">
        <v>35</v>
      </c>
      <c r="D633" s="19" t="n">
        <f aca="false">D617+D618</f>
        <v>3.815</v>
      </c>
      <c r="E633" s="19" t="n">
        <f aca="false">E617+E618</f>
        <v>6.875</v>
      </c>
      <c r="F633" s="19" t="n">
        <f aca="false">F617+F618</f>
        <v>8</v>
      </c>
      <c r="G633" s="19" t="n">
        <f aca="false">G617+G618</f>
        <v>9.2</v>
      </c>
    </row>
    <row r="634" customFormat="false" ht="17.15" hidden="false" customHeight="false" outlineLevel="0" collapsed="false">
      <c r="A634" s="1" t="s">
        <v>657</v>
      </c>
    </row>
    <row r="635" customFormat="false" ht="17.15" hidden="false" customHeight="false" outlineLevel="0" collapsed="false">
      <c r="A635" s="0" t="s">
        <v>658</v>
      </c>
      <c r="B635" s="0" t="s">
        <v>241</v>
      </c>
      <c r="D635" s="22" t="n">
        <f aca="false">net_26*1</f>
        <v>12.6075726</v>
      </c>
      <c r="E635" s="22" t="n">
        <f aca="false">net_27*1*1</f>
        <v>26.959549</v>
      </c>
      <c r="F635" s="22" t="n">
        <f aca="false">net_28*um28_A*1</f>
        <v>32.094922</v>
      </c>
      <c r="G635" s="22" t="n">
        <f aca="false">net_29*um29_A*1</f>
        <v>37.8328169</v>
      </c>
    </row>
    <row r="636" customFormat="false" ht="17.15" hidden="false" customHeight="false" outlineLevel="0" collapsed="false">
      <c r="A636" s="5" t="s">
        <v>659</v>
      </c>
      <c r="B636" s="0" t="s">
        <v>131</v>
      </c>
      <c r="D636" s="17" t="n">
        <f aca="false">a26_net/D635</f>
        <v>1.39598640899359</v>
      </c>
      <c r="H636" s="8" t="s">
        <v>660</v>
      </c>
    </row>
    <row r="637" customFormat="false" ht="17.15" hidden="false" customHeight="false" outlineLevel="0" collapsed="false">
      <c r="A637" s="0" t="s">
        <v>661</v>
      </c>
      <c r="B637" s="0" t="s">
        <v>241</v>
      </c>
      <c r="D637" s="22" t="n">
        <f aca="false">D635*$D$636</f>
        <v>17.6</v>
      </c>
      <c r="E637" s="22" t="n">
        <f aca="false">E635*$D$636</f>
        <v>37.6351639965968</v>
      </c>
      <c r="F637" s="22" t="n">
        <f aca="false">F635*$D$636</f>
        <v>44.8040749097094</v>
      </c>
      <c r="G637" s="22" t="n">
        <f aca="false">G635*$D$636</f>
        <v>52.8140982063431</v>
      </c>
    </row>
    <row r="638" customFormat="false" ht="17.15" hidden="false" customHeight="false" outlineLevel="0" collapsed="false">
      <c r="A638" s="0" t="s">
        <v>522</v>
      </c>
      <c r="B638" s="0" t="s">
        <v>241</v>
      </c>
      <c r="C638" s="22" t="n">
        <f aca="false">a25_ai</f>
        <v>20.2797202797203</v>
      </c>
      <c r="D638" s="22" t="n">
        <f aca="false">D630+D637</f>
        <v>57.6</v>
      </c>
      <c r="E638" s="22" t="n">
        <f aca="false">E630+E637</f>
        <v>120.941328649413</v>
      </c>
      <c r="F638" s="22" t="n">
        <f aca="false">F630+F637</f>
        <v>151.872369229039</v>
      </c>
      <c r="G638" s="22" t="n">
        <f aca="false">G630+G637</f>
        <v>173.512556298147</v>
      </c>
    </row>
    <row r="639" customFormat="false" ht="15" hidden="false" customHeight="false" outlineLevel="0" collapsed="false">
      <c r="A639" s="0" t="s">
        <v>662</v>
      </c>
      <c r="B639" s="0" t="s">
        <v>46</v>
      </c>
      <c r="D639" s="16" t="n">
        <f aca="false">D630/D638</f>
        <v>0.694444444444444</v>
      </c>
      <c r="E639" s="16" t="n">
        <f aca="false">E630/E638</f>
        <v>0.688814697036328</v>
      </c>
      <c r="F639" s="16" t="n">
        <f aca="false">F630/F638</f>
        <v>0.704988635278743</v>
      </c>
      <c r="G639" s="16" t="n">
        <f aca="false">G630/G638</f>
        <v>0.69561800406195</v>
      </c>
    </row>
    <row r="640" customFormat="false" ht="17.15" hidden="false" customHeight="false" outlineLevel="0" collapsed="false">
      <c r="A640" s="5" t="s">
        <v>663</v>
      </c>
      <c r="B640" s="0" t="s">
        <v>241</v>
      </c>
      <c r="C640" s="22" t="n">
        <f aca="false">a25_nai</f>
        <v>16.5782797202797</v>
      </c>
      <c r="D640" s="22" t="n">
        <f aca="false">a26_nai</f>
        <v>16.863</v>
      </c>
      <c r="E640" s="22" t="n">
        <f aca="false">D640*(1+g_nai)</f>
        <v>17.36889</v>
      </c>
      <c r="F640" s="22" t="n">
        <f aca="false">E640*(1+g_nai)</f>
        <v>17.8899567</v>
      </c>
      <c r="G640" s="22" t="n">
        <f aca="false">F640*(1+g_nai)</f>
        <v>18.426655401</v>
      </c>
    </row>
    <row r="641" customFormat="false" ht="15" hidden="false" customHeight="false" outlineLevel="0" collapsed="false">
      <c r="A641" s="5" t="s">
        <v>664</v>
      </c>
      <c r="B641" s="0" t="s">
        <v>241</v>
      </c>
      <c r="C641" s="22" t="n">
        <f aca="false">a25_sw</f>
        <v>27.029</v>
      </c>
      <c r="D641" s="22" t="n">
        <f aca="false">a26_sw</f>
        <v>31.426</v>
      </c>
      <c r="E641" s="22" t="n">
        <f aca="false">D641*(1+g_sw27)</f>
        <v>35.19712</v>
      </c>
      <c r="F641" s="22" t="n">
        <f aca="false">E641*(1+g_sw)</f>
        <v>38.0128896</v>
      </c>
      <c r="G641" s="22" t="n">
        <f aca="false">F641*(1+g_sw)</f>
        <v>41.053920768</v>
      </c>
    </row>
    <row r="642" customFormat="false" ht="17.15" hidden="false" customHeight="false" outlineLevel="0" collapsed="false">
      <c r="A642" s="1" t="s">
        <v>665</v>
      </c>
    </row>
    <row r="643" customFormat="false" ht="15" hidden="false" customHeight="false" outlineLevel="0" collapsed="false">
      <c r="A643" s="5" t="s">
        <v>514</v>
      </c>
      <c r="B643" s="0" t="s">
        <v>241</v>
      </c>
      <c r="C643" s="22" t="n">
        <f aca="false">a25_rev</f>
        <v>63.887</v>
      </c>
      <c r="D643" s="22" t="n">
        <f aca="false">a26_rev</f>
        <v>105.889</v>
      </c>
      <c r="E643" s="22" t="n">
        <f aca="false">E638+E640+E641</f>
        <v>173.507338649413</v>
      </c>
      <c r="F643" s="22" t="n">
        <f aca="false">F638+F640+F641</f>
        <v>207.775215529039</v>
      </c>
      <c r="G643" s="22" t="n">
        <f aca="false">G638+G640+G641</f>
        <v>232.993132467147</v>
      </c>
    </row>
    <row r="644" customFormat="false" ht="17.15" hidden="false" customHeight="false" outlineLevel="0" collapsed="false">
      <c r="A644" s="5" t="s">
        <v>666</v>
      </c>
      <c r="B644" s="0" t="s">
        <v>241</v>
      </c>
      <c r="D644" s="22" t="n">
        <f aca="false">D638+D640+D641</f>
        <v>105.889</v>
      </c>
      <c r="E644" s="22" t="n">
        <f aca="false">E638+E640+E641</f>
        <v>173.507338649413</v>
      </c>
      <c r="F644" s="22" t="n">
        <f aca="false">F638+F640+F641</f>
        <v>207.775215529039</v>
      </c>
      <c r="G644" s="22" t="n">
        <f aca="false">G638+G640+G641</f>
        <v>232.993132467147</v>
      </c>
    </row>
    <row r="645" customFormat="false" ht="17.15" hidden="false" customHeight="false" outlineLevel="0" collapsed="false">
      <c r="A645" s="5" t="s">
        <v>667</v>
      </c>
      <c r="B645" s="0" t="s">
        <v>241</v>
      </c>
      <c r="C645" s="22" t="n">
        <f aca="false">C638+C640</f>
        <v>36.858</v>
      </c>
      <c r="D645" s="22" t="n">
        <f aca="false">D638+D640</f>
        <v>74.463</v>
      </c>
      <c r="E645" s="22" t="n">
        <f aca="false">E638+E640</f>
        <v>138.310218649413</v>
      </c>
      <c r="F645" s="22" t="n">
        <f aca="false">F638+F640</f>
        <v>169.762325929039</v>
      </c>
      <c r="G645" s="22" t="n">
        <f aca="false">G638+G640</f>
        <v>191.939211699147</v>
      </c>
      <c r="H645" s="5" t="s">
        <v>668</v>
      </c>
    </row>
    <row r="646" customFormat="false" ht="17.15" hidden="false" customHeight="false" outlineLevel="0" collapsed="false">
      <c r="A646" s="5" t="s">
        <v>669</v>
      </c>
      <c r="B646" s="0" t="s">
        <v>241</v>
      </c>
      <c r="C646" s="17" t="n">
        <f aca="false">C645+C641-C643</f>
        <v>0</v>
      </c>
      <c r="D646" s="17" t="n">
        <f aca="false">D645+D641-D643</f>
        <v>0</v>
      </c>
      <c r="E646" s="17" t="n">
        <f aca="false">E645+E641-E643</f>
        <v>0</v>
      </c>
      <c r="F646" s="17" t="n">
        <f aca="false">F645+F641-F643</f>
        <v>0</v>
      </c>
      <c r="G646" s="17" t="n">
        <f aca="false">G645+G641-G643</f>
        <v>0</v>
      </c>
    </row>
    <row r="647" customFormat="false" ht="15" hidden="false" customHeight="false" outlineLevel="0" collapsed="false">
      <c r="A647" s="5" t="s">
        <v>670</v>
      </c>
      <c r="B647" s="0" t="s">
        <v>46</v>
      </c>
      <c r="D647" s="16" t="n">
        <f aca="false">D643/C643-1</f>
        <v>0.657442046112668</v>
      </c>
      <c r="E647" s="16" t="n">
        <f aca="false">E643/D643-1</f>
        <v>0.638577554320216</v>
      </c>
      <c r="F647" s="16" t="n">
        <f aca="false">F643/E643-1</f>
        <v>0.197501022990543</v>
      </c>
      <c r="G647" s="16" t="n">
        <f aca="false">G643/F643-1</f>
        <v>0.121371150422813</v>
      </c>
    </row>
    <row r="648" customFormat="false" ht="17.15" hidden="false" customHeight="false" outlineLevel="0" collapsed="false">
      <c r="A648" s="0" t="s">
        <v>671</v>
      </c>
      <c r="B648" s="0" t="s">
        <v>46</v>
      </c>
      <c r="C648" s="16" t="n">
        <f aca="false">C638/C643</f>
        <v>0.317431093645347</v>
      </c>
      <c r="D648" s="16" t="n">
        <f aca="false">D638/D643</f>
        <v>0.543965851032685</v>
      </c>
      <c r="E648" s="16" t="n">
        <f aca="false">E638/E643</f>
        <v>0.697038693526306</v>
      </c>
      <c r="F648" s="16" t="n">
        <f aca="false">F638/F643</f>
        <v>0.730945550181913</v>
      </c>
      <c r="G648" s="16" t="n">
        <f aca="false">G638/G643</f>
        <v>0.744711032728026</v>
      </c>
    </row>
    <row r="649" customFormat="false" ht="17.15" hidden="false" customHeight="false" outlineLevel="0" collapsed="false">
      <c r="A649" s="5" t="s">
        <v>672</v>
      </c>
      <c r="B649" s="0" t="s">
        <v>241</v>
      </c>
      <c r="D649" s="22" t="n">
        <f aca="false">gm_net*D637+gm_nai*D640+gm_sw*D641+m_hbm_lo*D631</f>
        <v>52.85913</v>
      </c>
      <c r="E649" s="22" t="n">
        <f aca="false">gm_net*E637+gm_nai*E640+gm_sw*E641+m_hbm_lo*E631</f>
        <v>71.1204181775497</v>
      </c>
      <c r="F649" s="22" t="n">
        <f aca="false">gm_net*F637+gm_nai*F640+gm_sw*F641+m_hbm_lo*F631</f>
        <v>79.2393931179908</v>
      </c>
      <c r="G649" s="22" t="n">
        <f aca="false">gm_net*G637+gm_nai*G640+gm_sw*G641+m_hbm_lo*G631</f>
        <v>88.183623033457</v>
      </c>
    </row>
    <row r="650" customFormat="false" ht="17.15" hidden="false" customHeight="false" outlineLevel="0" collapsed="false">
      <c r="A650" s="0" t="s">
        <v>673</v>
      </c>
      <c r="B650" s="0" t="s">
        <v>131</v>
      </c>
      <c r="D650" s="17" t="n">
        <f aca="false">(a26_gp-D649)/D632</f>
        <v>0.808636574898169</v>
      </c>
      <c r="H650" s="8" t="s">
        <v>674</v>
      </c>
    </row>
    <row r="651" customFormat="false" ht="15" hidden="false" customHeight="false" outlineLevel="0" collapsed="false">
      <c r="A651" s="5" t="s">
        <v>675</v>
      </c>
      <c r="B651" s="0" t="s">
        <v>241</v>
      </c>
      <c r="C651" s="22" t="n">
        <f aca="false">a25_gp</f>
        <v>50.245</v>
      </c>
      <c r="D651" s="22" t="n">
        <f aca="false">a26_gp</f>
        <v>79.572</v>
      </c>
      <c r="E651" s="22" t="n">
        <f aca="false">E649+$D$650*E632</f>
        <v>115.955399515578</v>
      </c>
      <c r="F651" s="22" t="n">
        <f aca="false">F649+$D$650*F632</f>
        <v>131.643916759842</v>
      </c>
      <c r="G651" s="22" t="n">
        <f aca="false">G649+$D$650*G632</f>
        <v>148.448825221586</v>
      </c>
    </row>
    <row r="652" customFormat="false" ht="15" hidden="false" customHeight="false" outlineLevel="0" collapsed="false">
      <c r="A652" s="5" t="s">
        <v>533</v>
      </c>
      <c r="B652" s="0" t="s">
        <v>46</v>
      </c>
      <c r="C652" s="16" t="n">
        <f aca="false">C651/C643</f>
        <v>0.786466730320723</v>
      </c>
      <c r="D652" s="16" t="n">
        <f aca="false">D651/D643</f>
        <v>0.751466157957862</v>
      </c>
      <c r="E652" s="16" t="n">
        <f aca="false">E651/E643</f>
        <v>0.668302565287315</v>
      </c>
      <c r="F652" s="16" t="n">
        <f aca="false">F651/F643</f>
        <v>0.633588161247476</v>
      </c>
      <c r="G652" s="16" t="n">
        <f aca="false">G651/G643</f>
        <v>0.63713820081164</v>
      </c>
    </row>
    <row r="653" customFormat="false" ht="17.15" hidden="false" customHeight="false" outlineLevel="0" collapsed="false">
      <c r="A653" s="5" t="s">
        <v>676</v>
      </c>
      <c r="B653" s="0" t="s">
        <v>46</v>
      </c>
      <c r="D653" s="16" t="n">
        <f aca="false">D631/D643</f>
        <v>0.0657815561622258</v>
      </c>
      <c r="E653" s="16" t="n">
        <f aca="false">E631/E643</f>
        <v>0.160575388362623</v>
      </c>
      <c r="F653" s="16" t="n">
        <f aca="false">F631/F643</f>
        <v>0.20340379525584</v>
      </c>
      <c r="G653" s="16" t="n">
        <f aca="false">G631/G643</f>
        <v>0.198166901505552</v>
      </c>
    </row>
    <row r="654" customFormat="false" ht="15" hidden="false" customHeight="false" outlineLevel="0" collapsed="false">
      <c r="A654" s="5" t="s">
        <v>677</v>
      </c>
      <c r="B654" s="0" t="s">
        <v>241</v>
      </c>
      <c r="C654" s="24" t="n">
        <f aca="false">a25_opx</f>
        <v>8.248</v>
      </c>
      <c r="D654" s="24" t="n">
        <f aca="false">a26_opx</f>
        <v>8.755</v>
      </c>
      <c r="E654" s="24" t="n">
        <f aca="false">D654*(1+MAX(g_opx_min,phi*E647))</f>
        <v>9.31407464880735</v>
      </c>
      <c r="F654" s="24" t="n">
        <f aca="false">E654*(1+MAX(g_opx_min,phi*F647))</f>
        <v>9.59349688827157</v>
      </c>
      <c r="G654" s="24" t="n">
        <f aca="false">F654*(1+MAX(g_opx_min,phi*G647))</f>
        <v>9.88130179491972</v>
      </c>
    </row>
    <row r="655" customFormat="false" ht="15" hidden="false" customHeight="false" outlineLevel="0" collapsed="false">
      <c r="A655" s="5" t="s">
        <v>678</v>
      </c>
      <c r="B655" s="0" t="s">
        <v>241</v>
      </c>
      <c r="C655" s="24" t="n">
        <f aca="false">C654</f>
        <v>8.248</v>
      </c>
      <c r="D655" s="24" t="n">
        <f aca="false">D654</f>
        <v>8.755</v>
      </c>
      <c r="E655" s="24" t="n">
        <f aca="false">E654+0*E643</f>
        <v>9.31407464880735</v>
      </c>
      <c r="F655" s="24" t="n">
        <f aca="false">F654+0*F643</f>
        <v>9.59349688827157</v>
      </c>
      <c r="G655" s="24" t="n">
        <f aca="false">G654+0*G643</f>
        <v>9.88130179491972</v>
      </c>
    </row>
    <row r="656" customFormat="false" ht="15" hidden="false" customHeight="false" outlineLevel="0" collapsed="false">
      <c r="A656" s="5" t="s">
        <v>679</v>
      </c>
      <c r="B656" s="0" t="s">
        <v>241</v>
      </c>
      <c r="C656" s="22" t="n">
        <f aca="false">C651-C655</f>
        <v>41.997</v>
      </c>
      <c r="D656" s="22" t="n">
        <f aca="false">D651-D655</f>
        <v>70.817</v>
      </c>
      <c r="E656" s="22" t="n">
        <f aca="false">E651-E655</f>
        <v>106.641324866771</v>
      </c>
      <c r="F656" s="22" t="n">
        <f aca="false">F651-F655</f>
        <v>122.05041987157</v>
      </c>
      <c r="G656" s="22" t="n">
        <f aca="false">G651-G655</f>
        <v>138.567523426666</v>
      </c>
    </row>
    <row r="657" customFormat="false" ht="15" hidden="false" customHeight="false" outlineLevel="0" collapsed="false">
      <c r="A657" s="5" t="s">
        <v>538</v>
      </c>
      <c r="B657" s="0" t="s">
        <v>46</v>
      </c>
      <c r="C657" s="16" t="n">
        <f aca="false">C656/C643</f>
        <v>0.657363782929235</v>
      </c>
      <c r="D657" s="16" t="n">
        <f aca="false">D656/D643</f>
        <v>0.66878523737121</v>
      </c>
      <c r="E657" s="16" t="n">
        <f aca="false">E656/E643</f>
        <v>0.614621408505657</v>
      </c>
      <c r="F657" s="16" t="n">
        <f aca="false">F656/F643</f>
        <v>0.58741568170585</v>
      </c>
      <c r="G657" s="16" t="n">
        <f aca="false">G656/G643</f>
        <v>0.594727930215733</v>
      </c>
    </row>
    <row r="658" customFormat="false" ht="15" hidden="false" customHeight="false" outlineLevel="0" collapsed="false">
      <c r="A658" s="5" t="s">
        <v>680</v>
      </c>
      <c r="B658" s="0" t="s">
        <v>241</v>
      </c>
      <c r="C658" s="19" t="n">
        <f aca="false">a25_int</f>
        <v>3.072</v>
      </c>
      <c r="D658" s="19" t="n">
        <f aca="false">a26_int</f>
        <v>2.894</v>
      </c>
      <c r="E658" s="19" t="n">
        <f aca="false">int_f</f>
        <v>2.8</v>
      </c>
      <c r="F658" s="19" t="n">
        <f aca="false">int_f</f>
        <v>2.8</v>
      </c>
      <c r="G658" s="19" t="n">
        <f aca="false">int_f</f>
        <v>2.8</v>
      </c>
    </row>
    <row r="659" customFormat="false" ht="15" hidden="false" customHeight="false" outlineLevel="0" collapsed="false">
      <c r="A659" s="5" t="s">
        <v>681</v>
      </c>
      <c r="B659" s="0" t="s">
        <v>241</v>
      </c>
      <c r="C659" s="19" t="n">
        <f aca="false">a25_oth</f>
        <v>0.294</v>
      </c>
      <c r="D659" s="19" t="n">
        <f aca="false">a26_oth</f>
        <v>0.434</v>
      </c>
      <c r="E659" s="19" t="n">
        <f aca="false">oth_f</f>
        <v>0.4</v>
      </c>
      <c r="F659" s="19" t="n">
        <f aca="false">oth_f</f>
        <v>0.4</v>
      </c>
      <c r="G659" s="19" t="n">
        <f aca="false">oth_f</f>
        <v>0.4</v>
      </c>
    </row>
    <row r="660" customFormat="false" ht="15" hidden="false" customHeight="false" outlineLevel="0" collapsed="false">
      <c r="A660" s="5" t="s">
        <v>543</v>
      </c>
      <c r="B660" s="0" t="s">
        <v>46</v>
      </c>
      <c r="C660" s="16" t="n">
        <f aca="false">a25_tax/(a25_oi-a25_int+a25_oth)</f>
        <v>0.140008669267447</v>
      </c>
      <c r="D660" s="16" t="n">
        <f aca="false">a26_tax/(a26_oi-a26_int+a26_oth)</f>
        <v>0.159996489020876</v>
      </c>
      <c r="E660" s="16" t="n">
        <f aca="false">tx_f</f>
        <v>0.16</v>
      </c>
      <c r="F660" s="16" t="n">
        <f aca="false">tx_f</f>
        <v>0.16</v>
      </c>
      <c r="G660" s="16" t="n">
        <f aca="false">tx_f</f>
        <v>0.16</v>
      </c>
    </row>
    <row r="661" customFormat="false" ht="17.15" hidden="false" customHeight="false" outlineLevel="0" collapsed="false">
      <c r="A661" s="5" t="s">
        <v>630</v>
      </c>
      <c r="B661" s="0" t="s">
        <v>241</v>
      </c>
      <c r="C661" s="22" t="n">
        <f aca="false">a25_ni</f>
        <v>33.728</v>
      </c>
      <c r="D661" s="22" t="n">
        <f aca="false">a26_ni</f>
        <v>57.42012</v>
      </c>
      <c r="E661" s="22" t="n">
        <f aca="false">(E656-E658+E659)*(1-E660)</f>
        <v>87.5627128880872</v>
      </c>
      <c r="F661" s="22" t="n">
        <f aca="false">(F656-F658+F659)*(1-F660)</f>
        <v>100.506352692119</v>
      </c>
      <c r="G661" s="22" t="n">
        <f aca="false">(G656-G658+G659)*(1-G660)</f>
        <v>114.380719678399</v>
      </c>
    </row>
    <row r="662" customFormat="false" ht="15" hidden="false" customHeight="false" outlineLevel="0" collapsed="false">
      <c r="A662" s="5" t="s">
        <v>682</v>
      </c>
      <c r="B662" s="5" t="s">
        <v>304</v>
      </c>
      <c r="C662" s="17" t="n">
        <f aca="false">a25_sh</f>
        <v>4.943</v>
      </c>
      <c r="D662" s="17" t="n">
        <f aca="false">a26_sh</f>
        <v>4.9435</v>
      </c>
      <c r="E662" s="17" t="n">
        <f aca="false">D662*(1+sh_g)</f>
        <v>4.9187825</v>
      </c>
      <c r="F662" s="17" t="n">
        <f aca="false">E662*(1+sh_g)</f>
        <v>4.8941885875</v>
      </c>
      <c r="G662" s="17" t="n">
        <f aca="false">F662*(1+sh_g)</f>
        <v>4.8697176445625</v>
      </c>
    </row>
    <row r="663" customFormat="false" ht="17.15" hidden="false" customHeight="false" outlineLevel="0" collapsed="false">
      <c r="A663" s="0" t="s">
        <v>631</v>
      </c>
      <c r="B663" s="0" t="s">
        <v>354</v>
      </c>
      <c r="C663" s="19" t="n">
        <f aca="false">C661/C662</f>
        <v>6.82338660732349</v>
      </c>
      <c r="D663" s="19" t="n">
        <f aca="false">D661/D662</f>
        <v>11.6152766258724</v>
      </c>
      <c r="E663" s="19" t="n">
        <f aca="false">E661/E662</f>
        <v>17.8017045657309</v>
      </c>
      <c r="F663" s="19" t="n">
        <f aca="false">F661/F662</f>
        <v>20.5358561271663</v>
      </c>
      <c r="G663" s="19" t="n">
        <f aca="false">G661/G662</f>
        <v>23.4881625644387</v>
      </c>
    </row>
    <row r="664" customFormat="false" ht="17.15" hidden="false" customHeight="false" outlineLevel="0" collapsed="false">
      <c r="A664" s="0" t="s">
        <v>683</v>
      </c>
      <c r="B664" s="0" t="s">
        <v>46</v>
      </c>
      <c r="D664" s="16" t="n">
        <f aca="false">D663/C663-1</f>
        <v>0.702274441463682</v>
      </c>
      <c r="E664" s="16" t="n">
        <f aca="false">E663/D663-1</f>
        <v>0.532611330674522</v>
      </c>
      <c r="F664" s="16" t="n">
        <f aca="false">F663/E663-1</f>
        <v>0.15358931226725</v>
      </c>
      <c r="G664" s="16" t="n">
        <f aca="false">G663/F663-1</f>
        <v>0.143763494396852</v>
      </c>
    </row>
    <row r="667" customFormat="false" ht="17.15" hidden="false" customHeight="false" outlineLevel="0" collapsed="false">
      <c r="A667" s="3" t="s">
        <v>1063</v>
      </c>
    </row>
    <row r="668" customFormat="false" ht="17.15" hidden="false" customHeight="false" outlineLevel="0" collapsed="false">
      <c r="A668" s="6" t="s">
        <v>24</v>
      </c>
      <c r="B668" s="6" t="s">
        <v>25</v>
      </c>
      <c r="C668" s="13" t="s">
        <v>507</v>
      </c>
      <c r="D668" s="13" t="s">
        <v>621</v>
      </c>
      <c r="E668" s="13" t="s">
        <v>622</v>
      </c>
      <c r="F668" s="13" t="s">
        <v>623</v>
      </c>
      <c r="G668" s="13" t="s">
        <v>624</v>
      </c>
      <c r="H668" s="6" t="s">
        <v>480</v>
      </c>
    </row>
    <row r="669" customFormat="false" ht="17.15" hidden="false" customHeight="false" outlineLevel="0" collapsed="false">
      <c r="A669" s="1" t="s">
        <v>639</v>
      </c>
    </row>
    <row r="670" customFormat="false" ht="17.15" hidden="false" customHeight="false" outlineLevel="0" collapsed="false">
      <c r="A670" s="0" t="s">
        <v>640</v>
      </c>
      <c r="B670" s="5" t="s">
        <v>35</v>
      </c>
      <c r="D670" s="19" t="n">
        <f aca="false">u_tpu_26</f>
        <v>3.85</v>
      </c>
      <c r="E670" s="19" t="n">
        <f aca="false">u_tpu_27</f>
        <v>5.5</v>
      </c>
      <c r="F670" s="19" t="n">
        <f aca="false">u_tpu_28*um28_A</f>
        <v>7</v>
      </c>
      <c r="G670" s="19" t="n">
        <f aca="false">u_tpu_28*(1+g29_tpu)*um29_A</f>
        <v>8.05</v>
      </c>
    </row>
    <row r="671" customFormat="false" ht="17.15" hidden="false" customHeight="false" outlineLevel="0" collapsed="false">
      <c r="A671" s="5" t="s">
        <v>641</v>
      </c>
      <c r="B671" s="5" t="s">
        <v>35</v>
      </c>
      <c r="D671" s="19" t="n">
        <f aca="false">u_oth_26</f>
        <v>1</v>
      </c>
      <c r="E671" s="19" t="n">
        <f aca="false">u_oth_27</f>
        <v>4.5</v>
      </c>
      <c r="F671" s="19" t="n">
        <f aca="false">u_oth_28*um28_A</f>
        <v>5</v>
      </c>
      <c r="G671" s="19" t="n">
        <f aca="false">u_oth_28*(1+g29_oth)*um29_A</f>
        <v>5.75</v>
      </c>
    </row>
    <row r="672" customFormat="false" ht="17.15" hidden="false" customHeight="false" outlineLevel="0" collapsed="false">
      <c r="A672" s="0" t="s">
        <v>566</v>
      </c>
      <c r="B672" s="0" t="s">
        <v>46</v>
      </c>
      <c r="D672" s="16" t="n">
        <f aca="false">sh_tpu_26</f>
        <v>0.9</v>
      </c>
      <c r="E672" s="16" t="n">
        <f aca="false">MIN(1,MAX(0,sh_tpu_27+0))</f>
        <v>0.8</v>
      </c>
      <c r="F672" s="16" t="n">
        <f aca="false">MIN(1,MAX(0,sh_tpu_28+0))</f>
        <v>0.75</v>
      </c>
      <c r="G672" s="16" t="n">
        <f aca="false">MIN(1,MAX(0,sh_tpu_28+0))</f>
        <v>0.75</v>
      </c>
    </row>
    <row r="673" customFormat="false" ht="17.15" hidden="false" customHeight="false" outlineLevel="0" collapsed="false">
      <c r="A673" s="0" t="s">
        <v>578</v>
      </c>
      <c r="B673" s="0" t="s">
        <v>46</v>
      </c>
      <c r="D673" s="16" t="n">
        <f aca="false">sh_oth_26</f>
        <v>0.35</v>
      </c>
      <c r="E673" s="16" t="n">
        <f aca="false">MIN(1,MAX(0,sh_oth_27+0))</f>
        <v>0.55</v>
      </c>
      <c r="F673" s="16" t="n">
        <f aca="false">MIN(1,MAX(0,sh_oth_28+0))</f>
        <v>0.55</v>
      </c>
      <c r="G673" s="16" t="n">
        <f aca="false">MIN(1,MAX(0,sh_oth_28+0))</f>
        <v>0.55</v>
      </c>
    </row>
    <row r="674" customFormat="false" ht="17.15" hidden="false" customHeight="false" outlineLevel="0" collapsed="false">
      <c r="A674" s="0" t="s">
        <v>568</v>
      </c>
      <c r="B674" s="5" t="s">
        <v>35</v>
      </c>
      <c r="D674" s="19" t="n">
        <f aca="false">D670*D672</f>
        <v>3.465</v>
      </c>
      <c r="E674" s="19" t="n">
        <f aca="false">E670*E672*1</f>
        <v>4.4</v>
      </c>
      <c r="F674" s="19" t="n">
        <f aca="false">F670*F672*1</f>
        <v>5.25</v>
      </c>
      <c r="G674" s="19" t="n">
        <f aca="false">G670*G672*1</f>
        <v>6.0375</v>
      </c>
    </row>
    <row r="675" customFormat="false" ht="17.15" hidden="false" customHeight="false" outlineLevel="0" collapsed="false">
      <c r="A675" s="0" t="s">
        <v>579</v>
      </c>
      <c r="B675" s="5" t="s">
        <v>35</v>
      </c>
      <c r="D675" s="19" t="n">
        <f aca="false">D671*D673</f>
        <v>0.35</v>
      </c>
      <c r="E675" s="19" t="n">
        <f aca="false">E671*E673*1</f>
        <v>2.475</v>
      </c>
      <c r="F675" s="19" t="n">
        <f aca="false">F671*F673*1</f>
        <v>2.75</v>
      </c>
      <c r="G675" s="19" t="n">
        <f aca="false">G671*G673*1</f>
        <v>3.1625</v>
      </c>
    </row>
    <row r="676" customFormat="false" ht="17.15" hidden="false" customHeight="false" outlineLevel="0" collapsed="false">
      <c r="A676" s="5" t="s">
        <v>570</v>
      </c>
      <c r="B676" s="0" t="s">
        <v>151</v>
      </c>
      <c r="D676" s="20" t="n">
        <f aca="false">gb_tpu_26</f>
        <v>192</v>
      </c>
      <c r="E676" s="20" t="n">
        <f aca="false">gb_tpu_27</f>
        <v>250</v>
      </c>
      <c r="F676" s="20" t="n">
        <f aca="false">gb_tpu_28</f>
        <v>288</v>
      </c>
      <c r="G676" s="20" t="n">
        <f aca="false">gb_tpu_28</f>
        <v>288</v>
      </c>
    </row>
    <row r="677" customFormat="false" ht="17.15" hidden="false" customHeight="false" outlineLevel="0" collapsed="false">
      <c r="A677" s="5" t="s">
        <v>580</v>
      </c>
      <c r="B677" s="0" t="s">
        <v>151</v>
      </c>
      <c r="D677" s="20" t="n">
        <f aca="false">gb_oth_26</f>
        <v>150</v>
      </c>
      <c r="E677" s="20" t="n">
        <f aca="false">gb_oth_27</f>
        <v>200</v>
      </c>
      <c r="F677" s="20" t="n">
        <f aca="false">gb_oth_28</f>
        <v>250</v>
      </c>
      <c r="G677" s="20" t="n">
        <f aca="false">gb_oth_28</f>
        <v>250</v>
      </c>
    </row>
    <row r="678" customFormat="false" ht="17.15" hidden="false" customHeight="false" outlineLevel="0" collapsed="false">
      <c r="A678" s="0" t="s">
        <v>642</v>
      </c>
      <c r="B678" s="0" t="s">
        <v>210</v>
      </c>
      <c r="D678" s="19" t="n">
        <f aca="false">hbm_A_26</f>
        <v>14.6</v>
      </c>
      <c r="E678" s="19" t="n">
        <f aca="false">hbm_A_27</f>
        <v>26.28</v>
      </c>
      <c r="F678" s="19" t="n">
        <f aca="false">hbm_A_28</f>
        <v>28.908</v>
      </c>
      <c r="G678" s="19" t="n">
        <f aca="false">hbm_A_29</f>
        <v>27.4626</v>
      </c>
    </row>
    <row r="679" customFormat="false" ht="17.15" hidden="false" customHeight="false" outlineLevel="0" collapsed="false">
      <c r="A679" s="5" t="s">
        <v>643</v>
      </c>
      <c r="B679" s="0" t="s">
        <v>188</v>
      </c>
      <c r="D679" s="19" t="n">
        <f aca="false">core_tpu</f>
        <v>8</v>
      </c>
      <c r="E679" s="19" t="n">
        <f aca="false">core_tpu*1</f>
        <v>8</v>
      </c>
      <c r="F679" s="19" t="n">
        <f aca="false">core_tpu*1</f>
        <v>8</v>
      </c>
      <c r="G679" s="19" t="n">
        <f aca="false">core_tpu*1</f>
        <v>8</v>
      </c>
    </row>
    <row r="680" customFormat="false" ht="17.15" hidden="false" customHeight="false" outlineLevel="0" collapsed="false">
      <c r="A680" s="5" t="s">
        <v>644</v>
      </c>
      <c r="B680" s="0" t="s">
        <v>188</v>
      </c>
      <c r="D680" s="19" t="n">
        <f aca="false">core_oth</f>
        <v>6</v>
      </c>
      <c r="E680" s="19" t="n">
        <f aca="false">core_oth*1</f>
        <v>6</v>
      </c>
      <c r="F680" s="19" t="n">
        <f aca="false">core_oth*1</f>
        <v>6</v>
      </c>
      <c r="G680" s="19" t="n">
        <f aca="false">core_oth*1</f>
        <v>6</v>
      </c>
    </row>
    <row r="681" customFormat="false" ht="17.15" hidden="false" customHeight="false" outlineLevel="0" collapsed="false">
      <c r="A681" s="5" t="s">
        <v>645</v>
      </c>
      <c r="B681" s="0" t="s">
        <v>188</v>
      </c>
      <c r="D681" s="19" t="n">
        <f aca="false">D676*D678/1000</f>
        <v>2.8032</v>
      </c>
      <c r="E681" s="19" t="n">
        <f aca="false">E676*E678/1000</f>
        <v>6.57</v>
      </c>
      <c r="F681" s="19" t="n">
        <f aca="false">F676*F678/1000</f>
        <v>8.325504</v>
      </c>
      <c r="G681" s="19" t="n">
        <f aca="false">G676*G678/1000</f>
        <v>7.9092288</v>
      </c>
    </row>
    <row r="682" customFormat="false" ht="17.15" hidden="false" customHeight="false" outlineLevel="0" collapsed="false">
      <c r="A682" s="5" t="s">
        <v>646</v>
      </c>
      <c r="B682" s="0" t="s">
        <v>188</v>
      </c>
      <c r="D682" s="19" t="n">
        <f aca="false">D677*D678/1000</f>
        <v>2.19</v>
      </c>
      <c r="E682" s="19" t="n">
        <f aca="false">E677*E678/1000</f>
        <v>5.256</v>
      </c>
      <c r="F682" s="19" t="n">
        <f aca="false">F677*F678/1000</f>
        <v>7.227</v>
      </c>
      <c r="G682" s="19" t="n">
        <f aca="false">G677*G678/1000</f>
        <v>6.86565</v>
      </c>
    </row>
    <row r="683" customFormat="false" ht="17.15" hidden="false" customHeight="false" outlineLevel="0" collapsed="false">
      <c r="A683" s="5" t="s">
        <v>647</v>
      </c>
      <c r="B683" s="0" t="s">
        <v>188</v>
      </c>
      <c r="D683" s="19" t="n">
        <f aca="false">D679+f_hbm*D681</f>
        <v>9.68192</v>
      </c>
      <c r="E683" s="19" t="n">
        <f aca="false">E679+f_hbm*E681</f>
        <v>11.942</v>
      </c>
      <c r="F683" s="19" t="n">
        <f aca="false">F679+f_hbm*F681</f>
        <v>12.9953024</v>
      </c>
      <c r="G683" s="19" t="n">
        <f aca="false">G679+f_hbm*G681</f>
        <v>12.74553728</v>
      </c>
      <c r="H683" s="5" t="s">
        <v>648</v>
      </c>
    </row>
    <row r="684" customFormat="false" ht="17.15" hidden="false" customHeight="false" outlineLevel="0" collapsed="false">
      <c r="A684" s="5" t="s">
        <v>649</v>
      </c>
      <c r="B684" s="0" t="s">
        <v>188</v>
      </c>
      <c r="D684" s="19" t="n">
        <f aca="false">D680+f_hbm*D682</f>
        <v>7.314</v>
      </c>
      <c r="E684" s="19" t="n">
        <f aca="false">E680+f_hbm*E682</f>
        <v>9.1536</v>
      </c>
      <c r="F684" s="19" t="n">
        <f aca="false">F680+f_hbm*F682</f>
        <v>10.3362</v>
      </c>
      <c r="G684" s="19" t="n">
        <f aca="false">G680+f_hbm*G682</f>
        <v>10.11939</v>
      </c>
    </row>
    <row r="685" customFormat="false" ht="17.15" hidden="false" customHeight="false" outlineLevel="0" collapsed="false">
      <c r="A685" s="0" t="s">
        <v>650</v>
      </c>
      <c r="B685" s="0" t="s">
        <v>241</v>
      </c>
      <c r="D685" s="22" t="n">
        <f aca="false">D674*D683+D675*D684</f>
        <v>36.1077528</v>
      </c>
      <c r="E685" s="22" t="n">
        <f aca="false">E674*E683+E675*E684</f>
        <v>75.19996</v>
      </c>
      <c r="F685" s="22" t="n">
        <f aca="false">F674*F683+F675*F684</f>
        <v>96.6498876</v>
      </c>
      <c r="G685" s="22" t="n">
        <f aca="false">G674*G683+G675*G684</f>
        <v>108.953752203</v>
      </c>
    </row>
    <row r="686" customFormat="false" ht="17.15" hidden="false" customHeight="false" outlineLevel="0" collapsed="false">
      <c r="A686" s="0" t="s">
        <v>651</v>
      </c>
      <c r="B686" s="0" t="s">
        <v>131</v>
      </c>
      <c r="D686" s="17" t="n">
        <f aca="false">a26_xpu/D685</f>
        <v>1.10779533197646</v>
      </c>
      <c r="H686" s="8" t="s">
        <v>652</v>
      </c>
    </row>
    <row r="687" customFormat="false" ht="17.15" hidden="false" customHeight="false" outlineLevel="0" collapsed="false">
      <c r="A687" s="0" t="s">
        <v>653</v>
      </c>
      <c r="B687" s="0" t="s">
        <v>241</v>
      </c>
      <c r="D687" s="22" t="n">
        <f aca="false">D685*$D$686</f>
        <v>40</v>
      </c>
      <c r="E687" s="22" t="n">
        <f aca="false">E685*$D$686</f>
        <v>83.3061646528166</v>
      </c>
      <c r="F687" s="22" t="n">
        <f aca="false">F685*$D$686</f>
        <v>107.06829431933</v>
      </c>
      <c r="G687" s="22" t="n">
        <f aca="false">G685*$D$686</f>
        <v>120.698458091803</v>
      </c>
    </row>
    <row r="688" customFormat="false" ht="17.15" hidden="false" customHeight="false" outlineLevel="0" collapsed="false">
      <c r="A688" s="5" t="s">
        <v>654</v>
      </c>
      <c r="B688" s="0" t="s">
        <v>241</v>
      </c>
      <c r="D688" s="22" t="n">
        <f aca="false">$D$686*f_hbm*(D674*D681+D675*D682)</f>
        <v>6.96554320046192</v>
      </c>
      <c r="E688" s="22" t="n">
        <f aca="false">$D$686*f_hbm*(E674*E681+E675*E682)</f>
        <v>27.8610082873947</v>
      </c>
      <c r="F688" s="22" t="n">
        <f aca="false">$D$686*f_hbm*(F674*F681+F675*F682)</f>
        <v>42.2622673987067</v>
      </c>
      <c r="G688" s="22" t="n">
        <f aca="false">$D$686*f_hbm*(G674*G681+G675*G682)</f>
        <v>46.171527133087</v>
      </c>
    </row>
    <row r="689" customFormat="false" ht="15" hidden="false" customHeight="false" outlineLevel="0" collapsed="false">
      <c r="A689" s="5" t="s">
        <v>655</v>
      </c>
      <c r="B689" s="0" t="s">
        <v>241</v>
      </c>
      <c r="D689" s="22" t="n">
        <f aca="false">D687-D688</f>
        <v>33.0344567995381</v>
      </c>
      <c r="E689" s="22" t="n">
        <f aca="false">E687-E688</f>
        <v>55.4451563654219</v>
      </c>
      <c r="F689" s="22" t="n">
        <f aca="false">F687-F688</f>
        <v>64.806026920623</v>
      </c>
      <c r="G689" s="22" t="n">
        <f aca="false">G687-G688</f>
        <v>74.5269309587164</v>
      </c>
    </row>
    <row r="690" customFormat="false" ht="17.15" hidden="false" customHeight="false" outlineLevel="0" collapsed="false">
      <c r="A690" s="0" t="s">
        <v>656</v>
      </c>
      <c r="B690" s="5" t="s">
        <v>35</v>
      </c>
      <c r="D690" s="19" t="n">
        <f aca="false">D674+D675</f>
        <v>3.815</v>
      </c>
      <c r="E690" s="19" t="n">
        <f aca="false">E674+E675</f>
        <v>6.875</v>
      </c>
      <c r="F690" s="19" t="n">
        <f aca="false">F674+F675</f>
        <v>8</v>
      </c>
      <c r="G690" s="19" t="n">
        <f aca="false">G674+G675</f>
        <v>9.2</v>
      </c>
    </row>
    <row r="691" customFormat="false" ht="17.15" hidden="false" customHeight="false" outlineLevel="0" collapsed="false">
      <c r="A691" s="1" t="s">
        <v>657</v>
      </c>
    </row>
    <row r="692" customFormat="false" ht="17.15" hidden="false" customHeight="false" outlineLevel="0" collapsed="false">
      <c r="A692" s="0" t="s">
        <v>658</v>
      </c>
      <c r="B692" s="0" t="s">
        <v>241</v>
      </c>
      <c r="D692" s="22" t="n">
        <f aca="false">net_26*1</f>
        <v>12.6075726</v>
      </c>
      <c r="E692" s="22" t="n">
        <f aca="false">net_27*1*1</f>
        <v>26.959549</v>
      </c>
      <c r="F692" s="22" t="n">
        <f aca="false">net_28*um28_A*1</f>
        <v>32.094922</v>
      </c>
      <c r="G692" s="22" t="n">
        <f aca="false">net_29*um29_A*1</f>
        <v>37.8328169</v>
      </c>
    </row>
    <row r="693" customFormat="false" ht="17.15" hidden="false" customHeight="false" outlineLevel="0" collapsed="false">
      <c r="A693" s="5" t="s">
        <v>659</v>
      </c>
      <c r="B693" s="0" t="s">
        <v>131</v>
      </c>
      <c r="D693" s="17" t="n">
        <f aca="false">a26_net/D692</f>
        <v>1.39598640899359</v>
      </c>
      <c r="H693" s="8" t="s">
        <v>660</v>
      </c>
    </row>
    <row r="694" customFormat="false" ht="17.15" hidden="false" customHeight="false" outlineLevel="0" collapsed="false">
      <c r="A694" s="0" t="s">
        <v>661</v>
      </c>
      <c r="B694" s="0" t="s">
        <v>241</v>
      </c>
      <c r="D694" s="22" t="n">
        <f aca="false">D692*$D$693</f>
        <v>17.6</v>
      </c>
      <c r="E694" s="22" t="n">
        <f aca="false">E692*$D$693</f>
        <v>37.6351639965968</v>
      </c>
      <c r="F694" s="22" t="n">
        <f aca="false">F692*$D$693</f>
        <v>44.8040749097094</v>
      </c>
      <c r="G694" s="22" t="n">
        <f aca="false">G692*$D$693</f>
        <v>52.8140982063431</v>
      </c>
    </row>
    <row r="695" customFormat="false" ht="17.15" hidden="false" customHeight="false" outlineLevel="0" collapsed="false">
      <c r="A695" s="0" t="s">
        <v>522</v>
      </c>
      <c r="B695" s="0" t="s">
        <v>241</v>
      </c>
      <c r="C695" s="22" t="n">
        <f aca="false">a25_ai</f>
        <v>20.2797202797203</v>
      </c>
      <c r="D695" s="22" t="n">
        <f aca="false">D687+D694</f>
        <v>57.6</v>
      </c>
      <c r="E695" s="22" t="n">
        <f aca="false">E687+E694</f>
        <v>120.941328649413</v>
      </c>
      <c r="F695" s="22" t="n">
        <f aca="false">F687+F694</f>
        <v>151.872369229039</v>
      </c>
      <c r="G695" s="22" t="n">
        <f aca="false">G687+G694</f>
        <v>173.512556298147</v>
      </c>
    </row>
    <row r="696" customFormat="false" ht="15" hidden="false" customHeight="false" outlineLevel="0" collapsed="false">
      <c r="A696" s="0" t="s">
        <v>662</v>
      </c>
      <c r="B696" s="0" t="s">
        <v>46</v>
      </c>
      <c r="D696" s="16" t="n">
        <f aca="false">D687/D695</f>
        <v>0.694444444444444</v>
      </c>
      <c r="E696" s="16" t="n">
        <f aca="false">E687/E695</f>
        <v>0.688814697036328</v>
      </c>
      <c r="F696" s="16" t="n">
        <f aca="false">F687/F695</f>
        <v>0.704988635278743</v>
      </c>
      <c r="G696" s="16" t="n">
        <f aca="false">G687/G695</f>
        <v>0.69561800406195</v>
      </c>
    </row>
    <row r="697" customFormat="false" ht="17.15" hidden="false" customHeight="false" outlineLevel="0" collapsed="false">
      <c r="A697" s="5" t="s">
        <v>663</v>
      </c>
      <c r="B697" s="0" t="s">
        <v>241</v>
      </c>
      <c r="C697" s="22" t="n">
        <f aca="false">a25_nai</f>
        <v>16.5782797202797</v>
      </c>
      <c r="D697" s="22" t="n">
        <f aca="false">a26_nai</f>
        <v>16.863</v>
      </c>
      <c r="E697" s="22" t="n">
        <f aca="false">D697*(1+g_nai)</f>
        <v>17.36889</v>
      </c>
      <c r="F697" s="22" t="n">
        <f aca="false">E697*(1+g_nai)</f>
        <v>17.8899567</v>
      </c>
      <c r="G697" s="22" t="n">
        <f aca="false">F697*(1+g_nai)</f>
        <v>18.426655401</v>
      </c>
    </row>
    <row r="698" customFormat="false" ht="15" hidden="false" customHeight="false" outlineLevel="0" collapsed="false">
      <c r="A698" s="5" t="s">
        <v>664</v>
      </c>
      <c r="B698" s="0" t="s">
        <v>241</v>
      </c>
      <c r="C698" s="22" t="n">
        <f aca="false">a25_sw</f>
        <v>27.029</v>
      </c>
      <c r="D698" s="22" t="n">
        <f aca="false">a26_sw</f>
        <v>31.426</v>
      </c>
      <c r="E698" s="22" t="n">
        <f aca="false">D698*(1+g_sw27)</f>
        <v>35.19712</v>
      </c>
      <c r="F698" s="22" t="n">
        <f aca="false">E698*(1+g_sw)</f>
        <v>38.0128896</v>
      </c>
      <c r="G698" s="22" t="n">
        <f aca="false">F698*(1+g_sw)</f>
        <v>41.053920768</v>
      </c>
    </row>
    <row r="699" customFormat="false" ht="17.15" hidden="false" customHeight="false" outlineLevel="0" collapsed="false">
      <c r="A699" s="1" t="s">
        <v>665</v>
      </c>
    </row>
    <row r="700" customFormat="false" ht="15" hidden="false" customHeight="false" outlineLevel="0" collapsed="false">
      <c r="A700" s="5" t="s">
        <v>514</v>
      </c>
      <c r="B700" s="0" t="s">
        <v>241</v>
      </c>
      <c r="C700" s="22" t="n">
        <f aca="false">a25_rev</f>
        <v>63.887</v>
      </c>
      <c r="D700" s="22" t="n">
        <f aca="false">a26_rev</f>
        <v>105.889</v>
      </c>
      <c r="E700" s="22" t="n">
        <f aca="false">E695+E697+E698</f>
        <v>173.507338649413</v>
      </c>
      <c r="F700" s="22" t="n">
        <f aca="false">F695+F697+F698</f>
        <v>207.775215529039</v>
      </c>
      <c r="G700" s="22" t="n">
        <f aca="false">G695+G697+G698</f>
        <v>232.993132467147</v>
      </c>
    </row>
    <row r="701" customFormat="false" ht="17.15" hidden="false" customHeight="false" outlineLevel="0" collapsed="false">
      <c r="A701" s="5" t="s">
        <v>666</v>
      </c>
      <c r="B701" s="0" t="s">
        <v>241</v>
      </c>
      <c r="D701" s="22" t="n">
        <f aca="false">D695+D697+D698</f>
        <v>105.889</v>
      </c>
      <c r="E701" s="22" t="n">
        <f aca="false">E695+E697+E698</f>
        <v>173.507338649413</v>
      </c>
      <c r="F701" s="22" t="n">
        <f aca="false">F695+F697+F698</f>
        <v>207.775215529039</v>
      </c>
      <c r="G701" s="22" t="n">
        <f aca="false">G695+G697+G698</f>
        <v>232.993132467147</v>
      </c>
    </row>
    <row r="702" customFormat="false" ht="17.15" hidden="false" customHeight="false" outlineLevel="0" collapsed="false">
      <c r="A702" s="5" t="s">
        <v>667</v>
      </c>
      <c r="B702" s="0" t="s">
        <v>241</v>
      </c>
      <c r="C702" s="22" t="n">
        <f aca="false">C695+C697</f>
        <v>36.858</v>
      </c>
      <c r="D702" s="22" t="n">
        <f aca="false">D695+D697</f>
        <v>74.463</v>
      </c>
      <c r="E702" s="22" t="n">
        <f aca="false">E695+E697</f>
        <v>138.310218649413</v>
      </c>
      <c r="F702" s="22" t="n">
        <f aca="false">F695+F697</f>
        <v>169.762325929039</v>
      </c>
      <c r="G702" s="22" t="n">
        <f aca="false">G695+G697</f>
        <v>191.939211699147</v>
      </c>
      <c r="H702" s="5" t="s">
        <v>668</v>
      </c>
    </row>
    <row r="703" customFormat="false" ht="17.15" hidden="false" customHeight="false" outlineLevel="0" collapsed="false">
      <c r="A703" s="5" t="s">
        <v>669</v>
      </c>
      <c r="B703" s="0" t="s">
        <v>241</v>
      </c>
      <c r="C703" s="17" t="n">
        <f aca="false">C702+C698-C700</f>
        <v>0</v>
      </c>
      <c r="D703" s="17" t="n">
        <f aca="false">D702+D698-D700</f>
        <v>0</v>
      </c>
      <c r="E703" s="17" t="n">
        <f aca="false">E702+E698-E700</f>
        <v>0</v>
      </c>
      <c r="F703" s="17" t="n">
        <f aca="false">F702+F698-F700</f>
        <v>0</v>
      </c>
      <c r="G703" s="17" t="n">
        <f aca="false">G702+G698-G700</f>
        <v>0</v>
      </c>
    </row>
    <row r="704" customFormat="false" ht="15" hidden="false" customHeight="false" outlineLevel="0" collapsed="false">
      <c r="A704" s="5" t="s">
        <v>670</v>
      </c>
      <c r="B704" s="0" t="s">
        <v>46</v>
      </c>
      <c r="D704" s="16" t="n">
        <f aca="false">D700/C700-1</f>
        <v>0.657442046112668</v>
      </c>
      <c r="E704" s="16" t="n">
        <f aca="false">E700/D700-1</f>
        <v>0.638577554320216</v>
      </c>
      <c r="F704" s="16" t="n">
        <f aca="false">F700/E700-1</f>
        <v>0.197501022990543</v>
      </c>
      <c r="G704" s="16" t="n">
        <f aca="false">G700/F700-1</f>
        <v>0.121371150422813</v>
      </c>
    </row>
    <row r="705" customFormat="false" ht="17.15" hidden="false" customHeight="false" outlineLevel="0" collapsed="false">
      <c r="A705" s="0" t="s">
        <v>671</v>
      </c>
      <c r="B705" s="0" t="s">
        <v>46</v>
      </c>
      <c r="C705" s="16" t="n">
        <f aca="false">C695/C700</f>
        <v>0.317431093645347</v>
      </c>
      <c r="D705" s="16" t="n">
        <f aca="false">D695/D700</f>
        <v>0.543965851032685</v>
      </c>
      <c r="E705" s="16" t="n">
        <f aca="false">E695/E700</f>
        <v>0.697038693526306</v>
      </c>
      <c r="F705" s="16" t="n">
        <f aca="false">F695/F700</f>
        <v>0.730945550181913</v>
      </c>
      <c r="G705" s="16" t="n">
        <f aca="false">G695/G700</f>
        <v>0.744711032728026</v>
      </c>
    </row>
    <row r="706" customFormat="false" ht="17.15" hidden="false" customHeight="false" outlineLevel="0" collapsed="false">
      <c r="A706" s="5" t="s">
        <v>672</v>
      </c>
      <c r="B706" s="0" t="s">
        <v>241</v>
      </c>
      <c r="D706" s="22" t="n">
        <f aca="false">gm_net*D694+gm_nai*D697+gm_sw*D698+m_hbm_hi*D688</f>
        <v>54.2522386400924</v>
      </c>
      <c r="E706" s="22" t="n">
        <f aca="false">gm_net*E694+gm_nai*E697+gm_sw*E698+m_hbm_hi*E688</f>
        <v>76.6926198350286</v>
      </c>
      <c r="F706" s="22" t="n">
        <f aca="false">gm_net*F694+gm_nai*F697+gm_sw*F698+m_hbm_hi*F688</f>
        <v>87.6918465977321</v>
      </c>
      <c r="G706" s="22" t="n">
        <f aca="false">gm_net*G694+gm_nai*G697+gm_sw*G698+m_hbm_hi*G688</f>
        <v>97.4179284600744</v>
      </c>
    </row>
    <row r="707" customFormat="false" ht="17.15" hidden="false" customHeight="false" outlineLevel="0" collapsed="false">
      <c r="A707" s="0" t="s">
        <v>673</v>
      </c>
      <c r="B707" s="0" t="s">
        <v>131</v>
      </c>
      <c r="D707" s="17" t="n">
        <f aca="false">(a26_gp-D706)/D689</f>
        <v>0.766465194616479</v>
      </c>
      <c r="H707" s="8" t="s">
        <v>674</v>
      </c>
    </row>
    <row r="708" customFormat="false" ht="15" hidden="false" customHeight="false" outlineLevel="0" collapsed="false">
      <c r="A708" s="5" t="s">
        <v>675</v>
      </c>
      <c r="B708" s="0" t="s">
        <v>241</v>
      </c>
      <c r="C708" s="22" t="n">
        <f aca="false">a25_gp</f>
        <v>50.245</v>
      </c>
      <c r="D708" s="22" t="n">
        <f aca="false">a26_gp</f>
        <v>79.572</v>
      </c>
      <c r="E708" s="22" t="n">
        <f aca="false">E706+$D$707*E689</f>
        <v>119.189402399193</v>
      </c>
      <c r="F708" s="22" t="n">
        <f aca="false">F706+$D$707*F689</f>
        <v>137.363410633768</v>
      </c>
      <c r="G708" s="22" t="n">
        <f aca="false">G706+$D$707*G689</f>
        <v>154.540227101516</v>
      </c>
    </row>
    <row r="709" customFormat="false" ht="15" hidden="false" customHeight="false" outlineLevel="0" collapsed="false">
      <c r="A709" s="5" t="s">
        <v>533</v>
      </c>
      <c r="B709" s="0" t="s">
        <v>46</v>
      </c>
      <c r="C709" s="16" t="n">
        <f aca="false">C708/C700</f>
        <v>0.786466730320723</v>
      </c>
      <c r="D709" s="16" t="n">
        <f aca="false">D708/D700</f>
        <v>0.751466157957862</v>
      </c>
      <c r="E709" s="16" t="n">
        <f aca="false">E708/E700</f>
        <v>0.686941562973456</v>
      </c>
      <c r="F709" s="16" t="n">
        <f aca="false">F708/F700</f>
        <v>0.661115476569293</v>
      </c>
      <c r="G709" s="16" t="n">
        <f aca="false">G708/G700</f>
        <v>0.663282327101667</v>
      </c>
    </row>
    <row r="710" customFormat="false" ht="17.15" hidden="false" customHeight="false" outlineLevel="0" collapsed="false">
      <c r="A710" s="5" t="s">
        <v>676</v>
      </c>
      <c r="B710" s="0" t="s">
        <v>46</v>
      </c>
      <c r="D710" s="16" t="n">
        <f aca="false">D688/D700</f>
        <v>0.0657815561622258</v>
      </c>
      <c r="E710" s="16" t="n">
        <f aca="false">E688/E700</f>
        <v>0.160575388362623</v>
      </c>
      <c r="F710" s="16" t="n">
        <f aca="false">F688/F700</f>
        <v>0.20340379525584</v>
      </c>
      <c r="G710" s="16" t="n">
        <f aca="false">G688/G700</f>
        <v>0.198166901505552</v>
      </c>
    </row>
    <row r="711" customFormat="false" ht="15" hidden="false" customHeight="false" outlineLevel="0" collapsed="false">
      <c r="A711" s="5" t="s">
        <v>677</v>
      </c>
      <c r="B711" s="0" t="s">
        <v>241</v>
      </c>
      <c r="C711" s="24" t="n">
        <f aca="false">a25_opx</f>
        <v>8.248</v>
      </c>
      <c r="D711" s="24" t="n">
        <f aca="false">a26_opx</f>
        <v>8.755</v>
      </c>
      <c r="E711" s="24" t="n">
        <f aca="false">D711*(1+MAX(g_opx_min,phi*E704))</f>
        <v>9.31407464880735</v>
      </c>
      <c r="F711" s="24" t="n">
        <f aca="false">E711*(1+MAX(g_opx_min,phi*F704))</f>
        <v>9.59349688827157</v>
      </c>
      <c r="G711" s="24" t="n">
        <f aca="false">F711*(1+MAX(g_opx_min,phi*G704))</f>
        <v>9.88130179491972</v>
      </c>
    </row>
    <row r="712" customFormat="false" ht="15" hidden="false" customHeight="false" outlineLevel="0" collapsed="false">
      <c r="A712" s="5" t="s">
        <v>678</v>
      </c>
      <c r="B712" s="0" t="s">
        <v>241</v>
      </c>
      <c r="C712" s="24" t="n">
        <f aca="false">C711</f>
        <v>8.248</v>
      </c>
      <c r="D712" s="24" t="n">
        <f aca="false">D711</f>
        <v>8.755</v>
      </c>
      <c r="E712" s="24" t="n">
        <f aca="false">E711+0*E700</f>
        <v>9.31407464880735</v>
      </c>
      <c r="F712" s="24" t="n">
        <f aca="false">F711+0*F700</f>
        <v>9.59349688827157</v>
      </c>
      <c r="G712" s="24" t="n">
        <f aca="false">G711+0*G700</f>
        <v>9.88130179491972</v>
      </c>
    </row>
    <row r="713" customFormat="false" ht="15" hidden="false" customHeight="false" outlineLevel="0" collapsed="false">
      <c r="A713" s="5" t="s">
        <v>679</v>
      </c>
      <c r="B713" s="0" t="s">
        <v>241</v>
      </c>
      <c r="C713" s="22" t="n">
        <f aca="false">C708-C712</f>
        <v>41.997</v>
      </c>
      <c r="D713" s="22" t="n">
        <f aca="false">D708-D712</f>
        <v>70.817</v>
      </c>
      <c r="E713" s="22" t="n">
        <f aca="false">E708-E712</f>
        <v>109.875327750385</v>
      </c>
      <c r="F713" s="22" t="n">
        <f aca="false">F708-F712</f>
        <v>127.769913745497</v>
      </c>
      <c r="G713" s="22" t="n">
        <f aca="false">G708-G712</f>
        <v>144.658925306596</v>
      </c>
    </row>
    <row r="714" customFormat="false" ht="15" hidden="false" customHeight="false" outlineLevel="0" collapsed="false">
      <c r="A714" s="5" t="s">
        <v>538</v>
      </c>
      <c r="B714" s="0" t="s">
        <v>46</v>
      </c>
      <c r="C714" s="16" t="n">
        <f aca="false">C713/C700</f>
        <v>0.657363782929235</v>
      </c>
      <c r="D714" s="16" t="n">
        <f aca="false">D713/D700</f>
        <v>0.66878523737121</v>
      </c>
      <c r="E714" s="16" t="n">
        <f aca="false">E713/E700</f>
        <v>0.633260406191799</v>
      </c>
      <c r="F714" s="16" t="n">
        <f aca="false">F713/F700</f>
        <v>0.614942997027666</v>
      </c>
      <c r="G714" s="16" t="n">
        <f aca="false">G713/G700</f>
        <v>0.62087205650576</v>
      </c>
    </row>
    <row r="715" customFormat="false" ht="15" hidden="false" customHeight="false" outlineLevel="0" collapsed="false">
      <c r="A715" s="5" t="s">
        <v>680</v>
      </c>
      <c r="B715" s="0" t="s">
        <v>241</v>
      </c>
      <c r="C715" s="19" t="n">
        <f aca="false">a25_int</f>
        <v>3.072</v>
      </c>
      <c r="D715" s="19" t="n">
        <f aca="false">a26_int</f>
        <v>2.894</v>
      </c>
      <c r="E715" s="19" t="n">
        <f aca="false">int_f</f>
        <v>2.8</v>
      </c>
      <c r="F715" s="19" t="n">
        <f aca="false">int_f</f>
        <v>2.8</v>
      </c>
      <c r="G715" s="19" t="n">
        <f aca="false">int_f</f>
        <v>2.8</v>
      </c>
    </row>
    <row r="716" customFormat="false" ht="15" hidden="false" customHeight="false" outlineLevel="0" collapsed="false">
      <c r="A716" s="5" t="s">
        <v>681</v>
      </c>
      <c r="B716" s="0" t="s">
        <v>241</v>
      </c>
      <c r="C716" s="19" t="n">
        <f aca="false">a25_oth</f>
        <v>0.294</v>
      </c>
      <c r="D716" s="19" t="n">
        <f aca="false">a26_oth</f>
        <v>0.434</v>
      </c>
      <c r="E716" s="19" t="n">
        <f aca="false">oth_f</f>
        <v>0.4</v>
      </c>
      <c r="F716" s="19" t="n">
        <f aca="false">oth_f</f>
        <v>0.4</v>
      </c>
      <c r="G716" s="19" t="n">
        <f aca="false">oth_f</f>
        <v>0.4</v>
      </c>
    </row>
    <row r="717" customFormat="false" ht="15" hidden="false" customHeight="false" outlineLevel="0" collapsed="false">
      <c r="A717" s="5" t="s">
        <v>543</v>
      </c>
      <c r="B717" s="0" t="s">
        <v>46</v>
      </c>
      <c r="C717" s="16" t="n">
        <f aca="false">a25_tax/(a25_oi-a25_int+a25_oth)</f>
        <v>0.140008669267447</v>
      </c>
      <c r="D717" s="16" t="n">
        <f aca="false">a26_tax/(a26_oi-a26_int+a26_oth)</f>
        <v>0.159996489020876</v>
      </c>
      <c r="E717" s="16" t="n">
        <f aca="false">tx_f</f>
        <v>0.16</v>
      </c>
      <c r="F717" s="16" t="n">
        <f aca="false">tx_f</f>
        <v>0.16</v>
      </c>
      <c r="G717" s="16" t="n">
        <f aca="false">tx_f</f>
        <v>0.16</v>
      </c>
    </row>
    <row r="718" customFormat="false" ht="17.15" hidden="false" customHeight="false" outlineLevel="0" collapsed="false">
      <c r="A718" s="5" t="s">
        <v>630</v>
      </c>
      <c r="B718" s="0" t="s">
        <v>241</v>
      </c>
      <c r="C718" s="22" t="n">
        <f aca="false">a25_ni</f>
        <v>33.728</v>
      </c>
      <c r="D718" s="22" t="n">
        <f aca="false">a26_ni</f>
        <v>57.42012</v>
      </c>
      <c r="E718" s="22" t="n">
        <f aca="false">(E713-E715+E716)*(1-E717)</f>
        <v>90.2792753103238</v>
      </c>
      <c r="F718" s="22" t="n">
        <f aca="false">(F713-F715+F716)*(1-F717)</f>
        <v>105.310727546217</v>
      </c>
      <c r="G718" s="22" t="n">
        <f aca="false">(G713-G715+G716)*(1-G717)</f>
        <v>119.497497257541</v>
      </c>
    </row>
    <row r="719" customFormat="false" ht="15" hidden="false" customHeight="false" outlineLevel="0" collapsed="false">
      <c r="A719" s="5" t="s">
        <v>682</v>
      </c>
      <c r="B719" s="5" t="s">
        <v>304</v>
      </c>
      <c r="C719" s="17" t="n">
        <f aca="false">a25_sh</f>
        <v>4.943</v>
      </c>
      <c r="D719" s="17" t="n">
        <f aca="false">a26_sh</f>
        <v>4.9435</v>
      </c>
      <c r="E719" s="17" t="n">
        <f aca="false">D719*(1+sh_g)</f>
        <v>4.9187825</v>
      </c>
      <c r="F719" s="17" t="n">
        <f aca="false">E719*(1+sh_g)</f>
        <v>4.8941885875</v>
      </c>
      <c r="G719" s="17" t="n">
        <f aca="false">F719*(1+sh_g)</f>
        <v>4.8697176445625</v>
      </c>
    </row>
    <row r="720" customFormat="false" ht="17.15" hidden="false" customHeight="false" outlineLevel="0" collapsed="false">
      <c r="A720" s="0" t="s">
        <v>631</v>
      </c>
      <c r="B720" s="0" t="s">
        <v>354</v>
      </c>
      <c r="C720" s="19" t="n">
        <f aca="false">C718/C719</f>
        <v>6.82338660732349</v>
      </c>
      <c r="D720" s="19" t="n">
        <f aca="false">D718/D719</f>
        <v>11.6152766258724</v>
      </c>
      <c r="E720" s="19" t="n">
        <f aca="false">E718/E719</f>
        <v>18.3539880672349</v>
      </c>
      <c r="F720" s="19" t="n">
        <f aca="false">F718/F719</f>
        <v>21.5175050293701</v>
      </c>
      <c r="G720" s="19" t="n">
        <f aca="false">G718/G719</f>
        <v>24.5388964986442</v>
      </c>
    </row>
    <row r="721" customFormat="false" ht="17.15" hidden="false" customHeight="false" outlineLevel="0" collapsed="false">
      <c r="A721" s="0" t="s">
        <v>683</v>
      </c>
      <c r="B721" s="0" t="s">
        <v>46</v>
      </c>
      <c r="D721" s="16" t="n">
        <f aca="false">D720/C720-1</f>
        <v>0.702274441463682</v>
      </c>
      <c r="E721" s="16" t="n">
        <f aca="false">E720/D720-1</f>
        <v>0.580159358955985</v>
      </c>
      <c r="F721" s="16" t="n">
        <f aca="false">F720/E720-1</f>
        <v>0.172361284672658</v>
      </c>
      <c r="G721" s="16" t="n">
        <f aca="false">G720/F720-1</f>
        <v>0.140415511238412</v>
      </c>
    </row>
    <row r="724" customFormat="false" ht="17.15" hidden="false" customHeight="false" outlineLevel="0" collapsed="false">
      <c r="A724" s="3" t="s">
        <v>1064</v>
      </c>
    </row>
    <row r="725" customFormat="false" ht="17.15" hidden="false" customHeight="false" outlineLevel="0" collapsed="false">
      <c r="A725" s="6" t="s">
        <v>24</v>
      </c>
      <c r="B725" s="6" t="s">
        <v>25</v>
      </c>
      <c r="C725" s="13" t="s">
        <v>507</v>
      </c>
      <c r="D725" s="13" t="s">
        <v>621</v>
      </c>
      <c r="E725" s="13" t="s">
        <v>622</v>
      </c>
      <c r="F725" s="13" t="s">
        <v>623</v>
      </c>
      <c r="G725" s="13" t="s">
        <v>624</v>
      </c>
      <c r="H725" s="6" t="s">
        <v>480</v>
      </c>
    </row>
    <row r="726" customFormat="false" ht="17.15" hidden="false" customHeight="false" outlineLevel="0" collapsed="false">
      <c r="A726" s="1" t="s">
        <v>639</v>
      </c>
    </row>
    <row r="727" customFormat="false" ht="17.15" hidden="false" customHeight="false" outlineLevel="0" collapsed="false">
      <c r="A727" s="0" t="s">
        <v>640</v>
      </c>
      <c r="B727" s="5" t="s">
        <v>35</v>
      </c>
      <c r="D727" s="19" t="n">
        <f aca="false">u_tpu_26</f>
        <v>3.85</v>
      </c>
      <c r="E727" s="19" t="n">
        <f aca="false">u_tpu_27</f>
        <v>5.5</v>
      </c>
      <c r="F727" s="19" t="n">
        <f aca="false">u_tpu_28*um28_A</f>
        <v>7</v>
      </c>
      <c r="G727" s="19" t="n">
        <f aca="false">u_tpu_28*(1+g29_tpu)*um29_A</f>
        <v>8.05</v>
      </c>
    </row>
    <row r="728" customFormat="false" ht="17.15" hidden="false" customHeight="false" outlineLevel="0" collapsed="false">
      <c r="A728" s="5" t="s">
        <v>641</v>
      </c>
      <c r="B728" s="5" t="s">
        <v>35</v>
      </c>
      <c r="D728" s="19" t="n">
        <f aca="false">u_oth_26</f>
        <v>1</v>
      </c>
      <c r="E728" s="19" t="n">
        <f aca="false">u_oth_27</f>
        <v>4.5</v>
      </c>
      <c r="F728" s="19" t="n">
        <f aca="false">u_oth_28*um28_A</f>
        <v>5</v>
      </c>
      <c r="G728" s="19" t="n">
        <f aca="false">u_oth_28*(1+g29_oth)*um29_A</f>
        <v>5.75</v>
      </c>
    </row>
    <row r="729" customFormat="false" ht="17.15" hidden="false" customHeight="false" outlineLevel="0" collapsed="false">
      <c r="A729" s="0" t="s">
        <v>566</v>
      </c>
      <c r="B729" s="0" t="s">
        <v>46</v>
      </c>
      <c r="D729" s="16" t="n">
        <f aca="false">sh_tpu_26</f>
        <v>0.9</v>
      </c>
      <c r="E729" s="16" t="n">
        <f aca="false">MIN(1,MAX(0,sh_tpu_27+0))</f>
        <v>0.8</v>
      </c>
      <c r="F729" s="16" t="n">
        <f aca="false">MIN(1,MAX(0,sh_tpu_28+0))</f>
        <v>0.75</v>
      </c>
      <c r="G729" s="16" t="n">
        <f aca="false">MIN(1,MAX(0,sh_tpu_28+0))</f>
        <v>0.75</v>
      </c>
    </row>
    <row r="730" customFormat="false" ht="17.15" hidden="false" customHeight="false" outlineLevel="0" collapsed="false">
      <c r="A730" s="0" t="s">
        <v>578</v>
      </c>
      <c r="B730" s="0" t="s">
        <v>46</v>
      </c>
      <c r="D730" s="16" t="n">
        <f aca="false">sh_oth_26</f>
        <v>0.35</v>
      </c>
      <c r="E730" s="16" t="n">
        <f aca="false">MIN(1,MAX(0,sh_oth_27+0))</f>
        <v>0.55</v>
      </c>
      <c r="F730" s="16" t="n">
        <f aca="false">MIN(1,MAX(0,sh_oth_28+0))</f>
        <v>0.55</v>
      </c>
      <c r="G730" s="16" t="n">
        <f aca="false">MIN(1,MAX(0,sh_oth_28+0))</f>
        <v>0.55</v>
      </c>
    </row>
    <row r="731" customFormat="false" ht="17.15" hidden="false" customHeight="false" outlineLevel="0" collapsed="false">
      <c r="A731" s="0" t="s">
        <v>568</v>
      </c>
      <c r="B731" s="5" t="s">
        <v>35</v>
      </c>
      <c r="D731" s="19" t="n">
        <f aca="false">D727*D729</f>
        <v>3.465</v>
      </c>
      <c r="E731" s="19" t="n">
        <f aca="false">E727*E729*1</f>
        <v>4.4</v>
      </c>
      <c r="F731" s="19" t="n">
        <f aca="false">F727*F729*1</f>
        <v>5.25</v>
      </c>
      <c r="G731" s="19" t="n">
        <f aca="false">G727*G729*1</f>
        <v>6.0375</v>
      </c>
    </row>
    <row r="732" customFormat="false" ht="17.15" hidden="false" customHeight="false" outlineLevel="0" collapsed="false">
      <c r="A732" s="0" t="s">
        <v>579</v>
      </c>
      <c r="B732" s="5" t="s">
        <v>35</v>
      </c>
      <c r="D732" s="19" t="n">
        <f aca="false">D728*D730</f>
        <v>0.35</v>
      </c>
      <c r="E732" s="19" t="n">
        <f aca="false">E728*E730*1</f>
        <v>2.475</v>
      </c>
      <c r="F732" s="19" t="n">
        <f aca="false">F728*F730*1</f>
        <v>2.75</v>
      </c>
      <c r="G732" s="19" t="n">
        <f aca="false">G728*G730*1</f>
        <v>3.1625</v>
      </c>
    </row>
    <row r="733" customFormat="false" ht="17.15" hidden="false" customHeight="false" outlineLevel="0" collapsed="false">
      <c r="A733" s="5" t="s">
        <v>570</v>
      </c>
      <c r="B733" s="0" t="s">
        <v>151</v>
      </c>
      <c r="D733" s="20" t="n">
        <f aca="false">gb_tpu_26</f>
        <v>192</v>
      </c>
      <c r="E733" s="20" t="n">
        <f aca="false">gb_tpu_27</f>
        <v>250</v>
      </c>
      <c r="F733" s="20" t="n">
        <f aca="false">gb_tpu_28</f>
        <v>288</v>
      </c>
      <c r="G733" s="20" t="n">
        <f aca="false">gb_tpu_28</f>
        <v>288</v>
      </c>
    </row>
    <row r="734" customFormat="false" ht="17.15" hidden="false" customHeight="false" outlineLevel="0" collapsed="false">
      <c r="A734" s="5" t="s">
        <v>580</v>
      </c>
      <c r="B734" s="0" t="s">
        <v>151</v>
      </c>
      <c r="D734" s="20" t="n">
        <f aca="false">gb_oth_26</f>
        <v>150</v>
      </c>
      <c r="E734" s="20" t="n">
        <f aca="false">gb_oth_27</f>
        <v>200</v>
      </c>
      <c r="F734" s="20" t="n">
        <f aca="false">gb_oth_28</f>
        <v>250</v>
      </c>
      <c r="G734" s="20" t="n">
        <f aca="false">gb_oth_28</f>
        <v>250</v>
      </c>
    </row>
    <row r="735" customFormat="false" ht="17.15" hidden="false" customHeight="false" outlineLevel="0" collapsed="false">
      <c r="A735" s="0" t="s">
        <v>642</v>
      </c>
      <c r="B735" s="0" t="s">
        <v>210</v>
      </c>
      <c r="D735" s="19" t="n">
        <f aca="false">hbm_A_26</f>
        <v>14.6</v>
      </c>
      <c r="E735" s="19" t="n">
        <f aca="false">hbm_A_27</f>
        <v>26.28</v>
      </c>
      <c r="F735" s="19" t="n">
        <f aca="false">hbm_A_28</f>
        <v>28.908</v>
      </c>
      <c r="G735" s="19" t="n">
        <f aca="false">hbm_A_29</f>
        <v>27.4626</v>
      </c>
    </row>
    <row r="736" customFormat="false" ht="17.15" hidden="false" customHeight="false" outlineLevel="0" collapsed="false">
      <c r="A736" s="5" t="s">
        <v>643</v>
      </c>
      <c r="B736" s="0" t="s">
        <v>188</v>
      </c>
      <c r="D736" s="19" t="n">
        <f aca="false">core_tpu</f>
        <v>8</v>
      </c>
      <c r="E736" s="19" t="n">
        <f aca="false">core_tpu*1</f>
        <v>8</v>
      </c>
      <c r="F736" s="19" t="n">
        <f aca="false">core_tpu*1</f>
        <v>8</v>
      </c>
      <c r="G736" s="19" t="n">
        <f aca="false">core_tpu*1</f>
        <v>8</v>
      </c>
    </row>
    <row r="737" customFormat="false" ht="17.15" hidden="false" customHeight="false" outlineLevel="0" collapsed="false">
      <c r="A737" s="5" t="s">
        <v>644</v>
      </c>
      <c r="B737" s="0" t="s">
        <v>188</v>
      </c>
      <c r="D737" s="19" t="n">
        <f aca="false">core_oth</f>
        <v>6</v>
      </c>
      <c r="E737" s="19" t="n">
        <f aca="false">core_oth*1</f>
        <v>6</v>
      </c>
      <c r="F737" s="19" t="n">
        <f aca="false">core_oth*1</f>
        <v>6</v>
      </c>
      <c r="G737" s="19" t="n">
        <f aca="false">core_oth*1</f>
        <v>6</v>
      </c>
    </row>
    <row r="738" customFormat="false" ht="17.15" hidden="false" customHeight="false" outlineLevel="0" collapsed="false">
      <c r="A738" s="5" t="s">
        <v>645</v>
      </c>
      <c r="B738" s="0" t="s">
        <v>188</v>
      </c>
      <c r="D738" s="19" t="n">
        <f aca="false">D733*D735/1000</f>
        <v>2.8032</v>
      </c>
      <c r="E738" s="19" t="n">
        <f aca="false">E733*E735/1000</f>
        <v>6.57</v>
      </c>
      <c r="F738" s="19" t="n">
        <f aca="false">F733*F735/1000</f>
        <v>8.325504</v>
      </c>
      <c r="G738" s="19" t="n">
        <f aca="false">G733*G735/1000</f>
        <v>7.9092288</v>
      </c>
    </row>
    <row r="739" customFormat="false" ht="17.15" hidden="false" customHeight="false" outlineLevel="0" collapsed="false">
      <c r="A739" s="5" t="s">
        <v>646</v>
      </c>
      <c r="B739" s="0" t="s">
        <v>188</v>
      </c>
      <c r="D739" s="19" t="n">
        <f aca="false">D734*D735/1000</f>
        <v>2.19</v>
      </c>
      <c r="E739" s="19" t="n">
        <f aca="false">E734*E735/1000</f>
        <v>5.256</v>
      </c>
      <c r="F739" s="19" t="n">
        <f aca="false">F734*F735/1000</f>
        <v>7.227</v>
      </c>
      <c r="G739" s="19" t="n">
        <f aca="false">G734*G735/1000</f>
        <v>6.86565</v>
      </c>
    </row>
    <row r="740" customFormat="false" ht="17.15" hidden="false" customHeight="false" outlineLevel="0" collapsed="false">
      <c r="A740" s="5" t="s">
        <v>647</v>
      </c>
      <c r="B740" s="0" t="s">
        <v>188</v>
      </c>
      <c r="D740" s="19" t="n">
        <f aca="false">D736+f_hbm*D738</f>
        <v>9.68192</v>
      </c>
      <c r="E740" s="19" t="n">
        <f aca="false">E736+f_hbm*E738</f>
        <v>11.942</v>
      </c>
      <c r="F740" s="19" t="n">
        <f aca="false">F736+f_hbm*F738</f>
        <v>12.9953024</v>
      </c>
      <c r="G740" s="19" t="n">
        <f aca="false">G736+f_hbm*G738</f>
        <v>12.74553728</v>
      </c>
      <c r="H740" s="5" t="s">
        <v>648</v>
      </c>
    </row>
    <row r="741" customFormat="false" ht="17.15" hidden="false" customHeight="false" outlineLevel="0" collapsed="false">
      <c r="A741" s="5" t="s">
        <v>649</v>
      </c>
      <c r="B741" s="0" t="s">
        <v>188</v>
      </c>
      <c r="D741" s="19" t="n">
        <f aca="false">D737+f_hbm*D739</f>
        <v>7.314</v>
      </c>
      <c r="E741" s="19" t="n">
        <f aca="false">E737+f_hbm*E739</f>
        <v>9.1536</v>
      </c>
      <c r="F741" s="19" t="n">
        <f aca="false">F737+f_hbm*F739</f>
        <v>10.3362</v>
      </c>
      <c r="G741" s="19" t="n">
        <f aca="false">G737+f_hbm*G739</f>
        <v>10.11939</v>
      </c>
    </row>
    <row r="742" customFormat="false" ht="17.15" hidden="false" customHeight="false" outlineLevel="0" collapsed="false">
      <c r="A742" s="0" t="s">
        <v>650</v>
      </c>
      <c r="B742" s="0" t="s">
        <v>241</v>
      </c>
      <c r="D742" s="22" t="n">
        <f aca="false">D731*D740+D732*D741</f>
        <v>36.1077528</v>
      </c>
      <c r="E742" s="22" t="n">
        <f aca="false">E731*E740+E732*E741</f>
        <v>75.19996</v>
      </c>
      <c r="F742" s="22" t="n">
        <f aca="false">F731*F740+F732*F741</f>
        <v>96.6498876</v>
      </c>
      <c r="G742" s="22" t="n">
        <f aca="false">G731*G740+G732*G741</f>
        <v>108.953752203</v>
      </c>
    </row>
    <row r="743" customFormat="false" ht="17.15" hidden="false" customHeight="false" outlineLevel="0" collapsed="false">
      <c r="A743" s="0" t="s">
        <v>651</v>
      </c>
      <c r="B743" s="0" t="s">
        <v>131</v>
      </c>
      <c r="D743" s="17" t="n">
        <f aca="false">a26_xpu/D742</f>
        <v>1.10779533197646</v>
      </c>
      <c r="H743" s="8" t="s">
        <v>652</v>
      </c>
    </row>
    <row r="744" customFormat="false" ht="17.15" hidden="false" customHeight="false" outlineLevel="0" collapsed="false">
      <c r="A744" s="0" t="s">
        <v>653</v>
      </c>
      <c r="B744" s="0" t="s">
        <v>241</v>
      </c>
      <c r="D744" s="22" t="n">
        <f aca="false">D742*$D$743</f>
        <v>40</v>
      </c>
      <c r="E744" s="22" t="n">
        <f aca="false">E742*$D$743</f>
        <v>83.3061646528166</v>
      </c>
      <c r="F744" s="22" t="n">
        <f aca="false">F742*$D$743</f>
        <v>107.06829431933</v>
      </c>
      <c r="G744" s="22" t="n">
        <f aca="false">G742*$D$743</f>
        <v>120.698458091803</v>
      </c>
    </row>
    <row r="745" customFormat="false" ht="17.15" hidden="false" customHeight="false" outlineLevel="0" collapsed="false">
      <c r="A745" s="5" t="s">
        <v>654</v>
      </c>
      <c r="B745" s="0" t="s">
        <v>241</v>
      </c>
      <c r="D745" s="22" t="n">
        <f aca="false">$D$743*f_hbm*(D731*D738+D732*D739)</f>
        <v>6.96554320046192</v>
      </c>
      <c r="E745" s="22" t="n">
        <f aca="false">$D$743*f_hbm*(E731*E738+E732*E739)</f>
        <v>27.8610082873947</v>
      </c>
      <c r="F745" s="22" t="n">
        <f aca="false">$D$743*f_hbm*(F731*F738+F732*F739)</f>
        <v>42.2622673987067</v>
      </c>
      <c r="G745" s="22" t="n">
        <f aca="false">$D$743*f_hbm*(G731*G738+G732*G739)</f>
        <v>46.171527133087</v>
      </c>
    </row>
    <row r="746" customFormat="false" ht="15" hidden="false" customHeight="false" outlineLevel="0" collapsed="false">
      <c r="A746" s="5" t="s">
        <v>655</v>
      </c>
      <c r="B746" s="0" t="s">
        <v>241</v>
      </c>
      <c r="D746" s="22" t="n">
        <f aca="false">D744-D745</f>
        <v>33.0344567995381</v>
      </c>
      <c r="E746" s="22" t="n">
        <f aca="false">E744-E745</f>
        <v>55.4451563654219</v>
      </c>
      <c r="F746" s="22" t="n">
        <f aca="false">F744-F745</f>
        <v>64.806026920623</v>
      </c>
      <c r="G746" s="22" t="n">
        <f aca="false">G744-G745</f>
        <v>74.5269309587164</v>
      </c>
    </row>
    <row r="747" customFormat="false" ht="17.15" hidden="false" customHeight="false" outlineLevel="0" collapsed="false">
      <c r="A747" s="0" t="s">
        <v>656</v>
      </c>
      <c r="B747" s="5" t="s">
        <v>35</v>
      </c>
      <c r="D747" s="19" t="n">
        <f aca="false">D731+D732</f>
        <v>3.815</v>
      </c>
      <c r="E747" s="19" t="n">
        <f aca="false">E731+E732</f>
        <v>6.875</v>
      </c>
      <c r="F747" s="19" t="n">
        <f aca="false">F731+F732</f>
        <v>8</v>
      </c>
      <c r="G747" s="19" t="n">
        <f aca="false">G731+G732</f>
        <v>9.2</v>
      </c>
    </row>
    <row r="748" customFormat="false" ht="17.15" hidden="false" customHeight="false" outlineLevel="0" collapsed="false">
      <c r="A748" s="1" t="s">
        <v>657</v>
      </c>
    </row>
    <row r="749" customFormat="false" ht="17.15" hidden="false" customHeight="false" outlineLevel="0" collapsed="false">
      <c r="A749" s="0" t="s">
        <v>658</v>
      </c>
      <c r="B749" s="0" t="s">
        <v>241</v>
      </c>
      <c r="D749" s="22" t="n">
        <f aca="false">net_26*1</f>
        <v>12.6075726</v>
      </c>
      <c r="E749" s="22" t="n">
        <f aca="false">net_27*1*0.8</f>
        <v>21.5676392</v>
      </c>
      <c r="F749" s="22" t="n">
        <f aca="false">net_28*um28_A*0.8</f>
        <v>25.6759376</v>
      </c>
      <c r="G749" s="22" t="n">
        <f aca="false">net_29*um29_A*0.8</f>
        <v>30.26625352</v>
      </c>
    </row>
    <row r="750" customFormat="false" ht="17.15" hidden="false" customHeight="false" outlineLevel="0" collapsed="false">
      <c r="A750" s="5" t="s">
        <v>659</v>
      </c>
      <c r="B750" s="0" t="s">
        <v>131</v>
      </c>
      <c r="D750" s="17" t="n">
        <f aca="false">a26_net/D749</f>
        <v>1.39598640899359</v>
      </c>
      <c r="H750" s="8" t="s">
        <v>660</v>
      </c>
    </row>
    <row r="751" customFormat="false" ht="17.15" hidden="false" customHeight="false" outlineLevel="0" collapsed="false">
      <c r="A751" s="0" t="s">
        <v>661</v>
      </c>
      <c r="B751" s="0" t="s">
        <v>241</v>
      </c>
      <c r="D751" s="22" t="n">
        <f aca="false">D749*$D$750</f>
        <v>17.6</v>
      </c>
      <c r="E751" s="22" t="n">
        <f aca="false">E749*$D$750</f>
        <v>30.1081311972774</v>
      </c>
      <c r="F751" s="22" t="n">
        <f aca="false">F749*$D$750</f>
        <v>35.8432599277675</v>
      </c>
      <c r="G751" s="22" t="n">
        <f aca="false">G749*$D$750</f>
        <v>42.2512785650745</v>
      </c>
    </row>
    <row r="752" customFormat="false" ht="17.15" hidden="false" customHeight="false" outlineLevel="0" collapsed="false">
      <c r="A752" s="0" t="s">
        <v>522</v>
      </c>
      <c r="B752" s="0" t="s">
        <v>241</v>
      </c>
      <c r="C752" s="22" t="n">
        <f aca="false">a25_ai</f>
        <v>20.2797202797203</v>
      </c>
      <c r="D752" s="22" t="n">
        <f aca="false">D744+D751</f>
        <v>57.6</v>
      </c>
      <c r="E752" s="22" t="n">
        <f aca="false">E744+E751</f>
        <v>113.414295850094</v>
      </c>
      <c r="F752" s="22" t="n">
        <f aca="false">F744+F751</f>
        <v>142.911554247097</v>
      </c>
      <c r="G752" s="22" t="n">
        <f aca="false">G744+G751</f>
        <v>162.949736656878</v>
      </c>
    </row>
    <row r="753" customFormat="false" ht="15" hidden="false" customHeight="false" outlineLevel="0" collapsed="false">
      <c r="A753" s="0" t="s">
        <v>662</v>
      </c>
      <c r="B753" s="0" t="s">
        <v>46</v>
      </c>
      <c r="D753" s="16" t="n">
        <f aca="false">D744/D752</f>
        <v>0.694444444444444</v>
      </c>
      <c r="E753" s="16" t="n">
        <f aca="false">E744/E752</f>
        <v>0.734529664257908</v>
      </c>
      <c r="F753" s="16" t="n">
        <f aca="false">F744/F752</f>
        <v>0.749192707919237</v>
      </c>
      <c r="G753" s="16" t="n">
        <f aca="false">G744/G752</f>
        <v>0.740709746257261</v>
      </c>
    </row>
    <row r="754" customFormat="false" ht="17.15" hidden="false" customHeight="false" outlineLevel="0" collapsed="false">
      <c r="A754" s="5" t="s">
        <v>663</v>
      </c>
      <c r="B754" s="0" t="s">
        <v>241</v>
      </c>
      <c r="C754" s="22" t="n">
        <f aca="false">a25_nai</f>
        <v>16.5782797202797</v>
      </c>
      <c r="D754" s="22" t="n">
        <f aca="false">a26_nai</f>
        <v>16.863</v>
      </c>
      <c r="E754" s="22" t="n">
        <f aca="false">D754*(1+g_nai)</f>
        <v>17.36889</v>
      </c>
      <c r="F754" s="22" t="n">
        <f aca="false">E754*(1+g_nai)</f>
        <v>17.8899567</v>
      </c>
      <c r="G754" s="22" t="n">
        <f aca="false">F754*(1+g_nai)</f>
        <v>18.426655401</v>
      </c>
    </row>
    <row r="755" customFormat="false" ht="15" hidden="false" customHeight="false" outlineLevel="0" collapsed="false">
      <c r="A755" s="5" t="s">
        <v>664</v>
      </c>
      <c r="B755" s="0" t="s">
        <v>241</v>
      </c>
      <c r="C755" s="22" t="n">
        <f aca="false">a25_sw</f>
        <v>27.029</v>
      </c>
      <c r="D755" s="22" t="n">
        <f aca="false">a26_sw</f>
        <v>31.426</v>
      </c>
      <c r="E755" s="22" t="n">
        <f aca="false">D755*(1+g_sw27)</f>
        <v>35.19712</v>
      </c>
      <c r="F755" s="22" t="n">
        <f aca="false">E755*(1+g_sw)</f>
        <v>38.0128896</v>
      </c>
      <c r="G755" s="22" t="n">
        <f aca="false">F755*(1+g_sw)</f>
        <v>41.053920768</v>
      </c>
    </row>
    <row r="756" customFormat="false" ht="17.15" hidden="false" customHeight="false" outlineLevel="0" collapsed="false">
      <c r="A756" s="1" t="s">
        <v>665</v>
      </c>
    </row>
    <row r="757" customFormat="false" ht="15" hidden="false" customHeight="false" outlineLevel="0" collapsed="false">
      <c r="A757" s="5" t="s">
        <v>514</v>
      </c>
      <c r="B757" s="0" t="s">
        <v>241</v>
      </c>
      <c r="C757" s="22" t="n">
        <f aca="false">a25_rev</f>
        <v>63.887</v>
      </c>
      <c r="D757" s="22" t="n">
        <f aca="false">a26_rev</f>
        <v>105.889</v>
      </c>
      <c r="E757" s="22" t="n">
        <f aca="false">E752+E754+E755</f>
        <v>165.980305850094</v>
      </c>
      <c r="F757" s="22" t="n">
        <f aca="false">F752+F754+F755</f>
        <v>198.814400547097</v>
      </c>
      <c r="G757" s="22" t="n">
        <f aca="false">G752+G754+G755</f>
        <v>222.430312825878</v>
      </c>
    </row>
    <row r="758" customFormat="false" ht="17.15" hidden="false" customHeight="false" outlineLevel="0" collapsed="false">
      <c r="A758" s="5" t="s">
        <v>666</v>
      </c>
      <c r="B758" s="0" t="s">
        <v>241</v>
      </c>
      <c r="D758" s="22" t="n">
        <f aca="false">D752+D754+D755</f>
        <v>105.889</v>
      </c>
      <c r="E758" s="22" t="n">
        <f aca="false">E752+E754+E755</f>
        <v>165.980305850094</v>
      </c>
      <c r="F758" s="22" t="n">
        <f aca="false">F752+F754+F755</f>
        <v>198.814400547097</v>
      </c>
      <c r="G758" s="22" t="n">
        <f aca="false">G752+G754+G755</f>
        <v>222.430312825878</v>
      </c>
    </row>
    <row r="759" customFormat="false" ht="17.15" hidden="false" customHeight="false" outlineLevel="0" collapsed="false">
      <c r="A759" s="5" t="s">
        <v>667</v>
      </c>
      <c r="B759" s="0" t="s">
        <v>241</v>
      </c>
      <c r="C759" s="22" t="n">
        <f aca="false">C752+C754</f>
        <v>36.858</v>
      </c>
      <c r="D759" s="22" t="n">
        <f aca="false">D752+D754</f>
        <v>74.463</v>
      </c>
      <c r="E759" s="22" t="n">
        <f aca="false">E752+E754</f>
        <v>130.783185850094</v>
      </c>
      <c r="F759" s="22" t="n">
        <f aca="false">F752+F754</f>
        <v>160.801510947097</v>
      </c>
      <c r="G759" s="22" t="n">
        <f aca="false">G752+G754</f>
        <v>181.376392057878</v>
      </c>
      <c r="H759" s="5" t="s">
        <v>668</v>
      </c>
    </row>
    <row r="760" customFormat="false" ht="17.15" hidden="false" customHeight="false" outlineLevel="0" collapsed="false">
      <c r="A760" s="5" t="s">
        <v>669</v>
      </c>
      <c r="B760" s="0" t="s">
        <v>241</v>
      </c>
      <c r="C760" s="17" t="n">
        <f aca="false">C759+C755-C757</f>
        <v>0</v>
      </c>
      <c r="D760" s="17" t="n">
        <f aca="false">D759+D755-D757</f>
        <v>0</v>
      </c>
      <c r="E760" s="17" t="n">
        <f aca="false">E759+E755-E757</f>
        <v>0</v>
      </c>
      <c r="F760" s="17" t="n">
        <f aca="false">F759+F755-F757</f>
        <v>0</v>
      </c>
      <c r="G760" s="17" t="n">
        <f aca="false">G759+G755-G757</f>
        <v>0</v>
      </c>
    </row>
    <row r="761" customFormat="false" ht="15" hidden="false" customHeight="false" outlineLevel="0" collapsed="false">
      <c r="A761" s="5" t="s">
        <v>670</v>
      </c>
      <c r="B761" s="0" t="s">
        <v>46</v>
      </c>
      <c r="D761" s="16" t="n">
        <f aca="false">D757/C757-1</f>
        <v>0.657442046112668</v>
      </c>
      <c r="E761" s="16" t="n">
        <f aca="false">E757/D757-1</f>
        <v>0.567493373722427</v>
      </c>
      <c r="F761" s="16" t="n">
        <f aca="false">F757/E757-1</f>
        <v>0.197819220351705</v>
      </c>
      <c r="G761" s="16" t="n">
        <f aca="false">G757/F757-1</f>
        <v>0.118783710907231</v>
      </c>
    </row>
    <row r="762" customFormat="false" ht="17.15" hidden="false" customHeight="false" outlineLevel="0" collapsed="false">
      <c r="A762" s="0" t="s">
        <v>671</v>
      </c>
      <c r="B762" s="0" t="s">
        <v>46</v>
      </c>
      <c r="C762" s="16" t="n">
        <f aca="false">C752/C757</f>
        <v>0.317431093645347</v>
      </c>
      <c r="D762" s="16" t="n">
        <f aca="false">D752/D757</f>
        <v>0.543965851032685</v>
      </c>
      <c r="E762" s="16" t="n">
        <f aca="false">E752/E757</f>
        <v>0.683299716006818</v>
      </c>
      <c r="F762" s="16" t="n">
        <f aca="false">F752/F757</f>
        <v>0.718818927873602</v>
      </c>
      <c r="G762" s="16" t="n">
        <f aca="false">G752/G757</f>
        <v>0.732587814073874</v>
      </c>
    </row>
    <row r="763" customFormat="false" ht="17.15" hidden="false" customHeight="false" outlineLevel="0" collapsed="false">
      <c r="A763" s="5" t="s">
        <v>672</v>
      </c>
      <c r="B763" s="0" t="s">
        <v>241</v>
      </c>
      <c r="D763" s="22" t="n">
        <f aca="false">gm_net*D751+gm_nai*D754+gm_sw*D755+m_hbm*D745</f>
        <v>53.5556843200462</v>
      </c>
      <c r="E763" s="22" t="n">
        <f aca="false">gm_net*E751+gm_nai*E754+gm_sw*E755+m_hbm*E745</f>
        <v>68.4870553907792</v>
      </c>
      <c r="F763" s="22" t="n">
        <f aca="false">gm_net*F751+gm_nai*F754+gm_sw*F755+m_hbm*F745</f>
        <v>77.0138330708633</v>
      </c>
      <c r="G763" s="22" t="n">
        <f aca="false">gm_net*G751+gm_nai*G754+gm_sw*G755+m_hbm*G745</f>
        <v>85.1955456050523</v>
      </c>
    </row>
    <row r="764" customFormat="false" ht="17.15" hidden="false" customHeight="false" outlineLevel="0" collapsed="false">
      <c r="A764" s="0" t="s">
        <v>673</v>
      </c>
      <c r="B764" s="0" t="s">
        <v>131</v>
      </c>
      <c r="D764" s="17" t="n">
        <f aca="false">(a26_gp-D763)/D746</f>
        <v>0.787550884757324</v>
      </c>
      <c r="H764" s="8" t="s">
        <v>674</v>
      </c>
    </row>
    <row r="765" customFormat="false" ht="15" hidden="false" customHeight="false" outlineLevel="0" collapsed="false">
      <c r="A765" s="5" t="s">
        <v>675</v>
      </c>
      <c r="B765" s="0" t="s">
        <v>241</v>
      </c>
      <c r="C765" s="22" t="n">
        <f aca="false">a25_gp</f>
        <v>50.245</v>
      </c>
      <c r="D765" s="22" t="n">
        <f aca="false">a26_gp</f>
        <v>79.572</v>
      </c>
      <c r="E765" s="22" t="n">
        <f aca="false">E763+$D$764*E746</f>
        <v>112.152937341875</v>
      </c>
      <c r="F765" s="22" t="n">
        <f aca="false">F763+$D$764*F746</f>
        <v>128.051876909807</v>
      </c>
      <c r="G765" s="22" t="n">
        <f aca="false">G763+$D$764*G746</f>
        <v>143.889296019837</v>
      </c>
    </row>
    <row r="766" customFormat="false" ht="15" hidden="false" customHeight="false" outlineLevel="0" collapsed="false">
      <c r="A766" s="5" t="s">
        <v>533</v>
      </c>
      <c r="B766" s="0" t="s">
        <v>46</v>
      </c>
      <c r="C766" s="16" t="n">
        <f aca="false">C765/C757</f>
        <v>0.786466730320723</v>
      </c>
      <c r="D766" s="16" t="n">
        <f aca="false">D765/D757</f>
        <v>0.751466157957862</v>
      </c>
      <c r="E766" s="16" t="n">
        <f aca="false">E765/E757</f>
        <v>0.675700269182339</v>
      </c>
      <c r="F766" s="16" t="n">
        <f aca="false">F765/F757</f>
        <v>0.644077474053358</v>
      </c>
      <c r="G766" s="16" t="n">
        <f aca="false">G765/G757</f>
        <v>0.646896073614195</v>
      </c>
    </row>
    <row r="767" customFormat="false" ht="17.15" hidden="false" customHeight="false" outlineLevel="0" collapsed="false">
      <c r="A767" s="5" t="s">
        <v>676</v>
      </c>
      <c r="B767" s="0" t="s">
        <v>46</v>
      </c>
      <c r="D767" s="16" t="n">
        <f aca="false">D745/D757</f>
        <v>0.0657815561622258</v>
      </c>
      <c r="E767" s="16" t="n">
        <f aca="false">E745/E757</f>
        <v>0.167857313822265</v>
      </c>
      <c r="F767" s="16" t="n">
        <f aca="false">F745/F757</f>
        <v>0.212571460027088</v>
      </c>
      <c r="G767" s="16" t="n">
        <f aca="false">G745/G757</f>
        <v>0.207577494930877</v>
      </c>
    </row>
    <row r="768" customFormat="false" ht="15" hidden="false" customHeight="false" outlineLevel="0" collapsed="false">
      <c r="A768" s="5" t="s">
        <v>677</v>
      </c>
      <c r="B768" s="0" t="s">
        <v>241</v>
      </c>
      <c r="C768" s="24" t="n">
        <f aca="false">a25_opx</f>
        <v>8.248</v>
      </c>
      <c r="D768" s="24" t="n">
        <f aca="false">a26_opx</f>
        <v>8.755</v>
      </c>
      <c r="E768" s="24" t="n">
        <f aca="false">D768*(1+MAX(g_opx_min,phi*E761))</f>
        <v>9.25184044869398</v>
      </c>
      <c r="F768" s="24" t="n">
        <f aca="false">E768*(1+MAX(g_opx_min,phi*F761))</f>
        <v>9.5293956621548</v>
      </c>
      <c r="G768" s="24" t="n">
        <f aca="false">F768*(1+MAX(g_opx_min,phi*G761))</f>
        <v>9.81527753201945</v>
      </c>
    </row>
    <row r="769" customFormat="false" ht="15" hidden="false" customHeight="false" outlineLevel="0" collapsed="false">
      <c r="A769" s="5" t="s">
        <v>678</v>
      </c>
      <c r="B769" s="0" t="s">
        <v>241</v>
      </c>
      <c r="C769" s="24" t="n">
        <f aca="false">C768</f>
        <v>8.248</v>
      </c>
      <c r="D769" s="24" t="n">
        <f aca="false">D768</f>
        <v>8.755</v>
      </c>
      <c r="E769" s="24" t="n">
        <f aca="false">E768+0*E757</f>
        <v>9.25184044869398</v>
      </c>
      <c r="F769" s="24" t="n">
        <f aca="false">F768+0*F757</f>
        <v>9.5293956621548</v>
      </c>
      <c r="G769" s="24" t="n">
        <f aca="false">G768+0*G757</f>
        <v>9.81527753201945</v>
      </c>
    </row>
    <row r="770" customFormat="false" ht="15" hidden="false" customHeight="false" outlineLevel="0" collapsed="false">
      <c r="A770" s="5" t="s">
        <v>679</v>
      </c>
      <c r="B770" s="0" t="s">
        <v>241</v>
      </c>
      <c r="C770" s="22" t="n">
        <f aca="false">C765-C769</f>
        <v>41.997</v>
      </c>
      <c r="D770" s="22" t="n">
        <f aca="false">D765-D769</f>
        <v>70.817</v>
      </c>
      <c r="E770" s="22" t="n">
        <f aca="false">E765-E769</f>
        <v>102.901096893181</v>
      </c>
      <c r="F770" s="22" t="n">
        <f aca="false">F765-F769</f>
        <v>118.522481247652</v>
      </c>
      <c r="G770" s="22" t="n">
        <f aca="false">G765-G769</f>
        <v>134.074018487818</v>
      </c>
    </row>
    <row r="771" customFormat="false" ht="15" hidden="false" customHeight="false" outlineLevel="0" collapsed="false">
      <c r="A771" s="5" t="s">
        <v>538</v>
      </c>
      <c r="B771" s="0" t="s">
        <v>46</v>
      </c>
      <c r="C771" s="16" t="n">
        <f aca="false">C770/C757</f>
        <v>0.657363782929235</v>
      </c>
      <c r="D771" s="16" t="n">
        <f aca="false">D770/D757</f>
        <v>0.66878523737121</v>
      </c>
      <c r="E771" s="16" t="n">
        <f aca="false">E770/E757</f>
        <v>0.619959677542209</v>
      </c>
      <c r="F771" s="16" t="n">
        <f aca="false">F770/F757</f>
        <v>0.59614636023096</v>
      </c>
      <c r="G771" s="16" t="n">
        <f aca="false">G770/G757</f>
        <v>0.602768645983847</v>
      </c>
    </row>
    <row r="772" customFormat="false" ht="15" hidden="false" customHeight="false" outlineLevel="0" collapsed="false">
      <c r="A772" s="5" t="s">
        <v>680</v>
      </c>
      <c r="B772" s="0" t="s">
        <v>241</v>
      </c>
      <c r="C772" s="19" t="n">
        <f aca="false">a25_int</f>
        <v>3.072</v>
      </c>
      <c r="D772" s="19" t="n">
        <f aca="false">a26_int</f>
        <v>2.894</v>
      </c>
      <c r="E772" s="19" t="n">
        <f aca="false">int_f</f>
        <v>2.8</v>
      </c>
      <c r="F772" s="19" t="n">
        <f aca="false">int_f</f>
        <v>2.8</v>
      </c>
      <c r="G772" s="19" t="n">
        <f aca="false">int_f</f>
        <v>2.8</v>
      </c>
    </row>
    <row r="773" customFormat="false" ht="15" hidden="false" customHeight="false" outlineLevel="0" collapsed="false">
      <c r="A773" s="5" t="s">
        <v>681</v>
      </c>
      <c r="B773" s="0" t="s">
        <v>241</v>
      </c>
      <c r="C773" s="19" t="n">
        <f aca="false">a25_oth</f>
        <v>0.294</v>
      </c>
      <c r="D773" s="19" t="n">
        <f aca="false">a26_oth</f>
        <v>0.434</v>
      </c>
      <c r="E773" s="19" t="n">
        <f aca="false">oth_f</f>
        <v>0.4</v>
      </c>
      <c r="F773" s="19" t="n">
        <f aca="false">oth_f</f>
        <v>0.4</v>
      </c>
      <c r="G773" s="19" t="n">
        <f aca="false">oth_f</f>
        <v>0.4</v>
      </c>
    </row>
    <row r="774" customFormat="false" ht="15" hidden="false" customHeight="false" outlineLevel="0" collapsed="false">
      <c r="A774" s="5" t="s">
        <v>543</v>
      </c>
      <c r="B774" s="0" t="s">
        <v>46</v>
      </c>
      <c r="C774" s="16" t="n">
        <f aca="false">a25_tax/(a25_oi-a25_int+a25_oth)</f>
        <v>0.140008669267447</v>
      </c>
      <c r="D774" s="16" t="n">
        <f aca="false">a26_tax/(a26_oi-a26_int+a26_oth)</f>
        <v>0.159996489020876</v>
      </c>
      <c r="E774" s="16" t="n">
        <f aca="false">tx_f</f>
        <v>0.16</v>
      </c>
      <c r="F774" s="16" t="n">
        <f aca="false">tx_f</f>
        <v>0.16</v>
      </c>
      <c r="G774" s="16" t="n">
        <f aca="false">tx_f</f>
        <v>0.16</v>
      </c>
    </row>
    <row r="775" customFormat="false" ht="17.15" hidden="false" customHeight="false" outlineLevel="0" collapsed="false">
      <c r="A775" s="5" t="s">
        <v>630</v>
      </c>
      <c r="B775" s="0" t="s">
        <v>241</v>
      </c>
      <c r="C775" s="22" t="n">
        <f aca="false">a25_ni</f>
        <v>33.728</v>
      </c>
      <c r="D775" s="22" t="n">
        <f aca="false">a26_ni</f>
        <v>57.42012</v>
      </c>
      <c r="E775" s="22" t="n">
        <f aca="false">(E770-E772+E773)*(1-E774)</f>
        <v>84.4209213902724</v>
      </c>
      <c r="F775" s="22" t="n">
        <f aca="false">(F770-F772+F773)*(1-F774)</f>
        <v>97.5428842480278</v>
      </c>
      <c r="G775" s="22" t="n">
        <f aca="false">(G770-G772+G773)*(1-G774)</f>
        <v>110.606175529767</v>
      </c>
    </row>
    <row r="776" customFormat="false" ht="15" hidden="false" customHeight="false" outlineLevel="0" collapsed="false">
      <c r="A776" s="5" t="s">
        <v>682</v>
      </c>
      <c r="B776" s="5" t="s">
        <v>304</v>
      </c>
      <c r="C776" s="17" t="n">
        <f aca="false">a25_sh</f>
        <v>4.943</v>
      </c>
      <c r="D776" s="17" t="n">
        <f aca="false">a26_sh</f>
        <v>4.9435</v>
      </c>
      <c r="E776" s="17" t="n">
        <f aca="false">D776*(1+sh_g)</f>
        <v>4.9187825</v>
      </c>
      <c r="F776" s="17" t="n">
        <f aca="false">E776*(1+sh_g)</f>
        <v>4.8941885875</v>
      </c>
      <c r="G776" s="17" t="n">
        <f aca="false">F776*(1+sh_g)</f>
        <v>4.8697176445625</v>
      </c>
    </row>
    <row r="777" customFormat="false" ht="17.15" hidden="false" customHeight="false" outlineLevel="0" collapsed="false">
      <c r="A777" s="0" t="s">
        <v>631</v>
      </c>
      <c r="B777" s="0" t="s">
        <v>354</v>
      </c>
      <c r="C777" s="19" t="n">
        <f aca="false">C775/C776</f>
        <v>6.82338660732349</v>
      </c>
      <c r="D777" s="19" t="n">
        <f aca="false">D775/D776</f>
        <v>11.6152766258724</v>
      </c>
      <c r="E777" s="19" t="n">
        <f aca="false">E775/E776</f>
        <v>17.1629709974516</v>
      </c>
      <c r="F777" s="19" t="n">
        <f aca="false">F775/F776</f>
        <v>19.9303485152078</v>
      </c>
      <c r="G777" s="19" t="n">
        <f aca="false">G775/G776</f>
        <v>22.7130572248412</v>
      </c>
    </row>
    <row r="778" customFormat="false" ht="17.15" hidden="false" customHeight="false" outlineLevel="0" collapsed="false">
      <c r="A778" s="0" t="s">
        <v>683</v>
      </c>
      <c r="B778" s="0" t="s">
        <v>46</v>
      </c>
      <c r="D778" s="16" t="n">
        <f aca="false">D777/C777-1</f>
        <v>0.702274441463682</v>
      </c>
      <c r="E778" s="16" t="n">
        <f aca="false">E777/D777-1</f>
        <v>0.477620512215961</v>
      </c>
      <c r="F778" s="16" t="n">
        <f aca="false">F777/E777-1</f>
        <v>0.161241169618428</v>
      </c>
      <c r="G778" s="16" t="n">
        <f aca="false">G777/F777-1</f>
        <v>0.139621678341954</v>
      </c>
    </row>
    <row r="781" customFormat="false" ht="17.15" hidden="false" customHeight="false" outlineLevel="0" collapsed="false">
      <c r="A781" s="3" t="s">
        <v>1065</v>
      </c>
    </row>
    <row r="782" customFormat="false" ht="17.15" hidden="false" customHeight="false" outlineLevel="0" collapsed="false">
      <c r="A782" s="6" t="s">
        <v>24</v>
      </c>
      <c r="B782" s="6" t="s">
        <v>25</v>
      </c>
      <c r="C782" s="13" t="s">
        <v>507</v>
      </c>
      <c r="D782" s="13" t="s">
        <v>621</v>
      </c>
      <c r="E782" s="13" t="s">
        <v>622</v>
      </c>
      <c r="F782" s="13" t="s">
        <v>623</v>
      </c>
      <c r="G782" s="13" t="s">
        <v>624</v>
      </c>
      <c r="H782" s="6" t="s">
        <v>480</v>
      </c>
    </row>
    <row r="783" customFormat="false" ht="17.15" hidden="false" customHeight="false" outlineLevel="0" collapsed="false">
      <c r="A783" s="1" t="s">
        <v>639</v>
      </c>
    </row>
    <row r="784" customFormat="false" ht="17.15" hidden="false" customHeight="false" outlineLevel="0" collapsed="false">
      <c r="A784" s="0" t="s">
        <v>640</v>
      </c>
      <c r="B784" s="5" t="s">
        <v>35</v>
      </c>
      <c r="D784" s="19" t="n">
        <f aca="false">u_tpu_26</f>
        <v>3.85</v>
      </c>
      <c r="E784" s="19" t="n">
        <f aca="false">u_tpu_27</f>
        <v>5.5</v>
      </c>
      <c r="F784" s="19" t="n">
        <f aca="false">u_tpu_28*um28_A</f>
        <v>7</v>
      </c>
      <c r="G784" s="19" t="n">
        <f aca="false">u_tpu_28*(1+g29_tpu)*um29_A</f>
        <v>8.05</v>
      </c>
    </row>
    <row r="785" customFormat="false" ht="17.15" hidden="false" customHeight="false" outlineLevel="0" collapsed="false">
      <c r="A785" s="5" t="s">
        <v>641</v>
      </c>
      <c r="B785" s="5" t="s">
        <v>35</v>
      </c>
      <c r="D785" s="19" t="n">
        <f aca="false">u_oth_26</f>
        <v>1</v>
      </c>
      <c r="E785" s="19" t="n">
        <f aca="false">u_oth_27</f>
        <v>4.5</v>
      </c>
      <c r="F785" s="19" t="n">
        <f aca="false">u_oth_28*um28_A</f>
        <v>5</v>
      </c>
      <c r="G785" s="19" t="n">
        <f aca="false">u_oth_28*(1+g29_oth)*um29_A</f>
        <v>5.75</v>
      </c>
    </row>
    <row r="786" customFormat="false" ht="17.15" hidden="false" customHeight="false" outlineLevel="0" collapsed="false">
      <c r="A786" s="0" t="s">
        <v>566</v>
      </c>
      <c r="B786" s="0" t="s">
        <v>46</v>
      </c>
      <c r="D786" s="16" t="n">
        <f aca="false">sh_tpu_26</f>
        <v>0.9</v>
      </c>
      <c r="E786" s="16" t="n">
        <f aca="false">MIN(1,MAX(0,sh_tpu_27+0))</f>
        <v>0.8</v>
      </c>
      <c r="F786" s="16" t="n">
        <f aca="false">MIN(1,MAX(0,sh_tpu_28+0))</f>
        <v>0.75</v>
      </c>
      <c r="G786" s="16" t="n">
        <f aca="false">MIN(1,MAX(0,sh_tpu_28+0))</f>
        <v>0.75</v>
      </c>
    </row>
    <row r="787" customFormat="false" ht="17.15" hidden="false" customHeight="false" outlineLevel="0" collapsed="false">
      <c r="A787" s="0" t="s">
        <v>578</v>
      </c>
      <c r="B787" s="0" t="s">
        <v>46</v>
      </c>
      <c r="D787" s="16" t="n">
        <f aca="false">sh_oth_26</f>
        <v>0.35</v>
      </c>
      <c r="E787" s="16" t="n">
        <f aca="false">MIN(1,MAX(0,sh_oth_27+0))</f>
        <v>0.55</v>
      </c>
      <c r="F787" s="16" t="n">
        <f aca="false">MIN(1,MAX(0,sh_oth_28+0))</f>
        <v>0.55</v>
      </c>
      <c r="G787" s="16" t="n">
        <f aca="false">MIN(1,MAX(0,sh_oth_28+0))</f>
        <v>0.55</v>
      </c>
    </row>
    <row r="788" customFormat="false" ht="17.15" hidden="false" customHeight="false" outlineLevel="0" collapsed="false">
      <c r="A788" s="0" t="s">
        <v>568</v>
      </c>
      <c r="B788" s="5" t="s">
        <v>35</v>
      </c>
      <c r="D788" s="19" t="n">
        <f aca="false">D784*D786</f>
        <v>3.465</v>
      </c>
      <c r="E788" s="19" t="n">
        <f aca="false">E784*E786*1</f>
        <v>4.4</v>
      </c>
      <c r="F788" s="19" t="n">
        <f aca="false">F784*F786*1</f>
        <v>5.25</v>
      </c>
      <c r="G788" s="19" t="n">
        <f aca="false">G784*G786*1</f>
        <v>6.0375</v>
      </c>
    </row>
    <row r="789" customFormat="false" ht="17.15" hidden="false" customHeight="false" outlineLevel="0" collapsed="false">
      <c r="A789" s="0" t="s">
        <v>579</v>
      </c>
      <c r="B789" s="5" t="s">
        <v>35</v>
      </c>
      <c r="D789" s="19" t="n">
        <f aca="false">D785*D787</f>
        <v>0.35</v>
      </c>
      <c r="E789" s="19" t="n">
        <f aca="false">E785*E787*1</f>
        <v>2.475</v>
      </c>
      <c r="F789" s="19" t="n">
        <f aca="false">F785*F787*1</f>
        <v>2.75</v>
      </c>
      <c r="G789" s="19" t="n">
        <f aca="false">G785*G787*1</f>
        <v>3.1625</v>
      </c>
    </row>
    <row r="790" customFormat="false" ht="17.15" hidden="false" customHeight="false" outlineLevel="0" collapsed="false">
      <c r="A790" s="5" t="s">
        <v>570</v>
      </c>
      <c r="B790" s="0" t="s">
        <v>151</v>
      </c>
      <c r="D790" s="20" t="n">
        <f aca="false">gb_tpu_26</f>
        <v>192</v>
      </c>
      <c r="E790" s="20" t="n">
        <f aca="false">gb_tpu_27</f>
        <v>250</v>
      </c>
      <c r="F790" s="20" t="n">
        <f aca="false">gb_tpu_28</f>
        <v>288</v>
      </c>
      <c r="G790" s="20" t="n">
        <f aca="false">gb_tpu_28</f>
        <v>288</v>
      </c>
    </row>
    <row r="791" customFormat="false" ht="17.15" hidden="false" customHeight="false" outlineLevel="0" collapsed="false">
      <c r="A791" s="5" t="s">
        <v>580</v>
      </c>
      <c r="B791" s="0" t="s">
        <v>151</v>
      </c>
      <c r="D791" s="20" t="n">
        <f aca="false">gb_oth_26</f>
        <v>150</v>
      </c>
      <c r="E791" s="20" t="n">
        <f aca="false">gb_oth_27</f>
        <v>200</v>
      </c>
      <c r="F791" s="20" t="n">
        <f aca="false">gb_oth_28</f>
        <v>250</v>
      </c>
      <c r="G791" s="20" t="n">
        <f aca="false">gb_oth_28</f>
        <v>250</v>
      </c>
    </row>
    <row r="792" customFormat="false" ht="17.15" hidden="false" customHeight="false" outlineLevel="0" collapsed="false">
      <c r="A792" s="0" t="s">
        <v>642</v>
      </c>
      <c r="B792" s="0" t="s">
        <v>210</v>
      </c>
      <c r="D792" s="19" t="n">
        <f aca="false">hbm_A_26</f>
        <v>14.6</v>
      </c>
      <c r="E792" s="19" t="n">
        <f aca="false">hbm_A_27</f>
        <v>26.28</v>
      </c>
      <c r="F792" s="19" t="n">
        <f aca="false">hbm_A_28</f>
        <v>28.908</v>
      </c>
      <c r="G792" s="19" t="n">
        <f aca="false">hbm_A_29</f>
        <v>27.4626</v>
      </c>
    </row>
    <row r="793" customFormat="false" ht="17.15" hidden="false" customHeight="false" outlineLevel="0" collapsed="false">
      <c r="A793" s="5" t="s">
        <v>643</v>
      </c>
      <c r="B793" s="0" t="s">
        <v>188</v>
      </c>
      <c r="D793" s="19" t="n">
        <f aca="false">core_tpu</f>
        <v>8</v>
      </c>
      <c r="E793" s="19" t="n">
        <f aca="false">core_tpu*1</f>
        <v>8</v>
      </c>
      <c r="F793" s="19" t="n">
        <f aca="false">core_tpu*1</f>
        <v>8</v>
      </c>
      <c r="G793" s="19" t="n">
        <f aca="false">core_tpu*1</f>
        <v>8</v>
      </c>
    </row>
    <row r="794" customFormat="false" ht="17.15" hidden="false" customHeight="false" outlineLevel="0" collapsed="false">
      <c r="A794" s="5" t="s">
        <v>644</v>
      </c>
      <c r="B794" s="0" t="s">
        <v>188</v>
      </c>
      <c r="D794" s="19" t="n">
        <f aca="false">core_oth</f>
        <v>6</v>
      </c>
      <c r="E794" s="19" t="n">
        <f aca="false">core_oth*1</f>
        <v>6</v>
      </c>
      <c r="F794" s="19" t="n">
        <f aca="false">core_oth*1</f>
        <v>6</v>
      </c>
      <c r="G794" s="19" t="n">
        <f aca="false">core_oth*1</f>
        <v>6</v>
      </c>
    </row>
    <row r="795" customFormat="false" ht="17.15" hidden="false" customHeight="false" outlineLevel="0" collapsed="false">
      <c r="A795" s="5" t="s">
        <v>645</v>
      </c>
      <c r="B795" s="0" t="s">
        <v>188</v>
      </c>
      <c r="D795" s="19" t="n">
        <f aca="false">D790*D792/1000</f>
        <v>2.8032</v>
      </c>
      <c r="E795" s="19" t="n">
        <f aca="false">E790*E792/1000</f>
        <v>6.57</v>
      </c>
      <c r="F795" s="19" t="n">
        <f aca="false">F790*F792/1000</f>
        <v>8.325504</v>
      </c>
      <c r="G795" s="19" t="n">
        <f aca="false">G790*G792/1000</f>
        <v>7.9092288</v>
      </c>
    </row>
    <row r="796" customFormat="false" ht="17.15" hidden="false" customHeight="false" outlineLevel="0" collapsed="false">
      <c r="A796" s="5" t="s">
        <v>646</v>
      </c>
      <c r="B796" s="0" t="s">
        <v>188</v>
      </c>
      <c r="D796" s="19" t="n">
        <f aca="false">D791*D792/1000</f>
        <v>2.19</v>
      </c>
      <c r="E796" s="19" t="n">
        <f aca="false">E791*E792/1000</f>
        <v>5.256</v>
      </c>
      <c r="F796" s="19" t="n">
        <f aca="false">F791*F792/1000</f>
        <v>7.227</v>
      </c>
      <c r="G796" s="19" t="n">
        <f aca="false">G791*G792/1000</f>
        <v>6.86565</v>
      </c>
    </row>
    <row r="797" customFormat="false" ht="17.15" hidden="false" customHeight="false" outlineLevel="0" collapsed="false">
      <c r="A797" s="5" t="s">
        <v>647</v>
      </c>
      <c r="B797" s="0" t="s">
        <v>188</v>
      </c>
      <c r="D797" s="19" t="n">
        <f aca="false">D793+f_hbm*D795</f>
        <v>9.68192</v>
      </c>
      <c r="E797" s="19" t="n">
        <f aca="false">E793+f_hbm*E795</f>
        <v>11.942</v>
      </c>
      <c r="F797" s="19" t="n">
        <f aca="false">F793+f_hbm*F795</f>
        <v>12.9953024</v>
      </c>
      <c r="G797" s="19" t="n">
        <f aca="false">G793+f_hbm*G795</f>
        <v>12.74553728</v>
      </c>
      <c r="H797" s="5" t="s">
        <v>648</v>
      </c>
    </row>
    <row r="798" customFormat="false" ht="17.15" hidden="false" customHeight="false" outlineLevel="0" collapsed="false">
      <c r="A798" s="5" t="s">
        <v>649</v>
      </c>
      <c r="B798" s="0" t="s">
        <v>188</v>
      </c>
      <c r="D798" s="19" t="n">
        <f aca="false">D794+f_hbm*D796</f>
        <v>7.314</v>
      </c>
      <c r="E798" s="19" t="n">
        <f aca="false">E794+f_hbm*E796</f>
        <v>9.1536</v>
      </c>
      <c r="F798" s="19" t="n">
        <f aca="false">F794+f_hbm*F796</f>
        <v>10.3362</v>
      </c>
      <c r="G798" s="19" t="n">
        <f aca="false">G794+f_hbm*G796</f>
        <v>10.11939</v>
      </c>
    </row>
    <row r="799" customFormat="false" ht="17.15" hidden="false" customHeight="false" outlineLevel="0" collapsed="false">
      <c r="A799" s="0" t="s">
        <v>650</v>
      </c>
      <c r="B799" s="0" t="s">
        <v>241</v>
      </c>
      <c r="D799" s="22" t="n">
        <f aca="false">D788*D797+D789*D798</f>
        <v>36.1077528</v>
      </c>
      <c r="E799" s="22" t="n">
        <f aca="false">E788*E797+E789*E798</f>
        <v>75.19996</v>
      </c>
      <c r="F799" s="22" t="n">
        <f aca="false">F788*F797+F789*F798</f>
        <v>96.6498876</v>
      </c>
      <c r="G799" s="22" t="n">
        <f aca="false">G788*G797+G789*G798</f>
        <v>108.953752203</v>
      </c>
    </row>
    <row r="800" customFormat="false" ht="17.15" hidden="false" customHeight="false" outlineLevel="0" collapsed="false">
      <c r="A800" s="0" t="s">
        <v>651</v>
      </c>
      <c r="B800" s="0" t="s">
        <v>131</v>
      </c>
      <c r="D800" s="17" t="n">
        <f aca="false">a26_xpu/D799</f>
        <v>1.10779533197646</v>
      </c>
      <c r="H800" s="8" t="s">
        <v>652</v>
      </c>
    </row>
    <row r="801" customFormat="false" ht="17.15" hidden="false" customHeight="false" outlineLevel="0" collapsed="false">
      <c r="A801" s="0" t="s">
        <v>653</v>
      </c>
      <c r="B801" s="0" t="s">
        <v>241</v>
      </c>
      <c r="D801" s="22" t="n">
        <f aca="false">D799*$D$800</f>
        <v>40</v>
      </c>
      <c r="E801" s="22" t="n">
        <f aca="false">E799*$D$800</f>
        <v>83.3061646528166</v>
      </c>
      <c r="F801" s="22" t="n">
        <f aca="false">F799*$D$800</f>
        <v>107.06829431933</v>
      </c>
      <c r="G801" s="22" t="n">
        <f aca="false">G799*$D$800</f>
        <v>120.698458091803</v>
      </c>
    </row>
    <row r="802" customFormat="false" ht="17.15" hidden="false" customHeight="false" outlineLevel="0" collapsed="false">
      <c r="A802" s="5" t="s">
        <v>654</v>
      </c>
      <c r="B802" s="0" t="s">
        <v>241</v>
      </c>
      <c r="D802" s="22" t="n">
        <f aca="false">$D$800*f_hbm*(D788*D795+D789*D796)</f>
        <v>6.96554320046192</v>
      </c>
      <c r="E802" s="22" t="n">
        <f aca="false">$D$800*f_hbm*(E788*E795+E789*E796)</f>
        <v>27.8610082873947</v>
      </c>
      <c r="F802" s="22" t="n">
        <f aca="false">$D$800*f_hbm*(F788*F795+F789*F796)</f>
        <v>42.2622673987067</v>
      </c>
      <c r="G802" s="22" t="n">
        <f aca="false">$D$800*f_hbm*(G788*G795+G789*G796)</f>
        <v>46.171527133087</v>
      </c>
    </row>
    <row r="803" customFormat="false" ht="15" hidden="false" customHeight="false" outlineLevel="0" collapsed="false">
      <c r="A803" s="5" t="s">
        <v>655</v>
      </c>
      <c r="B803" s="0" t="s">
        <v>241</v>
      </c>
      <c r="D803" s="22" t="n">
        <f aca="false">D801-D802</f>
        <v>33.0344567995381</v>
      </c>
      <c r="E803" s="22" t="n">
        <f aca="false">E801-E802</f>
        <v>55.4451563654219</v>
      </c>
      <c r="F803" s="22" t="n">
        <f aca="false">F801-F802</f>
        <v>64.806026920623</v>
      </c>
      <c r="G803" s="22" t="n">
        <f aca="false">G801-G802</f>
        <v>74.5269309587164</v>
      </c>
    </row>
    <row r="804" customFormat="false" ht="17.15" hidden="false" customHeight="false" outlineLevel="0" collapsed="false">
      <c r="A804" s="0" t="s">
        <v>656</v>
      </c>
      <c r="B804" s="5" t="s">
        <v>35</v>
      </c>
      <c r="D804" s="19" t="n">
        <f aca="false">D788+D789</f>
        <v>3.815</v>
      </c>
      <c r="E804" s="19" t="n">
        <f aca="false">E788+E789</f>
        <v>6.875</v>
      </c>
      <c r="F804" s="19" t="n">
        <f aca="false">F788+F789</f>
        <v>8</v>
      </c>
      <c r="G804" s="19" t="n">
        <f aca="false">G788+G789</f>
        <v>9.2</v>
      </c>
    </row>
    <row r="805" customFormat="false" ht="17.15" hidden="false" customHeight="false" outlineLevel="0" collapsed="false">
      <c r="A805" s="1" t="s">
        <v>657</v>
      </c>
    </row>
    <row r="806" customFormat="false" ht="17.15" hidden="false" customHeight="false" outlineLevel="0" collapsed="false">
      <c r="A806" s="0" t="s">
        <v>658</v>
      </c>
      <c r="B806" s="0" t="s">
        <v>241</v>
      </c>
      <c r="D806" s="22" t="n">
        <f aca="false">net_26*1</f>
        <v>12.6075726</v>
      </c>
      <c r="E806" s="22" t="n">
        <f aca="false">net_27*1*1.2</f>
        <v>32.3514588</v>
      </c>
      <c r="F806" s="22" t="n">
        <f aca="false">net_28*um28_A*1.2</f>
        <v>38.5139064</v>
      </c>
      <c r="G806" s="22" t="n">
        <f aca="false">net_29*um29_A*1.2</f>
        <v>45.39938028</v>
      </c>
    </row>
    <row r="807" customFormat="false" ht="17.15" hidden="false" customHeight="false" outlineLevel="0" collapsed="false">
      <c r="A807" s="5" t="s">
        <v>659</v>
      </c>
      <c r="B807" s="0" t="s">
        <v>131</v>
      </c>
      <c r="D807" s="17" t="n">
        <f aca="false">a26_net/D806</f>
        <v>1.39598640899359</v>
      </c>
      <c r="H807" s="8" t="s">
        <v>660</v>
      </c>
    </row>
    <row r="808" customFormat="false" ht="17.15" hidden="false" customHeight="false" outlineLevel="0" collapsed="false">
      <c r="A808" s="0" t="s">
        <v>661</v>
      </c>
      <c r="B808" s="0" t="s">
        <v>241</v>
      </c>
      <c r="D808" s="22" t="n">
        <f aca="false">D806*$D$807</f>
        <v>17.6</v>
      </c>
      <c r="E808" s="22" t="n">
        <f aca="false">E806*$D$807</f>
        <v>45.1621967959161</v>
      </c>
      <c r="F808" s="22" t="n">
        <f aca="false">F806*$D$807</f>
        <v>53.7648898916513</v>
      </c>
      <c r="G808" s="22" t="n">
        <f aca="false">G806*$D$807</f>
        <v>63.3769178476117</v>
      </c>
    </row>
    <row r="809" customFormat="false" ht="17.15" hidden="false" customHeight="false" outlineLevel="0" collapsed="false">
      <c r="A809" s="0" t="s">
        <v>522</v>
      </c>
      <c r="B809" s="0" t="s">
        <v>241</v>
      </c>
      <c r="C809" s="22" t="n">
        <f aca="false">a25_ai</f>
        <v>20.2797202797203</v>
      </c>
      <c r="D809" s="22" t="n">
        <f aca="false">D801+D808</f>
        <v>57.6</v>
      </c>
      <c r="E809" s="22" t="n">
        <f aca="false">E801+E808</f>
        <v>128.468361448733</v>
      </c>
      <c r="F809" s="22" t="n">
        <f aca="false">F801+F808</f>
        <v>160.833184210981</v>
      </c>
      <c r="G809" s="22" t="n">
        <f aca="false">G801+G808</f>
        <v>184.075375939415</v>
      </c>
    </row>
    <row r="810" customFormat="false" ht="15" hidden="false" customHeight="false" outlineLevel="0" collapsed="false">
      <c r="A810" s="0" t="s">
        <v>662</v>
      </c>
      <c r="B810" s="0" t="s">
        <v>46</v>
      </c>
      <c r="D810" s="16" t="n">
        <f aca="false">D801/D809</f>
        <v>0.694444444444444</v>
      </c>
      <c r="E810" s="16" t="n">
        <f aca="false">E801/E809</f>
        <v>0.648456660561217</v>
      </c>
      <c r="F810" s="16" t="n">
        <f aca="false">F801/F809</f>
        <v>0.665710219222406</v>
      </c>
      <c r="G810" s="16" t="n">
        <f aca="false">G801/G809</f>
        <v>0.655701271698226</v>
      </c>
    </row>
    <row r="811" customFormat="false" ht="17.15" hidden="false" customHeight="false" outlineLevel="0" collapsed="false">
      <c r="A811" s="5" t="s">
        <v>663</v>
      </c>
      <c r="B811" s="0" t="s">
        <v>241</v>
      </c>
      <c r="C811" s="22" t="n">
        <f aca="false">a25_nai</f>
        <v>16.5782797202797</v>
      </c>
      <c r="D811" s="22" t="n">
        <f aca="false">a26_nai</f>
        <v>16.863</v>
      </c>
      <c r="E811" s="22" t="n">
        <f aca="false">D811*(1+g_nai)</f>
        <v>17.36889</v>
      </c>
      <c r="F811" s="22" t="n">
        <f aca="false">E811*(1+g_nai)</f>
        <v>17.8899567</v>
      </c>
      <c r="G811" s="22" t="n">
        <f aca="false">F811*(1+g_nai)</f>
        <v>18.426655401</v>
      </c>
    </row>
    <row r="812" customFormat="false" ht="15" hidden="false" customHeight="false" outlineLevel="0" collapsed="false">
      <c r="A812" s="5" t="s">
        <v>664</v>
      </c>
      <c r="B812" s="0" t="s">
        <v>241</v>
      </c>
      <c r="C812" s="22" t="n">
        <f aca="false">a25_sw</f>
        <v>27.029</v>
      </c>
      <c r="D812" s="22" t="n">
        <f aca="false">a26_sw</f>
        <v>31.426</v>
      </c>
      <c r="E812" s="22" t="n">
        <f aca="false">D812*(1+g_sw27)</f>
        <v>35.19712</v>
      </c>
      <c r="F812" s="22" t="n">
        <f aca="false">E812*(1+g_sw)</f>
        <v>38.0128896</v>
      </c>
      <c r="G812" s="22" t="n">
        <f aca="false">F812*(1+g_sw)</f>
        <v>41.053920768</v>
      </c>
    </row>
    <row r="813" customFormat="false" ht="17.15" hidden="false" customHeight="false" outlineLevel="0" collapsed="false">
      <c r="A813" s="1" t="s">
        <v>665</v>
      </c>
    </row>
    <row r="814" customFormat="false" ht="15" hidden="false" customHeight="false" outlineLevel="0" collapsed="false">
      <c r="A814" s="5" t="s">
        <v>514</v>
      </c>
      <c r="B814" s="0" t="s">
        <v>241</v>
      </c>
      <c r="C814" s="22" t="n">
        <f aca="false">a25_rev</f>
        <v>63.887</v>
      </c>
      <c r="D814" s="22" t="n">
        <f aca="false">a26_rev</f>
        <v>105.889</v>
      </c>
      <c r="E814" s="22" t="n">
        <f aca="false">E809+E811+E812</f>
        <v>181.034371448733</v>
      </c>
      <c r="F814" s="22" t="n">
        <f aca="false">F809+F811+F812</f>
        <v>216.736030510981</v>
      </c>
      <c r="G814" s="22" t="n">
        <f aca="false">G809+G811+G812</f>
        <v>243.555952108415</v>
      </c>
    </row>
    <row r="815" customFormat="false" ht="17.15" hidden="false" customHeight="false" outlineLevel="0" collapsed="false">
      <c r="A815" s="5" t="s">
        <v>666</v>
      </c>
      <c r="B815" s="0" t="s">
        <v>241</v>
      </c>
      <c r="D815" s="22" t="n">
        <f aca="false">D809+D811+D812</f>
        <v>105.889</v>
      </c>
      <c r="E815" s="22" t="n">
        <f aca="false">E809+E811+E812</f>
        <v>181.034371448733</v>
      </c>
      <c r="F815" s="22" t="n">
        <f aca="false">F809+F811+F812</f>
        <v>216.736030510981</v>
      </c>
      <c r="G815" s="22" t="n">
        <f aca="false">G809+G811+G812</f>
        <v>243.555952108415</v>
      </c>
    </row>
    <row r="816" customFormat="false" ht="17.15" hidden="false" customHeight="false" outlineLevel="0" collapsed="false">
      <c r="A816" s="5" t="s">
        <v>667</v>
      </c>
      <c r="B816" s="0" t="s">
        <v>241</v>
      </c>
      <c r="C816" s="22" t="n">
        <f aca="false">C809+C811</f>
        <v>36.858</v>
      </c>
      <c r="D816" s="22" t="n">
        <f aca="false">D809+D811</f>
        <v>74.463</v>
      </c>
      <c r="E816" s="22" t="n">
        <f aca="false">E809+E811</f>
        <v>145.837251448733</v>
      </c>
      <c r="F816" s="22" t="n">
        <f aca="false">F809+F811</f>
        <v>178.723140910981</v>
      </c>
      <c r="G816" s="22" t="n">
        <f aca="false">G809+G811</f>
        <v>202.502031340415</v>
      </c>
      <c r="H816" s="5" t="s">
        <v>668</v>
      </c>
    </row>
    <row r="817" customFormat="false" ht="17.15" hidden="false" customHeight="false" outlineLevel="0" collapsed="false">
      <c r="A817" s="5" t="s">
        <v>669</v>
      </c>
      <c r="B817" s="0" t="s">
        <v>241</v>
      </c>
      <c r="C817" s="17" t="n">
        <f aca="false">C816+C812-C814</f>
        <v>0</v>
      </c>
      <c r="D817" s="17" t="n">
        <f aca="false">D816+D812-D814</f>
        <v>0</v>
      </c>
      <c r="E817" s="17" t="n">
        <f aca="false">E816+E812-E814</f>
        <v>0</v>
      </c>
      <c r="F817" s="17" t="n">
        <f aca="false">F816+F812-F814</f>
        <v>0</v>
      </c>
      <c r="G817" s="17" t="n">
        <f aca="false">G816+G812-G814</f>
        <v>0</v>
      </c>
    </row>
    <row r="818" customFormat="false" ht="15" hidden="false" customHeight="false" outlineLevel="0" collapsed="false">
      <c r="A818" s="5" t="s">
        <v>670</v>
      </c>
      <c r="B818" s="0" t="s">
        <v>46</v>
      </c>
      <c r="D818" s="16" t="n">
        <f aca="false">D814/C814-1</f>
        <v>0.657442046112668</v>
      </c>
      <c r="E818" s="16" t="n">
        <f aca="false">E814/D814-1</f>
        <v>0.709661734918006</v>
      </c>
      <c r="F818" s="16" t="n">
        <f aca="false">F814/E814-1</f>
        <v>0.197209285598888</v>
      </c>
      <c r="G818" s="16" t="n">
        <f aca="false">G814/F814-1</f>
        <v>0.123744637816809</v>
      </c>
    </row>
    <row r="819" customFormat="false" ht="17.15" hidden="false" customHeight="false" outlineLevel="0" collapsed="false">
      <c r="A819" s="0" t="s">
        <v>671</v>
      </c>
      <c r="B819" s="0" t="s">
        <v>46</v>
      </c>
      <c r="C819" s="16" t="n">
        <f aca="false">C809/C814</f>
        <v>0.317431093645347</v>
      </c>
      <c r="D819" s="16" t="n">
        <f aca="false">D809/D814</f>
        <v>0.543965851032685</v>
      </c>
      <c r="E819" s="16" t="n">
        <f aca="false">E809/E814</f>
        <v>0.709635194801192</v>
      </c>
      <c r="F819" s="16" t="n">
        <f aca="false">F809/F814</f>
        <v>0.742069437332582</v>
      </c>
      <c r="G819" s="16" t="n">
        <f aca="false">G809/G814</f>
        <v>0.755782703505751</v>
      </c>
    </row>
    <row r="820" customFormat="false" ht="17.15" hidden="false" customHeight="false" outlineLevel="0" collapsed="false">
      <c r="A820" s="5" t="s">
        <v>672</v>
      </c>
      <c r="B820" s="0" t="s">
        <v>241</v>
      </c>
      <c r="D820" s="22" t="n">
        <f aca="false">gm_net*D808+gm_nai*D811+gm_sw*D812+m_hbm*D802</f>
        <v>53.5556843200462</v>
      </c>
      <c r="E820" s="22" t="n">
        <f aca="false">gm_net*E808+gm_nai*E811+gm_sw*E812+m_hbm*E802</f>
        <v>79.3259826217991</v>
      </c>
      <c r="F820" s="22" t="n">
        <f aca="false">gm_net*F808+gm_nai*F811+gm_sw*F812+m_hbm*F802</f>
        <v>89.9174066448596</v>
      </c>
      <c r="G820" s="22" t="n">
        <f aca="false">gm_net*G808+gm_nai*G811+gm_sw*G812+m_hbm*G802</f>
        <v>100.406005888479</v>
      </c>
    </row>
    <row r="821" customFormat="false" ht="17.15" hidden="false" customHeight="false" outlineLevel="0" collapsed="false">
      <c r="A821" s="0" t="s">
        <v>673</v>
      </c>
      <c r="B821" s="0" t="s">
        <v>131</v>
      </c>
      <c r="D821" s="17" t="n">
        <f aca="false">(a26_gp-D820)/D803</f>
        <v>0.787550884757324</v>
      </c>
      <c r="H821" s="8" t="s">
        <v>674</v>
      </c>
    </row>
    <row r="822" customFormat="false" ht="15" hidden="false" customHeight="false" outlineLevel="0" collapsed="false">
      <c r="A822" s="5" t="s">
        <v>675</v>
      </c>
      <c r="B822" s="0" t="s">
        <v>241</v>
      </c>
      <c r="C822" s="22" t="n">
        <f aca="false">a25_gp</f>
        <v>50.245</v>
      </c>
      <c r="D822" s="22" t="n">
        <f aca="false">a26_gp</f>
        <v>79.572</v>
      </c>
      <c r="E822" s="22" t="n">
        <f aca="false">E820+$D$821*E803</f>
        <v>122.991864572895</v>
      </c>
      <c r="F822" s="22" t="n">
        <f aca="false">F820+$D$821*F803</f>
        <v>140.955450483803</v>
      </c>
      <c r="G822" s="22" t="n">
        <f aca="false">G820+$D$821*G803</f>
        <v>159.099756303264</v>
      </c>
    </row>
    <row r="823" customFormat="false" ht="15" hidden="false" customHeight="false" outlineLevel="0" collapsed="false">
      <c r="A823" s="5" t="s">
        <v>533</v>
      </c>
      <c r="B823" s="0" t="s">
        <v>46</v>
      </c>
      <c r="C823" s="16" t="n">
        <f aca="false">C822/C814</f>
        <v>0.786466730320723</v>
      </c>
      <c r="D823" s="16" t="n">
        <f aca="false">D822/D814</f>
        <v>0.751466157957862</v>
      </c>
      <c r="E823" s="16" t="n">
        <f aca="false">E822/E814</f>
        <v>0.679384050601272</v>
      </c>
      <c r="F823" s="16" t="n">
        <f aca="false">F822/F814</f>
        <v>0.650355412302624</v>
      </c>
      <c r="G823" s="16" t="n">
        <f aca="false">G822/G814</f>
        <v>0.653236986926287</v>
      </c>
    </row>
    <row r="824" customFormat="false" ht="17.15" hidden="false" customHeight="false" outlineLevel="0" collapsed="false">
      <c r="A824" s="5" t="s">
        <v>676</v>
      </c>
      <c r="B824" s="0" t="s">
        <v>46</v>
      </c>
      <c r="D824" s="16" t="n">
        <f aca="false">D802/D814</f>
        <v>0.0657815561622258</v>
      </c>
      <c r="E824" s="16" t="n">
        <f aca="false">E802/E814</f>
        <v>0.153898997546357</v>
      </c>
      <c r="F824" s="16" t="n">
        <f aca="false">F802/F814</f>
        <v>0.194994193162384</v>
      </c>
      <c r="G824" s="16" t="n">
        <f aca="false">G802/G814</f>
        <v>0.189572567343928</v>
      </c>
    </row>
    <row r="825" customFormat="false" ht="15" hidden="false" customHeight="false" outlineLevel="0" collapsed="false">
      <c r="A825" s="5" t="s">
        <v>677</v>
      </c>
      <c r="B825" s="0" t="s">
        <v>241</v>
      </c>
      <c r="C825" s="24" t="n">
        <f aca="false">a25_opx</f>
        <v>8.248</v>
      </c>
      <c r="D825" s="24" t="n">
        <f aca="false">a26_opx</f>
        <v>8.755</v>
      </c>
      <c r="E825" s="24" t="n">
        <f aca="false">D825*(1+MAX(g_opx_min,phi*E818))</f>
        <v>9.37630884892071</v>
      </c>
      <c r="F825" s="24" t="n">
        <f aca="false">E825*(1+MAX(g_opx_min,phi*F818))</f>
        <v>9.65759811438833</v>
      </c>
      <c r="G825" s="24" t="n">
        <f aca="false">F825*(1+MAX(g_opx_min,phi*G818))</f>
        <v>9.94732605781998</v>
      </c>
    </row>
    <row r="826" customFormat="false" ht="15" hidden="false" customHeight="false" outlineLevel="0" collapsed="false">
      <c r="A826" s="5" t="s">
        <v>678</v>
      </c>
      <c r="B826" s="0" t="s">
        <v>241</v>
      </c>
      <c r="C826" s="24" t="n">
        <f aca="false">C825</f>
        <v>8.248</v>
      </c>
      <c r="D826" s="24" t="n">
        <f aca="false">D825</f>
        <v>8.755</v>
      </c>
      <c r="E826" s="24" t="n">
        <f aca="false">E825+0*E814</f>
        <v>9.37630884892071</v>
      </c>
      <c r="F826" s="24" t="n">
        <f aca="false">F825+0*F814</f>
        <v>9.65759811438833</v>
      </c>
      <c r="G826" s="24" t="n">
        <f aca="false">G825+0*G814</f>
        <v>9.94732605781998</v>
      </c>
    </row>
    <row r="827" customFormat="false" ht="15" hidden="false" customHeight="false" outlineLevel="0" collapsed="false">
      <c r="A827" s="5" t="s">
        <v>679</v>
      </c>
      <c r="B827" s="0" t="s">
        <v>241</v>
      </c>
      <c r="C827" s="22" t="n">
        <f aca="false">C822-C826</f>
        <v>41.997</v>
      </c>
      <c r="D827" s="22" t="n">
        <f aca="false">D822-D826</f>
        <v>70.817</v>
      </c>
      <c r="E827" s="22" t="n">
        <f aca="false">E822-E826</f>
        <v>113.615555723975</v>
      </c>
      <c r="F827" s="22" t="n">
        <f aca="false">F822-F826</f>
        <v>131.297852369415</v>
      </c>
      <c r="G827" s="22" t="n">
        <f aca="false">G822-G826</f>
        <v>149.152430245444</v>
      </c>
    </row>
    <row r="828" customFormat="false" ht="15" hidden="false" customHeight="false" outlineLevel="0" collapsed="false">
      <c r="A828" s="5" t="s">
        <v>538</v>
      </c>
      <c r="B828" s="0" t="s">
        <v>46</v>
      </c>
      <c r="C828" s="16" t="n">
        <f aca="false">C827/C814</f>
        <v>0.657363782929235</v>
      </c>
      <c r="D828" s="16" t="n">
        <f aca="false">D827/D814</f>
        <v>0.66878523737121</v>
      </c>
      <c r="E828" s="16" t="n">
        <f aca="false">E827/E814</f>
        <v>0.627591074638274</v>
      </c>
      <c r="F828" s="16" t="n">
        <f aca="false">F827/F814</f>
        <v>0.605796147783387</v>
      </c>
      <c r="G828" s="16" t="n">
        <f aca="false">G827/G814</f>
        <v>0.612394930012022</v>
      </c>
    </row>
    <row r="829" customFormat="false" ht="15" hidden="false" customHeight="false" outlineLevel="0" collapsed="false">
      <c r="A829" s="5" t="s">
        <v>680</v>
      </c>
      <c r="B829" s="0" t="s">
        <v>241</v>
      </c>
      <c r="C829" s="19" t="n">
        <f aca="false">a25_int</f>
        <v>3.072</v>
      </c>
      <c r="D829" s="19" t="n">
        <f aca="false">a26_int</f>
        <v>2.894</v>
      </c>
      <c r="E829" s="19" t="n">
        <f aca="false">int_f</f>
        <v>2.8</v>
      </c>
      <c r="F829" s="19" t="n">
        <f aca="false">int_f</f>
        <v>2.8</v>
      </c>
      <c r="G829" s="19" t="n">
        <f aca="false">int_f</f>
        <v>2.8</v>
      </c>
    </row>
    <row r="830" customFormat="false" ht="15" hidden="false" customHeight="false" outlineLevel="0" collapsed="false">
      <c r="A830" s="5" t="s">
        <v>681</v>
      </c>
      <c r="B830" s="0" t="s">
        <v>241</v>
      </c>
      <c r="C830" s="19" t="n">
        <f aca="false">a25_oth</f>
        <v>0.294</v>
      </c>
      <c r="D830" s="19" t="n">
        <f aca="false">a26_oth</f>
        <v>0.434</v>
      </c>
      <c r="E830" s="19" t="n">
        <f aca="false">oth_f</f>
        <v>0.4</v>
      </c>
      <c r="F830" s="19" t="n">
        <f aca="false">oth_f</f>
        <v>0.4</v>
      </c>
      <c r="G830" s="19" t="n">
        <f aca="false">oth_f</f>
        <v>0.4</v>
      </c>
    </row>
    <row r="831" customFormat="false" ht="15" hidden="false" customHeight="false" outlineLevel="0" collapsed="false">
      <c r="A831" s="5" t="s">
        <v>543</v>
      </c>
      <c r="B831" s="0" t="s">
        <v>46</v>
      </c>
      <c r="C831" s="16" t="n">
        <f aca="false">a25_tax/(a25_oi-a25_int+a25_oth)</f>
        <v>0.140008669267447</v>
      </c>
      <c r="D831" s="16" t="n">
        <f aca="false">a26_tax/(a26_oi-a26_int+a26_oth)</f>
        <v>0.159996489020876</v>
      </c>
      <c r="E831" s="16" t="n">
        <f aca="false">tx_f</f>
        <v>0.16</v>
      </c>
      <c r="F831" s="16" t="n">
        <f aca="false">tx_f</f>
        <v>0.16</v>
      </c>
      <c r="G831" s="16" t="n">
        <f aca="false">tx_f</f>
        <v>0.16</v>
      </c>
    </row>
    <row r="832" customFormat="false" ht="17.15" hidden="false" customHeight="false" outlineLevel="0" collapsed="false">
      <c r="A832" s="5" t="s">
        <v>630</v>
      </c>
      <c r="B832" s="0" t="s">
        <v>241</v>
      </c>
      <c r="C832" s="22" t="n">
        <f aca="false">a25_ni</f>
        <v>33.728</v>
      </c>
      <c r="D832" s="22" t="n">
        <f aca="false">a26_ni</f>
        <v>57.42012</v>
      </c>
      <c r="E832" s="22" t="n">
        <f aca="false">(E827-E829+E830)*(1-E831)</f>
        <v>93.4210668081386</v>
      </c>
      <c r="F832" s="22" t="n">
        <f aca="false">(F827-F829+F830)*(1-F831)</f>
        <v>108.274195990308</v>
      </c>
      <c r="G832" s="22" t="n">
        <f aca="false">(G827-G829+G830)*(1-G831)</f>
        <v>123.272041406173</v>
      </c>
    </row>
    <row r="833" customFormat="false" ht="15" hidden="false" customHeight="false" outlineLevel="0" collapsed="false">
      <c r="A833" s="5" t="s">
        <v>682</v>
      </c>
      <c r="B833" s="5" t="s">
        <v>304</v>
      </c>
      <c r="C833" s="17" t="n">
        <f aca="false">a25_sh</f>
        <v>4.943</v>
      </c>
      <c r="D833" s="17" t="n">
        <f aca="false">a26_sh</f>
        <v>4.9435</v>
      </c>
      <c r="E833" s="17" t="n">
        <f aca="false">D833*(1+sh_g)</f>
        <v>4.9187825</v>
      </c>
      <c r="F833" s="17" t="n">
        <f aca="false">E833*(1+sh_g)</f>
        <v>4.8941885875</v>
      </c>
      <c r="G833" s="17" t="n">
        <f aca="false">F833*(1+sh_g)</f>
        <v>4.8697176445625</v>
      </c>
    </row>
    <row r="834" customFormat="false" ht="17.15" hidden="false" customHeight="false" outlineLevel="0" collapsed="false">
      <c r="A834" s="0" t="s">
        <v>631</v>
      </c>
      <c r="B834" s="0" t="s">
        <v>354</v>
      </c>
      <c r="C834" s="19" t="n">
        <f aca="false">C832/C833</f>
        <v>6.82338660732349</v>
      </c>
      <c r="D834" s="19" t="n">
        <f aca="false">D832/D833</f>
        <v>11.6152766258724</v>
      </c>
      <c r="E834" s="19" t="n">
        <f aca="false">E832/E833</f>
        <v>18.9927216355142</v>
      </c>
      <c r="F834" s="19" t="n">
        <f aca="false">F832/F833</f>
        <v>22.1230126413286</v>
      </c>
      <c r="G834" s="19" t="n">
        <f aca="false">G832/G833</f>
        <v>25.3140018382417</v>
      </c>
    </row>
    <row r="835" customFormat="false" ht="17.15" hidden="false" customHeight="false" outlineLevel="0" collapsed="false">
      <c r="A835" s="0" t="s">
        <v>683</v>
      </c>
      <c r="B835" s="0" t="s">
        <v>46</v>
      </c>
      <c r="D835" s="16" t="n">
        <f aca="false">D834/C834-1</f>
        <v>0.702274441463682</v>
      </c>
      <c r="E835" s="16" t="n">
        <f aca="false">E834/D834-1</f>
        <v>0.635150177414545</v>
      </c>
      <c r="F835" s="16" t="n">
        <f aca="false">F834/E834-1</f>
        <v>0.164815294294688</v>
      </c>
      <c r="G835" s="16" t="n">
        <f aca="false">G834/F834-1</f>
        <v>0.144238456517987</v>
      </c>
    </row>
    <row r="838" customFormat="false" ht="17.15" hidden="false" customHeight="false" outlineLevel="0" collapsed="false">
      <c r="A838" s="3" t="s">
        <v>1066</v>
      </c>
    </row>
    <row r="839" customFormat="false" ht="17.15" hidden="false" customHeight="false" outlineLevel="0" collapsed="false">
      <c r="A839" s="6" t="s">
        <v>24</v>
      </c>
      <c r="B839" s="6" t="s">
        <v>25</v>
      </c>
      <c r="C839" s="13" t="s">
        <v>507</v>
      </c>
      <c r="D839" s="13" t="s">
        <v>621</v>
      </c>
      <c r="E839" s="13" t="s">
        <v>622</v>
      </c>
      <c r="F839" s="13" t="s">
        <v>623</v>
      </c>
      <c r="G839" s="13" t="s">
        <v>624</v>
      </c>
      <c r="H839" s="6" t="s">
        <v>480</v>
      </c>
    </row>
    <row r="840" customFormat="false" ht="17.15" hidden="false" customHeight="false" outlineLevel="0" collapsed="false">
      <c r="A840" s="1" t="s">
        <v>639</v>
      </c>
    </row>
    <row r="841" customFormat="false" ht="17.15" hidden="false" customHeight="false" outlineLevel="0" collapsed="false">
      <c r="A841" s="0" t="s">
        <v>640</v>
      </c>
      <c r="B841" s="5" t="s">
        <v>35</v>
      </c>
      <c r="D841" s="19" t="n">
        <f aca="false">u_tpu_26</f>
        <v>3.85</v>
      </c>
      <c r="E841" s="19" t="n">
        <f aca="false">u_tpu_27</f>
        <v>5.5</v>
      </c>
      <c r="F841" s="19" t="n">
        <f aca="false">u_tpu_28*um28_A</f>
        <v>7</v>
      </c>
      <c r="G841" s="19" t="n">
        <f aca="false">u_tpu_28*(1+g29_tpu)*um29_A</f>
        <v>8.05</v>
      </c>
    </row>
    <row r="842" customFormat="false" ht="17.15" hidden="false" customHeight="false" outlineLevel="0" collapsed="false">
      <c r="A842" s="5" t="s">
        <v>641</v>
      </c>
      <c r="B842" s="5" t="s">
        <v>35</v>
      </c>
      <c r="D842" s="19" t="n">
        <f aca="false">u_oth_26</f>
        <v>1</v>
      </c>
      <c r="E842" s="19" t="n">
        <f aca="false">u_oth_27</f>
        <v>4.5</v>
      </c>
      <c r="F842" s="19" t="n">
        <f aca="false">u_oth_28*um28_A</f>
        <v>5</v>
      </c>
      <c r="G842" s="19" t="n">
        <f aca="false">u_oth_28*(1+g29_oth)*um29_A</f>
        <v>5.75</v>
      </c>
    </row>
    <row r="843" customFormat="false" ht="17.15" hidden="false" customHeight="false" outlineLevel="0" collapsed="false">
      <c r="A843" s="0" t="s">
        <v>566</v>
      </c>
      <c r="B843" s="0" t="s">
        <v>46</v>
      </c>
      <c r="D843" s="16" t="n">
        <f aca="false">sh_tpu_26</f>
        <v>0.9</v>
      </c>
      <c r="E843" s="16" t="n">
        <f aca="false">MIN(1,MAX(0,sh_tpu_27+0))</f>
        <v>0.8</v>
      </c>
      <c r="F843" s="16" t="n">
        <f aca="false">MIN(1,MAX(0,sh_tpu_28+0))</f>
        <v>0.75</v>
      </c>
      <c r="G843" s="16" t="n">
        <f aca="false">MIN(1,MAX(0,sh_tpu_28+0))</f>
        <v>0.75</v>
      </c>
    </row>
    <row r="844" customFormat="false" ht="17.15" hidden="false" customHeight="false" outlineLevel="0" collapsed="false">
      <c r="A844" s="0" t="s">
        <v>578</v>
      </c>
      <c r="B844" s="0" t="s">
        <v>46</v>
      </c>
      <c r="D844" s="16" t="n">
        <f aca="false">sh_oth_26</f>
        <v>0.35</v>
      </c>
      <c r="E844" s="16" t="n">
        <f aca="false">MIN(1,MAX(0,sh_oth_27+0))</f>
        <v>0.55</v>
      </c>
      <c r="F844" s="16" t="n">
        <f aca="false">MIN(1,MAX(0,sh_oth_28+0))</f>
        <v>0.55</v>
      </c>
      <c r="G844" s="16" t="n">
        <f aca="false">MIN(1,MAX(0,sh_oth_28+0))</f>
        <v>0.55</v>
      </c>
    </row>
    <row r="845" customFormat="false" ht="17.15" hidden="false" customHeight="false" outlineLevel="0" collapsed="false">
      <c r="A845" s="0" t="s">
        <v>568</v>
      </c>
      <c r="B845" s="5" t="s">
        <v>35</v>
      </c>
      <c r="D845" s="19" t="n">
        <f aca="false">D841*D843</f>
        <v>3.465</v>
      </c>
      <c r="E845" s="19" t="n">
        <f aca="false">E841*E843*1</f>
        <v>4.4</v>
      </c>
      <c r="F845" s="19" t="n">
        <f aca="false">F841*F843*1</f>
        <v>5.25</v>
      </c>
      <c r="G845" s="19" t="n">
        <f aca="false">G841*G843*1</f>
        <v>6.0375</v>
      </c>
    </row>
    <row r="846" customFormat="false" ht="17.15" hidden="false" customHeight="false" outlineLevel="0" collapsed="false">
      <c r="A846" s="0" t="s">
        <v>579</v>
      </c>
      <c r="B846" s="5" t="s">
        <v>35</v>
      </c>
      <c r="D846" s="19" t="n">
        <f aca="false">D842*D844</f>
        <v>0.35</v>
      </c>
      <c r="E846" s="19" t="n">
        <f aca="false">E842*E844*1</f>
        <v>2.475</v>
      </c>
      <c r="F846" s="19" t="n">
        <f aca="false">F842*F844*1</f>
        <v>2.75</v>
      </c>
      <c r="G846" s="19" t="n">
        <f aca="false">G842*G844*1</f>
        <v>3.1625</v>
      </c>
    </row>
    <row r="847" customFormat="false" ht="17.15" hidden="false" customHeight="false" outlineLevel="0" collapsed="false">
      <c r="A847" s="5" t="s">
        <v>570</v>
      </c>
      <c r="B847" s="0" t="s">
        <v>151</v>
      </c>
      <c r="D847" s="20" t="n">
        <f aca="false">gb_tpu_26</f>
        <v>192</v>
      </c>
      <c r="E847" s="20" t="n">
        <f aca="false">gb_tpu_27</f>
        <v>250</v>
      </c>
      <c r="F847" s="20" t="n">
        <f aca="false">gb_tpu_28</f>
        <v>288</v>
      </c>
      <c r="G847" s="20" t="n">
        <f aca="false">gb_tpu_28</f>
        <v>288</v>
      </c>
    </row>
    <row r="848" customFormat="false" ht="17.15" hidden="false" customHeight="false" outlineLevel="0" collapsed="false">
      <c r="A848" s="5" t="s">
        <v>580</v>
      </c>
      <c r="B848" s="0" t="s">
        <v>151</v>
      </c>
      <c r="D848" s="20" t="n">
        <f aca="false">gb_oth_26</f>
        <v>150</v>
      </c>
      <c r="E848" s="20" t="n">
        <f aca="false">gb_oth_27</f>
        <v>200</v>
      </c>
      <c r="F848" s="20" t="n">
        <f aca="false">gb_oth_28</f>
        <v>250</v>
      </c>
      <c r="G848" s="20" t="n">
        <f aca="false">gb_oth_28</f>
        <v>250</v>
      </c>
    </row>
    <row r="849" customFormat="false" ht="17.15" hidden="false" customHeight="false" outlineLevel="0" collapsed="false">
      <c r="A849" s="0" t="s">
        <v>642</v>
      </c>
      <c r="B849" s="0" t="s">
        <v>210</v>
      </c>
      <c r="D849" s="19" t="n">
        <f aca="false">hbm_A_26</f>
        <v>14.6</v>
      </c>
      <c r="E849" s="19" t="n">
        <f aca="false">hbm_A_27</f>
        <v>26.28</v>
      </c>
      <c r="F849" s="19" t="n">
        <f aca="false">hbm_A_28</f>
        <v>28.908</v>
      </c>
      <c r="G849" s="19" t="n">
        <f aca="false">hbm_A_29</f>
        <v>27.4626</v>
      </c>
    </row>
    <row r="850" customFormat="false" ht="17.15" hidden="false" customHeight="false" outlineLevel="0" collapsed="false">
      <c r="A850" s="5" t="s">
        <v>643</v>
      </c>
      <c r="B850" s="0" t="s">
        <v>188</v>
      </c>
      <c r="D850" s="19" t="n">
        <f aca="false">core_tpu</f>
        <v>8</v>
      </c>
      <c r="E850" s="19" t="n">
        <f aca="false">core_tpu*1</f>
        <v>8</v>
      </c>
      <c r="F850" s="19" t="n">
        <f aca="false">core_tpu*1</f>
        <v>8</v>
      </c>
      <c r="G850" s="19" t="n">
        <f aca="false">core_tpu*1</f>
        <v>8</v>
      </c>
    </row>
    <row r="851" customFormat="false" ht="17.15" hidden="false" customHeight="false" outlineLevel="0" collapsed="false">
      <c r="A851" s="5" t="s">
        <v>644</v>
      </c>
      <c r="B851" s="0" t="s">
        <v>188</v>
      </c>
      <c r="D851" s="19" t="n">
        <f aca="false">core_oth</f>
        <v>6</v>
      </c>
      <c r="E851" s="19" t="n">
        <f aca="false">core_oth*1</f>
        <v>6</v>
      </c>
      <c r="F851" s="19" t="n">
        <f aca="false">core_oth*1</f>
        <v>6</v>
      </c>
      <c r="G851" s="19" t="n">
        <f aca="false">core_oth*1</f>
        <v>6</v>
      </c>
    </row>
    <row r="852" customFormat="false" ht="17.15" hidden="false" customHeight="false" outlineLevel="0" collapsed="false">
      <c r="A852" s="5" t="s">
        <v>645</v>
      </c>
      <c r="B852" s="0" t="s">
        <v>188</v>
      </c>
      <c r="D852" s="19" t="n">
        <f aca="false">D847*D849/1000</f>
        <v>2.8032</v>
      </c>
      <c r="E852" s="19" t="n">
        <f aca="false">E847*E849/1000</f>
        <v>6.57</v>
      </c>
      <c r="F852" s="19" t="n">
        <f aca="false">F847*F849/1000</f>
        <v>8.325504</v>
      </c>
      <c r="G852" s="19" t="n">
        <f aca="false">G847*G849/1000</f>
        <v>7.9092288</v>
      </c>
    </row>
    <row r="853" customFormat="false" ht="17.15" hidden="false" customHeight="false" outlineLevel="0" collapsed="false">
      <c r="A853" s="5" t="s">
        <v>646</v>
      </c>
      <c r="B853" s="0" t="s">
        <v>188</v>
      </c>
      <c r="D853" s="19" t="n">
        <f aca="false">D848*D849/1000</f>
        <v>2.19</v>
      </c>
      <c r="E853" s="19" t="n">
        <f aca="false">E848*E849/1000</f>
        <v>5.256</v>
      </c>
      <c r="F853" s="19" t="n">
        <f aca="false">F848*F849/1000</f>
        <v>7.227</v>
      </c>
      <c r="G853" s="19" t="n">
        <f aca="false">G848*G849/1000</f>
        <v>6.86565</v>
      </c>
    </row>
    <row r="854" customFormat="false" ht="17.15" hidden="false" customHeight="false" outlineLevel="0" collapsed="false">
      <c r="A854" s="5" t="s">
        <v>647</v>
      </c>
      <c r="B854" s="0" t="s">
        <v>188</v>
      </c>
      <c r="D854" s="19" t="n">
        <f aca="false">D850+f_hbm*D852</f>
        <v>9.68192</v>
      </c>
      <c r="E854" s="19" t="n">
        <f aca="false">E850+f_hbm*E852</f>
        <v>11.942</v>
      </c>
      <c r="F854" s="19" t="n">
        <f aca="false">F850+f_hbm*F852</f>
        <v>12.9953024</v>
      </c>
      <c r="G854" s="19" t="n">
        <f aca="false">G850+f_hbm*G852</f>
        <v>12.74553728</v>
      </c>
      <c r="H854" s="5" t="s">
        <v>648</v>
      </c>
    </row>
    <row r="855" customFormat="false" ht="17.15" hidden="false" customHeight="false" outlineLevel="0" collapsed="false">
      <c r="A855" s="5" t="s">
        <v>649</v>
      </c>
      <c r="B855" s="0" t="s">
        <v>188</v>
      </c>
      <c r="D855" s="19" t="n">
        <f aca="false">D851+f_hbm*D853</f>
        <v>7.314</v>
      </c>
      <c r="E855" s="19" t="n">
        <f aca="false">E851+f_hbm*E853</f>
        <v>9.1536</v>
      </c>
      <c r="F855" s="19" t="n">
        <f aca="false">F851+f_hbm*F853</f>
        <v>10.3362</v>
      </c>
      <c r="G855" s="19" t="n">
        <f aca="false">G851+f_hbm*G853</f>
        <v>10.11939</v>
      </c>
    </row>
    <row r="856" customFormat="false" ht="17.15" hidden="false" customHeight="false" outlineLevel="0" collapsed="false">
      <c r="A856" s="0" t="s">
        <v>650</v>
      </c>
      <c r="B856" s="0" t="s">
        <v>241</v>
      </c>
      <c r="D856" s="22" t="n">
        <f aca="false">D845*D854+D846*D855</f>
        <v>36.1077528</v>
      </c>
      <c r="E856" s="22" t="n">
        <f aca="false">E845*E854+E846*E855</f>
        <v>75.19996</v>
      </c>
      <c r="F856" s="22" t="n">
        <f aca="false">F845*F854+F846*F855</f>
        <v>96.6498876</v>
      </c>
      <c r="G856" s="22" t="n">
        <f aca="false">G845*G854+G846*G855</f>
        <v>108.953752203</v>
      </c>
    </row>
    <row r="857" customFormat="false" ht="17.15" hidden="false" customHeight="false" outlineLevel="0" collapsed="false">
      <c r="A857" s="0" t="s">
        <v>651</v>
      </c>
      <c r="B857" s="0" t="s">
        <v>131</v>
      </c>
      <c r="D857" s="17" t="n">
        <f aca="false">a26_xpu/D856</f>
        <v>1.10779533197646</v>
      </c>
      <c r="H857" s="8" t="s">
        <v>652</v>
      </c>
    </row>
    <row r="858" customFormat="false" ht="17.15" hidden="false" customHeight="false" outlineLevel="0" collapsed="false">
      <c r="A858" s="0" t="s">
        <v>653</v>
      </c>
      <c r="B858" s="0" t="s">
        <v>241</v>
      </c>
      <c r="D858" s="22" t="n">
        <f aca="false">D856*$D$857</f>
        <v>40</v>
      </c>
      <c r="E858" s="22" t="n">
        <f aca="false">E856*$D$857</f>
        <v>83.3061646528166</v>
      </c>
      <c r="F858" s="22" t="n">
        <f aca="false">F856*$D$857</f>
        <v>107.06829431933</v>
      </c>
      <c r="G858" s="22" t="n">
        <f aca="false">G856*$D$857</f>
        <v>120.698458091803</v>
      </c>
    </row>
    <row r="859" customFormat="false" ht="17.15" hidden="false" customHeight="false" outlineLevel="0" collapsed="false">
      <c r="A859" s="5" t="s">
        <v>654</v>
      </c>
      <c r="B859" s="0" t="s">
        <v>241</v>
      </c>
      <c r="D859" s="22" t="n">
        <f aca="false">$D$857*f_hbm*(D845*D852+D846*D853)</f>
        <v>6.96554320046192</v>
      </c>
      <c r="E859" s="22" t="n">
        <f aca="false">$D$857*f_hbm*(E845*E852+E846*E853)</f>
        <v>27.8610082873947</v>
      </c>
      <c r="F859" s="22" t="n">
        <f aca="false">$D$857*f_hbm*(F845*F852+F846*F853)</f>
        <v>42.2622673987067</v>
      </c>
      <c r="G859" s="22" t="n">
        <f aca="false">$D$857*f_hbm*(G845*G852+G846*G853)</f>
        <v>46.171527133087</v>
      </c>
    </row>
    <row r="860" customFormat="false" ht="15" hidden="false" customHeight="false" outlineLevel="0" collapsed="false">
      <c r="A860" s="5" t="s">
        <v>655</v>
      </c>
      <c r="B860" s="0" t="s">
        <v>241</v>
      </c>
      <c r="D860" s="22" t="n">
        <f aca="false">D858-D859</f>
        <v>33.0344567995381</v>
      </c>
      <c r="E860" s="22" t="n">
        <f aca="false">E858-E859</f>
        <v>55.4451563654219</v>
      </c>
      <c r="F860" s="22" t="n">
        <f aca="false">F858-F859</f>
        <v>64.806026920623</v>
      </c>
      <c r="G860" s="22" t="n">
        <f aca="false">G858-G859</f>
        <v>74.5269309587164</v>
      </c>
    </row>
    <row r="861" customFormat="false" ht="17.15" hidden="false" customHeight="false" outlineLevel="0" collapsed="false">
      <c r="A861" s="0" t="s">
        <v>656</v>
      </c>
      <c r="B861" s="5" t="s">
        <v>35</v>
      </c>
      <c r="D861" s="19" t="n">
        <f aca="false">D845+D846</f>
        <v>3.815</v>
      </c>
      <c r="E861" s="19" t="n">
        <f aca="false">E845+E846</f>
        <v>6.875</v>
      </c>
      <c r="F861" s="19" t="n">
        <f aca="false">F845+F846</f>
        <v>8</v>
      </c>
      <c r="G861" s="19" t="n">
        <f aca="false">G845+G846</f>
        <v>9.2</v>
      </c>
    </row>
    <row r="862" customFormat="false" ht="17.15" hidden="false" customHeight="false" outlineLevel="0" collapsed="false">
      <c r="A862" s="1" t="s">
        <v>657</v>
      </c>
    </row>
    <row r="863" customFormat="false" ht="17.15" hidden="false" customHeight="false" outlineLevel="0" collapsed="false">
      <c r="A863" s="0" t="s">
        <v>658</v>
      </c>
      <c r="B863" s="0" t="s">
        <v>241</v>
      </c>
      <c r="D863" s="22" t="n">
        <f aca="false">net_26*1</f>
        <v>12.6075726</v>
      </c>
      <c r="E863" s="22" t="n">
        <f aca="false">net_27*1*1</f>
        <v>26.959549</v>
      </c>
      <c r="F863" s="22" t="n">
        <f aca="false">net_28*um28_A*1</f>
        <v>32.094922</v>
      </c>
      <c r="G863" s="22" t="n">
        <f aca="false">net_29*um29_A*1</f>
        <v>37.8328169</v>
      </c>
    </row>
    <row r="864" customFormat="false" ht="17.15" hidden="false" customHeight="false" outlineLevel="0" collapsed="false">
      <c r="A864" s="5" t="s">
        <v>659</v>
      </c>
      <c r="B864" s="0" t="s">
        <v>131</v>
      </c>
      <c r="D864" s="17" t="n">
        <f aca="false">a26_net/D863</f>
        <v>1.39598640899359</v>
      </c>
      <c r="H864" s="8" t="s">
        <v>660</v>
      </c>
    </row>
    <row r="865" customFormat="false" ht="17.15" hidden="false" customHeight="false" outlineLevel="0" collapsed="false">
      <c r="A865" s="0" t="s">
        <v>661</v>
      </c>
      <c r="B865" s="0" t="s">
        <v>241</v>
      </c>
      <c r="D865" s="22" t="n">
        <f aca="false">D863*$D$864</f>
        <v>17.6</v>
      </c>
      <c r="E865" s="22" t="n">
        <f aca="false">E863*$D$864</f>
        <v>37.6351639965968</v>
      </c>
      <c r="F865" s="22" t="n">
        <f aca="false">F863*$D$864</f>
        <v>44.8040749097094</v>
      </c>
      <c r="G865" s="22" t="n">
        <f aca="false">G863*$D$864</f>
        <v>52.8140982063431</v>
      </c>
    </row>
    <row r="866" customFormat="false" ht="17.15" hidden="false" customHeight="false" outlineLevel="0" collapsed="false">
      <c r="A866" s="0" t="s">
        <v>522</v>
      </c>
      <c r="B866" s="0" t="s">
        <v>241</v>
      </c>
      <c r="C866" s="22" t="n">
        <f aca="false">a25_ai</f>
        <v>20.2797202797203</v>
      </c>
      <c r="D866" s="22" t="n">
        <f aca="false">D858+D865</f>
        <v>57.6</v>
      </c>
      <c r="E866" s="22" t="n">
        <f aca="false">E858+E865</f>
        <v>120.941328649413</v>
      </c>
      <c r="F866" s="22" t="n">
        <f aca="false">F858+F865</f>
        <v>151.872369229039</v>
      </c>
      <c r="G866" s="22" t="n">
        <f aca="false">G858+G865</f>
        <v>173.512556298147</v>
      </c>
    </row>
    <row r="867" customFormat="false" ht="15" hidden="false" customHeight="false" outlineLevel="0" collapsed="false">
      <c r="A867" s="0" t="s">
        <v>662</v>
      </c>
      <c r="B867" s="0" t="s">
        <v>46</v>
      </c>
      <c r="D867" s="16" t="n">
        <f aca="false">D858/D866</f>
        <v>0.694444444444444</v>
      </c>
      <c r="E867" s="16" t="n">
        <f aca="false">E858/E866</f>
        <v>0.688814697036328</v>
      </c>
      <c r="F867" s="16" t="n">
        <f aca="false">F858/F866</f>
        <v>0.704988635278743</v>
      </c>
      <c r="G867" s="16" t="n">
        <f aca="false">G858/G866</f>
        <v>0.69561800406195</v>
      </c>
    </row>
    <row r="868" customFormat="false" ht="17.15" hidden="false" customHeight="false" outlineLevel="0" collapsed="false">
      <c r="A868" s="5" t="s">
        <v>663</v>
      </c>
      <c r="B868" s="0" t="s">
        <v>241</v>
      </c>
      <c r="C868" s="22" t="n">
        <f aca="false">a25_nai</f>
        <v>16.5782797202797</v>
      </c>
      <c r="D868" s="22" t="n">
        <f aca="false">a26_nai</f>
        <v>16.863</v>
      </c>
      <c r="E868" s="22" t="n">
        <f aca="false">D868*(1+g_nai)</f>
        <v>17.36889</v>
      </c>
      <c r="F868" s="22" t="n">
        <f aca="false">E868*(1+g_nai)</f>
        <v>17.8899567</v>
      </c>
      <c r="G868" s="22" t="n">
        <f aca="false">F868*(1+g_nai)</f>
        <v>18.426655401</v>
      </c>
    </row>
    <row r="869" customFormat="false" ht="15" hidden="false" customHeight="false" outlineLevel="0" collapsed="false">
      <c r="A869" s="5" t="s">
        <v>664</v>
      </c>
      <c r="B869" s="0" t="s">
        <v>241</v>
      </c>
      <c r="C869" s="22" t="n">
        <f aca="false">a25_sw</f>
        <v>27.029</v>
      </c>
      <c r="D869" s="22" t="n">
        <f aca="false">a26_sw</f>
        <v>31.426</v>
      </c>
      <c r="E869" s="22" t="n">
        <f aca="false">D869*(1+g_sw27_lo)</f>
        <v>33.94008</v>
      </c>
      <c r="F869" s="22" t="n">
        <f aca="false">E869*(1+g_sw_lo)</f>
        <v>35.2976832</v>
      </c>
      <c r="G869" s="22" t="n">
        <f aca="false">F869*(1+g_sw_lo)</f>
        <v>36.709590528</v>
      </c>
    </row>
    <row r="870" customFormat="false" ht="17.15" hidden="false" customHeight="false" outlineLevel="0" collapsed="false">
      <c r="A870" s="1" t="s">
        <v>665</v>
      </c>
    </row>
    <row r="871" customFormat="false" ht="15" hidden="false" customHeight="false" outlineLevel="0" collapsed="false">
      <c r="A871" s="5" t="s">
        <v>514</v>
      </c>
      <c r="B871" s="0" t="s">
        <v>241</v>
      </c>
      <c r="C871" s="22" t="n">
        <f aca="false">a25_rev</f>
        <v>63.887</v>
      </c>
      <c r="D871" s="22" t="n">
        <f aca="false">a26_rev</f>
        <v>105.889</v>
      </c>
      <c r="E871" s="22" t="n">
        <f aca="false">E866+E868+E869</f>
        <v>172.250298649413</v>
      </c>
      <c r="F871" s="22" t="n">
        <f aca="false">F866+F868+F869</f>
        <v>205.060009129039</v>
      </c>
      <c r="G871" s="22" t="n">
        <f aca="false">G866+G868+G869</f>
        <v>228.648802227147</v>
      </c>
    </row>
    <row r="872" customFormat="false" ht="17.15" hidden="false" customHeight="false" outlineLevel="0" collapsed="false">
      <c r="A872" s="5" t="s">
        <v>666</v>
      </c>
      <c r="B872" s="0" t="s">
        <v>241</v>
      </c>
      <c r="D872" s="22" t="n">
        <f aca="false">D866+D868+D869</f>
        <v>105.889</v>
      </c>
      <c r="E872" s="22" t="n">
        <f aca="false">E866+E868+E869</f>
        <v>172.250298649413</v>
      </c>
      <c r="F872" s="22" t="n">
        <f aca="false">F866+F868+F869</f>
        <v>205.060009129039</v>
      </c>
      <c r="G872" s="22" t="n">
        <f aca="false">G866+G868+G869</f>
        <v>228.648802227147</v>
      </c>
    </row>
    <row r="873" customFormat="false" ht="17.15" hidden="false" customHeight="false" outlineLevel="0" collapsed="false">
      <c r="A873" s="5" t="s">
        <v>667</v>
      </c>
      <c r="B873" s="0" t="s">
        <v>241</v>
      </c>
      <c r="C873" s="22" t="n">
        <f aca="false">C866+C868</f>
        <v>36.858</v>
      </c>
      <c r="D873" s="22" t="n">
        <f aca="false">D866+D868</f>
        <v>74.463</v>
      </c>
      <c r="E873" s="22" t="n">
        <f aca="false">E866+E868</f>
        <v>138.310218649413</v>
      </c>
      <c r="F873" s="22" t="n">
        <f aca="false">F866+F868</f>
        <v>169.762325929039</v>
      </c>
      <c r="G873" s="22" t="n">
        <f aca="false">G866+G868</f>
        <v>191.939211699147</v>
      </c>
      <c r="H873" s="5" t="s">
        <v>668</v>
      </c>
    </row>
    <row r="874" customFormat="false" ht="17.15" hidden="false" customHeight="false" outlineLevel="0" collapsed="false">
      <c r="A874" s="5" t="s">
        <v>669</v>
      </c>
      <c r="B874" s="0" t="s">
        <v>241</v>
      </c>
      <c r="C874" s="17" t="n">
        <f aca="false">C873+C869-C871</f>
        <v>0</v>
      </c>
      <c r="D874" s="17" t="n">
        <f aca="false">D873+D869-D871</f>
        <v>0</v>
      </c>
      <c r="E874" s="17" t="n">
        <f aca="false">E873+E869-E871</f>
        <v>0</v>
      </c>
      <c r="F874" s="17" t="n">
        <f aca="false">F873+F869-F871</f>
        <v>0</v>
      </c>
      <c r="G874" s="17" t="n">
        <f aca="false">G873+G869-G871</f>
        <v>0</v>
      </c>
    </row>
    <row r="875" customFormat="false" ht="15" hidden="false" customHeight="false" outlineLevel="0" collapsed="false">
      <c r="A875" s="5" t="s">
        <v>670</v>
      </c>
      <c r="B875" s="0" t="s">
        <v>46</v>
      </c>
      <c r="D875" s="16" t="n">
        <f aca="false">D871/C871-1</f>
        <v>0.657442046112668</v>
      </c>
      <c r="E875" s="16" t="n">
        <f aca="false">E871/D871-1</f>
        <v>0.626706255129554</v>
      </c>
      <c r="F875" s="16" t="n">
        <f aca="false">F871/E871-1</f>
        <v>0.190476943940773</v>
      </c>
      <c r="G875" s="16" t="n">
        <f aca="false">G871/F871-1</f>
        <v>0.115033609909105</v>
      </c>
    </row>
    <row r="876" customFormat="false" ht="17.15" hidden="false" customHeight="false" outlineLevel="0" collapsed="false">
      <c r="A876" s="0" t="s">
        <v>671</v>
      </c>
      <c r="B876" s="0" t="s">
        <v>46</v>
      </c>
      <c r="C876" s="16" t="n">
        <f aca="false">C866/C871</f>
        <v>0.317431093645347</v>
      </c>
      <c r="D876" s="16" t="n">
        <f aca="false">D866/D871</f>
        <v>0.543965851032685</v>
      </c>
      <c r="E876" s="16" t="n">
        <f aca="false">E866/E871</f>
        <v>0.702125509201985</v>
      </c>
      <c r="F876" s="16" t="n">
        <f aca="false">F866/F871</f>
        <v>0.740624024518938</v>
      </c>
      <c r="G876" s="16" t="n">
        <f aca="false">G866/G871</f>
        <v>0.758860552113341</v>
      </c>
    </row>
    <row r="877" customFormat="false" ht="17.15" hidden="false" customHeight="false" outlineLevel="0" collapsed="false">
      <c r="A877" s="5" t="s">
        <v>672</v>
      </c>
      <c r="B877" s="0" t="s">
        <v>241</v>
      </c>
      <c r="D877" s="22" t="n">
        <f aca="false">gm_net*D865+gm_nai*D868+gm_sw*D869+m_hbm*D859</f>
        <v>53.5556843200462</v>
      </c>
      <c r="E877" s="22" t="n">
        <f aca="false">gm_net*E865+gm_nai*E868+gm_sw*E869+m_hbm*E859</f>
        <v>72.7374718062892</v>
      </c>
      <c r="F877" s="22" t="n">
        <f aca="false">gm_net*F865+gm_nai*F868+gm_sw*F869+m_hbm*F859</f>
        <v>80.9404779058615</v>
      </c>
      <c r="G877" s="22" t="n">
        <f aca="false">gm_net*G865+gm_nai*G868+gm_sw*G869+m_hbm*G859</f>
        <v>88.7605486235657</v>
      </c>
    </row>
    <row r="878" customFormat="false" ht="17.15" hidden="false" customHeight="false" outlineLevel="0" collapsed="false">
      <c r="A878" s="0" t="s">
        <v>673</v>
      </c>
      <c r="B878" s="0" t="s">
        <v>131</v>
      </c>
      <c r="D878" s="17" t="n">
        <f aca="false">(a26_gp-D877)/D860</f>
        <v>0.787550884757324</v>
      </c>
      <c r="H878" s="8" t="s">
        <v>674</v>
      </c>
    </row>
    <row r="879" customFormat="false" ht="15" hidden="false" customHeight="false" outlineLevel="0" collapsed="false">
      <c r="A879" s="5" t="s">
        <v>675</v>
      </c>
      <c r="B879" s="0" t="s">
        <v>241</v>
      </c>
      <c r="C879" s="22" t="n">
        <f aca="false">a25_gp</f>
        <v>50.245</v>
      </c>
      <c r="D879" s="22" t="n">
        <f aca="false">a26_gp</f>
        <v>79.572</v>
      </c>
      <c r="E879" s="22" t="n">
        <f aca="false">E877+$D$878*E860</f>
        <v>116.403353757385</v>
      </c>
      <c r="F879" s="22" t="n">
        <f aca="false">F877+$D$878*F860</f>
        <v>131.978521744805</v>
      </c>
      <c r="G879" s="22" t="n">
        <f aca="false">G877+$D$878*G860</f>
        <v>147.454299038351</v>
      </c>
    </row>
    <row r="880" customFormat="false" ht="15" hidden="false" customHeight="false" outlineLevel="0" collapsed="false">
      <c r="A880" s="5" t="s">
        <v>533</v>
      </c>
      <c r="B880" s="0" t="s">
        <v>46</v>
      </c>
      <c r="C880" s="16" t="n">
        <f aca="false">C879/C871</f>
        <v>0.786466730320723</v>
      </c>
      <c r="D880" s="16" t="n">
        <f aca="false">D879/D871</f>
        <v>0.751466157957862</v>
      </c>
      <c r="E880" s="16" t="n">
        <f aca="false">E879/E871</f>
        <v>0.675780272487683</v>
      </c>
      <c r="F880" s="16" t="n">
        <f aca="false">F879/F871</f>
        <v>0.643609264943289</v>
      </c>
      <c r="G880" s="16" t="n">
        <f aca="false">G879/G871</f>
        <v>0.644894255303666</v>
      </c>
    </row>
    <row r="881" customFormat="false" ht="17.15" hidden="false" customHeight="false" outlineLevel="0" collapsed="false">
      <c r="A881" s="5" t="s">
        <v>676</v>
      </c>
      <c r="B881" s="0" t="s">
        <v>46</v>
      </c>
      <c r="D881" s="16" t="n">
        <f aca="false">D859/D871</f>
        <v>0.0657815561622258</v>
      </c>
      <c r="E881" s="16" t="n">
        <f aca="false">E859/E871</f>
        <v>0.161747227760116</v>
      </c>
      <c r="F881" s="16" t="n">
        <f aca="false">F859/F871</f>
        <v>0.206097071672869</v>
      </c>
      <c r="G881" s="16" t="n">
        <f aca="false">G859/G871</f>
        <v>0.201932075232211</v>
      </c>
    </row>
    <row r="882" customFormat="false" ht="15" hidden="false" customHeight="false" outlineLevel="0" collapsed="false">
      <c r="A882" s="5" t="s">
        <v>677</v>
      </c>
      <c r="B882" s="0" t="s">
        <v>241</v>
      </c>
      <c r="C882" s="24" t="n">
        <f aca="false">a25_opx</f>
        <v>8.248</v>
      </c>
      <c r="D882" s="24" t="n">
        <f aca="false">a26_opx</f>
        <v>8.755</v>
      </c>
      <c r="E882" s="24" t="n">
        <f aca="false">D882*(1+MAX(g_opx_min,phi*E875))</f>
        <v>9.30368132636592</v>
      </c>
      <c r="F882" s="24" t="n">
        <f aca="false">E882*(1+MAX(g_opx_min,phi*F875))</f>
        <v>9.5827917661569</v>
      </c>
      <c r="G882" s="24" t="n">
        <f aca="false">F882*(1+MAX(g_opx_min,phi*G875))</f>
        <v>9.87027551914161</v>
      </c>
    </row>
    <row r="883" customFormat="false" ht="15" hidden="false" customHeight="false" outlineLevel="0" collapsed="false">
      <c r="A883" s="5" t="s">
        <v>678</v>
      </c>
      <c r="B883" s="0" t="s">
        <v>241</v>
      </c>
      <c r="C883" s="24" t="n">
        <f aca="false">C882</f>
        <v>8.248</v>
      </c>
      <c r="D883" s="24" t="n">
        <f aca="false">D882</f>
        <v>8.755</v>
      </c>
      <c r="E883" s="24" t="n">
        <f aca="false">E882+0*E871</f>
        <v>9.30368132636592</v>
      </c>
      <c r="F883" s="24" t="n">
        <f aca="false">F882+0*F871</f>
        <v>9.5827917661569</v>
      </c>
      <c r="G883" s="24" t="n">
        <f aca="false">G882+0*G871</f>
        <v>9.87027551914161</v>
      </c>
    </row>
    <row r="884" customFormat="false" ht="15" hidden="false" customHeight="false" outlineLevel="0" collapsed="false">
      <c r="A884" s="5" t="s">
        <v>679</v>
      </c>
      <c r="B884" s="0" t="s">
        <v>241</v>
      </c>
      <c r="C884" s="22" t="n">
        <f aca="false">C879-C883</f>
        <v>41.997</v>
      </c>
      <c r="D884" s="22" t="n">
        <f aca="false">D879-D883</f>
        <v>70.817</v>
      </c>
      <c r="E884" s="22" t="n">
        <f aca="false">E879-E883</f>
        <v>107.099672431019</v>
      </c>
      <c r="F884" s="22" t="n">
        <f aca="false">F879-F883</f>
        <v>122.395729978648</v>
      </c>
      <c r="G884" s="22" t="n">
        <f aca="false">G879-G883</f>
        <v>137.584023519209</v>
      </c>
    </row>
    <row r="885" customFormat="false" ht="15" hidden="false" customHeight="false" outlineLevel="0" collapsed="false">
      <c r="A885" s="5" t="s">
        <v>538</v>
      </c>
      <c r="B885" s="0" t="s">
        <v>46</v>
      </c>
      <c r="C885" s="16" t="n">
        <f aca="false">C884/C871</f>
        <v>0.657363782929235</v>
      </c>
      <c r="D885" s="16" t="n">
        <f aca="false">D884/D871</f>
        <v>0.66878523737121</v>
      </c>
      <c r="E885" s="16" t="n">
        <f aca="false">E884/E871</f>
        <v>0.621767702411959</v>
      </c>
      <c r="F885" s="16" t="n">
        <f aca="false">F884/F871</f>
        <v>0.59687761889071</v>
      </c>
      <c r="G885" s="16" t="n">
        <f aca="false">G884/G871</f>
        <v>0.601726412642779</v>
      </c>
    </row>
    <row r="886" customFormat="false" ht="15" hidden="false" customHeight="false" outlineLevel="0" collapsed="false">
      <c r="A886" s="5" t="s">
        <v>680</v>
      </c>
      <c r="B886" s="0" t="s">
        <v>241</v>
      </c>
      <c r="C886" s="19" t="n">
        <f aca="false">a25_int</f>
        <v>3.072</v>
      </c>
      <c r="D886" s="19" t="n">
        <f aca="false">a26_int</f>
        <v>2.894</v>
      </c>
      <c r="E886" s="19" t="n">
        <f aca="false">int_f</f>
        <v>2.8</v>
      </c>
      <c r="F886" s="19" t="n">
        <f aca="false">int_f</f>
        <v>2.8</v>
      </c>
      <c r="G886" s="19" t="n">
        <f aca="false">int_f</f>
        <v>2.8</v>
      </c>
    </row>
    <row r="887" customFormat="false" ht="15" hidden="false" customHeight="false" outlineLevel="0" collapsed="false">
      <c r="A887" s="5" t="s">
        <v>681</v>
      </c>
      <c r="B887" s="0" t="s">
        <v>241</v>
      </c>
      <c r="C887" s="19" t="n">
        <f aca="false">a25_oth</f>
        <v>0.294</v>
      </c>
      <c r="D887" s="19" t="n">
        <f aca="false">a26_oth</f>
        <v>0.434</v>
      </c>
      <c r="E887" s="19" t="n">
        <f aca="false">oth_f</f>
        <v>0.4</v>
      </c>
      <c r="F887" s="19" t="n">
        <f aca="false">oth_f</f>
        <v>0.4</v>
      </c>
      <c r="G887" s="19" t="n">
        <f aca="false">oth_f</f>
        <v>0.4</v>
      </c>
    </row>
    <row r="888" customFormat="false" ht="15" hidden="false" customHeight="false" outlineLevel="0" collapsed="false">
      <c r="A888" s="5" t="s">
        <v>543</v>
      </c>
      <c r="B888" s="0" t="s">
        <v>46</v>
      </c>
      <c r="C888" s="16" t="n">
        <f aca="false">a25_tax/(a25_oi-a25_int+a25_oth)</f>
        <v>0.140008669267447</v>
      </c>
      <c r="D888" s="16" t="n">
        <f aca="false">a26_tax/(a26_oi-a26_int+a26_oth)</f>
        <v>0.159996489020876</v>
      </c>
      <c r="E888" s="16" t="n">
        <f aca="false">tx_f</f>
        <v>0.16</v>
      </c>
      <c r="F888" s="16" t="n">
        <f aca="false">tx_f</f>
        <v>0.16</v>
      </c>
      <c r="G888" s="16" t="n">
        <f aca="false">tx_f</f>
        <v>0.16</v>
      </c>
    </row>
    <row r="889" customFormat="false" ht="17.15" hidden="false" customHeight="false" outlineLevel="0" collapsed="false">
      <c r="A889" s="5" t="s">
        <v>630</v>
      </c>
      <c r="B889" s="0" t="s">
        <v>241</v>
      </c>
      <c r="C889" s="22" t="n">
        <f aca="false">a25_ni</f>
        <v>33.728</v>
      </c>
      <c r="D889" s="22" t="n">
        <f aca="false">a26_ni</f>
        <v>57.42012</v>
      </c>
      <c r="E889" s="22" t="n">
        <f aca="false">(E884-E886+E887)*(1-E888)</f>
        <v>87.9477248420563</v>
      </c>
      <c r="F889" s="22" t="n">
        <f aca="false">(F884-F886+F887)*(1-F888)</f>
        <v>100.796413182064</v>
      </c>
      <c r="G889" s="22" t="n">
        <f aca="false">(G884-G886+G887)*(1-G888)</f>
        <v>113.554579756136</v>
      </c>
    </row>
    <row r="890" customFormat="false" ht="15" hidden="false" customHeight="false" outlineLevel="0" collapsed="false">
      <c r="A890" s="5" t="s">
        <v>682</v>
      </c>
      <c r="B890" s="5" t="s">
        <v>304</v>
      </c>
      <c r="C890" s="17" t="n">
        <f aca="false">a25_sh</f>
        <v>4.943</v>
      </c>
      <c r="D890" s="17" t="n">
        <f aca="false">a26_sh</f>
        <v>4.9435</v>
      </c>
      <c r="E890" s="17" t="n">
        <f aca="false">D890*(1+sh_g)</f>
        <v>4.9187825</v>
      </c>
      <c r="F890" s="17" t="n">
        <f aca="false">E890*(1+sh_g)</f>
        <v>4.8941885875</v>
      </c>
      <c r="G890" s="17" t="n">
        <f aca="false">F890*(1+sh_g)</f>
        <v>4.8697176445625</v>
      </c>
    </row>
    <row r="891" customFormat="false" ht="17.15" hidden="false" customHeight="false" outlineLevel="0" collapsed="false">
      <c r="A891" s="0" t="s">
        <v>631</v>
      </c>
      <c r="B891" s="0" t="s">
        <v>354</v>
      </c>
      <c r="C891" s="19" t="n">
        <f aca="false">C889/C890</f>
        <v>6.82338660732349</v>
      </c>
      <c r="D891" s="19" t="n">
        <f aca="false">D889/D890</f>
        <v>11.6152766258724</v>
      </c>
      <c r="E891" s="19" t="n">
        <f aca="false">E889/E890</f>
        <v>17.8799783975112</v>
      </c>
      <c r="F891" s="19" t="n">
        <f aca="false">F889/F890</f>
        <v>20.5951224355154</v>
      </c>
      <c r="G891" s="19" t="n">
        <f aca="false">G889/G890</f>
        <v>23.3185141407388</v>
      </c>
    </row>
    <row r="892" customFormat="false" ht="17.15" hidden="false" customHeight="false" outlineLevel="0" collapsed="false">
      <c r="A892" s="0" t="s">
        <v>683</v>
      </c>
      <c r="B892" s="0" t="s">
        <v>46</v>
      </c>
      <c r="D892" s="16" t="n">
        <f aca="false">D891/C891-1</f>
        <v>0.702274441463682</v>
      </c>
      <c r="E892" s="16" t="n">
        <f aca="false">E891/D891-1</f>
        <v>0.5393502000361</v>
      </c>
      <c r="F892" s="16" t="n">
        <f aca="false">F891/E891-1</f>
        <v>0.151853876869451</v>
      </c>
      <c r="G892" s="16" t="n">
        <f aca="false">G891/F891-1</f>
        <v>0.132234790725354</v>
      </c>
    </row>
    <row r="895" customFormat="false" ht="17.15" hidden="false" customHeight="false" outlineLevel="0" collapsed="false">
      <c r="A895" s="3" t="s">
        <v>1067</v>
      </c>
    </row>
    <row r="896" customFormat="false" ht="17.15" hidden="false" customHeight="false" outlineLevel="0" collapsed="false">
      <c r="A896" s="6" t="s">
        <v>24</v>
      </c>
      <c r="B896" s="6" t="s">
        <v>25</v>
      </c>
      <c r="C896" s="13" t="s">
        <v>507</v>
      </c>
      <c r="D896" s="13" t="s">
        <v>621</v>
      </c>
      <c r="E896" s="13" t="s">
        <v>622</v>
      </c>
      <c r="F896" s="13" t="s">
        <v>623</v>
      </c>
      <c r="G896" s="13" t="s">
        <v>624</v>
      </c>
      <c r="H896" s="6" t="s">
        <v>480</v>
      </c>
    </row>
    <row r="897" customFormat="false" ht="17.15" hidden="false" customHeight="false" outlineLevel="0" collapsed="false">
      <c r="A897" s="1" t="s">
        <v>639</v>
      </c>
    </row>
    <row r="898" customFormat="false" ht="17.15" hidden="false" customHeight="false" outlineLevel="0" collapsed="false">
      <c r="A898" s="0" t="s">
        <v>640</v>
      </c>
      <c r="B898" s="5" t="s">
        <v>35</v>
      </c>
      <c r="D898" s="19" t="n">
        <f aca="false">u_tpu_26</f>
        <v>3.85</v>
      </c>
      <c r="E898" s="19" t="n">
        <f aca="false">u_tpu_27</f>
        <v>5.5</v>
      </c>
      <c r="F898" s="19" t="n">
        <f aca="false">u_tpu_28*um28_A</f>
        <v>7</v>
      </c>
      <c r="G898" s="19" t="n">
        <f aca="false">u_tpu_28*(1+g29_tpu)*um29_A</f>
        <v>8.05</v>
      </c>
    </row>
    <row r="899" customFormat="false" ht="17.15" hidden="false" customHeight="false" outlineLevel="0" collapsed="false">
      <c r="A899" s="5" t="s">
        <v>641</v>
      </c>
      <c r="B899" s="5" t="s">
        <v>35</v>
      </c>
      <c r="D899" s="19" t="n">
        <f aca="false">u_oth_26</f>
        <v>1</v>
      </c>
      <c r="E899" s="19" t="n">
        <f aca="false">u_oth_27</f>
        <v>4.5</v>
      </c>
      <c r="F899" s="19" t="n">
        <f aca="false">u_oth_28*um28_A</f>
        <v>5</v>
      </c>
      <c r="G899" s="19" t="n">
        <f aca="false">u_oth_28*(1+g29_oth)*um29_A</f>
        <v>5.75</v>
      </c>
    </row>
    <row r="900" customFormat="false" ht="17.15" hidden="false" customHeight="false" outlineLevel="0" collapsed="false">
      <c r="A900" s="0" t="s">
        <v>566</v>
      </c>
      <c r="B900" s="0" t="s">
        <v>46</v>
      </c>
      <c r="D900" s="16" t="n">
        <f aca="false">sh_tpu_26</f>
        <v>0.9</v>
      </c>
      <c r="E900" s="16" t="n">
        <f aca="false">MIN(1,MAX(0,sh_tpu_27+0))</f>
        <v>0.8</v>
      </c>
      <c r="F900" s="16" t="n">
        <f aca="false">MIN(1,MAX(0,sh_tpu_28+0))</f>
        <v>0.75</v>
      </c>
      <c r="G900" s="16" t="n">
        <f aca="false">MIN(1,MAX(0,sh_tpu_28+0))</f>
        <v>0.75</v>
      </c>
    </row>
    <row r="901" customFormat="false" ht="17.15" hidden="false" customHeight="false" outlineLevel="0" collapsed="false">
      <c r="A901" s="0" t="s">
        <v>578</v>
      </c>
      <c r="B901" s="0" t="s">
        <v>46</v>
      </c>
      <c r="D901" s="16" t="n">
        <f aca="false">sh_oth_26</f>
        <v>0.35</v>
      </c>
      <c r="E901" s="16" t="n">
        <f aca="false">MIN(1,MAX(0,sh_oth_27+0))</f>
        <v>0.55</v>
      </c>
      <c r="F901" s="16" t="n">
        <f aca="false">MIN(1,MAX(0,sh_oth_28+0))</f>
        <v>0.55</v>
      </c>
      <c r="G901" s="16" t="n">
        <f aca="false">MIN(1,MAX(0,sh_oth_28+0))</f>
        <v>0.55</v>
      </c>
    </row>
    <row r="902" customFormat="false" ht="17.15" hidden="false" customHeight="false" outlineLevel="0" collapsed="false">
      <c r="A902" s="0" t="s">
        <v>568</v>
      </c>
      <c r="B902" s="5" t="s">
        <v>35</v>
      </c>
      <c r="D902" s="19" t="n">
        <f aca="false">D898*D900</f>
        <v>3.465</v>
      </c>
      <c r="E902" s="19" t="n">
        <f aca="false">E898*E900*1</f>
        <v>4.4</v>
      </c>
      <c r="F902" s="19" t="n">
        <f aca="false">F898*F900*1</f>
        <v>5.25</v>
      </c>
      <c r="G902" s="19" t="n">
        <f aca="false">G898*G900*1</f>
        <v>6.0375</v>
      </c>
    </row>
    <row r="903" customFormat="false" ht="17.15" hidden="false" customHeight="false" outlineLevel="0" collapsed="false">
      <c r="A903" s="0" t="s">
        <v>579</v>
      </c>
      <c r="B903" s="5" t="s">
        <v>35</v>
      </c>
      <c r="D903" s="19" t="n">
        <f aca="false">D899*D901</f>
        <v>0.35</v>
      </c>
      <c r="E903" s="19" t="n">
        <f aca="false">E899*E901*1</f>
        <v>2.475</v>
      </c>
      <c r="F903" s="19" t="n">
        <f aca="false">F899*F901*1</f>
        <v>2.75</v>
      </c>
      <c r="G903" s="19" t="n">
        <f aca="false">G899*G901*1</f>
        <v>3.1625</v>
      </c>
    </row>
    <row r="904" customFormat="false" ht="17.15" hidden="false" customHeight="false" outlineLevel="0" collapsed="false">
      <c r="A904" s="5" t="s">
        <v>570</v>
      </c>
      <c r="B904" s="0" t="s">
        <v>151</v>
      </c>
      <c r="D904" s="20" t="n">
        <f aca="false">gb_tpu_26</f>
        <v>192</v>
      </c>
      <c r="E904" s="20" t="n">
        <f aca="false">gb_tpu_27</f>
        <v>250</v>
      </c>
      <c r="F904" s="20" t="n">
        <f aca="false">gb_tpu_28</f>
        <v>288</v>
      </c>
      <c r="G904" s="20" t="n">
        <f aca="false">gb_tpu_28</f>
        <v>288</v>
      </c>
    </row>
    <row r="905" customFormat="false" ht="17.15" hidden="false" customHeight="false" outlineLevel="0" collapsed="false">
      <c r="A905" s="5" t="s">
        <v>580</v>
      </c>
      <c r="B905" s="0" t="s">
        <v>151</v>
      </c>
      <c r="D905" s="20" t="n">
        <f aca="false">gb_oth_26</f>
        <v>150</v>
      </c>
      <c r="E905" s="20" t="n">
        <f aca="false">gb_oth_27</f>
        <v>200</v>
      </c>
      <c r="F905" s="20" t="n">
        <f aca="false">gb_oth_28</f>
        <v>250</v>
      </c>
      <c r="G905" s="20" t="n">
        <f aca="false">gb_oth_28</f>
        <v>250</v>
      </c>
    </row>
    <row r="906" customFormat="false" ht="17.15" hidden="false" customHeight="false" outlineLevel="0" collapsed="false">
      <c r="A906" s="0" t="s">
        <v>642</v>
      </c>
      <c r="B906" s="0" t="s">
        <v>210</v>
      </c>
      <c r="D906" s="19" t="n">
        <f aca="false">hbm_A_26</f>
        <v>14.6</v>
      </c>
      <c r="E906" s="19" t="n">
        <f aca="false">hbm_A_27</f>
        <v>26.28</v>
      </c>
      <c r="F906" s="19" t="n">
        <f aca="false">hbm_A_28</f>
        <v>28.908</v>
      </c>
      <c r="G906" s="19" t="n">
        <f aca="false">hbm_A_29</f>
        <v>27.4626</v>
      </c>
    </row>
    <row r="907" customFormat="false" ht="17.15" hidden="false" customHeight="false" outlineLevel="0" collapsed="false">
      <c r="A907" s="5" t="s">
        <v>643</v>
      </c>
      <c r="B907" s="0" t="s">
        <v>188</v>
      </c>
      <c r="D907" s="19" t="n">
        <f aca="false">core_tpu</f>
        <v>8</v>
      </c>
      <c r="E907" s="19" t="n">
        <f aca="false">core_tpu*1</f>
        <v>8</v>
      </c>
      <c r="F907" s="19" t="n">
        <f aca="false">core_tpu*1</f>
        <v>8</v>
      </c>
      <c r="G907" s="19" t="n">
        <f aca="false">core_tpu*1</f>
        <v>8</v>
      </c>
    </row>
    <row r="908" customFormat="false" ht="17.15" hidden="false" customHeight="false" outlineLevel="0" collapsed="false">
      <c r="A908" s="5" t="s">
        <v>644</v>
      </c>
      <c r="B908" s="0" t="s">
        <v>188</v>
      </c>
      <c r="D908" s="19" t="n">
        <f aca="false">core_oth</f>
        <v>6</v>
      </c>
      <c r="E908" s="19" t="n">
        <f aca="false">core_oth*1</f>
        <v>6</v>
      </c>
      <c r="F908" s="19" t="n">
        <f aca="false">core_oth*1</f>
        <v>6</v>
      </c>
      <c r="G908" s="19" t="n">
        <f aca="false">core_oth*1</f>
        <v>6</v>
      </c>
    </row>
    <row r="909" customFormat="false" ht="17.15" hidden="false" customHeight="false" outlineLevel="0" collapsed="false">
      <c r="A909" s="5" t="s">
        <v>645</v>
      </c>
      <c r="B909" s="0" t="s">
        <v>188</v>
      </c>
      <c r="D909" s="19" t="n">
        <f aca="false">D904*D906/1000</f>
        <v>2.8032</v>
      </c>
      <c r="E909" s="19" t="n">
        <f aca="false">E904*E906/1000</f>
        <v>6.57</v>
      </c>
      <c r="F909" s="19" t="n">
        <f aca="false">F904*F906/1000</f>
        <v>8.325504</v>
      </c>
      <c r="G909" s="19" t="n">
        <f aca="false">G904*G906/1000</f>
        <v>7.9092288</v>
      </c>
    </row>
    <row r="910" customFormat="false" ht="17.15" hidden="false" customHeight="false" outlineLevel="0" collapsed="false">
      <c r="A910" s="5" t="s">
        <v>646</v>
      </c>
      <c r="B910" s="0" t="s">
        <v>188</v>
      </c>
      <c r="D910" s="19" t="n">
        <f aca="false">D905*D906/1000</f>
        <v>2.19</v>
      </c>
      <c r="E910" s="19" t="n">
        <f aca="false">E905*E906/1000</f>
        <v>5.256</v>
      </c>
      <c r="F910" s="19" t="n">
        <f aca="false">F905*F906/1000</f>
        <v>7.227</v>
      </c>
      <c r="G910" s="19" t="n">
        <f aca="false">G905*G906/1000</f>
        <v>6.86565</v>
      </c>
    </row>
    <row r="911" customFormat="false" ht="17.15" hidden="false" customHeight="false" outlineLevel="0" collapsed="false">
      <c r="A911" s="5" t="s">
        <v>647</v>
      </c>
      <c r="B911" s="0" t="s">
        <v>188</v>
      </c>
      <c r="D911" s="19" t="n">
        <f aca="false">D907+f_hbm*D909</f>
        <v>9.68192</v>
      </c>
      <c r="E911" s="19" t="n">
        <f aca="false">E907+f_hbm*E909</f>
        <v>11.942</v>
      </c>
      <c r="F911" s="19" t="n">
        <f aca="false">F907+f_hbm*F909</f>
        <v>12.9953024</v>
      </c>
      <c r="G911" s="19" t="n">
        <f aca="false">G907+f_hbm*G909</f>
        <v>12.74553728</v>
      </c>
      <c r="H911" s="5" t="s">
        <v>648</v>
      </c>
    </row>
    <row r="912" customFormat="false" ht="17.15" hidden="false" customHeight="false" outlineLevel="0" collapsed="false">
      <c r="A912" s="5" t="s">
        <v>649</v>
      </c>
      <c r="B912" s="0" t="s">
        <v>188</v>
      </c>
      <c r="D912" s="19" t="n">
        <f aca="false">D908+f_hbm*D910</f>
        <v>7.314</v>
      </c>
      <c r="E912" s="19" t="n">
        <f aca="false">E908+f_hbm*E910</f>
        <v>9.1536</v>
      </c>
      <c r="F912" s="19" t="n">
        <f aca="false">F908+f_hbm*F910</f>
        <v>10.3362</v>
      </c>
      <c r="G912" s="19" t="n">
        <f aca="false">G908+f_hbm*G910</f>
        <v>10.11939</v>
      </c>
    </row>
    <row r="913" customFormat="false" ht="17.15" hidden="false" customHeight="false" outlineLevel="0" collapsed="false">
      <c r="A913" s="0" t="s">
        <v>650</v>
      </c>
      <c r="B913" s="0" t="s">
        <v>241</v>
      </c>
      <c r="D913" s="22" t="n">
        <f aca="false">D902*D911+D903*D912</f>
        <v>36.1077528</v>
      </c>
      <c r="E913" s="22" t="n">
        <f aca="false">E902*E911+E903*E912</f>
        <v>75.19996</v>
      </c>
      <c r="F913" s="22" t="n">
        <f aca="false">F902*F911+F903*F912</f>
        <v>96.6498876</v>
      </c>
      <c r="G913" s="22" t="n">
        <f aca="false">G902*G911+G903*G912</f>
        <v>108.953752203</v>
      </c>
    </row>
    <row r="914" customFormat="false" ht="17.15" hidden="false" customHeight="false" outlineLevel="0" collapsed="false">
      <c r="A914" s="0" t="s">
        <v>651</v>
      </c>
      <c r="B914" s="0" t="s">
        <v>131</v>
      </c>
      <c r="D914" s="17" t="n">
        <f aca="false">a26_xpu/D913</f>
        <v>1.10779533197646</v>
      </c>
      <c r="H914" s="8" t="s">
        <v>652</v>
      </c>
    </row>
    <row r="915" customFormat="false" ht="17.15" hidden="false" customHeight="false" outlineLevel="0" collapsed="false">
      <c r="A915" s="0" t="s">
        <v>653</v>
      </c>
      <c r="B915" s="0" t="s">
        <v>241</v>
      </c>
      <c r="D915" s="22" t="n">
        <f aca="false">D913*$D$914</f>
        <v>40</v>
      </c>
      <c r="E915" s="22" t="n">
        <f aca="false">E913*$D$914</f>
        <v>83.3061646528166</v>
      </c>
      <c r="F915" s="22" t="n">
        <f aca="false">F913*$D$914</f>
        <v>107.06829431933</v>
      </c>
      <c r="G915" s="22" t="n">
        <f aca="false">G913*$D$914</f>
        <v>120.698458091803</v>
      </c>
    </row>
    <row r="916" customFormat="false" ht="17.15" hidden="false" customHeight="false" outlineLevel="0" collapsed="false">
      <c r="A916" s="5" t="s">
        <v>654</v>
      </c>
      <c r="B916" s="0" t="s">
        <v>241</v>
      </c>
      <c r="D916" s="22" t="n">
        <f aca="false">$D$914*f_hbm*(D902*D909+D903*D910)</f>
        <v>6.96554320046192</v>
      </c>
      <c r="E916" s="22" t="n">
        <f aca="false">$D$914*f_hbm*(E902*E909+E903*E910)</f>
        <v>27.8610082873947</v>
      </c>
      <c r="F916" s="22" t="n">
        <f aca="false">$D$914*f_hbm*(F902*F909+F903*F910)</f>
        <v>42.2622673987067</v>
      </c>
      <c r="G916" s="22" t="n">
        <f aca="false">$D$914*f_hbm*(G902*G909+G903*G910)</f>
        <v>46.171527133087</v>
      </c>
    </row>
    <row r="917" customFormat="false" ht="15" hidden="false" customHeight="false" outlineLevel="0" collapsed="false">
      <c r="A917" s="5" t="s">
        <v>655</v>
      </c>
      <c r="B917" s="0" t="s">
        <v>241</v>
      </c>
      <c r="D917" s="22" t="n">
        <f aca="false">D915-D916</f>
        <v>33.0344567995381</v>
      </c>
      <c r="E917" s="22" t="n">
        <f aca="false">E915-E916</f>
        <v>55.4451563654219</v>
      </c>
      <c r="F917" s="22" t="n">
        <f aca="false">F915-F916</f>
        <v>64.806026920623</v>
      </c>
      <c r="G917" s="22" t="n">
        <f aca="false">G915-G916</f>
        <v>74.5269309587164</v>
      </c>
    </row>
    <row r="918" customFormat="false" ht="17.15" hidden="false" customHeight="false" outlineLevel="0" collapsed="false">
      <c r="A918" s="0" t="s">
        <v>656</v>
      </c>
      <c r="B918" s="5" t="s">
        <v>35</v>
      </c>
      <c r="D918" s="19" t="n">
        <f aca="false">D902+D903</f>
        <v>3.815</v>
      </c>
      <c r="E918" s="19" t="n">
        <f aca="false">E902+E903</f>
        <v>6.875</v>
      </c>
      <c r="F918" s="19" t="n">
        <f aca="false">F902+F903</f>
        <v>8</v>
      </c>
      <c r="G918" s="19" t="n">
        <f aca="false">G902+G903</f>
        <v>9.2</v>
      </c>
    </row>
    <row r="919" customFormat="false" ht="17.15" hidden="false" customHeight="false" outlineLevel="0" collapsed="false">
      <c r="A919" s="1" t="s">
        <v>657</v>
      </c>
    </row>
    <row r="920" customFormat="false" ht="17.15" hidden="false" customHeight="false" outlineLevel="0" collapsed="false">
      <c r="A920" s="0" t="s">
        <v>658</v>
      </c>
      <c r="B920" s="0" t="s">
        <v>241</v>
      </c>
      <c r="D920" s="22" t="n">
        <f aca="false">net_26*1</f>
        <v>12.6075726</v>
      </c>
      <c r="E920" s="22" t="n">
        <f aca="false">net_27*1*1</f>
        <v>26.959549</v>
      </c>
      <c r="F920" s="22" t="n">
        <f aca="false">net_28*um28_A*1</f>
        <v>32.094922</v>
      </c>
      <c r="G920" s="22" t="n">
        <f aca="false">net_29*um29_A*1</f>
        <v>37.8328169</v>
      </c>
    </row>
    <row r="921" customFormat="false" ht="17.15" hidden="false" customHeight="false" outlineLevel="0" collapsed="false">
      <c r="A921" s="5" t="s">
        <v>659</v>
      </c>
      <c r="B921" s="0" t="s">
        <v>131</v>
      </c>
      <c r="D921" s="17" t="n">
        <f aca="false">a26_net/D920</f>
        <v>1.39598640899359</v>
      </c>
      <c r="H921" s="8" t="s">
        <v>660</v>
      </c>
    </row>
    <row r="922" customFormat="false" ht="17.15" hidden="false" customHeight="false" outlineLevel="0" collapsed="false">
      <c r="A922" s="0" t="s">
        <v>661</v>
      </c>
      <c r="B922" s="0" t="s">
        <v>241</v>
      </c>
      <c r="D922" s="22" t="n">
        <f aca="false">D920*$D$921</f>
        <v>17.6</v>
      </c>
      <c r="E922" s="22" t="n">
        <f aca="false">E920*$D$921</f>
        <v>37.6351639965968</v>
      </c>
      <c r="F922" s="22" t="n">
        <f aca="false">F920*$D$921</f>
        <v>44.8040749097094</v>
      </c>
      <c r="G922" s="22" t="n">
        <f aca="false">G920*$D$921</f>
        <v>52.8140982063431</v>
      </c>
    </row>
    <row r="923" customFormat="false" ht="17.15" hidden="false" customHeight="false" outlineLevel="0" collapsed="false">
      <c r="A923" s="0" t="s">
        <v>522</v>
      </c>
      <c r="B923" s="0" t="s">
        <v>241</v>
      </c>
      <c r="C923" s="22" t="n">
        <f aca="false">a25_ai</f>
        <v>20.2797202797203</v>
      </c>
      <c r="D923" s="22" t="n">
        <f aca="false">D915+D922</f>
        <v>57.6</v>
      </c>
      <c r="E923" s="22" t="n">
        <f aca="false">E915+E922</f>
        <v>120.941328649413</v>
      </c>
      <c r="F923" s="22" t="n">
        <f aca="false">F915+F922</f>
        <v>151.872369229039</v>
      </c>
      <c r="G923" s="22" t="n">
        <f aca="false">G915+G922</f>
        <v>173.512556298147</v>
      </c>
    </row>
    <row r="924" customFormat="false" ht="15" hidden="false" customHeight="false" outlineLevel="0" collapsed="false">
      <c r="A924" s="0" t="s">
        <v>662</v>
      </c>
      <c r="B924" s="0" t="s">
        <v>46</v>
      </c>
      <c r="D924" s="16" t="n">
        <f aca="false">D915/D923</f>
        <v>0.694444444444444</v>
      </c>
      <c r="E924" s="16" t="n">
        <f aca="false">E915/E923</f>
        <v>0.688814697036328</v>
      </c>
      <c r="F924" s="16" t="n">
        <f aca="false">F915/F923</f>
        <v>0.704988635278743</v>
      </c>
      <c r="G924" s="16" t="n">
        <f aca="false">G915/G923</f>
        <v>0.69561800406195</v>
      </c>
    </row>
    <row r="925" customFormat="false" ht="17.15" hidden="false" customHeight="false" outlineLevel="0" collapsed="false">
      <c r="A925" s="5" t="s">
        <v>663</v>
      </c>
      <c r="B925" s="0" t="s">
        <v>241</v>
      </c>
      <c r="C925" s="22" t="n">
        <f aca="false">a25_nai</f>
        <v>16.5782797202797</v>
      </c>
      <c r="D925" s="22" t="n">
        <f aca="false">a26_nai</f>
        <v>16.863</v>
      </c>
      <c r="E925" s="22" t="n">
        <f aca="false">D925*(1+g_nai)</f>
        <v>17.36889</v>
      </c>
      <c r="F925" s="22" t="n">
        <f aca="false">E925*(1+g_nai)</f>
        <v>17.8899567</v>
      </c>
      <c r="G925" s="22" t="n">
        <f aca="false">F925*(1+g_nai)</f>
        <v>18.426655401</v>
      </c>
    </row>
    <row r="926" customFormat="false" ht="15" hidden="false" customHeight="false" outlineLevel="0" collapsed="false">
      <c r="A926" s="5" t="s">
        <v>664</v>
      </c>
      <c r="B926" s="0" t="s">
        <v>241</v>
      </c>
      <c r="C926" s="22" t="n">
        <f aca="false">a25_sw</f>
        <v>27.029</v>
      </c>
      <c r="D926" s="22" t="n">
        <f aca="false">a26_sw</f>
        <v>31.426</v>
      </c>
      <c r="E926" s="22" t="n">
        <f aca="false">D926*(1+g_sw27_hi)</f>
        <v>37.08268</v>
      </c>
      <c r="F926" s="22" t="n">
        <f aca="false">E926*(1+g_sw_hi)</f>
        <v>41.5326016</v>
      </c>
      <c r="G926" s="22" t="n">
        <f aca="false">F926*(1+g_sw_hi)</f>
        <v>46.516513792</v>
      </c>
    </row>
    <row r="927" customFormat="false" ht="17.15" hidden="false" customHeight="false" outlineLevel="0" collapsed="false">
      <c r="A927" s="1" t="s">
        <v>665</v>
      </c>
    </row>
    <row r="928" customFormat="false" ht="15" hidden="false" customHeight="false" outlineLevel="0" collapsed="false">
      <c r="A928" s="5" t="s">
        <v>514</v>
      </c>
      <c r="B928" s="0" t="s">
        <v>241</v>
      </c>
      <c r="C928" s="22" t="n">
        <f aca="false">a25_rev</f>
        <v>63.887</v>
      </c>
      <c r="D928" s="22" t="n">
        <f aca="false">a26_rev</f>
        <v>105.889</v>
      </c>
      <c r="E928" s="22" t="n">
        <f aca="false">E923+E925+E926</f>
        <v>175.392898649413</v>
      </c>
      <c r="F928" s="22" t="n">
        <f aca="false">F923+F925+F926</f>
        <v>211.294927529039</v>
      </c>
      <c r="G928" s="22" t="n">
        <f aca="false">G923+G925+G926</f>
        <v>238.455725491147</v>
      </c>
    </row>
    <row r="929" customFormat="false" ht="17.15" hidden="false" customHeight="false" outlineLevel="0" collapsed="false">
      <c r="A929" s="5" t="s">
        <v>666</v>
      </c>
      <c r="B929" s="0" t="s">
        <v>241</v>
      </c>
      <c r="D929" s="22" t="n">
        <f aca="false">D923+D925+D926</f>
        <v>105.889</v>
      </c>
      <c r="E929" s="22" t="n">
        <f aca="false">E923+E925+E926</f>
        <v>175.392898649413</v>
      </c>
      <c r="F929" s="22" t="n">
        <f aca="false">F923+F925+F926</f>
        <v>211.294927529039</v>
      </c>
      <c r="G929" s="22" t="n">
        <f aca="false">G923+G925+G926</f>
        <v>238.455725491147</v>
      </c>
    </row>
    <row r="930" customFormat="false" ht="17.15" hidden="false" customHeight="false" outlineLevel="0" collapsed="false">
      <c r="A930" s="5" t="s">
        <v>667</v>
      </c>
      <c r="B930" s="0" t="s">
        <v>241</v>
      </c>
      <c r="C930" s="22" t="n">
        <f aca="false">C923+C925</f>
        <v>36.858</v>
      </c>
      <c r="D930" s="22" t="n">
        <f aca="false">D923+D925</f>
        <v>74.463</v>
      </c>
      <c r="E930" s="22" t="n">
        <f aca="false">E923+E925</f>
        <v>138.310218649413</v>
      </c>
      <c r="F930" s="22" t="n">
        <f aca="false">F923+F925</f>
        <v>169.762325929039</v>
      </c>
      <c r="G930" s="22" t="n">
        <f aca="false">G923+G925</f>
        <v>191.939211699147</v>
      </c>
      <c r="H930" s="5" t="s">
        <v>668</v>
      </c>
    </row>
    <row r="931" customFormat="false" ht="17.15" hidden="false" customHeight="false" outlineLevel="0" collapsed="false">
      <c r="A931" s="5" t="s">
        <v>669</v>
      </c>
      <c r="B931" s="0" t="s">
        <v>241</v>
      </c>
      <c r="C931" s="17" t="n">
        <f aca="false">C930+C926-C928</f>
        <v>0</v>
      </c>
      <c r="D931" s="17" t="n">
        <f aca="false">D930+D926-D928</f>
        <v>0</v>
      </c>
      <c r="E931" s="17" t="n">
        <f aca="false">E930+E926-E928</f>
        <v>0</v>
      </c>
      <c r="F931" s="17" t="n">
        <f aca="false">F930+F926-F928</f>
        <v>0</v>
      </c>
      <c r="G931" s="17" t="n">
        <f aca="false">G930+G926-G928</f>
        <v>0</v>
      </c>
    </row>
    <row r="932" customFormat="false" ht="15" hidden="false" customHeight="false" outlineLevel="0" collapsed="false">
      <c r="A932" s="5" t="s">
        <v>670</v>
      </c>
      <c r="B932" s="0" t="s">
        <v>46</v>
      </c>
      <c r="D932" s="16" t="n">
        <f aca="false">D928/C928-1</f>
        <v>0.657442046112668</v>
      </c>
      <c r="E932" s="16" t="n">
        <f aca="false">E928/D928-1</f>
        <v>0.656384503106209</v>
      </c>
      <c r="F932" s="16" t="n">
        <f aca="false">F928/E928-1</f>
        <v>0.20469488306587</v>
      </c>
      <c r="G932" s="16" t="n">
        <f aca="false">G928/F928-1</f>
        <v>0.128544486513405</v>
      </c>
    </row>
    <row r="933" customFormat="false" ht="17.15" hidden="false" customHeight="false" outlineLevel="0" collapsed="false">
      <c r="A933" s="0" t="s">
        <v>671</v>
      </c>
      <c r="B933" s="0" t="s">
        <v>46</v>
      </c>
      <c r="C933" s="16" t="n">
        <f aca="false">C923/C928</f>
        <v>0.317431093645347</v>
      </c>
      <c r="D933" s="16" t="n">
        <f aca="false">D923/D928</f>
        <v>0.543965851032685</v>
      </c>
      <c r="E933" s="16" t="n">
        <f aca="false">E923/E928</f>
        <v>0.689545184444204</v>
      </c>
      <c r="F933" s="16" t="n">
        <f aca="false">F923/F928</f>
        <v>0.71876959378576</v>
      </c>
      <c r="G933" s="16" t="n">
        <f aca="false">G923/G928</f>
        <v>0.727651038534568</v>
      </c>
    </row>
    <row r="934" customFormat="false" ht="17.15" hidden="false" customHeight="false" outlineLevel="0" collapsed="false">
      <c r="A934" s="5" t="s">
        <v>672</v>
      </c>
      <c r="B934" s="0" t="s">
        <v>241</v>
      </c>
      <c r="D934" s="22" t="n">
        <f aca="false">gm_net*D922+gm_nai*D925+gm_sw*D926+m_hbm*D916</f>
        <v>53.5556843200462</v>
      </c>
      <c r="E934" s="22" t="n">
        <f aca="false">gm_net*E922+gm_nai*E925+gm_sw*E926+m_hbm*E916</f>
        <v>75.6600898062892</v>
      </c>
      <c r="F934" s="22" t="n">
        <f aca="false">gm_net*F922+gm_nai*F925+gm_sw*F926+m_hbm*F916</f>
        <v>86.7389520178615</v>
      </c>
      <c r="G934" s="22" t="n">
        <f aca="false">gm_net*G922+gm_nai*G925+gm_sw*G926+m_hbm*G916</f>
        <v>97.8809872590857</v>
      </c>
    </row>
    <row r="935" customFormat="false" ht="17.15" hidden="false" customHeight="false" outlineLevel="0" collapsed="false">
      <c r="A935" s="0" t="s">
        <v>673</v>
      </c>
      <c r="B935" s="0" t="s">
        <v>131</v>
      </c>
      <c r="D935" s="17" t="n">
        <f aca="false">(a26_gp-D934)/D917</f>
        <v>0.787550884757324</v>
      </c>
      <c r="H935" s="8" t="s">
        <v>674</v>
      </c>
    </row>
    <row r="936" customFormat="false" ht="15" hidden="false" customHeight="false" outlineLevel="0" collapsed="false">
      <c r="A936" s="5" t="s">
        <v>675</v>
      </c>
      <c r="B936" s="0" t="s">
        <v>241</v>
      </c>
      <c r="C936" s="22" t="n">
        <f aca="false">a25_gp</f>
        <v>50.245</v>
      </c>
      <c r="D936" s="22" t="n">
        <f aca="false">a26_gp</f>
        <v>79.572</v>
      </c>
      <c r="E936" s="22" t="n">
        <f aca="false">E934+$D$935*E917</f>
        <v>119.325971757385</v>
      </c>
      <c r="F936" s="22" t="n">
        <f aca="false">F934+$D$935*F917</f>
        <v>137.776995856805</v>
      </c>
      <c r="G936" s="22" t="n">
        <f aca="false">G934+$D$935*G917</f>
        <v>156.574737673871</v>
      </c>
    </row>
    <row r="937" customFormat="false" ht="15" hidden="false" customHeight="false" outlineLevel="0" collapsed="false">
      <c r="A937" s="5" t="s">
        <v>533</v>
      </c>
      <c r="B937" s="0" t="s">
        <v>46</v>
      </c>
      <c r="C937" s="16" t="n">
        <f aca="false">C936/C928</f>
        <v>0.786466730320723</v>
      </c>
      <c r="D937" s="16" t="n">
        <f aca="false">D936/D928</f>
        <v>0.751466157957862</v>
      </c>
      <c r="E937" s="16" t="n">
        <f aca="false">E936/E928</f>
        <v>0.680335251177425</v>
      </c>
      <c r="F937" s="16" t="n">
        <f aca="false">F936/F928</f>
        <v>0.652060120268954</v>
      </c>
      <c r="G937" s="16" t="n">
        <f aca="false">G936/G928</f>
        <v>0.656619745033902</v>
      </c>
    </row>
    <row r="938" customFormat="false" ht="17.15" hidden="false" customHeight="false" outlineLevel="0" collapsed="false">
      <c r="A938" s="5" t="s">
        <v>676</v>
      </c>
      <c r="B938" s="0" t="s">
        <v>46</v>
      </c>
      <c r="D938" s="16" t="n">
        <f aca="false">D916/D928</f>
        <v>0.0657815561622258</v>
      </c>
      <c r="E938" s="16" t="n">
        <f aca="false">E916/E928</f>
        <v>0.158849123892325</v>
      </c>
      <c r="F938" s="16" t="n">
        <f aca="false">F916/F928</f>
        <v>0.200015532284363</v>
      </c>
      <c r="G938" s="16" t="n">
        <f aca="false">G916/G928</f>
        <v>0.193627253185</v>
      </c>
    </row>
    <row r="939" customFormat="false" ht="15" hidden="false" customHeight="false" outlineLevel="0" collapsed="false">
      <c r="A939" s="5" t="s">
        <v>677</v>
      </c>
      <c r="B939" s="0" t="s">
        <v>241</v>
      </c>
      <c r="C939" s="24" t="n">
        <f aca="false">a25_opx</f>
        <v>8.248</v>
      </c>
      <c r="D939" s="24" t="n">
        <f aca="false">a26_opx</f>
        <v>8.755</v>
      </c>
      <c r="E939" s="24" t="n">
        <f aca="false">D939*(1+MAX(g_opx_min,phi*E932))</f>
        <v>9.32966463246948</v>
      </c>
      <c r="F939" s="24" t="n">
        <f aca="false">E939*(1+MAX(g_opx_min,phi*F932))</f>
        <v>9.60955457144357</v>
      </c>
      <c r="G939" s="24" t="n">
        <f aca="false">F939*(1+MAX(g_opx_min,phi*G932))</f>
        <v>9.89784120858687</v>
      </c>
    </row>
    <row r="940" customFormat="false" ht="15" hidden="false" customHeight="false" outlineLevel="0" collapsed="false">
      <c r="A940" s="5" t="s">
        <v>678</v>
      </c>
      <c r="B940" s="0" t="s">
        <v>241</v>
      </c>
      <c r="C940" s="24" t="n">
        <f aca="false">C939</f>
        <v>8.248</v>
      </c>
      <c r="D940" s="24" t="n">
        <f aca="false">D939</f>
        <v>8.755</v>
      </c>
      <c r="E940" s="24" t="n">
        <f aca="false">E939+0*E928</f>
        <v>9.32966463246948</v>
      </c>
      <c r="F940" s="24" t="n">
        <f aca="false">F939+0*F928</f>
        <v>9.60955457144357</v>
      </c>
      <c r="G940" s="24" t="n">
        <f aca="false">G939+0*G928</f>
        <v>9.89784120858687</v>
      </c>
    </row>
    <row r="941" customFormat="false" ht="15" hidden="false" customHeight="false" outlineLevel="0" collapsed="false">
      <c r="A941" s="5" t="s">
        <v>679</v>
      </c>
      <c r="B941" s="0" t="s">
        <v>241</v>
      </c>
      <c r="C941" s="22" t="n">
        <f aca="false">C936-C940</f>
        <v>41.997</v>
      </c>
      <c r="D941" s="22" t="n">
        <f aca="false">D936-D940</f>
        <v>70.817</v>
      </c>
      <c r="E941" s="22" t="n">
        <f aca="false">E936-E940</f>
        <v>109.996307124916</v>
      </c>
      <c r="F941" s="22" t="n">
        <f aca="false">F936-F940</f>
        <v>128.167441285362</v>
      </c>
      <c r="G941" s="22" t="n">
        <f aca="false">G936-G940</f>
        <v>146.676896465284</v>
      </c>
    </row>
    <row r="942" customFormat="false" ht="15" hidden="false" customHeight="false" outlineLevel="0" collapsed="false">
      <c r="A942" s="5" t="s">
        <v>538</v>
      </c>
      <c r="B942" s="0" t="s">
        <v>46</v>
      </c>
      <c r="C942" s="16" t="n">
        <f aca="false">C941/C928</f>
        <v>0.657363782929235</v>
      </c>
      <c r="D942" s="16" t="n">
        <f aca="false">D941/D928</f>
        <v>0.66878523737121</v>
      </c>
      <c r="E942" s="16" t="n">
        <f aca="false">E941/E928</f>
        <v>0.627142307196733</v>
      </c>
      <c r="F942" s="16" t="n">
        <f aca="false">F941/F928</f>
        <v>0.606580776851574</v>
      </c>
      <c r="G942" s="16" t="n">
        <f aca="false">G941/G928</f>
        <v>0.615111657156372</v>
      </c>
    </row>
    <row r="943" customFormat="false" ht="15" hidden="false" customHeight="false" outlineLevel="0" collapsed="false">
      <c r="A943" s="5" t="s">
        <v>680</v>
      </c>
      <c r="B943" s="0" t="s">
        <v>241</v>
      </c>
      <c r="C943" s="19" t="n">
        <f aca="false">a25_int</f>
        <v>3.072</v>
      </c>
      <c r="D943" s="19" t="n">
        <f aca="false">a26_int</f>
        <v>2.894</v>
      </c>
      <c r="E943" s="19" t="n">
        <f aca="false">int_f</f>
        <v>2.8</v>
      </c>
      <c r="F943" s="19" t="n">
        <f aca="false">int_f</f>
        <v>2.8</v>
      </c>
      <c r="G943" s="19" t="n">
        <f aca="false">int_f</f>
        <v>2.8</v>
      </c>
    </row>
    <row r="944" customFormat="false" ht="15" hidden="false" customHeight="false" outlineLevel="0" collapsed="false">
      <c r="A944" s="5" t="s">
        <v>681</v>
      </c>
      <c r="B944" s="0" t="s">
        <v>241</v>
      </c>
      <c r="C944" s="19" t="n">
        <f aca="false">a25_oth</f>
        <v>0.294</v>
      </c>
      <c r="D944" s="19" t="n">
        <f aca="false">a26_oth</f>
        <v>0.434</v>
      </c>
      <c r="E944" s="19" t="n">
        <f aca="false">oth_f</f>
        <v>0.4</v>
      </c>
      <c r="F944" s="19" t="n">
        <f aca="false">oth_f</f>
        <v>0.4</v>
      </c>
      <c r="G944" s="19" t="n">
        <f aca="false">oth_f</f>
        <v>0.4</v>
      </c>
    </row>
    <row r="945" customFormat="false" ht="15" hidden="false" customHeight="false" outlineLevel="0" collapsed="false">
      <c r="A945" s="5" t="s">
        <v>543</v>
      </c>
      <c r="B945" s="0" t="s">
        <v>46</v>
      </c>
      <c r="C945" s="16" t="n">
        <f aca="false">a25_tax/(a25_oi-a25_int+a25_oth)</f>
        <v>0.140008669267447</v>
      </c>
      <c r="D945" s="16" t="n">
        <f aca="false">a26_tax/(a26_oi-a26_int+a26_oth)</f>
        <v>0.159996489020876</v>
      </c>
      <c r="E945" s="16" t="n">
        <f aca="false">tx_f</f>
        <v>0.16</v>
      </c>
      <c r="F945" s="16" t="n">
        <f aca="false">tx_f</f>
        <v>0.16</v>
      </c>
      <c r="G945" s="16" t="n">
        <f aca="false">tx_f</f>
        <v>0.16</v>
      </c>
    </row>
    <row r="946" customFormat="false" ht="17.15" hidden="false" customHeight="false" outlineLevel="0" collapsed="false">
      <c r="A946" s="5" t="s">
        <v>630</v>
      </c>
      <c r="B946" s="0" t="s">
        <v>241</v>
      </c>
      <c r="C946" s="22" t="n">
        <f aca="false">a25_ni</f>
        <v>33.728</v>
      </c>
      <c r="D946" s="22" t="n">
        <f aca="false">a26_ni</f>
        <v>57.42012</v>
      </c>
      <c r="E946" s="22" t="n">
        <f aca="false">(E941-E943+E944)*(1-E945)</f>
        <v>90.3808979849294</v>
      </c>
      <c r="F946" s="22" t="n">
        <f aca="false">(F941-F943+F944)*(1-F945)</f>
        <v>105.644650679704</v>
      </c>
      <c r="G946" s="22" t="n">
        <f aca="false">(G941-G943+G944)*(1-G945)</f>
        <v>121.192593030839</v>
      </c>
    </row>
    <row r="947" customFormat="false" ht="15" hidden="false" customHeight="false" outlineLevel="0" collapsed="false">
      <c r="A947" s="5" t="s">
        <v>682</v>
      </c>
      <c r="B947" s="5" t="s">
        <v>304</v>
      </c>
      <c r="C947" s="17" t="n">
        <f aca="false">a25_sh</f>
        <v>4.943</v>
      </c>
      <c r="D947" s="17" t="n">
        <f aca="false">a26_sh</f>
        <v>4.9435</v>
      </c>
      <c r="E947" s="17" t="n">
        <f aca="false">D947*(1+sh_g)</f>
        <v>4.9187825</v>
      </c>
      <c r="F947" s="17" t="n">
        <f aca="false">E947*(1+sh_g)</f>
        <v>4.8941885875</v>
      </c>
      <c r="G947" s="17" t="n">
        <f aca="false">F947*(1+sh_g)</f>
        <v>4.8697176445625</v>
      </c>
    </row>
    <row r="948" customFormat="false" ht="17.15" hidden="false" customHeight="false" outlineLevel="0" collapsed="false">
      <c r="A948" s="0" t="s">
        <v>631</v>
      </c>
      <c r="B948" s="0" t="s">
        <v>354</v>
      </c>
      <c r="C948" s="19" t="n">
        <f aca="false">C946/C947</f>
        <v>6.82338660732349</v>
      </c>
      <c r="D948" s="19" t="n">
        <f aca="false">D946/D947</f>
        <v>11.6152766258724</v>
      </c>
      <c r="E948" s="19" t="n">
        <f aca="false">E946/E947</f>
        <v>18.3746481949404</v>
      </c>
      <c r="F948" s="19" t="n">
        <f aca="false">F946/F947</f>
        <v>21.5857335268047</v>
      </c>
      <c r="G948" s="19" t="n">
        <f aca="false">G946/G947</f>
        <v>24.8869856276291</v>
      </c>
    </row>
    <row r="949" customFormat="false" ht="17.15" hidden="false" customHeight="false" outlineLevel="0" collapsed="false">
      <c r="A949" s="0" t="s">
        <v>683</v>
      </c>
      <c r="B949" s="0" t="s">
        <v>46</v>
      </c>
      <c r="D949" s="16" t="n">
        <f aca="false">D948/C948-1</f>
        <v>0.702274441463682</v>
      </c>
      <c r="E949" s="16" t="n">
        <f aca="false">E948/D948-1</f>
        <v>0.581938061983984</v>
      </c>
      <c r="F949" s="16" t="n">
        <f aca="false">F948/E948-1</f>
        <v>0.174756289089035</v>
      </c>
      <c r="G949" s="16" t="n">
        <f aca="false">G948/F948-1</f>
        <v>0.152936757823168</v>
      </c>
    </row>
    <row r="952" customFormat="false" ht="17.15" hidden="false" customHeight="false" outlineLevel="0" collapsed="false">
      <c r="A952" s="3" t="s">
        <v>1068</v>
      </c>
    </row>
    <row r="953" customFormat="false" ht="17.15" hidden="false" customHeight="false" outlineLevel="0" collapsed="false">
      <c r="A953" s="6" t="s">
        <v>24</v>
      </c>
      <c r="B953" s="6" t="s">
        <v>25</v>
      </c>
      <c r="C953" s="13" t="s">
        <v>507</v>
      </c>
      <c r="D953" s="13" t="s">
        <v>621</v>
      </c>
      <c r="E953" s="13" t="s">
        <v>622</v>
      </c>
      <c r="F953" s="13" t="s">
        <v>623</v>
      </c>
      <c r="G953" s="13" t="s">
        <v>624</v>
      </c>
      <c r="H953" s="6" t="s">
        <v>480</v>
      </c>
    </row>
    <row r="954" customFormat="false" ht="17.15" hidden="false" customHeight="false" outlineLevel="0" collapsed="false">
      <c r="A954" s="1" t="s">
        <v>639</v>
      </c>
    </row>
    <row r="955" customFormat="false" ht="17.15" hidden="false" customHeight="false" outlineLevel="0" collapsed="false">
      <c r="A955" s="0" t="s">
        <v>640</v>
      </c>
      <c r="B955" s="5" t="s">
        <v>35</v>
      </c>
      <c r="D955" s="19" t="n">
        <f aca="false">u_tpu_26</f>
        <v>3.85</v>
      </c>
      <c r="E955" s="19" t="n">
        <f aca="false">u_tpu_27</f>
        <v>5.5</v>
      </c>
      <c r="F955" s="19" t="n">
        <f aca="false">u_tpu_28*um28_A</f>
        <v>7</v>
      </c>
      <c r="G955" s="19" t="n">
        <f aca="false">u_tpu_28*(1+g29_tpu)*um29_A</f>
        <v>8.05</v>
      </c>
    </row>
    <row r="956" customFormat="false" ht="17.15" hidden="false" customHeight="false" outlineLevel="0" collapsed="false">
      <c r="A956" s="5" t="s">
        <v>641</v>
      </c>
      <c r="B956" s="5" t="s">
        <v>35</v>
      </c>
      <c r="D956" s="19" t="n">
        <f aca="false">u_oth_26</f>
        <v>1</v>
      </c>
      <c r="E956" s="19" t="n">
        <f aca="false">u_oth_27</f>
        <v>4.5</v>
      </c>
      <c r="F956" s="19" t="n">
        <f aca="false">u_oth_28*um28_A</f>
        <v>5</v>
      </c>
      <c r="G956" s="19" t="n">
        <f aca="false">u_oth_28*(1+g29_oth)*um29_A</f>
        <v>5.75</v>
      </c>
    </row>
    <row r="957" customFormat="false" ht="17.15" hidden="false" customHeight="false" outlineLevel="0" collapsed="false">
      <c r="A957" s="0" t="s">
        <v>566</v>
      </c>
      <c r="B957" s="0" t="s">
        <v>46</v>
      </c>
      <c r="D957" s="16" t="n">
        <f aca="false">sh_tpu_26</f>
        <v>0.9</v>
      </c>
      <c r="E957" s="16" t="n">
        <f aca="false">MIN(1,MAX(0,sh_tpu_27+0))</f>
        <v>0.8</v>
      </c>
      <c r="F957" s="16" t="n">
        <f aca="false">MIN(1,MAX(0,sh_tpu_28+0))</f>
        <v>0.75</v>
      </c>
      <c r="G957" s="16" t="n">
        <f aca="false">MIN(1,MAX(0,sh_tpu_28+0))</f>
        <v>0.75</v>
      </c>
    </row>
    <row r="958" customFormat="false" ht="17.15" hidden="false" customHeight="false" outlineLevel="0" collapsed="false">
      <c r="A958" s="0" t="s">
        <v>578</v>
      </c>
      <c r="B958" s="0" t="s">
        <v>46</v>
      </c>
      <c r="D958" s="16" t="n">
        <f aca="false">sh_oth_26</f>
        <v>0.35</v>
      </c>
      <c r="E958" s="16" t="n">
        <f aca="false">MIN(1,MAX(0,sh_oth_27+0))</f>
        <v>0.55</v>
      </c>
      <c r="F958" s="16" t="n">
        <f aca="false">MIN(1,MAX(0,sh_oth_28+0))</f>
        <v>0.55</v>
      </c>
      <c r="G958" s="16" t="n">
        <f aca="false">MIN(1,MAX(0,sh_oth_28+0))</f>
        <v>0.55</v>
      </c>
    </row>
    <row r="959" customFormat="false" ht="17.15" hidden="false" customHeight="false" outlineLevel="0" collapsed="false">
      <c r="A959" s="0" t="s">
        <v>568</v>
      </c>
      <c r="B959" s="5" t="s">
        <v>35</v>
      </c>
      <c r="D959" s="19" t="n">
        <f aca="false">D955*D957</f>
        <v>3.465</v>
      </c>
      <c r="E959" s="19" t="n">
        <f aca="false">E955*E957*1</f>
        <v>4.4</v>
      </c>
      <c r="F959" s="19" t="n">
        <f aca="false">F955*F957*1</f>
        <v>5.25</v>
      </c>
      <c r="G959" s="19" t="n">
        <f aca="false">G955*G957*1</f>
        <v>6.0375</v>
      </c>
    </row>
    <row r="960" customFormat="false" ht="17.15" hidden="false" customHeight="false" outlineLevel="0" collapsed="false">
      <c r="A960" s="0" t="s">
        <v>579</v>
      </c>
      <c r="B960" s="5" t="s">
        <v>35</v>
      </c>
      <c r="D960" s="19" t="n">
        <f aca="false">D956*D958</f>
        <v>0.35</v>
      </c>
      <c r="E960" s="19" t="n">
        <f aca="false">E956*E958*1</f>
        <v>2.475</v>
      </c>
      <c r="F960" s="19" t="n">
        <f aca="false">F956*F958*1</f>
        <v>2.75</v>
      </c>
      <c r="G960" s="19" t="n">
        <f aca="false">G956*G958*1</f>
        <v>3.1625</v>
      </c>
    </row>
    <row r="961" customFormat="false" ht="17.15" hidden="false" customHeight="false" outlineLevel="0" collapsed="false">
      <c r="A961" s="5" t="s">
        <v>570</v>
      </c>
      <c r="B961" s="0" t="s">
        <v>151</v>
      </c>
      <c r="D961" s="20" t="n">
        <f aca="false">gb_tpu_26</f>
        <v>192</v>
      </c>
      <c r="E961" s="20" t="n">
        <f aca="false">gb_tpu_27</f>
        <v>250</v>
      </c>
      <c r="F961" s="20" t="n">
        <f aca="false">gb_tpu_28</f>
        <v>288</v>
      </c>
      <c r="G961" s="20" t="n">
        <f aca="false">gb_tpu_28</f>
        <v>288</v>
      </c>
    </row>
    <row r="962" customFormat="false" ht="17.15" hidden="false" customHeight="false" outlineLevel="0" collapsed="false">
      <c r="A962" s="5" t="s">
        <v>580</v>
      </c>
      <c r="B962" s="0" t="s">
        <v>151</v>
      </c>
      <c r="D962" s="20" t="n">
        <f aca="false">gb_oth_26</f>
        <v>150</v>
      </c>
      <c r="E962" s="20" t="n">
        <f aca="false">gb_oth_27</f>
        <v>200</v>
      </c>
      <c r="F962" s="20" t="n">
        <f aca="false">gb_oth_28</f>
        <v>250</v>
      </c>
      <c r="G962" s="20" t="n">
        <f aca="false">gb_oth_28</f>
        <v>250</v>
      </c>
    </row>
    <row r="963" customFormat="false" ht="17.15" hidden="false" customHeight="false" outlineLevel="0" collapsed="false">
      <c r="A963" s="0" t="s">
        <v>642</v>
      </c>
      <c r="B963" s="0" t="s">
        <v>210</v>
      </c>
      <c r="D963" s="19" t="n">
        <f aca="false">hbm_A_26</f>
        <v>14.6</v>
      </c>
      <c r="E963" s="19" t="n">
        <f aca="false">hbm_A_27</f>
        <v>26.28</v>
      </c>
      <c r="F963" s="19" t="n">
        <f aca="false">hbm_A_28</f>
        <v>28.908</v>
      </c>
      <c r="G963" s="19" t="n">
        <f aca="false">hbm_A_29</f>
        <v>27.4626</v>
      </c>
    </row>
    <row r="964" customFormat="false" ht="17.15" hidden="false" customHeight="false" outlineLevel="0" collapsed="false">
      <c r="A964" s="5" t="s">
        <v>643</v>
      </c>
      <c r="B964" s="0" t="s">
        <v>188</v>
      </c>
      <c r="D964" s="19" t="n">
        <f aca="false">core_tpu</f>
        <v>8</v>
      </c>
      <c r="E964" s="19" t="n">
        <f aca="false">core_tpu*1</f>
        <v>8</v>
      </c>
      <c r="F964" s="19" t="n">
        <f aca="false">core_tpu*1</f>
        <v>8</v>
      </c>
      <c r="G964" s="19" t="n">
        <f aca="false">core_tpu*1</f>
        <v>8</v>
      </c>
    </row>
    <row r="965" customFormat="false" ht="17.15" hidden="false" customHeight="false" outlineLevel="0" collapsed="false">
      <c r="A965" s="5" t="s">
        <v>644</v>
      </c>
      <c r="B965" s="0" t="s">
        <v>188</v>
      </c>
      <c r="D965" s="19" t="n">
        <f aca="false">core_oth</f>
        <v>6</v>
      </c>
      <c r="E965" s="19" t="n">
        <f aca="false">core_oth*1</f>
        <v>6</v>
      </c>
      <c r="F965" s="19" t="n">
        <f aca="false">core_oth*1</f>
        <v>6</v>
      </c>
      <c r="G965" s="19" t="n">
        <f aca="false">core_oth*1</f>
        <v>6</v>
      </c>
    </row>
    <row r="966" customFormat="false" ht="17.15" hidden="false" customHeight="false" outlineLevel="0" collapsed="false">
      <c r="A966" s="5" t="s">
        <v>645</v>
      </c>
      <c r="B966" s="0" t="s">
        <v>188</v>
      </c>
      <c r="D966" s="19" t="n">
        <f aca="false">D961*D963/1000</f>
        <v>2.8032</v>
      </c>
      <c r="E966" s="19" t="n">
        <f aca="false">E961*E963/1000</f>
        <v>6.57</v>
      </c>
      <c r="F966" s="19" t="n">
        <f aca="false">F961*F963/1000</f>
        <v>8.325504</v>
      </c>
      <c r="G966" s="19" t="n">
        <f aca="false">G961*G963/1000</f>
        <v>7.9092288</v>
      </c>
    </row>
    <row r="967" customFormat="false" ht="17.15" hidden="false" customHeight="false" outlineLevel="0" collapsed="false">
      <c r="A967" s="5" t="s">
        <v>646</v>
      </c>
      <c r="B967" s="0" t="s">
        <v>188</v>
      </c>
      <c r="D967" s="19" t="n">
        <f aca="false">D962*D963/1000</f>
        <v>2.19</v>
      </c>
      <c r="E967" s="19" t="n">
        <f aca="false">E962*E963/1000</f>
        <v>5.256</v>
      </c>
      <c r="F967" s="19" t="n">
        <f aca="false">F962*F963/1000</f>
        <v>7.227</v>
      </c>
      <c r="G967" s="19" t="n">
        <f aca="false">G962*G963/1000</f>
        <v>6.86565</v>
      </c>
    </row>
    <row r="968" customFormat="false" ht="17.15" hidden="false" customHeight="false" outlineLevel="0" collapsed="false">
      <c r="A968" s="5" t="s">
        <v>647</v>
      </c>
      <c r="B968" s="0" t="s">
        <v>188</v>
      </c>
      <c r="D968" s="19" t="n">
        <f aca="false">D964+f_hbm*D966</f>
        <v>9.68192</v>
      </c>
      <c r="E968" s="19" t="n">
        <f aca="false">E964+f_hbm*E966</f>
        <v>11.942</v>
      </c>
      <c r="F968" s="19" t="n">
        <f aca="false">F964+f_hbm*F966</f>
        <v>12.9953024</v>
      </c>
      <c r="G968" s="19" t="n">
        <f aca="false">G964+f_hbm*G966</f>
        <v>12.74553728</v>
      </c>
      <c r="H968" s="5" t="s">
        <v>648</v>
      </c>
    </row>
    <row r="969" customFormat="false" ht="17.15" hidden="false" customHeight="false" outlineLevel="0" collapsed="false">
      <c r="A969" s="5" t="s">
        <v>649</v>
      </c>
      <c r="B969" s="0" t="s">
        <v>188</v>
      </c>
      <c r="D969" s="19" t="n">
        <f aca="false">D965+f_hbm*D967</f>
        <v>7.314</v>
      </c>
      <c r="E969" s="19" t="n">
        <f aca="false">E965+f_hbm*E967</f>
        <v>9.1536</v>
      </c>
      <c r="F969" s="19" t="n">
        <f aca="false">F965+f_hbm*F967</f>
        <v>10.3362</v>
      </c>
      <c r="G969" s="19" t="n">
        <f aca="false">G965+f_hbm*G967</f>
        <v>10.11939</v>
      </c>
    </row>
    <row r="970" customFormat="false" ht="17.15" hidden="false" customHeight="false" outlineLevel="0" collapsed="false">
      <c r="A970" s="0" t="s">
        <v>650</v>
      </c>
      <c r="B970" s="0" t="s">
        <v>241</v>
      </c>
      <c r="D970" s="22" t="n">
        <f aca="false">D959*D968+D960*D969</f>
        <v>36.1077528</v>
      </c>
      <c r="E970" s="22" t="n">
        <f aca="false">E959*E968+E960*E969</f>
        <v>75.19996</v>
      </c>
      <c r="F970" s="22" t="n">
        <f aca="false">F959*F968+F960*F969</f>
        <v>96.6498876</v>
      </c>
      <c r="G970" s="22" t="n">
        <f aca="false">G959*G968+G960*G969</f>
        <v>108.953752203</v>
      </c>
    </row>
    <row r="971" customFormat="false" ht="17.15" hidden="false" customHeight="false" outlineLevel="0" collapsed="false">
      <c r="A971" s="0" t="s">
        <v>651</v>
      </c>
      <c r="B971" s="0" t="s">
        <v>131</v>
      </c>
      <c r="D971" s="17" t="n">
        <f aca="false">a26_xpu/D970</f>
        <v>1.10779533197646</v>
      </c>
      <c r="H971" s="8" t="s">
        <v>652</v>
      </c>
    </row>
    <row r="972" customFormat="false" ht="17.15" hidden="false" customHeight="false" outlineLevel="0" collapsed="false">
      <c r="A972" s="0" t="s">
        <v>653</v>
      </c>
      <c r="B972" s="0" t="s">
        <v>241</v>
      </c>
      <c r="D972" s="22" t="n">
        <f aca="false">D970*$D$971</f>
        <v>40</v>
      </c>
      <c r="E972" s="22" t="n">
        <f aca="false">E970*$D$971</f>
        <v>83.3061646528166</v>
      </c>
      <c r="F972" s="22" t="n">
        <f aca="false">F970*$D$971</f>
        <v>107.06829431933</v>
      </c>
      <c r="G972" s="22" t="n">
        <f aca="false">G970*$D$971</f>
        <v>120.698458091803</v>
      </c>
    </row>
    <row r="973" customFormat="false" ht="17.15" hidden="false" customHeight="false" outlineLevel="0" collapsed="false">
      <c r="A973" s="5" t="s">
        <v>654</v>
      </c>
      <c r="B973" s="0" t="s">
        <v>241</v>
      </c>
      <c r="D973" s="22" t="n">
        <f aca="false">$D$971*f_hbm*(D959*D966+D960*D967)</f>
        <v>6.96554320046192</v>
      </c>
      <c r="E973" s="22" t="n">
        <f aca="false">$D$971*f_hbm*(E959*E966+E960*E967)</f>
        <v>27.8610082873947</v>
      </c>
      <c r="F973" s="22" t="n">
        <f aca="false">$D$971*f_hbm*(F959*F966+F960*F967)</f>
        <v>42.2622673987067</v>
      </c>
      <c r="G973" s="22" t="n">
        <f aca="false">$D$971*f_hbm*(G959*G966+G960*G967)</f>
        <v>46.171527133087</v>
      </c>
    </row>
    <row r="974" customFormat="false" ht="15" hidden="false" customHeight="false" outlineLevel="0" collapsed="false">
      <c r="A974" s="5" t="s">
        <v>655</v>
      </c>
      <c r="B974" s="0" t="s">
        <v>241</v>
      </c>
      <c r="D974" s="22" t="n">
        <f aca="false">D972-D973</f>
        <v>33.0344567995381</v>
      </c>
      <c r="E974" s="22" t="n">
        <f aca="false">E972-E973</f>
        <v>55.4451563654219</v>
      </c>
      <c r="F974" s="22" t="n">
        <f aca="false">F972-F973</f>
        <v>64.806026920623</v>
      </c>
      <c r="G974" s="22" t="n">
        <f aca="false">G972-G973</f>
        <v>74.5269309587164</v>
      </c>
    </row>
    <row r="975" customFormat="false" ht="17.15" hidden="false" customHeight="false" outlineLevel="0" collapsed="false">
      <c r="A975" s="0" t="s">
        <v>656</v>
      </c>
      <c r="B975" s="5" t="s">
        <v>35</v>
      </c>
      <c r="D975" s="19" t="n">
        <f aca="false">D959+D960</f>
        <v>3.815</v>
      </c>
      <c r="E975" s="19" t="n">
        <f aca="false">E959+E960</f>
        <v>6.875</v>
      </c>
      <c r="F975" s="19" t="n">
        <f aca="false">F959+F960</f>
        <v>8</v>
      </c>
      <c r="G975" s="19" t="n">
        <f aca="false">G959+G960</f>
        <v>9.2</v>
      </c>
    </row>
    <row r="976" customFormat="false" ht="17.15" hidden="false" customHeight="false" outlineLevel="0" collapsed="false">
      <c r="A976" s="1" t="s">
        <v>657</v>
      </c>
    </row>
    <row r="977" customFormat="false" ht="17.15" hidden="false" customHeight="false" outlineLevel="0" collapsed="false">
      <c r="A977" s="0" t="s">
        <v>658</v>
      </c>
      <c r="B977" s="0" t="s">
        <v>241</v>
      </c>
      <c r="D977" s="22" t="n">
        <f aca="false">net_26*1</f>
        <v>12.6075726</v>
      </c>
      <c r="E977" s="22" t="n">
        <f aca="false">net_27*1*1</f>
        <v>26.959549</v>
      </c>
      <c r="F977" s="22" t="n">
        <f aca="false">net_28*um28_A*1</f>
        <v>32.094922</v>
      </c>
      <c r="G977" s="22" t="n">
        <f aca="false">net_29*um29_A*1</f>
        <v>37.8328169</v>
      </c>
    </row>
    <row r="978" customFormat="false" ht="17.15" hidden="false" customHeight="false" outlineLevel="0" collapsed="false">
      <c r="A978" s="5" t="s">
        <v>659</v>
      </c>
      <c r="B978" s="0" t="s">
        <v>131</v>
      </c>
      <c r="D978" s="17" t="n">
        <f aca="false">a26_net/D977</f>
        <v>1.39598640899359</v>
      </c>
      <c r="H978" s="8" t="s">
        <v>660</v>
      </c>
    </row>
    <row r="979" customFormat="false" ht="17.15" hidden="false" customHeight="false" outlineLevel="0" collapsed="false">
      <c r="A979" s="0" t="s">
        <v>661</v>
      </c>
      <c r="B979" s="0" t="s">
        <v>241</v>
      </c>
      <c r="D979" s="22" t="n">
        <f aca="false">D977*$D$978</f>
        <v>17.6</v>
      </c>
      <c r="E979" s="22" t="n">
        <f aca="false">E977*$D$978</f>
        <v>37.6351639965968</v>
      </c>
      <c r="F979" s="22" t="n">
        <f aca="false">F977*$D$978</f>
        <v>44.8040749097094</v>
      </c>
      <c r="G979" s="22" t="n">
        <f aca="false">G977*$D$978</f>
        <v>52.8140982063431</v>
      </c>
    </row>
    <row r="980" customFormat="false" ht="17.15" hidden="false" customHeight="false" outlineLevel="0" collapsed="false">
      <c r="A980" s="0" t="s">
        <v>522</v>
      </c>
      <c r="B980" s="0" t="s">
        <v>241</v>
      </c>
      <c r="C980" s="22" t="n">
        <f aca="false">a25_ai</f>
        <v>20.2797202797203</v>
      </c>
      <c r="D980" s="22" t="n">
        <f aca="false">D972+D979</f>
        <v>57.6</v>
      </c>
      <c r="E980" s="22" t="n">
        <f aca="false">E972+E979</f>
        <v>120.941328649413</v>
      </c>
      <c r="F980" s="22" t="n">
        <f aca="false">F972+F979</f>
        <v>151.872369229039</v>
      </c>
      <c r="G980" s="22" t="n">
        <f aca="false">G972+G979</f>
        <v>173.512556298147</v>
      </c>
    </row>
    <row r="981" customFormat="false" ht="15" hidden="false" customHeight="false" outlineLevel="0" collapsed="false">
      <c r="A981" s="0" t="s">
        <v>662</v>
      </c>
      <c r="B981" s="0" t="s">
        <v>46</v>
      </c>
      <c r="D981" s="16" t="n">
        <f aca="false">D972/D980</f>
        <v>0.694444444444444</v>
      </c>
      <c r="E981" s="16" t="n">
        <f aca="false">E972/E980</f>
        <v>0.688814697036328</v>
      </c>
      <c r="F981" s="16" t="n">
        <f aca="false">F972/F980</f>
        <v>0.704988635278743</v>
      </c>
      <c r="G981" s="16" t="n">
        <f aca="false">G972/G980</f>
        <v>0.69561800406195</v>
      </c>
    </row>
    <row r="982" customFormat="false" ht="17.15" hidden="false" customHeight="false" outlineLevel="0" collapsed="false">
      <c r="A982" s="5" t="s">
        <v>663</v>
      </c>
      <c r="B982" s="0" t="s">
        <v>241</v>
      </c>
      <c r="C982" s="22" t="n">
        <f aca="false">a25_nai</f>
        <v>16.5782797202797</v>
      </c>
      <c r="D982" s="22" t="n">
        <f aca="false">a26_nai</f>
        <v>16.863</v>
      </c>
      <c r="E982" s="22" t="n">
        <f aca="false">D982*(1+g_nai)</f>
        <v>17.36889</v>
      </c>
      <c r="F982" s="22" t="n">
        <f aca="false">E982*(1+g_nai)</f>
        <v>17.8899567</v>
      </c>
      <c r="G982" s="22" t="n">
        <f aca="false">F982*(1+g_nai)</f>
        <v>18.426655401</v>
      </c>
    </row>
    <row r="983" customFormat="false" ht="15" hidden="false" customHeight="false" outlineLevel="0" collapsed="false">
      <c r="A983" s="5" t="s">
        <v>664</v>
      </c>
      <c r="B983" s="0" t="s">
        <v>241</v>
      </c>
      <c r="C983" s="22" t="n">
        <f aca="false">a25_sw</f>
        <v>27.029</v>
      </c>
      <c r="D983" s="22" t="n">
        <f aca="false">a26_sw</f>
        <v>31.426</v>
      </c>
      <c r="E983" s="22" t="n">
        <f aca="false">D983*(1+g_sw27)</f>
        <v>35.19712</v>
      </c>
      <c r="F983" s="22" t="n">
        <f aca="false">E983*(1+g_sw)</f>
        <v>38.0128896</v>
      </c>
      <c r="G983" s="22" t="n">
        <f aca="false">F983*(1+g_sw)</f>
        <v>41.053920768</v>
      </c>
    </row>
    <row r="984" customFormat="false" ht="17.15" hidden="false" customHeight="false" outlineLevel="0" collapsed="false">
      <c r="A984" s="1" t="s">
        <v>665</v>
      </c>
    </row>
    <row r="985" customFormat="false" ht="15" hidden="false" customHeight="false" outlineLevel="0" collapsed="false">
      <c r="A985" s="5" t="s">
        <v>514</v>
      </c>
      <c r="B985" s="0" t="s">
        <v>241</v>
      </c>
      <c r="C985" s="22" t="n">
        <f aca="false">a25_rev</f>
        <v>63.887</v>
      </c>
      <c r="D985" s="22" t="n">
        <f aca="false">a26_rev</f>
        <v>105.889</v>
      </c>
      <c r="E985" s="22" t="n">
        <f aca="false">E980+E982+E983</f>
        <v>173.507338649413</v>
      </c>
      <c r="F985" s="22" t="n">
        <f aca="false">F980+F982+F983</f>
        <v>207.775215529039</v>
      </c>
      <c r="G985" s="22" t="n">
        <f aca="false">G980+G982+G983</f>
        <v>232.993132467147</v>
      </c>
    </row>
    <row r="986" customFormat="false" ht="17.15" hidden="false" customHeight="false" outlineLevel="0" collapsed="false">
      <c r="A986" s="5" t="s">
        <v>666</v>
      </c>
      <c r="B986" s="0" t="s">
        <v>241</v>
      </c>
      <c r="D986" s="22" t="n">
        <f aca="false">D980+D982+D983</f>
        <v>105.889</v>
      </c>
      <c r="E986" s="22" t="n">
        <f aca="false">E980+E982+E983</f>
        <v>173.507338649413</v>
      </c>
      <c r="F986" s="22" t="n">
        <f aca="false">F980+F982+F983</f>
        <v>207.775215529039</v>
      </c>
      <c r="G986" s="22" t="n">
        <f aca="false">G980+G982+G983</f>
        <v>232.993132467147</v>
      </c>
    </row>
    <row r="987" customFormat="false" ht="17.15" hidden="false" customHeight="false" outlineLevel="0" collapsed="false">
      <c r="A987" s="5" t="s">
        <v>667</v>
      </c>
      <c r="B987" s="0" t="s">
        <v>241</v>
      </c>
      <c r="C987" s="22" t="n">
        <f aca="false">C980+C982</f>
        <v>36.858</v>
      </c>
      <c r="D987" s="22" t="n">
        <f aca="false">D980+D982</f>
        <v>74.463</v>
      </c>
      <c r="E987" s="22" t="n">
        <f aca="false">E980+E982</f>
        <v>138.310218649413</v>
      </c>
      <c r="F987" s="22" t="n">
        <f aca="false">F980+F982</f>
        <v>169.762325929039</v>
      </c>
      <c r="G987" s="22" t="n">
        <f aca="false">G980+G982</f>
        <v>191.939211699147</v>
      </c>
      <c r="H987" s="5" t="s">
        <v>668</v>
      </c>
    </row>
    <row r="988" customFormat="false" ht="17.15" hidden="false" customHeight="false" outlineLevel="0" collapsed="false">
      <c r="A988" s="5" t="s">
        <v>669</v>
      </c>
      <c r="B988" s="0" t="s">
        <v>241</v>
      </c>
      <c r="C988" s="17" t="n">
        <f aca="false">C987+C983-C985</f>
        <v>0</v>
      </c>
      <c r="D988" s="17" t="n">
        <f aca="false">D987+D983-D985</f>
        <v>0</v>
      </c>
      <c r="E988" s="17" t="n">
        <f aca="false">E987+E983-E985</f>
        <v>0</v>
      </c>
      <c r="F988" s="17" t="n">
        <f aca="false">F987+F983-F985</f>
        <v>0</v>
      </c>
      <c r="G988" s="17" t="n">
        <f aca="false">G987+G983-G985</f>
        <v>0</v>
      </c>
    </row>
    <row r="989" customFormat="false" ht="15" hidden="false" customHeight="false" outlineLevel="0" collapsed="false">
      <c r="A989" s="5" t="s">
        <v>670</v>
      </c>
      <c r="B989" s="0" t="s">
        <v>46</v>
      </c>
      <c r="D989" s="16" t="n">
        <f aca="false">D985/C985-1</f>
        <v>0.657442046112668</v>
      </c>
      <c r="E989" s="16" t="n">
        <f aca="false">E985/D985-1</f>
        <v>0.638577554320216</v>
      </c>
      <c r="F989" s="16" t="n">
        <f aca="false">F985/E985-1</f>
        <v>0.197501022990543</v>
      </c>
      <c r="G989" s="16" t="n">
        <f aca="false">G985/F985-1</f>
        <v>0.121371150422813</v>
      </c>
    </row>
    <row r="990" customFormat="false" ht="17.15" hidden="false" customHeight="false" outlineLevel="0" collapsed="false">
      <c r="A990" s="0" t="s">
        <v>671</v>
      </c>
      <c r="B990" s="0" t="s">
        <v>46</v>
      </c>
      <c r="C990" s="16" t="n">
        <f aca="false">C980/C985</f>
        <v>0.317431093645347</v>
      </c>
      <c r="D990" s="16" t="n">
        <f aca="false">D980/D985</f>
        <v>0.543965851032685</v>
      </c>
      <c r="E990" s="16" t="n">
        <f aca="false">E980/E985</f>
        <v>0.697038693526306</v>
      </c>
      <c r="F990" s="16" t="n">
        <f aca="false">F980/F985</f>
        <v>0.730945550181913</v>
      </c>
      <c r="G990" s="16" t="n">
        <f aca="false">G980/G985</f>
        <v>0.744711032728026</v>
      </c>
    </row>
    <row r="991" customFormat="false" ht="17.15" hidden="false" customHeight="false" outlineLevel="0" collapsed="false">
      <c r="A991" s="5" t="s">
        <v>672</v>
      </c>
      <c r="B991" s="0" t="s">
        <v>241</v>
      </c>
      <c r="D991" s="22" t="n">
        <f aca="false">gm_net*D979+gm_nai*D982+gm_sw*D983+m_hbm*D973</f>
        <v>53.5556843200462</v>
      </c>
      <c r="E991" s="22" t="n">
        <f aca="false">gm_net*E979+gm_nai*E982+gm_sw*E983+m_hbm*E973</f>
        <v>73.9065190062892</v>
      </c>
      <c r="F991" s="22" t="n">
        <f aca="false">gm_net*F979+gm_nai*F982+gm_sw*F983+m_hbm*F973</f>
        <v>83.4656198578614</v>
      </c>
      <c r="G991" s="22" t="n">
        <f aca="false">gm_net*G979+gm_nai*G982+gm_sw*G983+m_hbm*G973</f>
        <v>92.8007757467657</v>
      </c>
    </row>
    <row r="992" customFormat="false" ht="17.15" hidden="false" customHeight="false" outlineLevel="0" collapsed="false">
      <c r="A992" s="0" t="s">
        <v>673</v>
      </c>
      <c r="B992" s="0" t="s">
        <v>131</v>
      </c>
      <c r="D992" s="17" t="n">
        <f aca="false">(a26_gp-D991)/D974</f>
        <v>0.787550884757324</v>
      </c>
      <c r="H992" s="8" t="s">
        <v>674</v>
      </c>
    </row>
    <row r="993" customFormat="false" ht="15" hidden="false" customHeight="false" outlineLevel="0" collapsed="false">
      <c r="A993" s="5" t="s">
        <v>675</v>
      </c>
      <c r="B993" s="0" t="s">
        <v>241</v>
      </c>
      <c r="C993" s="22" t="n">
        <f aca="false">a25_gp</f>
        <v>50.245</v>
      </c>
      <c r="D993" s="22" t="n">
        <f aca="false">a26_gp</f>
        <v>79.572</v>
      </c>
      <c r="E993" s="22" t="n">
        <f aca="false">E991+$D$992*E974</f>
        <v>117.572400957385</v>
      </c>
      <c r="F993" s="22" t="n">
        <f aca="false">F991+$D$992*F974</f>
        <v>134.503663696805</v>
      </c>
      <c r="G993" s="22" t="n">
        <f aca="false">G991+$D$992*G974</f>
        <v>151.494526161551</v>
      </c>
    </row>
    <row r="994" customFormat="false" ht="15" hidden="false" customHeight="false" outlineLevel="0" collapsed="false">
      <c r="A994" s="5" t="s">
        <v>533</v>
      </c>
      <c r="B994" s="0" t="s">
        <v>46</v>
      </c>
      <c r="C994" s="16" t="n">
        <f aca="false">C993/C985</f>
        <v>0.786466730320723</v>
      </c>
      <c r="D994" s="16" t="n">
        <f aca="false">D993/D985</f>
        <v>0.751466157957862</v>
      </c>
      <c r="E994" s="16" t="n">
        <f aca="false">E993/E985</f>
        <v>0.677622064130386</v>
      </c>
      <c r="F994" s="16" t="n">
        <f aca="false">F993/F985</f>
        <v>0.647351818908384</v>
      </c>
      <c r="G994" s="16" t="n">
        <f aca="false">G993/G985</f>
        <v>0.650210263956653</v>
      </c>
    </row>
    <row r="995" customFormat="false" ht="17.15" hidden="false" customHeight="false" outlineLevel="0" collapsed="false">
      <c r="A995" s="5" t="s">
        <v>676</v>
      </c>
      <c r="B995" s="0" t="s">
        <v>46</v>
      </c>
      <c r="D995" s="16" t="n">
        <f aca="false">D973/D985</f>
        <v>0.0657815561622258</v>
      </c>
      <c r="E995" s="16" t="n">
        <f aca="false">E973/E985</f>
        <v>0.160575388362623</v>
      </c>
      <c r="F995" s="16" t="n">
        <f aca="false">F973/F985</f>
        <v>0.20340379525584</v>
      </c>
      <c r="G995" s="16" t="n">
        <f aca="false">G973/G985</f>
        <v>0.198166901505552</v>
      </c>
    </row>
    <row r="996" customFormat="false" ht="15" hidden="false" customHeight="false" outlineLevel="0" collapsed="false">
      <c r="A996" s="5" t="s">
        <v>677</v>
      </c>
      <c r="B996" s="0" t="s">
        <v>241</v>
      </c>
      <c r="C996" s="24" t="n">
        <f aca="false">a25_opx</f>
        <v>8.248</v>
      </c>
      <c r="D996" s="24" t="n">
        <f aca="false">a26_opx</f>
        <v>8.755</v>
      </c>
      <c r="E996" s="24" t="n">
        <f aca="false">D996*(1+MAX(g_opx_min,phi*E989))</f>
        <v>9.31407464880735</v>
      </c>
      <c r="F996" s="24" t="n">
        <f aca="false">E996*(1+MAX(g_opx_min,phi*F989))</f>
        <v>9.59349688827157</v>
      </c>
      <c r="G996" s="24" t="n">
        <f aca="false">F996*(1+MAX(g_opx_min,phi*G989))</f>
        <v>9.88130179491972</v>
      </c>
    </row>
    <row r="997" customFormat="false" ht="15" hidden="false" customHeight="false" outlineLevel="0" collapsed="false">
      <c r="A997" s="5" t="s">
        <v>678</v>
      </c>
      <c r="B997" s="0" t="s">
        <v>241</v>
      </c>
      <c r="C997" s="24" t="n">
        <f aca="false">C996</f>
        <v>8.248</v>
      </c>
      <c r="D997" s="24" t="n">
        <f aca="false">D996</f>
        <v>8.755</v>
      </c>
      <c r="E997" s="24" t="n">
        <f aca="false">E996+opx_adj_hi*E985</f>
        <v>12.7842214217956</v>
      </c>
      <c r="F997" s="24" t="n">
        <f aca="false">F996+opx_adj_hi*F985</f>
        <v>13.7490011988523</v>
      </c>
      <c r="G997" s="24" t="n">
        <f aca="false">G996+opx_adj_hi*G985</f>
        <v>14.5411644442626</v>
      </c>
    </row>
    <row r="998" customFormat="false" ht="15" hidden="false" customHeight="false" outlineLevel="0" collapsed="false">
      <c r="A998" s="5" t="s">
        <v>679</v>
      </c>
      <c r="B998" s="0" t="s">
        <v>241</v>
      </c>
      <c r="C998" s="22" t="n">
        <f aca="false">C993-C997</f>
        <v>41.997</v>
      </c>
      <c r="D998" s="22" t="n">
        <f aca="false">D993-D997</f>
        <v>70.817</v>
      </c>
      <c r="E998" s="22" t="n">
        <f aca="false">E993-E997</f>
        <v>104.78817953559</v>
      </c>
      <c r="F998" s="22" t="n">
        <f aca="false">F993-F997</f>
        <v>120.754662497953</v>
      </c>
      <c r="G998" s="22" t="n">
        <f aca="false">G993-G997</f>
        <v>136.953361717288</v>
      </c>
    </row>
    <row r="999" customFormat="false" ht="15" hidden="false" customHeight="false" outlineLevel="0" collapsed="false">
      <c r="A999" s="5" t="s">
        <v>538</v>
      </c>
      <c r="B999" s="0" t="s">
        <v>46</v>
      </c>
      <c r="C999" s="16" t="n">
        <f aca="false">C998/C985</f>
        <v>0.657363782929235</v>
      </c>
      <c r="D999" s="16" t="n">
        <f aca="false">D998/D985</f>
        <v>0.66878523737121</v>
      </c>
      <c r="E999" s="16" t="n">
        <f aca="false">E998/E985</f>
        <v>0.603940907348728</v>
      </c>
      <c r="F999" s="16" t="n">
        <f aca="false">F998/F985</f>
        <v>0.581179339366758</v>
      </c>
      <c r="G999" s="16" t="n">
        <f aca="false">G998/G985</f>
        <v>0.587799993360746</v>
      </c>
    </row>
    <row r="1000" customFormat="false" ht="15" hidden="false" customHeight="false" outlineLevel="0" collapsed="false">
      <c r="A1000" s="5" t="s">
        <v>680</v>
      </c>
      <c r="B1000" s="0" t="s">
        <v>241</v>
      </c>
      <c r="C1000" s="19" t="n">
        <f aca="false">a25_int</f>
        <v>3.072</v>
      </c>
      <c r="D1000" s="19" t="n">
        <f aca="false">a26_int</f>
        <v>2.894</v>
      </c>
      <c r="E1000" s="19" t="n">
        <f aca="false">int_f</f>
        <v>2.8</v>
      </c>
      <c r="F1000" s="19" t="n">
        <f aca="false">int_f</f>
        <v>2.8</v>
      </c>
      <c r="G1000" s="19" t="n">
        <f aca="false">int_f</f>
        <v>2.8</v>
      </c>
    </row>
    <row r="1001" customFormat="false" ht="15" hidden="false" customHeight="false" outlineLevel="0" collapsed="false">
      <c r="A1001" s="5" t="s">
        <v>681</v>
      </c>
      <c r="B1001" s="0" t="s">
        <v>241</v>
      </c>
      <c r="C1001" s="19" t="n">
        <f aca="false">a25_oth</f>
        <v>0.294</v>
      </c>
      <c r="D1001" s="19" t="n">
        <f aca="false">a26_oth</f>
        <v>0.434</v>
      </c>
      <c r="E1001" s="19" t="n">
        <f aca="false">oth_f</f>
        <v>0.4</v>
      </c>
      <c r="F1001" s="19" t="n">
        <f aca="false">oth_f</f>
        <v>0.4</v>
      </c>
      <c r="G1001" s="19" t="n">
        <f aca="false">oth_f</f>
        <v>0.4</v>
      </c>
    </row>
    <row r="1002" customFormat="false" ht="15" hidden="false" customHeight="false" outlineLevel="0" collapsed="false">
      <c r="A1002" s="5" t="s">
        <v>543</v>
      </c>
      <c r="B1002" s="0" t="s">
        <v>46</v>
      </c>
      <c r="C1002" s="16" t="n">
        <f aca="false">a25_tax/(a25_oi-a25_int+a25_oth)</f>
        <v>0.140008669267447</v>
      </c>
      <c r="D1002" s="16" t="n">
        <f aca="false">a26_tax/(a26_oi-a26_int+a26_oth)</f>
        <v>0.159996489020876</v>
      </c>
      <c r="E1002" s="16" t="n">
        <f aca="false">tx_f</f>
        <v>0.16</v>
      </c>
      <c r="F1002" s="16" t="n">
        <f aca="false">tx_f</f>
        <v>0.16</v>
      </c>
      <c r="G1002" s="16" t="n">
        <f aca="false">tx_f</f>
        <v>0.16</v>
      </c>
    </row>
    <row r="1003" customFormat="false" ht="17.15" hidden="false" customHeight="false" outlineLevel="0" collapsed="false">
      <c r="A1003" s="5" t="s">
        <v>630</v>
      </c>
      <c r="B1003" s="0" t="s">
        <v>241</v>
      </c>
      <c r="C1003" s="22" t="n">
        <f aca="false">a25_ni</f>
        <v>33.728</v>
      </c>
      <c r="D1003" s="22" t="n">
        <f aca="false">a26_ni</f>
        <v>57.42012</v>
      </c>
      <c r="E1003" s="22" t="n">
        <f aca="false">(E998-E1000+E1001)*(1-E1002)</f>
        <v>86.0060708098954</v>
      </c>
      <c r="F1003" s="22" t="n">
        <f aca="false">(F998-F1000+F1001)*(1-F1002)</f>
        <v>99.4179164982803</v>
      </c>
      <c r="G1003" s="22" t="n">
        <f aca="false">(G998-G1000+G1001)*(1-G1002)</f>
        <v>113.024823842522</v>
      </c>
    </row>
    <row r="1004" customFormat="false" ht="15" hidden="false" customHeight="false" outlineLevel="0" collapsed="false">
      <c r="A1004" s="5" t="s">
        <v>682</v>
      </c>
      <c r="B1004" s="5" t="s">
        <v>304</v>
      </c>
      <c r="C1004" s="17" t="n">
        <f aca="false">a25_sh</f>
        <v>4.943</v>
      </c>
      <c r="D1004" s="17" t="n">
        <f aca="false">a26_sh</f>
        <v>4.9435</v>
      </c>
      <c r="E1004" s="17" t="n">
        <f aca="false">D1004*(1+sh_g)</f>
        <v>4.9187825</v>
      </c>
      <c r="F1004" s="17" t="n">
        <f aca="false">E1004*(1+sh_g)</f>
        <v>4.8941885875</v>
      </c>
      <c r="G1004" s="17" t="n">
        <f aca="false">F1004*(1+sh_g)</f>
        <v>4.8697176445625</v>
      </c>
    </row>
    <row r="1005" customFormat="false" ht="17.15" hidden="false" customHeight="false" outlineLevel="0" collapsed="false">
      <c r="A1005" s="0" t="s">
        <v>631</v>
      </c>
      <c r="B1005" s="0" t="s">
        <v>354</v>
      </c>
      <c r="C1005" s="19" t="n">
        <f aca="false">C1003/C1004</f>
        <v>6.82338660732349</v>
      </c>
      <c r="D1005" s="19" t="n">
        <f aca="false">D1003/D1004</f>
        <v>11.6152766258724</v>
      </c>
      <c r="E1005" s="19" t="n">
        <f aca="false">E1003/E1004</f>
        <v>17.4852355862239</v>
      </c>
      <c r="F1005" s="19" t="n">
        <f aca="false">F1003/F1004</f>
        <v>20.3134625323181</v>
      </c>
      <c r="G1005" s="19" t="n">
        <f aca="false">G1003/G1004</f>
        <v>23.20972838512</v>
      </c>
    </row>
    <row r="1006" customFormat="false" ht="17.15" hidden="false" customHeight="false" outlineLevel="0" collapsed="false">
      <c r="A1006" s="0" t="s">
        <v>683</v>
      </c>
      <c r="B1006" s="0" t="s">
        <v>46</v>
      </c>
      <c r="D1006" s="16" t="n">
        <f aca="false">D1005/C1005-1</f>
        <v>0.702274441463682</v>
      </c>
      <c r="E1006" s="16" t="n">
        <f aca="false">E1005/D1005-1</f>
        <v>0.505365403633742</v>
      </c>
      <c r="F1006" s="16" t="n">
        <f aca="false">F1005/E1005-1</f>
        <v>0.161749433237406</v>
      </c>
      <c r="G1006" s="16" t="n">
        <f aca="false">G1005/F1005-1</f>
        <v>0.142578639569399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1069</v>
      </c>
    </row>
    <row r="2" customFormat="false" ht="17.15" hidden="false" customHeight="false" outlineLevel="0" collapsed="false">
      <c r="A2" s="5" t="s">
        <v>1070</v>
      </c>
      <c r="B2" s="0" t="s">
        <v>405</v>
      </c>
    </row>
    <row r="3" customFormat="false" ht="17.15" hidden="false" customHeight="false" outlineLevel="0" collapsed="false">
      <c r="A3" s="5" t="s">
        <v>1071</v>
      </c>
      <c r="B3" s="0" t="s">
        <v>1072</v>
      </c>
    </row>
    <row r="4" customFormat="false" ht="17.15" hidden="false" customHeight="false" outlineLevel="0" collapsed="false">
      <c r="A4" s="5" t="s">
        <v>1073</v>
      </c>
      <c r="B4" s="0" t="s">
        <v>1074</v>
      </c>
    </row>
    <row r="5" customFormat="false" ht="17.15" hidden="false" customHeight="false" outlineLevel="0" collapsed="false">
      <c r="A5" s="5" t="s">
        <v>1075</v>
      </c>
      <c r="B5" s="0" t="s">
        <v>1076</v>
      </c>
    </row>
    <row r="6" customFormat="false" ht="17.15" hidden="false" customHeight="false" outlineLevel="0" collapsed="false">
      <c r="A6" s="5" t="s">
        <v>1077</v>
      </c>
      <c r="B6" s="0" t="s">
        <v>1078</v>
      </c>
    </row>
    <row r="7" customFormat="false" ht="17.15" hidden="false" customHeight="false" outlineLevel="0" collapsed="false">
      <c r="A7" s="5" t="s">
        <v>1079</v>
      </c>
      <c r="B7" s="0" t="s">
        <v>1080</v>
      </c>
    </row>
    <row r="8" customFormat="false" ht="17.15" hidden="false" customHeight="false" outlineLevel="0" collapsed="false">
      <c r="A8" s="5" t="s">
        <v>1081</v>
      </c>
      <c r="B8" s="0" t="s">
        <v>1082</v>
      </c>
    </row>
    <row r="9" customFormat="false" ht="17.15" hidden="false" customHeight="false" outlineLevel="0" collapsed="false">
      <c r="A9" s="5" t="s">
        <v>1083</v>
      </c>
      <c r="B9" s="0" t="s">
        <v>1084</v>
      </c>
    </row>
    <row r="10" customFormat="false" ht="17.15" hidden="false" customHeight="false" outlineLevel="0" collapsed="false">
      <c r="A10" s="5" t="s">
        <v>1085</v>
      </c>
      <c r="B10" s="0" t="s">
        <v>1086</v>
      </c>
    </row>
    <row r="11" customFormat="false" ht="17.15" hidden="false" customHeight="false" outlineLevel="0" collapsed="false">
      <c r="A11" s="5" t="s">
        <v>1087</v>
      </c>
      <c r="B11" s="0" t="s">
        <v>1088</v>
      </c>
    </row>
    <row r="12" customFormat="false" ht="17.15" hidden="false" customHeight="false" outlineLevel="0" collapsed="false">
      <c r="A12" s="5" t="s">
        <v>1089</v>
      </c>
      <c r="B12" s="0" t="s">
        <v>1090</v>
      </c>
    </row>
    <row r="13" customFormat="false" ht="17.15" hidden="false" customHeight="false" outlineLevel="0" collapsed="false">
      <c r="A13" s="5" t="s">
        <v>1091</v>
      </c>
      <c r="B13" s="0" t="s">
        <v>1092</v>
      </c>
    </row>
    <row r="14" customFormat="false" ht="17.15" hidden="false" customHeight="false" outlineLevel="0" collapsed="false">
      <c r="A14" s="5" t="s">
        <v>1093</v>
      </c>
      <c r="B14" s="0" t="s">
        <v>1094</v>
      </c>
    </row>
    <row r="15" customFormat="false" ht="17.15" hidden="false" customHeight="false" outlineLevel="0" collapsed="false">
      <c r="A15" s="5" t="s">
        <v>1095</v>
      </c>
    </row>
    <row r="16" customFormat="false" ht="17.15" hidden="false" customHeight="false" outlineLevel="0" collapsed="false">
      <c r="A16" s="5" t="s">
        <v>1096</v>
      </c>
      <c r="B16" s="5" t="s">
        <v>1097</v>
      </c>
    </row>
    <row r="17" customFormat="false" ht="15" hidden="false" customHeight="false" outlineLevel="0" collapsed="false">
      <c r="A17" s="0" t="s">
        <v>1098</v>
      </c>
      <c r="B17" s="5" t="s">
        <v>1099</v>
      </c>
    </row>
    <row r="18" customFormat="false" ht="17.15" hidden="false" customHeight="false" outlineLevel="0" collapsed="false">
      <c r="A18" s="5" t="s">
        <v>1100</v>
      </c>
      <c r="B18" s="0" t="s">
        <v>1101</v>
      </c>
    </row>
    <row r="19" customFormat="false" ht="17.15" hidden="false" customHeight="false" outlineLevel="0" collapsed="false">
      <c r="A19" s="5" t="s">
        <v>1102</v>
      </c>
      <c r="B19" s="5" t="s">
        <v>1103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2026-10-30T00:24:50Z</dcterms:created>
  <dc:creator>openpyxl</dc:creator>
  <dc:description/>
  <dc:language>en-US</dc:language>
  <cp:lastModifiedBy/>
  <dcterms:modified xsi:type="dcterms:W3CDTF">2026-10-30T00:24:51Z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