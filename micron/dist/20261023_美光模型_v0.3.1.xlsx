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In!$E$55</definedName>
    <definedName function="false" hidden="false" name="bb_px" vbProcedure="false">In!$E$62</definedName>
    <definedName function="false" hidden="false" name="bb_sh_0" vbProcedure="false">In!$E$56</definedName>
    <definedName function="false" hidden="false" name="capex_rem" vbProcedure="false">In!$E$58</definedName>
    <definedName function="false" hidden="false" name="cap_0" vbProcedure="false">In!$E$32</definedName>
    <definedName function="false" hidden="false" name="cap_1" vbProcedure="false">In!$E$33</definedName>
    <definedName function="false" hidden="false" name="cap_1_hi" vbProcedure="false">In!$F$33</definedName>
    <definedName function="false" hidden="false" name="cap_1_lo" vbProcedure="false">In!$D$33</definedName>
    <definedName function="false" hidden="false" name="cap_2" vbProcedure="false">In!$E$34</definedName>
    <definedName function="false" hidden="false" name="cap_2_hi" vbProcedure="false">In!$F$34</definedName>
    <definedName function="false" hidden="false" name="cap_2_lo" vbProcedure="false">In!$D$34</definedName>
    <definedName function="false" hidden="false" name="cap_3" vbProcedure="false">In!$E$38</definedName>
    <definedName function="false" hidden="false" name="cap_3_hi" vbProcedure="false">In!$F$38</definedName>
    <definedName function="false" hidden="false" name="cap_3_lo" vbProcedure="false">In!$D$38</definedName>
    <definedName function="false" hidden="false" name="cb_1" vbProcedure="false">In!$E$12</definedName>
    <definedName function="false" hidden="false" name="cb_1_hi" vbProcedure="false">In!$F$12</definedName>
    <definedName function="false" hidden="false" name="cb_1_lo" vbProcedure="false">In!$D$12</definedName>
    <definedName function="false" hidden="false" name="cb_2" vbProcedure="false">In!$E$13</definedName>
    <definedName function="false" hidden="false" name="cb_2_hi" vbProcedure="false">In!$F$13</definedName>
    <definedName function="false" hidden="false" name="cb_2_lo" vbProcedure="false">In!$D$13</definedName>
    <definedName function="false" hidden="false" name="cb_3" vbProcedure="false">In!$E$35</definedName>
    <definedName function="false" hidden="false" name="cb_3_hi" vbProcedure="false">In!$F$35</definedName>
    <definedName function="false" hidden="false" name="cb_3_lo" vbProcedure="false">In!$D$35</definedName>
    <definedName function="false" hidden="false" name="costdn_q" vbProcedure="false">In!$E$8</definedName>
    <definedName function="false" hidden="false" name="costdn_y" vbProcedure="false">In!$E$24</definedName>
    <definedName function="false" hidden="false" name="costdn_y_hi" vbProcedure="false">In!$F$24</definedName>
    <definedName function="false" hidden="false" name="costdn_y_lo" vbProcedure="false">In!$D$24</definedName>
    <definedName function="false" hidden="false" name="cqA_10" vbProcedure="false">In!$E$80</definedName>
    <definedName function="false" hidden="false" name="cqA_11" vbProcedure="false">In!$E$81</definedName>
    <definedName function="false" hidden="false" name="cqA_12" vbProcedure="false">In!$E$82</definedName>
    <definedName function="false" hidden="false" name="cqA_13" vbProcedure="false">In!$E$83</definedName>
    <definedName function="false" hidden="false" name="cqA_14" vbProcedure="false">In!$E$84</definedName>
    <definedName function="false" hidden="false" name="cqA_15" vbProcedure="false">In!$E$85</definedName>
    <definedName function="false" hidden="false" name="cqA_16" vbProcedure="false">In!$E$86</definedName>
    <definedName function="false" hidden="false" name="cqA_17" vbProcedure="false">In!$E$87</definedName>
    <definedName function="false" hidden="false" name="cqA_18" vbProcedure="false">In!$E$88</definedName>
    <definedName function="false" hidden="false" name="cqA_19" vbProcedure="false">In!$E$89</definedName>
    <definedName function="false" hidden="false" name="cqA_8" vbProcedure="false">In!$E$78</definedName>
    <definedName function="false" hidden="false" name="cqA_9" vbProcedure="false">In!$E$79</definedName>
    <definedName function="false" hidden="false" name="cqB_10" vbProcedure="false">In!$E$92</definedName>
    <definedName function="false" hidden="false" name="cqB_11" vbProcedure="false">In!$E$93</definedName>
    <definedName function="false" hidden="false" name="cqB_12" vbProcedure="false">In!$E$94</definedName>
    <definedName function="false" hidden="false" name="cqB_13" vbProcedure="false">In!$E$95</definedName>
    <definedName function="false" hidden="false" name="cqB_14" vbProcedure="false">In!$E$96</definedName>
    <definedName function="false" hidden="false" name="cqB_15" vbProcedure="false">In!$E$97</definedName>
    <definedName function="false" hidden="false" name="cqB_16" vbProcedure="false">In!$E$98</definedName>
    <definedName function="false" hidden="false" name="cqB_17" vbProcedure="false">In!$E$99</definedName>
    <definedName function="false" hidden="false" name="cqB_18" vbProcedure="false">In!$E$100</definedName>
    <definedName function="false" hidden="false" name="cqB_19" vbProcedure="false">In!$E$101</definedName>
    <definedName function="false" hidden="false" name="cqB_8" vbProcedure="false">In!$E$90</definedName>
    <definedName function="false" hidden="false" name="cqB_9" vbProcedure="false">In!$E$91</definedName>
    <definedName function="false" hidden="false" name="cqC_10" vbProcedure="false">In!$E$104</definedName>
    <definedName function="false" hidden="false" name="cqC_11" vbProcedure="false">In!$E$105</definedName>
    <definedName function="false" hidden="false" name="cqC_12" vbProcedure="false">In!$E$106</definedName>
    <definedName function="false" hidden="false" name="cqC_13" vbProcedure="false">In!$E$107</definedName>
    <definedName function="false" hidden="false" name="cqC_14" vbProcedure="false">In!$E$108</definedName>
    <definedName function="false" hidden="false" name="cqC_15" vbProcedure="false">In!$E$109</definedName>
    <definedName function="false" hidden="false" name="cqC_16" vbProcedure="false">In!$E$110</definedName>
    <definedName function="false" hidden="false" name="cqC_17" vbProcedure="false">In!$E$111</definedName>
    <definedName function="false" hidden="false" name="cqC_18" vbProcedure="false">In!$E$112</definedName>
    <definedName function="false" hidden="false" name="cqC_19" vbProcedure="false">In!$E$113</definedName>
    <definedName function="false" hidden="false" name="cqC_8" vbProcedure="false">In!$E$102</definedName>
    <definedName function="false" hidden="false" name="cqC_9" vbProcedure="false">In!$E$103</definedName>
    <definedName function="false" hidden="false" name="cq_1" vbProcedure="false">In!$E$71</definedName>
    <definedName function="false" hidden="false" name="cq_2" vbProcedure="false">In!$E$72</definedName>
    <definedName function="false" hidden="false" name="cq_3" vbProcedure="false">In!$E$73</definedName>
    <definedName function="false" hidden="false" name="cq_4" vbProcedure="false">In!$E$74</definedName>
    <definedName function="false" hidden="false" name="cq_5" vbProcedure="false">In!$E$75</definedName>
    <definedName function="false" hidden="false" name="cq_6" vbProcedure="false">In!$E$76</definedName>
    <definedName function="false" hidden="false" name="cq_7" vbProcedure="false">In!$E$77</definedName>
    <definedName function="false" hidden="false" name="da_cogs" vbProcedure="false">In!$E$26</definedName>
    <definedName function="false" hidden="false" name="da_life" vbProcedure="false">In!$E$25</definedName>
    <definedName function="false" hidden="false" name="da_life_hi" vbProcedure="false">In!$F$25</definedName>
    <definedName function="false" hidden="false" name="da_life_lo" vbProcedure="false">In!$D$25</definedName>
    <definedName function="false" hidden="false" name="div_0" vbProcedure="false">In!$E$57</definedName>
    <definedName function="false" hidden="false" name="dps_1" vbProcedure="false">In!$E$59</definedName>
    <definedName function="false" hidden="false" name="dps_2" vbProcedure="false">In!$E$60</definedName>
    <definedName function="false" hidden="false" name="dps_3" vbProcedure="false">In!$E$39</definedName>
    <definedName function="false" hidden="false" name="eq_last" vbProcedure="false">In!$E$50</definedName>
    <definedName function="false" hidden="false" name="extra_eq" vbProcedure="false">In!$E$53</definedName>
    <definedName function="false" hidden="false" name="extra_sh" vbProcedure="false">In!$E$54</definedName>
    <definedName function="false" hidden="false" name="fx" vbProcedure="false">In!$E$6</definedName>
    <definedName function="false" hidden="false" name="g_amd_26" vbProcedure="false">In!$E$185</definedName>
    <definedName function="false" hidden="false" name="g_amd_27" vbProcedure="false">In!$E$186</definedName>
    <definedName function="false" hidden="false" name="g_amd_28" vbProcedure="false">In!$E$187</definedName>
    <definedName function="false" hidden="false" name="g_bw_26" vbProcedure="false">In!$E$161</definedName>
    <definedName function="false" hidden="false" name="g_bw_27" vbProcedure="false">In!$E$162</definedName>
    <definedName function="false" hidden="false" name="g_bw_28" vbProcedure="false">In!$E$163</definedName>
    <definedName function="false" hidden="false" name="g_hp_26" vbProcedure="false">In!$E$179</definedName>
    <definedName function="false" hidden="false" name="g_hp_27" vbProcedure="false">In!$E$180</definedName>
    <definedName function="false" hidden="false" name="g_hp_28" vbProcedure="false">In!$E$181</definedName>
    <definedName function="false" hidden="false" name="g_oth_26" vbProcedure="false">In!$E$203</definedName>
    <definedName function="false" hidden="false" name="g_oth_27" vbProcedure="false">In!$E$204</definedName>
    <definedName function="false" hidden="false" name="g_oth_28" vbProcedure="false">In!$E$205</definedName>
    <definedName function="false" hidden="false" name="g_rb_26" vbProcedure="false">In!$E$167</definedName>
    <definedName function="false" hidden="false" name="g_rb_27" vbProcedure="false">In!$E$168</definedName>
    <definedName function="false" hidden="false" name="g_rb_28" vbProcedure="false">In!$E$169</definedName>
    <definedName function="false" hidden="false" name="g_ru_26" vbProcedure="false">In!$E$173</definedName>
    <definedName function="false" hidden="false" name="g_ru_27" vbProcedure="false">In!$E$174</definedName>
    <definedName function="false" hidden="false" name="g_ru_28" vbProcedure="false">In!$E$175</definedName>
    <definedName function="false" hidden="false" name="g_tpu_26" vbProcedure="false">In!$E$191</definedName>
    <definedName function="false" hidden="false" name="g_tpu_27" vbProcedure="false">In!$E$192</definedName>
    <definedName function="false" hidden="false" name="g_tpu_28" vbProcedure="false">In!$E$193</definedName>
    <definedName function="false" hidden="false" name="g_trn_26" vbProcedure="false">In!$E$197</definedName>
    <definedName function="false" hidden="false" name="g_trn_27" vbProcedure="false">In!$E$198</definedName>
    <definedName function="false" hidden="false" name="g_trn_28" vbProcedure="false">In!$E$199</definedName>
    <definedName function="false" hidden="false" name="hbm_dem29" vbProcedure="false">In!$E$224</definedName>
    <definedName function="false" hidden="false" name="hbm_dem29_hi" vbProcedure="false">In!$F$224</definedName>
    <definedName function="false" hidden="false" name="hbm_dem29_lo" vbProcedure="false">In!$D$224</definedName>
    <definedName function="false" hidden="false" name="hbm_g26" vbProcedure="false">In!$E$215</definedName>
    <definedName function="false" hidden="false" name="hbm_g26_hi" vbProcedure="false">In!$F$215</definedName>
    <definedName function="false" hidden="false" name="hbm_g26_lo" vbProcedure="false">In!$D$215</definedName>
    <definedName function="false" hidden="false" name="hbm_gross" vbProcedure="false">In!$E$216</definedName>
    <definedName function="false" hidden="false" name="hbm_gross_hi" vbProcedure="false">In!$F$216</definedName>
    <definedName function="false" hidden="false" name="hbm_gross_lo" vbProcedure="false">In!$D$216</definedName>
    <definedName function="false" hidden="false" name="hbm_mkt25" vbProcedure="false">In!$E$214</definedName>
    <definedName function="false" hidden="false" name="hbm_mkt25_hi" vbProcedure="false">In!$F$214</definedName>
    <definedName function="false" hidden="false" name="hbm_mkt25_lo" vbProcedure="false">In!$D$214</definedName>
    <definedName function="false" hidden="false" name="hbm_p26" vbProcedure="false">In!$E$219</definedName>
    <definedName function="false" hidden="false" name="hbm_p26_hi" vbProcedure="false">In!$F$219</definedName>
    <definedName function="false" hidden="false" name="hbm_p26_lo" vbProcedure="false">In!$D$219</definedName>
    <definedName function="false" hidden="false" name="hbm_p27" vbProcedure="false">In!$E$220</definedName>
    <definedName function="false" hidden="false" name="hbm_p27_hi" vbProcedure="false">In!$F$220</definedName>
    <definedName function="false" hidden="false" name="hbm_p27_lo" vbProcedure="false">In!$D$220</definedName>
    <definedName function="false" hidden="false" name="hbm_p28_A" vbProcedure="false">In!$E$221</definedName>
    <definedName function="false" hidden="false" name="hbm_p28_A_hi" vbProcedure="false">In!$F$221</definedName>
    <definedName function="false" hidden="false" name="hbm_p28_A_lo" vbProcedure="false">In!$D$221</definedName>
    <definedName function="false" hidden="false" name="hbm_p28_B" vbProcedure="false">In!$E$222</definedName>
    <definedName function="false" hidden="false" name="hbm_p28_B_hi" vbProcedure="false">In!$F$222</definedName>
    <definedName function="false" hidden="false" name="hbm_p28_B_lo" vbProcedure="false">In!$D$222</definedName>
    <definedName function="false" hidden="false" name="hbm_p28_C" vbProcedure="false">In!$E$223</definedName>
    <definedName function="false" hidden="false" name="hbm_p28_C_hi" vbProcedure="false">In!$F$223</definedName>
    <definedName function="false" hidden="false" name="hbm_p28_C_lo" vbProcedure="false">In!$D$223</definedName>
    <definedName function="false" hidden="false" name="hbm_p29_A" vbProcedure="false">In!$E$226</definedName>
    <definedName function="false" hidden="false" name="hbm_p29_A_hi" vbProcedure="false">In!$F$226</definedName>
    <definedName function="false" hidden="false" name="hbm_p29_A_lo" vbProcedure="false">In!$D$226</definedName>
    <definedName function="false" hidden="false" name="hbm_p29_B" vbProcedure="false">In!$E$227</definedName>
    <definedName function="false" hidden="false" name="hbm_p29_B_hi" vbProcedure="false">In!$F$227</definedName>
    <definedName function="false" hidden="false" name="hbm_p29_B_lo" vbProcedure="false">In!$D$227</definedName>
    <definedName function="false" hidden="false" name="hbm_p29_C" vbProcedure="false">In!$E$228</definedName>
    <definedName function="false" hidden="false" name="hbm_p29_C_hi" vbProcedure="false">In!$F$228</definedName>
    <definedName function="false" hidden="false" name="hbm_p29_C_lo" vbProcedure="false">In!$D$228</definedName>
    <definedName function="false" hidden="false" name="hbm_sup27" vbProcedure="false">In!$E$217</definedName>
    <definedName function="false" hidden="false" name="hbm_sup27_hi" vbProcedure="false">In!$F$217</definedName>
    <definedName function="false" hidden="false" name="hbm_sup27_lo" vbProcedure="false">In!$D$217</definedName>
    <definedName function="false" hidden="false" name="hbm_sup28" vbProcedure="false">In!$E$218</definedName>
    <definedName function="false" hidden="false" name="hbm_sup28_hi" vbProcedure="false">In!$F$218</definedName>
    <definedName function="false" hidden="false" name="hbm_sup28_lo" vbProcedure="false">In!$D$218</definedName>
    <definedName function="false" hidden="false" name="hbm_sup29" vbProcedure="false">In!$E$225</definedName>
    <definedName function="false" hidden="false" name="hbm_sup29_hi" vbProcedure="false">In!$F$225</definedName>
    <definedName function="false" hidden="false" name="hbm_sup29_lo" vbProcedure="false">In!$D$225</definedName>
    <definedName function="false" hidden="false" name="nb_1" vbProcedure="false">In!$E$14</definedName>
    <definedName function="false" hidden="false" name="nb_1_hi" vbProcedure="false">In!$F$14</definedName>
    <definedName function="false" hidden="false" name="nb_1_lo" vbProcedure="false">In!$D$14</definedName>
    <definedName function="false" hidden="false" name="nb_2" vbProcedure="false">In!$E$15</definedName>
    <definedName function="false" hidden="false" name="nb_2_hi" vbProcedure="false">In!$F$15</definedName>
    <definedName function="false" hidden="false" name="nb_2_lo" vbProcedure="false">In!$D$15</definedName>
    <definedName function="false" hidden="false" name="nb_3" vbProcedure="false">In!$E$36</definedName>
    <definedName function="false" hidden="false" name="nb_3_hi" vbProcedure="false">In!$F$36</definedName>
    <definedName function="false" hidden="false" name="nb_3_lo" vbProcedure="false">In!$D$36</definedName>
    <definedName function="false" hidden="false" name="nc_last" vbProcedure="false">In!$E$51</definedName>
    <definedName function="false" hidden="false" name="nm_op_0" vbProcedure="false">In!$E$42</definedName>
    <definedName function="false" hidden="false" name="nm_op_1" vbProcedure="false">In!$E$44</definedName>
    <definedName function="false" hidden="false" name="nm_op_2" vbProcedure="false">In!$E$46</definedName>
    <definedName function="false" hidden="false" name="nm_op_3" vbProcedure="false">In!$E$48</definedName>
    <definedName function="false" hidden="false" name="nm_op_q" vbProcedure="false">In!$E$40</definedName>
    <definedName function="false" hidden="false" name="nm_rev_0" vbProcedure="false">In!$E$41</definedName>
    <definedName function="false" hidden="false" name="nm_rev_1" vbProcedure="false">In!$E$43</definedName>
    <definedName function="false" hidden="false" name="nm_rev_2" vbProcedure="false">In!$E$45</definedName>
    <definedName function="false" hidden="false" name="nm_rev_3" vbProcedure="false">In!$E$47</definedName>
    <definedName function="false" hidden="false" name="nonop_q" vbProcedure="false">In!$E$10</definedName>
    <definedName function="false" hidden="false" name="nqA_10" vbProcedure="false">In!$E$123</definedName>
    <definedName function="false" hidden="false" name="nqA_11" vbProcedure="false">In!$E$124</definedName>
    <definedName function="false" hidden="false" name="nqA_12" vbProcedure="false">In!$E$125</definedName>
    <definedName function="false" hidden="false" name="nqA_13" vbProcedure="false">In!$E$126</definedName>
    <definedName function="false" hidden="false" name="nqA_14" vbProcedure="false">In!$E$127</definedName>
    <definedName function="false" hidden="false" name="nqA_15" vbProcedure="false">In!$E$128</definedName>
    <definedName function="false" hidden="false" name="nqA_16" vbProcedure="false">In!$E$129</definedName>
    <definedName function="false" hidden="false" name="nqA_17" vbProcedure="false">In!$E$130</definedName>
    <definedName function="false" hidden="false" name="nqA_18" vbProcedure="false">In!$E$131</definedName>
    <definedName function="false" hidden="false" name="nqA_19" vbProcedure="false">In!$E$132</definedName>
    <definedName function="false" hidden="false" name="nqA_8" vbProcedure="false">In!$E$121</definedName>
    <definedName function="false" hidden="false" name="nqA_9" vbProcedure="false">In!$E$122</definedName>
    <definedName function="false" hidden="false" name="nqB_10" vbProcedure="false">In!$E$135</definedName>
    <definedName function="false" hidden="false" name="nqB_11" vbProcedure="false">In!$E$136</definedName>
    <definedName function="false" hidden="false" name="nqB_12" vbProcedure="false">In!$E$137</definedName>
    <definedName function="false" hidden="false" name="nqB_13" vbProcedure="false">In!$E$138</definedName>
    <definedName function="false" hidden="false" name="nqB_14" vbProcedure="false">In!$E$139</definedName>
    <definedName function="false" hidden="false" name="nqB_15" vbProcedure="false">In!$E$140</definedName>
    <definedName function="false" hidden="false" name="nqB_16" vbProcedure="false">In!$E$141</definedName>
    <definedName function="false" hidden="false" name="nqB_17" vbProcedure="false">In!$E$142</definedName>
    <definedName function="false" hidden="false" name="nqB_18" vbProcedure="false">In!$E$143</definedName>
    <definedName function="false" hidden="false" name="nqB_19" vbProcedure="false">In!$E$144</definedName>
    <definedName function="false" hidden="false" name="nqB_8" vbProcedure="false">In!$E$133</definedName>
    <definedName function="false" hidden="false" name="nqB_9" vbProcedure="false">In!$E$134</definedName>
    <definedName function="false" hidden="false" name="nqC_10" vbProcedure="false">In!$E$147</definedName>
    <definedName function="false" hidden="false" name="nqC_11" vbProcedure="false">In!$E$148</definedName>
    <definedName function="false" hidden="false" name="nqC_12" vbProcedure="false">In!$E$149</definedName>
    <definedName function="false" hidden="false" name="nqC_13" vbProcedure="false">In!$E$150</definedName>
    <definedName function="false" hidden="false" name="nqC_14" vbProcedure="false">In!$E$151</definedName>
    <definedName function="false" hidden="false" name="nqC_15" vbProcedure="false">In!$E$152</definedName>
    <definedName function="false" hidden="false" name="nqC_16" vbProcedure="false">In!$E$153</definedName>
    <definedName function="false" hidden="false" name="nqC_17" vbProcedure="false">In!$E$154</definedName>
    <definedName function="false" hidden="false" name="nqC_18" vbProcedure="false">In!$E$155</definedName>
    <definedName function="false" hidden="false" name="nqC_19" vbProcedure="false">In!$E$156</definedName>
    <definedName function="false" hidden="false" name="nqC_8" vbProcedure="false">In!$E$145</definedName>
    <definedName function="false" hidden="false" name="nqC_9" vbProcedure="false">In!$E$146</definedName>
    <definedName function="false" hidden="false" name="nq_1" vbProcedure="false">In!$E$114</definedName>
    <definedName function="false" hidden="false" name="nq_2" vbProcedure="false">In!$E$115</definedName>
    <definedName function="false" hidden="false" name="nq_3" vbProcedure="false">In!$E$116</definedName>
    <definedName function="false" hidden="false" name="nq_4" vbProcedure="false">In!$E$117</definedName>
    <definedName function="false" hidden="false" name="nq_5" vbProcedure="false">In!$E$118</definedName>
    <definedName function="false" hidden="false" name="nq_6" vbProcedure="false">In!$E$119</definedName>
    <definedName function="false" hidden="false" name="nq_7" vbProcedure="false">In!$E$120</definedName>
    <definedName function="false" hidden="false" name="nv_content" vbProcedure="false">In!$E$231</definedName>
    <definedName function="false" hidden="false" name="nv_content_hi" vbProcedure="false">In!$F$231</definedName>
    <definedName function="false" hidden="false" name="nv_content_lo" vbProcedure="false">In!$D$231</definedName>
    <definedName function="false" hidden="false" name="nv_dc26" vbProcedure="false">In!$E$230</definedName>
    <definedName function="false" hidden="false" name="nv_dc26_hi" vbProcedure="false">In!$F$230</definedName>
    <definedName function="false" hidden="false" name="nv_dc26_lo" vbProcedure="false">In!$D$230</definedName>
    <definedName function="false" hidden="false" name="nv_hbm" vbProcedure="false">In!$E$232</definedName>
    <definedName function="false" hidden="false" name="nv_hbm_hi" vbProcedure="false">In!$F$232</definedName>
    <definedName function="false" hidden="false" name="nv_hbm_lo" vbProcedure="false">In!$D$232</definedName>
    <definedName function="false" hidden="false" name="opex_fix_q" vbProcedure="false">In!$E$9</definedName>
    <definedName function="false" hidden="false" name="opex_fix_y" vbProcedure="false">In!$E$27</definedName>
    <definedName function="false" hidden="false" name="opex_g" vbProcedure="false">In!$E$29</definedName>
    <definedName function="false" hidden="false" name="opex_var" vbProcedure="false">In!$E$28</definedName>
    <definedName function="false" hidden="false" name="opex_var_hi" vbProcedure="false">In!$F$28</definedName>
    <definedName function="false" hidden="false" name="opex_var_lo" vbProcedure="false">In!$D$28</definedName>
    <definedName function="false" hidden="false" name="other_y" vbProcedure="false">In!$E$20</definedName>
    <definedName function="false" hidden="false" name="payout" vbProcedure="false">In!$E$61</definedName>
    <definedName function="false" hidden="false" name="payout_hi" vbProcedure="false">In!$F$61</definedName>
    <definedName function="false" hidden="false" name="payout_lo" vbProcedure="false">In!$D$61</definedName>
    <definedName function="false" hidden="false" name="pb_1" vbProcedure="false">In!$E$64</definedName>
    <definedName function="false" hidden="false" name="pb_2" vbProcedure="false">In!$E$65</definedName>
    <definedName function="false" hidden="false" name="pb_3" vbProcedure="false">In!$E$66</definedName>
    <definedName function="false" hidden="false" name="pe_1" vbProcedure="false">In!$E$67</definedName>
    <definedName function="false" hidden="false" name="pe_2" vbProcedure="false">In!$E$68</definedName>
    <definedName function="false" hidden="false" name="pe_3" vbProcedure="false">In!$E$69</definedName>
    <definedName function="false" hidden="false" name="pub26_hi" vbProcedure="false">In!$E$234</definedName>
    <definedName function="false" hidden="false" name="pub26_lo" vbProcedure="false">In!$E$233</definedName>
    <definedName function="false" hidden="false" name="pub27" vbProcedure="false">In!$E$235</definedName>
    <definedName function="false" hidden="false" name="px" vbProcedure="false">In!$E$5</definedName>
    <definedName function="false" hidden="false" name="rf" vbProcedure="false">In!$E$31</definedName>
    <definedName function="false" hidden="false" name="sh25" vbProcedure="false">In!$E$16</definedName>
    <definedName function="false" hidden="false" name="sh25_hi" vbProcedure="false">In!$F$16</definedName>
    <definedName function="false" hidden="false" name="sh25_lo" vbProcedure="false">In!$D$16</definedName>
    <definedName function="false" hidden="false" name="sh26" vbProcedure="false">In!$E$17</definedName>
    <definedName function="false" hidden="false" name="sh26_hi" vbProcedure="false">In!$F$17</definedName>
    <definedName function="false" hidden="false" name="sh26_lo" vbProcedure="false">In!$D$17</definedName>
    <definedName function="false" hidden="false" name="sh27" vbProcedure="false">In!$E$18</definedName>
    <definedName function="false" hidden="false" name="sh27_hi" vbProcedure="false">In!$F$18</definedName>
    <definedName function="false" hidden="false" name="sh27_lo" vbProcedure="false">In!$D$18</definedName>
    <definedName function="false" hidden="false" name="sh28" vbProcedure="false">In!$E$19</definedName>
    <definedName function="false" hidden="false" name="sh28_hi" vbProcedure="false">In!$F$19</definedName>
    <definedName function="false" hidden="false" name="sh28_lo" vbProcedure="false">In!$D$19</definedName>
    <definedName function="false" hidden="false" name="sh29" vbProcedure="false">In!$E$37</definedName>
    <definedName function="false" hidden="false" name="sh29_hi" vbProcedure="false">In!$F$37</definedName>
    <definedName function="false" hidden="false" name="sh29_lo" vbProcedure="false">In!$D$37</definedName>
    <definedName function="false" hidden="false" name="sh_last" vbProcedure="false">In!$E$52</definedName>
    <definedName function="false" hidden="false" name="tax" vbProcedure="false">In!$E$30</definedName>
    <definedName function="false" hidden="false" name="tax_hi" vbProcedure="false">In!$F$30</definedName>
    <definedName function="false" hidden="false" name="tax_lo" vbProcedure="false">In!$D$30</definedName>
    <definedName function="false" hidden="false" name="um28_A" vbProcedure="false">In!$E$207</definedName>
    <definedName function="false" hidden="false" name="um28_B" vbProcedure="false">In!$E$209</definedName>
    <definedName function="false" hidden="false" name="um28_B_hi" vbProcedure="false">In!$F$209</definedName>
    <definedName function="false" hidden="false" name="um28_B_lo" vbProcedure="false">In!$D$209</definedName>
    <definedName function="false" hidden="false" name="um28_C" vbProcedure="false">In!$E$211</definedName>
    <definedName function="false" hidden="false" name="um28_C_hi" vbProcedure="false">In!$F$211</definedName>
    <definedName function="false" hidden="false" name="um28_C_lo" vbProcedure="false">In!$D$211</definedName>
    <definedName function="false" hidden="false" name="um29_A" vbProcedure="false">In!$E$208</definedName>
    <definedName function="false" hidden="false" name="um29_B" vbProcedure="false">In!$E$210</definedName>
    <definedName function="false" hidden="false" name="um29_B_hi" vbProcedure="false">In!$F$210</definedName>
    <definedName function="false" hidden="false" name="um29_B_lo" vbProcedure="false">In!$D$210</definedName>
    <definedName function="false" hidden="false" name="um29_C" vbProcedure="false">In!$E$212</definedName>
    <definedName function="false" hidden="false" name="um29_C_hi" vbProcedure="false">In!$F$212</definedName>
    <definedName function="false" hidden="false" name="um29_C_lo" vbProcedure="false">In!$D$212</definedName>
    <definedName function="false" hidden="false" name="u_amd_26" vbProcedure="false">In!$E$182</definedName>
    <definedName function="false" hidden="false" name="u_amd_27" vbProcedure="false">In!$E$183</definedName>
    <definedName function="false" hidden="false" name="u_amd_28" vbProcedure="false">In!$E$184</definedName>
    <definedName function="false" hidden="false" name="u_bw_26" vbProcedure="false">In!$E$158</definedName>
    <definedName function="false" hidden="false" name="u_bw_27" vbProcedure="false">In!$E$159</definedName>
    <definedName function="false" hidden="false" name="u_bw_28" vbProcedure="false">In!$E$160</definedName>
    <definedName function="false" hidden="false" name="u_hp_26" vbProcedure="false">In!$E$176</definedName>
    <definedName function="false" hidden="false" name="u_hp_27" vbProcedure="false">In!$E$177</definedName>
    <definedName function="false" hidden="false" name="u_hp_28" vbProcedure="false">In!$E$178</definedName>
    <definedName function="false" hidden="false" name="u_oth_26" vbProcedure="false">In!$E$200</definedName>
    <definedName function="false" hidden="false" name="u_oth_27" vbProcedure="false">In!$E$201</definedName>
    <definedName function="false" hidden="false" name="u_oth_28" vbProcedure="false">In!$E$202</definedName>
    <definedName function="false" hidden="false" name="u_rb_26" vbProcedure="false">In!$E$164</definedName>
    <definedName function="false" hidden="false" name="u_rb_27" vbProcedure="false">In!$E$165</definedName>
    <definedName function="false" hidden="false" name="u_rb_28" vbProcedure="false">In!$E$166</definedName>
    <definedName function="false" hidden="false" name="u_ru_26" vbProcedure="false">In!$E$170</definedName>
    <definedName function="false" hidden="false" name="u_ru_27" vbProcedure="false">In!$E$171</definedName>
    <definedName function="false" hidden="false" name="u_ru_28" vbProcedure="false">In!$E$172</definedName>
    <definedName function="false" hidden="false" name="u_tpu_26" vbProcedure="false">In!$E$188</definedName>
    <definedName function="false" hidden="false" name="u_tpu_27" vbProcedure="false">In!$E$189</definedName>
    <definedName function="false" hidden="false" name="u_tpu_28" vbProcedure="false">In!$E$190</definedName>
    <definedName function="false" hidden="false" name="u_trn_26" vbProcedure="false">In!$E$194</definedName>
    <definedName function="false" hidden="false" name="u_trn_27" vbProcedure="false">In!$E$195</definedName>
    <definedName function="false" hidden="false" name="u_trn_28" vbProcedure="false">In!$E$196</definedName>
    <definedName function="false" hidden="false" name="w_c" vbProcedure="false">In!$E$21</definedName>
    <definedName function="false" hidden="false" name="w_h" vbProcedure="false">In!$E$22</definedName>
    <definedName function="false" hidden="false" name="w_n" vbProcedure="false">In!$E$23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<sst xmlns="http://schemas.openxmlformats.org/spreadsheetml/2006/main" count="1803" uniqueCount="870">
  <si>
    <r>
      <rPr>
        <b val="true"/>
        <sz val="11"/>
        <rFont val="WenQuanYi Zen Hei"/>
        <family val="2"/>
      </rPr>
      <t xml:space="preserve">美光 收支與估值模型 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WenQuanYi Zen Hei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WenQuanYi Zen Hei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</si>
  <si>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WenQuanYi Zen Hei"/>
        <family val="2"/>
      </rPr>
      <t xml:space="preserve">模型命題：美光的盈餘由一般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的合約價循環決定，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份額約與其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份額相當（約兩成）；股價取決於循環見頂的年度與見頂時累積的淨值，以及「超額現金 </t>
    </r>
    <r>
      <rPr>
        <sz val="11"/>
        <rFont val="Cambria"/>
        <family val="0"/>
        <charset val="1"/>
      </rPr>
      <t xml:space="preserve">100% </t>
    </r>
    <r>
      <rPr>
        <sz val="11"/>
        <rFont val="WenQuanYi Zen Hei"/>
        <family val="2"/>
      </rPr>
      <t xml:space="preserve">回饋」把淨值轉成買回的速度。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</si>
  <si>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</si>
  <si>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WenQuanYi Zen Hei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</si>
  <si>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WenQuanYi Zen Hei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WenQuanYi Zen Hei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WenQuanYi Zen Hei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WenQuanYi Zen Hei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WenQuanYi Zen Hei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WenQuanYi Zen Hei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</si>
  <si>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WenQuanYi Zen Hei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WenQuanYi Zen Hei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</si>
  <si>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WenQuanYi Zen Hei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WenQuanYi Zen Hei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WenQuanYi Zen Hei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WenQuanYi Zen Hei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WenQuanYi Zen Hei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</si>
  <si>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WenQuanYi Zen Hei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WenQuanYi Zen Hei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WenQuanYi Zen Hei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</si>
  <si>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</si>
  <si>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</si>
  <si>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：與共識、公司指引事後對照</t>
    </r>
  </si>
  <si>
    <r>
      <rPr>
        <sz val="11"/>
        <rFont val="WenQuanYi Zen Hei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WenQuanYi Zen Hei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WenQuanYi Zen Hei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WenQuanYi Zen Hei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WenQuanYi Zen Hei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自谷底回升（完整循環）</t>
    </r>
  </si>
  <si>
    <r>
      <rPr>
        <sz val="11"/>
        <rFont val="WenQuanYi Zen Hei"/>
        <family val="2"/>
      </rPr>
      <t xml:space="preserve">幣別單位：十億美元；會計年度：會計年度約 </t>
    </r>
    <r>
      <rPr>
        <sz val="11"/>
        <rFont val="Cambria"/>
        <family val="0"/>
        <charset val="1"/>
      </rPr>
      <t xml:space="preserve">9 </t>
    </r>
    <r>
      <rPr>
        <sz val="11"/>
        <rFont val="WenQuanYi Zen Hei"/>
        <family val="2"/>
      </rPr>
      <t xml:space="preserve">月初結束；</t>
    </r>
    <r>
      <rPr>
        <sz val="11"/>
        <rFont val="Cambria"/>
        <family val="0"/>
        <charset val="1"/>
      </rPr>
      <t xml:space="preserve">FY27 ≈ 2026Q4–2027Q3</t>
    </r>
    <r>
      <rPr>
        <sz val="11"/>
        <rFont val="WenQuanYi Zen Hei"/>
        <family val="2"/>
      </rPr>
      <t xml:space="preserve">（日曆季對齊為近似，實際差約 </t>
    </r>
    <r>
      <rPr>
        <sz val="11"/>
        <rFont val="Cambria"/>
        <family val="0"/>
        <charset val="1"/>
      </rPr>
      <t xml:space="preserve">1 </t>
    </r>
    <r>
      <rPr>
        <sz val="11"/>
        <rFont val="WenQuanYi Zen Hei"/>
        <family val="2"/>
      </rPr>
      <t xml:space="preserve">個月）</t>
    </r>
  </si>
  <si>
    <r>
      <rPr>
        <sz val="11"/>
        <rFont val="WenQuanYi Zen Hei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WenQuanYi Zen Hei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</si>
  <si>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vv0.3.1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WenQuanYi Zen Hei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WenQuanYi Zen Hei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WenQuanYi Zen Hei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WenQuanYi Zen Hei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</si>
  <si>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WenQuanYi Zen Hei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WenQuanYi Zen Hei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WenQuanYi Zen Hei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WenQuanYi Zen Hei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v0.2.1 </t>
    </r>
    <r>
      <rPr>
        <sz val="11"/>
        <rFont val="WenQuanYi Zen Hei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WenQuanYi Zen Hei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</si>
  <si>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WenQuanYi Zen Hei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WenQuanYi Zen Hei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WenQuanYi Zen Hei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WenQuanYi Zen Hei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WenQuanYi Zen Hei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WenQuanYi Zen Hei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WenQuanYi Zen Hei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v0.2 </t>
    </r>
    <r>
      <rPr>
        <sz val="11"/>
        <rFont val="WenQuanYi Zen Hei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</si>
  <si>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WenQuanYi Zen Hei"/>
        <family val="2"/>
      </rPr>
      <t xml:space="preserve">：預測延長到 </t>
    </r>
    <r>
      <rPr>
        <sz val="11"/>
        <rFont val="Cambria"/>
        <family val="0"/>
        <charset val="1"/>
      </rPr>
      <t xml:space="preserve">FY2029</t>
    </r>
    <r>
      <rPr>
        <sz val="11"/>
        <rFont val="WenQuanYi Zen Hei"/>
        <family val="2"/>
      </rPr>
      <t xml:space="preserve">，情境 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的谷底（</t>
    </r>
    <r>
      <rPr>
        <sz val="11"/>
        <rFont val="Cambria"/>
        <family val="0"/>
        <charset val="1"/>
      </rPr>
      <t xml:space="preserve">FY28–29</t>
    </r>
    <r>
      <rPr>
        <sz val="11"/>
        <rFont val="WenQuanYi Zen Hei"/>
        <family val="2"/>
      </rPr>
      <t xml:space="preserve">）已可見；前兩年與 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相同。</t>
    </r>
  </si>
  <si>
    <r>
      <rPr>
        <sz val="11"/>
        <rFont val="WenQuanYi Zen Hei"/>
        <family val="2"/>
      </rPr>
      <t xml:space="preserve">複製測試：本檔只換參數（設定檔 </t>
    </r>
    <r>
      <rPr>
        <sz val="11"/>
        <rFont val="Cambria"/>
        <family val="0"/>
        <charset val="1"/>
      </rPr>
      <t xml:space="preserve">micron/company.py</t>
    </r>
    <r>
      <rPr>
        <sz val="11"/>
        <rFont val="WenQuanYi Zen Hei"/>
        <family val="2"/>
      </rPr>
      <t xml:space="preserve">）；樣板結構不變。為了美光而改的樣板結構（會計年度、幣別、季價路徑）已先回頭改進樣板 </t>
    </r>
    <r>
      <rPr>
        <sz val="11"/>
        <rFont val="Cambria"/>
        <family val="0"/>
        <charset val="1"/>
      </rPr>
      <t xml:space="preserve">v0.2</t>
    </r>
    <r>
      <rPr>
        <sz val="11"/>
        <rFont val="WenQuanYi Zen Hei"/>
        <family val="2"/>
      </rPr>
      <t xml:space="preserve">，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 </t>
    </r>
    <r>
      <rPr>
        <sz val="11"/>
        <rFont val="Cambria"/>
        <family val="0"/>
        <charset val="1"/>
      </rPr>
      <t xml:space="preserve">v0.2 </t>
    </r>
    <r>
      <rPr>
        <sz val="11"/>
        <rFont val="WenQuanYi Zen Hei"/>
        <family val="2"/>
      </rPr>
      <t xml:space="preserve">同步重建。</t>
    </r>
  </si>
  <si>
    <r>
      <rPr>
        <sz val="11"/>
        <rFont val="WenQuanYi Zen Hei"/>
        <family val="2"/>
      </rPr>
      <t xml:space="preserve">已知簡化：會計年度與日曆季對齊差約 </t>
    </r>
    <r>
      <rPr>
        <sz val="11"/>
        <rFont val="Cambria"/>
        <family val="0"/>
        <charset val="1"/>
      </rPr>
      <t xml:space="preserve">1 </t>
    </r>
    <r>
      <rPr>
        <sz val="11"/>
        <rFont val="WenQuanYi Zen Hei"/>
        <family val="2"/>
      </rPr>
      <t xml:space="preserve">個月；</t>
    </r>
    <r>
      <rPr>
        <sz val="11"/>
        <rFont val="Cambria"/>
        <family val="0"/>
        <charset val="1"/>
      </rPr>
      <t xml:space="preserve">HBM </t>
    </r>
    <r>
      <rPr>
        <sz val="11"/>
        <rFont val="WenQuanYi Zen Hei"/>
        <family val="2"/>
      </rPr>
      <t xml:space="preserve">營收美光未揭露（由市場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市占推得）；</t>
    </r>
    <r>
      <rPr>
        <sz val="11"/>
        <rFont val="Cambria"/>
        <family val="0"/>
        <charset val="1"/>
      </rPr>
      <t xml:space="preserve">FQ4-26 </t>
    </r>
    <r>
      <rPr>
        <sz val="11"/>
        <rFont val="WenQuanYi Zen Hei"/>
        <family val="2"/>
      </rPr>
      <t xml:space="preserve">為 </t>
    </r>
    <r>
      <rPr>
        <sz val="11"/>
        <rFont val="Cambria"/>
        <family val="0"/>
        <charset val="1"/>
      </rPr>
      <t xml:space="preserve">14 </t>
    </r>
    <r>
      <rPr>
        <sz val="11"/>
        <rFont val="WenQuanYi Zen Hei"/>
        <family val="2"/>
      </rPr>
      <t xml:space="preserve">週。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</si>
  <si>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欄）。單位：十億美元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</si>
  <si>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</si>
  <si>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</si>
  <si>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</si>
  <si>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</si>
  <si>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</si>
  <si>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</si>
  <si>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</si>
  <si>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</si>
  <si>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股價</t>
    </r>
  </si>
  <si>
    <t xml:space="preserve">px</t>
  </si>
  <si>
    <r>
      <rPr>
        <sz val="11"/>
        <color theme="1"/>
        <rFont val="WenQuanYi Zen Hei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WenQuanYi Zen Hei"/>
        <family val="2"/>
      </rPr>
      <t xml:space="preserve">收盤）</t>
    </r>
  </si>
  <si>
    <t xml:space="preserve">USD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</si>
  <si>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</si>
  <si>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</si>
  <si>
    <t xml:space="preserve">fx</t>
  </si>
  <si>
    <t xml:space="preserve">（美元公司不使用匯率）</t>
  </si>
  <si>
    <t xml:space="preserve">—</t>
  </si>
  <si>
    <t xml:space="preserve">Verified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</si>
  <si>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季度推估用（美光基準年 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WenQuanYi Zen Hei"/>
        <family val="2"/>
      </rPr>
      <t xml:space="preserve">全為實績，以下不使用，保留樣板欄位）</t>
    </r>
  </si>
  <si>
    <t xml:space="preserve">costdn_q</t>
  </si>
  <si>
    <t xml:space="preserve">單位成本季降</t>
  </si>
  <si>
    <t xml:space="preserve">%</t>
  </si>
  <si>
    <t xml:space="preserve">Assumed</t>
  </si>
  <si>
    <t xml:space="preserve">不使用</t>
  </si>
  <si>
    <t xml:space="preserve">opex_fix_q</t>
  </si>
  <si>
    <t xml:space="preserve">營業費用固定部分（每季）</t>
  </si>
  <si>
    <t xml:space="preserve">十億美元</t>
  </si>
  <si>
    <t xml:space="preserve">nonop_q</t>
  </si>
  <si>
    <t xml:space="preserve">每季業外淨收益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</si>
  <si>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年度驅動（公司別）</t>
    </r>
  </si>
  <si>
    <t xml:space="preserve">cb_1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</si>
  <si>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</si>
  <si>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</si>
  <si>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WenQuanYi Zen Hei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WenQuanYi Zen Hei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段（含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吃掉部分晶圓</t>
    </r>
  </si>
  <si>
    <t xml:space="preserve">cb_2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</si>
  <si>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</si>
  <si>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同上</t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</si>
  <si>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</si>
  <si>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</si>
  <si>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WenQuanYi Zen Hei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WenQuanYi Zen Hei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段；美光供給低於產業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</si>
  <si>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</si>
  <si>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</si>
  <si>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</si>
  <si>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</si>
  <si>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WenQuanYi Zen Hei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市占相當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</si>
  <si>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</si>
  <si>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</si>
  <si>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</si>
  <si>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</si>
  <si>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</si>
  <si>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WenQuanYi Zen Hei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</si>
  <si>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</si>
  <si>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</si>
  <si>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</si>
  <si>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</si>
  <si>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Derived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</si>
  <si>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DRAM − NAND</t>
    </r>
  </si>
  <si>
    <t xml:space="preserve">w_c</t>
  </si>
  <si>
    <r>
      <rPr>
        <sz val="11"/>
        <color theme="1"/>
        <rFont val="WenQuanYi Zen Hei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</si>
  <si>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</si>
  <si>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WenQuanYi Zen Hei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</si>
  <si>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3:1 </t>
    </r>
    <r>
      <rPr>
        <sz val="11"/>
        <color theme="1"/>
        <rFont val="WenQuanYi Zen Hei"/>
        <family val="2"/>
      </rPr>
      <t xml:space="preserve">晶圓（美光）</t>
    </r>
  </si>
  <si>
    <t xml:space="preserve">w_n</t>
  </si>
  <si>
    <r>
      <rPr>
        <sz val="11"/>
        <color theme="1"/>
        <rFont val="WenQuanYi Zen Hei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</si>
  <si>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WenQuanYi Zen Hei"/>
        <family val="2"/>
      </rPr>
      <t xml:space="preserve">營收、毛利較低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</si>
  <si>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</si>
  <si>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</si>
  <si>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</si>
  <si>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</si>
  <si>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</si>
  <si>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</si>
  <si>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</si>
  <si>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</si>
  <si>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</si>
  <si>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+2.5</t>
    </r>
    <r>
      <rPr>
        <sz val="11"/>
        <color theme="1"/>
        <rFont val="WenQuanYi Zen Hei"/>
        <family val="2"/>
      </rPr>
      <t xml:space="preserve">（研發、獎金）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</si>
  <si>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</si>
  <si>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</si>
  <si>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</si>
  <si>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9.3–10</t>
    </r>
    <r>
      <rPr>
        <sz val="11"/>
        <color theme="1"/>
        <rFont val="WenQuanYi Zen Hei"/>
        <family val="2"/>
      </rPr>
      <t xml:space="preserve">（指引口徑）</t>
    </r>
  </si>
  <si>
    <t xml:space="preserve">opex_g</t>
  </si>
  <si>
    <t xml:space="preserve">營業費用固定部分年增</t>
  </si>
  <si>
    <t xml:space="preserve">研發擴張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</si>
  <si>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</si>
  <si>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</si>
  <si>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FY26 14.8%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15.5%</t>
    </r>
  </si>
  <si>
    <t xml:space="preserve">rf</t>
  </si>
  <si>
    <t xml:space="preserve">淨現金收益率</t>
  </si>
  <si>
    <t xml:space="preserve">美元利率</t>
  </si>
  <si>
    <t xml:space="preserve">cap_0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</si>
  <si>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WenQuanYi Zen Hei"/>
        <family val="2"/>
      </rPr>
      <t xml:space="preserve">（淨）</t>
    </r>
  </si>
  <si>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WenQuanYi Zen Hei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WenQuanYi Zen Hei"/>
        <family val="2"/>
      </rPr>
      <t xml:space="preserve">）</t>
    </r>
  </si>
  <si>
    <t xml:space="preserve">cap_1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</si>
  <si>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</si>
  <si>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WenQuanYi Zen Hei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、下半年更高（書面說明）</t>
    </r>
  </si>
  <si>
    <t xml:space="preserve">cap_2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</si>
  <si>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FY28</t>
    </r>
  </si>
  <si>
    <t xml:space="preserve">cb_3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</si>
  <si>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</si>
  <si>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</si>
  <si>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</si>
  <si>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</si>
  <si>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</si>
  <si>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</si>
  <si>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FY29</t>
    </r>
  </si>
  <si>
    <t xml:space="preserve">dps_3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</si>
  <si>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FY29</t>
    </r>
  </si>
  <si>
    <t xml:space="preserve">nm_op_q</t>
  </si>
  <si>
    <t xml:space="preserve">非記憶體事業每季營業利益（基準年推估季）</t>
  </si>
  <si>
    <t xml:space="preserve">純記憶體公司，無</t>
  </si>
  <si>
    <t xml:space="preserve">nm_rev_0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</si>
  <si>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</si>
  <si>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</si>
  <si>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</si>
  <si>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年</t>
    </r>
  </si>
  <si>
    <t xml:space="preserve">nm_rev_1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</si>
  <si>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</t>
    </r>
  </si>
  <si>
    <t xml:space="preserve">nm_op_1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</si>
  <si>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WenQuanYi Zen Hei"/>
        <family val="2"/>
      </rPr>
      <t xml:space="preserve">年</t>
    </r>
  </si>
  <si>
    <t xml:space="preserve">nm_rev_2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</si>
  <si>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</t>
    </r>
  </si>
  <si>
    <t xml:space="preserve">nm_op_2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</si>
  <si>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年</t>
    </r>
  </si>
  <si>
    <t xml:space="preserve">nm_rev_3</t>
  </si>
  <si>
    <r>
      <rPr>
        <sz val="11"/>
        <color theme="1"/>
        <rFont val="WenQuanYi Zen Hei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</t>
    </r>
  </si>
  <si>
    <t xml:space="preserve">nm_op_3</t>
  </si>
  <si>
    <r>
      <rPr>
        <sz val="11"/>
        <color theme="1"/>
        <rFont val="WenQuanYi Zen Hei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</si>
  <si>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資本與股東回饋</t>
    </r>
  </si>
  <si>
    <t xml:space="preserve">eq_last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</si>
  <si>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末權益</t>
    </r>
  </si>
  <si>
    <t xml:space="preserve">FQ4-26 8-K</t>
  </si>
  <si>
    <t xml:space="preserve">nc_last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</si>
  <si>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末淨現金</t>
    </r>
  </si>
  <si>
    <r>
      <rPr>
        <sz val="11"/>
        <color theme="1"/>
        <rFont val="WenQuanYi Zen Hei"/>
        <family val="2"/>
      </rPr>
      <t xml:space="preserve">現金與投資 </t>
    </r>
    <r>
      <rPr>
        <sz val="11"/>
        <color theme="1"/>
        <rFont val="Calibri"/>
        <family val="2"/>
        <charset val="1"/>
      </rPr>
      <t xml:space="preserve">73.48 − </t>
    </r>
    <r>
      <rPr>
        <sz val="11"/>
        <color theme="1"/>
        <rFont val="WenQuanYi Zen Hei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5.18</t>
    </r>
  </si>
  <si>
    <t xml:space="preserve">sh_last</t>
  </si>
  <si>
    <t xml:space="preserve">流通股數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</si>
  <si>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</si>
  <si>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WenQuanYi Zen Hei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末數未出）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</si>
  <si>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</si>
  <si>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</si>
  <si>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</si>
  <si>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</si>
  <si>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</si>
  <si>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t xml:space="preserve">基準年其餘買回</t>
  </si>
  <si>
    <t xml:space="preserve">基準年全為實績</t>
  </si>
  <si>
    <t xml:space="preserve">bb_sh_0</t>
  </si>
  <si>
    <t xml:space="preserve">基準年其餘買回股數</t>
  </si>
  <si>
    <t xml:space="preserve">div_0</t>
  </si>
  <si>
    <t xml:space="preserve">基準年其餘股利</t>
  </si>
  <si>
    <t xml:space="preserve">capex_rem</t>
  </si>
  <si>
    <t xml:space="preserve">基準年其餘資本支出</t>
  </si>
  <si>
    <t xml:space="preserve">dps_1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</si>
  <si>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</si>
  <si>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WenQuanYi Zen Hei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$0.15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WenQuanYi Zen Hei"/>
        <family val="2"/>
      </rPr>
      <t xml:space="preserve">起）</t>
    </r>
  </si>
  <si>
    <t xml:space="preserve">dps_2</t>
  </si>
  <si>
    <r>
      <rPr>
        <sz val="11"/>
        <color theme="1"/>
        <rFont val="WenQuanYi Zen Hei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FY28</t>
    </r>
  </si>
  <si>
    <t xml:space="preserve">+20%</t>
  </si>
  <si>
    <t xml:space="preserve">payout</t>
  </si>
  <si>
    <r>
      <rPr>
        <sz val="11"/>
        <color theme="1"/>
        <rFont val="WenQuanYi Zen Hei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</si>
  <si>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</si>
  <si>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2026-12-09 </t>
    </r>
    <r>
      <rPr>
        <sz val="11"/>
        <color theme="1"/>
        <rFont val="WenQuanYi Zen Hei"/>
        <family val="2"/>
      </rPr>
      <t xml:space="preserve">起逐步把「超額現金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WenQuanYi Zen Hei"/>
        <family val="2"/>
      </rPr>
      <t xml:space="preserve">」回饋；取 </t>
    </r>
    <r>
      <rPr>
        <sz val="11"/>
        <color theme="1"/>
        <rFont val="Calibri"/>
        <family val="2"/>
        <charset val="1"/>
      </rPr>
      <t xml:space="preserve">80%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</si>
  <si>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</si>
  <si>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</si>
  <si>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</si>
  <si>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</si>
  <si>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</si>
  <si>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WenQuanYi Zen Hei"/>
        <family val="2"/>
      </rPr>
      <t xml:space="preserve">（谷底）</t>
    </r>
  </si>
  <si>
    <t xml:space="preserve">x</t>
  </si>
  <si>
    <r>
      <rPr>
        <sz val="11"/>
        <color theme="1"/>
        <rFont val="WenQuanYi Zen Hei"/>
        <family val="2"/>
      </rPr>
      <t xml:space="preserve">歷史谷底 </t>
    </r>
    <r>
      <rPr>
        <sz val="11"/>
        <color theme="1"/>
        <rFont val="Calibri"/>
        <family val="2"/>
        <charset val="1"/>
      </rPr>
      <t xml:space="preserve">0.52–1.32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WenQuanYi Zen Hei"/>
        <family val="2"/>
      </rPr>
      <t xml:space="preserve">）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</si>
  <si>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</si>
  <si>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</si>
  <si>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中位約 </t>
    </r>
    <r>
      <rPr>
        <sz val="11"/>
        <color theme="1"/>
        <rFont val="Calibri"/>
        <family val="2"/>
        <charset val="1"/>
      </rPr>
      <t xml:space="preserve">1.35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</si>
  <si>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</si>
  <si>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前高</t>
    </r>
  </si>
  <si>
    <r>
      <rPr>
        <sz val="11"/>
        <color theme="1"/>
        <rFont val="WenQuanYi Zen Hei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3.11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WenQuanYi Zen Hei"/>
        <family val="2"/>
      </rPr>
      <t xml:space="preserve">）</t>
    </r>
  </si>
  <si>
    <t xml:space="preserve">pe_1</t>
  </si>
  <si>
    <t xml:space="preserve">P/E 4x</t>
  </si>
  <si>
    <r>
      <rPr>
        <sz val="11"/>
        <color theme="1"/>
        <rFont val="WenQuanYi Zen Hei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6.2x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</si>
  <si>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</si>
  <si>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</si>
  <si>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</si>
  <si>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</si>
  <si>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WenQuanYi Zen Hei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WenQuanYi Zen Hei"/>
        <family val="2"/>
      </rPr>
      <t xml:space="preserve">）</t>
    </r>
  </si>
  <si>
    <t xml:space="preserve">cq_1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</si>
  <si>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</si>
  <si>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WenQuanYi Zen Hei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</si>
  <si>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</si>
  <si>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</si>
  <si>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</si>
  <si>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</si>
  <si>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</si>
  <si>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</si>
  <si>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</si>
  <si>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</si>
  <si>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</si>
  <si>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</si>
  <si>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</si>
  <si>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</si>
  <si>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</si>
  <si>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</si>
  <si>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WenQuanYi Zen Hei"/>
        <family val="2"/>
      </rPr>
      <t xml:space="preserve">緩降</t>
    </r>
  </si>
  <si>
    <t xml:space="preserve">cqA_9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</si>
  <si>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</si>
  <si>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</si>
  <si>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</si>
  <si>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</si>
  <si>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</si>
  <si>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</si>
  <si>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</si>
  <si>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</si>
  <si>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</si>
  <si>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</si>
  <si>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</si>
  <si>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</si>
  <si>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</si>
  <si>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</si>
  <si>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</si>
  <si>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</si>
  <si>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</si>
  <si>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</si>
  <si>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</si>
  <si>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cqA_19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</si>
  <si>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</si>
  <si>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cqB_8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</si>
  <si>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</si>
  <si>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WenQuanYi Zen Hei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WenQuanYi Zen Hei"/>
        <family val="2"/>
      </rPr>
      <t xml:space="preserve">溫和回升</t>
    </r>
  </si>
  <si>
    <t xml:space="preserve">cqB_9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</si>
  <si>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</si>
  <si>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</si>
  <si>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</si>
  <si>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</si>
  <si>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</si>
  <si>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</si>
  <si>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</si>
  <si>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</si>
  <si>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</si>
  <si>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</si>
  <si>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</si>
  <si>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</si>
  <si>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</si>
  <si>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</si>
  <si>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</si>
  <si>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</si>
  <si>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</si>
  <si>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</si>
  <si>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</si>
  <si>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cqB_19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</si>
  <si>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</si>
  <si>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cqC_8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</si>
  <si>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</si>
  <si>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WenQuanYi Zen Hei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WenQuanYi Zen Hei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WenQuanYi Zen Hei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自谷底回升</t>
    </r>
  </si>
  <si>
    <t xml:space="preserve">cqC_9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</si>
  <si>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</si>
  <si>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cqC_10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</si>
  <si>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</si>
  <si>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cqC_11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</si>
  <si>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</si>
  <si>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cqC_12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</si>
  <si>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</si>
  <si>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cqC_13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</si>
  <si>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</si>
  <si>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</si>
  <si>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</si>
  <si>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cqC_15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</si>
  <si>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</si>
  <si>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cqC_16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</si>
  <si>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</si>
  <si>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cqC_17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</si>
  <si>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</si>
  <si>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cqC_18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</si>
  <si>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</si>
  <si>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cqC_19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</si>
  <si>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</si>
  <si>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</si>
  <si>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</si>
  <si>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WenQuanYi Zen Hei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</si>
  <si>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</si>
  <si>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</si>
  <si>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</si>
  <si>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</si>
  <si>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</si>
  <si>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</si>
  <si>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</si>
  <si>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</si>
  <si>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</si>
  <si>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</si>
  <si>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</si>
  <si>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</si>
  <si>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</si>
  <si>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</si>
  <si>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</si>
  <si>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</si>
  <si>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</si>
  <si>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</si>
  <si>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</si>
  <si>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</si>
  <si>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</si>
  <si>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</si>
  <si>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</si>
  <si>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</si>
  <si>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</si>
  <si>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</si>
  <si>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</si>
  <si>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</si>
  <si>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</si>
  <si>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</si>
  <si>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</si>
  <si>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</si>
  <si>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</si>
  <si>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</si>
  <si>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</si>
  <si>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</si>
  <si>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</si>
  <si>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</si>
  <si>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</si>
  <si>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</si>
  <si>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</si>
  <si>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</si>
  <si>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</si>
  <si>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</si>
  <si>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</si>
  <si>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</si>
  <si>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</si>
  <si>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</si>
  <si>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</si>
  <si>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</si>
  <si>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</si>
  <si>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</si>
  <si>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</si>
  <si>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</si>
  <si>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</si>
  <si>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</si>
  <si>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</si>
  <si>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</si>
  <si>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</si>
  <si>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</si>
  <si>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</si>
  <si>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</si>
  <si>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</si>
  <si>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</si>
  <si>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</si>
  <si>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</si>
  <si>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</si>
  <si>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</si>
  <si>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</si>
  <si>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</si>
  <si>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</si>
  <si>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</si>
  <si>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</si>
  <si>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</si>
  <si>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</si>
  <si>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</si>
  <si>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</si>
  <si>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</si>
  <si>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</si>
  <si>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</si>
  <si>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</si>
  <si>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</si>
  <si>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</si>
  <si>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</si>
  <si>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</si>
  <si>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</si>
  <si>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</si>
  <si>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WenQuanYi Zen Hei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WenQuanYi Zen Hei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</si>
  <si>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</si>
  <si>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</si>
  <si>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</si>
  <si>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WenQuanYi Zen Hei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</si>
  <si>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</si>
  <si>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</si>
  <si>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</si>
  <si>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</si>
  <si>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</si>
  <si>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</si>
  <si>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</si>
  <si>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</si>
  <si>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</si>
  <si>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</si>
  <si>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</si>
  <si>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</si>
  <si>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</si>
  <si>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</si>
  <si>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</si>
  <si>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</si>
  <si>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</si>
  <si>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</si>
  <si>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</si>
  <si>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</si>
  <si>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</si>
  <si>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</si>
  <si>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</si>
  <si>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</si>
  <si>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</si>
  <si>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</si>
  <si>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WenQuanYi Zen Hei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</si>
  <si>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</si>
  <si>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</si>
  <si>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</si>
  <si>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</si>
  <si>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</si>
  <si>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</si>
  <si>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</si>
  <si>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</si>
  <si>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</si>
  <si>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</si>
  <si>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</si>
  <si>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</si>
  <si>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WenQuanYi Zen Hei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</si>
  <si>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</si>
  <si>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</si>
  <si>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</si>
  <si>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</si>
  <si>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</si>
  <si>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</si>
  <si>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</si>
  <si>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</si>
  <si>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</si>
  <si>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</si>
  <si>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</si>
  <si>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</si>
  <si>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</si>
  <si>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WenQuanYi Zen Hei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</si>
  <si>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</si>
  <si>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</si>
  <si>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</si>
  <si>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</si>
  <si>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</si>
  <si>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</si>
  <si>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</si>
  <si>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</si>
  <si>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</si>
  <si>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</si>
  <si>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</si>
  <si>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</si>
  <si>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</si>
  <si>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</si>
  <si>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</si>
  <si>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</si>
  <si>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</si>
  <si>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</si>
  <si>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</si>
  <si>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</si>
  <si>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</si>
  <si>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</si>
  <si>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</si>
  <si>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</si>
  <si>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</si>
  <si>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</si>
  <si>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</si>
  <si>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</si>
  <si>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</si>
  <si>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</si>
  <si>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</si>
  <si>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</si>
  <si>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</si>
  <si>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</si>
  <si>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</si>
  <si>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</si>
  <si>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</si>
  <si>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</si>
  <si>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</si>
  <si>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</si>
  <si>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</si>
  <si>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</si>
  <si>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</si>
  <si>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</si>
  <si>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</si>
  <si>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</si>
  <si>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</si>
  <si>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</si>
  <si>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</si>
  <si>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</si>
  <si>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WenQuanYi Zen Hei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WenQuanYi Zen Hei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WenQuanYi Zen Hei"/>
        <family val="2"/>
      </rPr>
      <t xml:space="preserve">模型同一套）</t>
    </r>
  </si>
  <si>
    <t xml:space="preserve">um28_A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</si>
  <si>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</si>
  <si>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WenQuanYi Zen Hei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WenQuanYi Zen Hei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WenQuanYi Zen Hei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測試機需求用同一組係數</t>
    </r>
  </si>
  <si>
    <t xml:space="preserve">um29_A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</si>
  <si>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</si>
  <si>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</si>
  <si>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</si>
  <si>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um29_B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</si>
  <si>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</si>
  <si>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um28_C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</si>
  <si>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</si>
  <si>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t xml:space="preserve">um29_C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</si>
  <si>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</si>
  <si>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WenQuanYi Zen Hei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</si>
  <si>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</si>
  <si>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</si>
  <si>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</si>
  <si>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WenQuanYi Zen Hei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</si>
  <si>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</si>
  <si>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</si>
  <si>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</si>
  <si>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</si>
  <si>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WenQuanYi Zen Hei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加速器裝載位元</t>
    </r>
  </si>
  <si>
    <r>
      <rPr>
        <sz val="11"/>
        <color theme="1"/>
        <rFont val="WenQuanYi Zen Hei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WenQuanYi Zen Hei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WenQuanYi Zen Hei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</si>
  <si>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</si>
  <si>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</si>
  <si>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</si>
  <si>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</si>
  <si>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WenQuanYi Zen Hei"/>
        <family val="2"/>
      </rPr>
      <t xml:space="preserve">位元供給成長（三情境相同）</t>
    </r>
  </si>
  <si>
    <r>
      <rPr>
        <sz val="11"/>
        <color theme="1"/>
        <rFont val="WenQuanYi Zen Hei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</si>
  <si>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</si>
  <si>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</si>
  <si>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</si>
  <si>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</si>
  <si>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</si>
  <si>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</si>
  <si>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WenQuanYi Zen Hei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</si>
  <si>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</si>
  <si>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</si>
  <si>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WenQuanYi Zen Hei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</si>
  <si>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</si>
  <si>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</si>
  <si>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</si>
  <si>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</si>
  <si>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</si>
  <si>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</si>
  <si>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</si>
  <si>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WenQuanYi Zen Hei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</si>
  <si>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</si>
  <si>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</si>
  <si>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WenQuanYi Zen Hei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</si>
  <si>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WenQuanYi Zen Hei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WenQuanYi Zen Hei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WenQuanYi Zen Hei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</si>
  <si>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</si>
  <si>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</si>
  <si>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</si>
  <si>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</si>
  <si>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</si>
  <si>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</si>
  <si>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</si>
  <si>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WenQuanYi Zen Hei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WenQuanYi Zen Hei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</si>
  <si>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</si>
  <si>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</si>
  <si>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WenQuanYi Zen Hei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WenQuanYi Zen Hei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</si>
  <si>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</si>
  <si>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</si>
  <si>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</si>
  <si>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WenQuanYi Zen Hei"/>
        <family val="2"/>
      </rPr>
      <t xml:space="preserve">）</t>
    </r>
  </si>
  <si>
    <t xml:space="preserve">nv_hbm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</si>
  <si>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WenQuanYi Zen Hei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</si>
  <si>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WenQuanYi Zen Hei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相同）</t>
    </r>
  </si>
  <si>
    <t xml:space="preserve">pub26_lo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</si>
  <si>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</si>
  <si>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WenQuanYi Zen Hei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</si>
  <si>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</si>
  <si>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</si>
  <si>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</si>
  <si>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</si>
  <si>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WenQuanYi Zen Hei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</si>
  <si>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</si>
  <si>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WenQuanYi Zen Hei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WenQuanYi Zen Hei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</si>
  <si>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</si>
  <si>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</si>
  <si>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</si>
  <si>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</si>
  <si>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</si>
  <si>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</si>
  <si>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</si>
  <si>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</si>
  <si>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</si>
  <si>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</si>
  <si>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</si>
  <si>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</si>
  <si>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</si>
  <si>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</si>
  <si>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</si>
  <si>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</si>
  <si>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</si>
  <si>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</si>
  <si>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</si>
  <si>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</si>
  <si>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</si>
  <si>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</si>
  <si>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</si>
  <si>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</si>
  <si>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</si>
  <si>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</si>
  <si>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</si>
  <si>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</si>
  <si>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</si>
  <si>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</si>
  <si>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</si>
  <si>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</si>
  <si>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</si>
  <si>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</si>
  <si>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</si>
  <si>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</si>
  <si>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</si>
  <si>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WenQuanYi Zen Hei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WenQuanYi Zen Hei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WenQuanYi Zen Hei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單價（單價依情境）</t>
    </r>
  </si>
  <si>
    <t xml:space="preserve">說明</t>
  </si>
  <si>
    <r>
      <rPr>
        <b val="true"/>
        <sz val="11"/>
        <rFont val="WenQuanYi Zen Hei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</si>
  <si>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WenQuanYi Zen Hei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</si>
  <si>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</si>
  <si>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</si>
  <si>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</si>
  <si>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WenQuanYi Zen Hei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</si>
  <si>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</si>
  <si>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</si>
  <si>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</si>
  <si>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WenQuanYi Zen Hei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WenQuanYi Zen Hei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</si>
  <si>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</si>
  <si>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</si>
  <si>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</si>
  <si>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</si>
  <si>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WenQuanYi Zen Hei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</si>
  <si>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</si>
  <si>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</si>
  <si>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前已訂定）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</si>
  <si>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</si>
  <si>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WenQuanYi Zen Hei"/>
        <family val="2"/>
      </rPr>
      <t xml:space="preserve">無情境差異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</si>
  <si>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</si>
  <si>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WenQuanYi Zen Hei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WenQuanYi Zen Hei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WenQuanYi Zen Hei"/>
        <family val="2"/>
      </rPr>
      <t xml:space="preserve">同一套）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</si>
  <si>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</si>
  <si>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</si>
  <si>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</si>
  <si>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</si>
  <si>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</si>
  <si>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</si>
  <si>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WenQuanYi Zen Hei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</si>
  <si>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</si>
  <si>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</si>
  <si>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WenQuanYi Zen Hei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WenQuanYi Zen Hei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</si>
  <si>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</si>
  <si>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</si>
  <si>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</si>
  <si>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</si>
  <si>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</si>
  <si>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</si>
  <si>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</si>
  <si>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WenQuanYi Zen Hei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</si>
  <si>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</si>
  <si>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WenQuanYi Zen Hei"/>
        <family val="2"/>
      </rPr>
      <t xml:space="preserve">；與顆數預測獨立</t>
    </r>
  </si>
  <si>
    <t xml:space="preserve">  差距</t>
  </si>
  <si>
    <r>
      <rPr>
        <sz val="11"/>
        <color theme="1"/>
        <rFont val="WenQuanYi Zen Hei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</si>
  <si>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</si>
  <si>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</si>
  <si>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WenQuanYi Zen Hei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WenQuanYi Zen Hei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</si>
  <si>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WenQuanYi Zen Hei"/>
        <family val="2"/>
      </rPr>
      <t xml:space="preserve">季度損益（十億美元）。實績：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WenQuanYi Zen Hei"/>
        <family val="2"/>
      </rPr>
      <t xml:space="preserve">財報新聞稿、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書面說明；推估季：實績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WenQuanYi Zen Hei"/>
        <family val="2"/>
      </rPr>
      <t xml:space="preserve">價格</t>
    </r>
  </si>
  <si>
    <t xml:space="preserve">FQ1-25</t>
  </si>
  <si>
    <t xml:space="preserve">FQ2-25</t>
  </si>
  <si>
    <t xml:space="preserve">FQ3-25</t>
  </si>
  <si>
    <t xml:space="preserve">FQ4-25</t>
  </si>
  <si>
    <t xml:space="preserve">FQ1-26</t>
  </si>
  <si>
    <t xml:space="preserve">FQ2-26</t>
  </si>
  <si>
    <t xml:space="preserve">FQ3-26</t>
  </si>
  <si>
    <t xml:space="preserve">FQ4-26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</si>
  <si>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WenQuanYi Zen Hei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</si>
  <si>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</si>
  <si>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</si>
  <si>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</si>
  <si>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</si>
  <si>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</si>
  <si>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</si>
  <si>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</si>
  <si>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</si>
  <si>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</si>
  <si>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</si>
  <si>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</si>
  <si>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位元指數</t>
    </r>
  </si>
  <si>
    <r>
      <rPr>
        <sz val="11"/>
        <color theme="1"/>
        <rFont val="WenQuanYi Zen Hei"/>
        <family val="2"/>
      </rPr>
      <t xml:space="preserve">營業成本＝營收 </t>
    </r>
    <r>
      <rPr>
        <sz val="11"/>
        <color theme="1"/>
        <rFont val="Calibri"/>
        <family val="2"/>
        <charset val="1"/>
      </rPr>
      <t xml:space="preserve">× (1 − GAAP </t>
    </r>
    <r>
      <rPr>
        <sz val="11"/>
        <color theme="1"/>
        <rFont val="WenQuanYi Zen Hei"/>
        <family val="2"/>
      </rPr>
      <t xml:space="preserve">毛利率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WenQuanYi Zen Hei"/>
        <family val="2"/>
      </rPr>
      <t xml:space="preserve">週，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依書面說明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WenQuanYi Zen Hei"/>
        <family val="2"/>
      </rPr>
      <t xml:space="preserve">未出）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</si>
  <si>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WenQuanYi Zen Hei"/>
        <family val="2"/>
      </rPr>
      <t xml:space="preserve">年度（十億美元；股數百萬股）。情境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WenQuanYi Zen Hei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</si>
  <si>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WenQuanYi Zen Hei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</si>
  <si>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WenQuanYi Zen Hei"/>
        <family val="2"/>
      </rPr>
      <t xml:space="preserve">（基準）</t>
    </r>
  </si>
  <si>
    <t xml:space="preserve">FY2027 A</t>
  </si>
  <si>
    <t xml:space="preserve">FY2028 A</t>
  </si>
  <si>
    <t xml:space="preserve">FY2029 A</t>
  </si>
  <si>
    <t xml:space="preserve">FY2027 B</t>
  </si>
  <si>
    <t xml:space="preserve">FY2028 B</t>
  </si>
  <si>
    <t xml:space="preserve">FY2029 B</t>
  </si>
  <si>
    <t xml:space="preserve">FY2027 C</t>
  </si>
  <si>
    <t xml:space="preserve">FY2028 C</t>
  </si>
  <si>
    <t xml:space="preserve">FY2029 C</t>
  </si>
  <si>
    <r>
      <rPr>
        <sz val="11"/>
        <color theme="1"/>
        <rFont val="WenQuanYi Zen Hei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</si>
  <si>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WenQuanYi Zen Hei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WenQuanYi Zen Hei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WenQuanYi Zen Hei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WenQuanYi Zen Hei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</si>
  <si>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</si>
  <si>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WenQuanYi Zen Hei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WenQuanYi Zen Hei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</si>
  <si>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WenQuanYi Zen Hei"/>
        <family val="2"/>
      </rPr>
      <t xml:space="preserve">營收</t>
    </r>
  </si>
  <si>
    <r>
      <rPr>
        <sz val="11"/>
        <color theme="1"/>
        <rFont val="WenQuanYi Zen Hei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前一年）</t>
    </r>
  </si>
  <si>
    <r>
      <rPr>
        <sz val="11"/>
        <color theme="1"/>
        <rFont val="WenQuanYi Zen Hei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</si>
  <si>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</si>
  <si>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</si>
  <si>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</si>
  <si>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</si>
  <si>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</si>
  <si>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WenQuanYi Zen Hei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</si>
  <si>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</si>
  <si>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</si>
  <si>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</si>
  <si>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</si>
  <si>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WenQuanYi Zen Hei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WenQuanYi Zen Hei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</si>
  <si>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</si>
  <si>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</si>
  <si>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</si>
  <si>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WenQuanYi Zen Hei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</si>
  <si>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WenQuanYi Zen Hei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WenQuanYi Zen Hei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</si>
  <si>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WenQuanYi Zen Hei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</si>
  <si>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WenQuanYi Zen Hei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</si>
  <si>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WenQuanYi Zen Hei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</si>
  <si>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</si>
  <si>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</si>
  <si>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</si>
  <si>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</si>
  <si>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</si>
  <si>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</si>
  <si>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</si>
  <si>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</si>
  <si>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</si>
  <si>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</si>
  <si>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</si>
  <si>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WenQuanYi Zen Hei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</si>
  <si>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FY2027 EPS</t>
  </si>
  <si>
    <t xml:space="preserve">FY2028 EPS</t>
  </si>
  <si>
    <t xml:space="preserve">FY2029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</si>
  <si>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WenQuanYi Zen Hei"/>
        <family val="2"/>
      </rPr>
      <t xml:space="preserve">美光歷史財務（</t>
    </r>
    <r>
      <rPr>
        <b val="true"/>
        <sz val="11"/>
        <rFont val="Cambria"/>
        <family val="0"/>
        <charset val="1"/>
      </rPr>
      <t xml:space="preserve">SEC 10-K XBRL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WenQuanYi Zen Hei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macrotrends </t>
    </r>
    <r>
      <rPr>
        <b val="true"/>
        <sz val="11"/>
        <rFont val="WenQuanYi Zen Hei"/>
        <family val="2"/>
      </rPr>
      <t xml:space="preserve">會計年度底）</t>
    </r>
  </si>
  <si>
    <t xml:space="preserve">會計年度</t>
  </si>
  <si>
    <t xml:space="preserve">P/B</t>
  </si>
  <si>
    <r>
      <rPr>
        <b val="true"/>
        <sz val="11"/>
        <rFont val="WenQuanYi Zen Hei"/>
        <family val="2"/>
      </rPr>
      <t xml:space="preserve">權益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</si>
  <si>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WenQuanYi Zen Hei"/>
        <family val="2"/>
      </rPr>
      <t xml:space="preserve">庫藏股（成本）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</si>
  <si>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WenQuanYi Zen Hei"/>
        <family val="2"/>
      </rPr>
      <t xml:space="preserve">歸屬淨利 </t>
    </r>
    <r>
      <rPr>
        <b val="true"/>
        <sz val="11"/>
        <rFont val="Cambria"/>
        <family val="0"/>
        <charset val="1"/>
      </rPr>
      <t xml:space="preserve">$B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</si>
  <si>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</si>
  <si>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</si>
  <si>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</si>
  <si>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</si>
  <si>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</si>
  <si>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</si>
  <si>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</si>
  <si>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</si>
  <si>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</si>
  <si>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WenQuanYi Zen Hei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淨利（虧損年不計）；買回加回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WenQuanYi Zen Hei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（權益＋庫藏股）。庫藏股為成本；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WenQuanYi Zen Hei"/>
        <family val="2"/>
      </rPr>
      <t xml:space="preserve">年底尚未公布，調整每股淨值用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值（偏低）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</si>
  <si>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WenQuanYi Zen Hei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分位）</t>
    </r>
  </si>
  <si>
    <r>
      <rPr>
        <sz val="11"/>
        <color theme="1"/>
        <rFont val="WenQuanYi Zen Hei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WenQuanYi Zen Hei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WenQuanYi Zen Hei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WenQuanYi Zen Hei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</si>
  <si>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（主）：十年歷史倍數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</si>
  <si>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</si>
  <si>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WenQuanYi Zen Hei"/>
        <family val="2"/>
      </rPr>
      <t xml:space="preserve">（會計年度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WenQuanYi Zen Hei"/>
        <family val="2"/>
      </rPr>
      <t xml:space="preserve">月底）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</si>
  <si>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WenQuanYi Zen Hei"/>
        <family val="2"/>
      </rPr>
      <t xml:space="preserve">（日曆年底，參考不採用）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</si>
  <si>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</si>
  <si>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WenQuanYi Zen Hei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WenQuanYi Zen Hei"/>
        <family val="2"/>
      </rPr>
      <t xml:space="preserve">（日曆年底，參考不採用）：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</si>
  <si>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</si>
  <si>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</si>
  <si>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</si>
  <si>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</si>
  <si>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</si>
  <si>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</si>
  <si>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</si>
  <si>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</si>
  <si>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</si>
  <si>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</si>
  <si>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；不採用的來源）</t>
    </r>
  </si>
  <si>
    <r>
      <rPr>
        <sz val="11"/>
        <color theme="1"/>
        <rFont val="WenQuanYi Zen Hei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；不採用的來源）</t>
    </r>
  </si>
  <si>
    <r>
      <rPr>
        <sz val="11"/>
        <color theme="1"/>
        <rFont val="WenQuanYi Zen Hei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</si>
  <si>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</si>
  <si>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</si>
  <si>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</si>
  <si>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WenQuanYi Zen Hei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基準</t>
    </r>
  </si>
  <si>
    <r>
      <rPr>
        <sz val="11"/>
        <color theme="1"/>
        <rFont val="WenQuanYi Zen Hei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</si>
  <si>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</si>
  <si>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</si>
  <si>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</si>
  <si>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t xml:space="preserve">中段 → 中位數</t>
  </si>
  <si>
    <r>
      <rPr>
        <sz val="11"/>
        <color theme="1"/>
        <rFont val="WenQuanYi Zen Hei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</si>
  <si>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</si>
  <si>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</si>
  <si>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</si>
  <si>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WenQuanYi Zen Hei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</si>
  <si>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WenQuanYi Zen Hei"/>
        <family val="2"/>
      </rPr>
      <t xml:space="preserve">換算：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</si>
  <si>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虧損年不計</t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</si>
  <si>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</si>
  <si>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</si>
  <si>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</si>
  <si>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</si>
  <si>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</si>
  <si>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WenQuanYi Zen Hei"/>
        <family val="2"/>
      </rPr>
      <t xml:space="preserve">（對照）：規則值</t>
    </r>
  </si>
  <si>
    <r>
      <rPr>
        <sz val="11"/>
        <color theme="1"/>
        <rFont val="WenQuanYi Zen Hei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</si>
  <si>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</si>
  <si>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</si>
  <si>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</si>
  <si>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</si>
  <si>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（對照）：十年歷史倍數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</si>
  <si>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WenQuanYi Zen Hei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</si>
  <si>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中位數（買回加回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</si>
  <si>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WenQuanYi Zen Hei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</si>
  <si>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最小（買回加回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</si>
  <si>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採用 最大（買回加回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</si>
  <si>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WenQuanYi Zen Hei"/>
        <family val="2"/>
      </rPr>
      <t xml:space="preserve">（對照）：規則值</t>
    </r>
  </si>
  <si>
    <r>
      <rPr>
        <sz val="11"/>
        <color theme="1"/>
        <rFont val="WenQuanYi Zen Hei"/>
        <family val="2"/>
      </rPr>
      <t xml:space="preserve">規則值：見頂（買回加回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</si>
  <si>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WenQuanYi Zen Hei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</si>
  <si>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規則值：中段（買回加回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</si>
  <si>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規則值：谷底（買回加回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</si>
  <si>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</si>
  <si>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WenQuanYi Zen Hei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WenQuanYi Zen Hei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</si>
  <si>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</si>
  <si>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</si>
  <si>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WenQuanYi Zen Hei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</si>
  <si>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</si>
  <si>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</si>
  <si>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</si>
  <si>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WenQuanYi Zen Hei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</si>
  <si>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</si>
  <si>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</si>
  <si>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</si>
  <si>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</si>
  <si>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WenQuanYi Zen Hei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</si>
  <si>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共識或公司指引（只作事後對照，不用來回推參數）；十億美元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</si>
  <si>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</si>
  <si>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</si>
  <si>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</si>
  <si>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</si>
  <si>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營收（實績核對）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</si>
  <si>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</si>
  <si>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WenQuanYi Zen Hei"/>
        <family val="2"/>
      </rPr>
      <t xml:space="preserve">位分析師）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</si>
  <si>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176.15 ×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1.15B </t>
    </r>
    <r>
      <rPr>
        <sz val="11"/>
        <color theme="1"/>
        <rFont val="WenQuanYi Zen Hei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</si>
  <si>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 [Derived]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</si>
  <si>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WenQuanYi Zen Hei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</si>
  <si>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</si>
  <si>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WenQuanYi Zen Hei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206.33 × 1.15B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</si>
  <si>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平均每季營收（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WenQuanYi Zen Hei"/>
        <family val="2"/>
      </rPr>
      <t xml:space="preserve">指引</t>
    </r>
  </si>
  <si>
    <r>
      <rPr>
        <sz val="11"/>
        <color theme="1"/>
        <rFont val="WenQuanYi Zen Hei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±1.5</t>
    </r>
    <r>
      <rPr>
        <sz val="11"/>
        <color theme="1"/>
        <rFont val="WenQuanYi Zen Hei"/>
        <family val="2"/>
      </rPr>
      <t xml:space="preserve">；管理層：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WenQuanYi Zen Hei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低點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</si>
  <si>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WenQuanYi Zen Hei"/>
        <family val="2"/>
      </rPr>
      <t xml:space="preserve">回饋算力收支</t>
    </r>
  </si>
  <si>
    <r>
      <rPr>
        <sz val="11"/>
        <color theme="1"/>
        <rFont val="WenQuanYi Zen Hei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價）</t>
    </r>
  </si>
  <si>
    <r>
      <rPr>
        <sz val="11"/>
        <color theme="1"/>
        <rFont val="WenQuanYi Zen Hei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</si>
  <si>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</si>
  <si>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WenQuanYi Zen Hei"/>
        <family val="2"/>
      </rPr>
      <t xml:space="preserve">需求缺口（三情境相同）</t>
    </r>
  </si>
  <si>
    <r>
      <rPr>
        <sz val="11"/>
        <color theme="1"/>
        <rFont val="WenQuanYi Zen Hei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毛利率</t>
    </r>
  </si>
  <si>
    <t xml:space="preserve">無法由公開資料分離</t>
  </si>
  <si>
    <t xml:space="preserve">來源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</si>
  <si>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WenQuanYi Zen Hei"/>
        <family val="2"/>
      </rPr>
      <t xml:space="preserve">）</t>
    </r>
  </si>
  <si>
    <t xml:space="preserve">https://www.sec.gov/Archives/edgar/data/723125/000072312526000018/a2026q4ex991-pressrelease.htm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</si>
  <si>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書面說明</t>
    </r>
  </si>
  <si>
    <t xml:space="preserve">https://s25.q4cdn.com/621799436/files/doc_financials/2026/q4/Q4-FY26-Prepared-Remarks.pdf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</si>
  <si>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法說逐字稿</t>
    </r>
  </si>
  <si>
    <t xml:space="preserve">https://www.investing.com/news/transcripts/earnings-call-transcript-micron-tops-q4-2026-estimates-as-demand-stays-hot-93CH-4925992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</si>
  <si>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WenQuanYi Zen Hei"/>
        <family val="2"/>
      </rPr>
      <t xml:space="preserve">新聞稿</t>
    </r>
  </si>
  <si>
    <t xml:space="preserve">https://www.sec.gov/Archives/edgar/data/723125/000072312526000013/a2026q3ex991-pressrelease.htm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</si>
  <si>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WenQuanYi Zen Hei"/>
        <family val="2"/>
      </rPr>
      <t xml:space="preserve">新聞稿</t>
    </r>
  </si>
  <si>
    <t xml:space="preserve">https://www.sec.gov/Archives/edgar/data/723125/000072312526000004/a2026q2ex991-pressrelease.htm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</si>
  <si>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WenQuanYi Zen Hei"/>
        <family val="2"/>
      </rPr>
      <t xml:space="preserve">新聞稿</t>
    </r>
  </si>
  <si>
    <t xml:space="preserve">https://www.sec.gov/Archives/edgar/data/723125/000072312525000044/a2026q1ex991-pressrelease.htm</t>
  </si>
  <si>
    <t xml:space="preserve">10-Q FQ3 FY26</t>
  </si>
  <si>
    <t xml:space="preserve">https://www.sec.gov/Archives/edgar/data/723125/000072312526000015/mu-20260528.htm</t>
  </si>
  <si>
    <t xml:space="preserve">10-K FY25</t>
  </si>
  <si>
    <t xml:space="preserve">https://www.sec.gov/Archives/edgar/data/723125/000072312525000028/mu-20250828.htm</t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</si>
  <si>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WenQuanYi Zen Hei"/>
        <family val="2"/>
      </rPr>
      <t xml:space="preserve">共識</t>
    </r>
  </si>
  <si>
    <t xml:space="preserve">https://finance.yahoo.com/quote/MU/analysis/</t>
  </si>
  <si>
    <t xml:space="preserve">Macrotrends P/B</t>
  </si>
  <si>
    <t xml:space="preserve">https://www.macrotrends.net/stocks/charts/MU/micron-technology/price-book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</si>
  <si>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WenQuanYi Zen Hei"/>
        <family val="2"/>
      </rPr>
      <t xml:space="preserve">（共用市場層）</t>
    </r>
  </si>
  <si>
    <r>
      <rPr>
        <sz val="11"/>
        <color theme="1"/>
        <rFont val="WenQuanYi Zen Hei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</si>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</sst>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.00"/>
    <numFmt numFmtId="171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4.9" hidden="false" customHeight="false" outlineLevel="0" collapsed="false">
      <c r="A5" s="3" t="s">
        <v>3</v>
      </c>
    </row>
    <row r="6" customFormat="false" ht="14.9" hidden="false" customHeight="false" outlineLevel="0" collapsed="false">
      <c r="A6" s="3" t="s">
        <v>4</v>
      </c>
    </row>
    <row r="7" customFormat="false" ht="14.9" hidden="false" customHeight="false" outlineLevel="0" collapsed="false">
      <c r="A7" s="3" t="s">
        <v>5</v>
      </c>
    </row>
    <row r="8" customFormat="false" ht="14.9" hidden="false" customHeight="false" outlineLevel="0" collapsed="false">
      <c r="A8" s="3" t="s">
        <v>6</v>
      </c>
    </row>
    <row r="9" customFormat="false" ht="14.9" hidden="false" customHeight="false" outlineLevel="0" collapsed="false">
      <c r="A9" s="3" t="s">
        <v>7</v>
      </c>
    </row>
    <row r="10" customFormat="false" ht="14.9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4.9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4.9" hidden="false" customHeight="false" outlineLevel="0" collapsed="false">
      <c r="A14" s="2" t="s">
        <v>11</v>
      </c>
    </row>
    <row r="15" customFormat="false" ht="14.9" hidden="false" customHeight="false" outlineLevel="0" collapsed="false">
      <c r="A15" s="2" t="s">
        <v>12</v>
      </c>
    </row>
    <row r="16" customFormat="false" ht="14.9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4.9" hidden="false" customHeight="false" outlineLevel="0" collapsed="false">
      <c r="A18" s="3" t="s">
        <v>14</v>
      </c>
    </row>
    <row r="19" customFormat="false" ht="14.9" hidden="false" customHeight="false" outlineLevel="0" collapsed="false">
      <c r="A19" s="3" t="s">
        <v>15</v>
      </c>
    </row>
    <row r="20" customFormat="false" ht="14.9" hidden="false" customHeight="false" outlineLevel="0" collapsed="false">
      <c r="A20" s="3" t="s">
        <v>16</v>
      </c>
    </row>
    <row r="21" customFormat="false" ht="14.9" hidden="false" customHeight="false" outlineLevel="0" collapsed="false">
      <c r="A21" s="3" t="s">
        <v>17</v>
      </c>
    </row>
    <row r="22" customFormat="false" ht="14.9" hidden="false" customHeight="false" outlineLevel="0" collapsed="false">
      <c r="A22" s="2" t="s">
        <v>18</v>
      </c>
    </row>
    <row r="23" customFormat="false" ht="14.9" hidden="false" customHeight="false" outlineLevel="0" collapsed="false">
      <c r="A23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5" hidden="false" customHeight="false" outlineLevel="0" collapsed="false">
      <c r="A1" s="0" t="s">
        <v>20</v>
      </c>
    </row>
    <row r="3" customFormat="false" ht="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</row>
    <row r="4" customFormat="false" ht="15" hidden="false" customHeight="false" outlineLevel="0" collapsed="false">
      <c r="A4" s="5" t="s">
        <v>29</v>
      </c>
    </row>
    <row r="5" customFormat="false" ht="15" hidden="false" customHeight="false" outlineLevel="0" collapsed="false">
      <c r="A5" s="0" t="s">
        <v>30</v>
      </c>
      <c r="B5" s="6" t="s">
        <v>31</v>
      </c>
      <c r="C5" s="0" t="s">
        <v>32</v>
      </c>
      <c r="E5" s="7" t="n">
        <v>1088</v>
      </c>
      <c r="G5" s="8" t="s">
        <v>33</v>
      </c>
      <c r="H5" s="8" t="s">
        <v>34</v>
      </c>
    </row>
    <row r="6" customFormat="false" ht="15" hidden="false" customHeight="false" outlineLevel="0" collapsed="false">
      <c r="A6" s="0" t="s">
        <v>35</v>
      </c>
      <c r="B6" s="6" t="s">
        <v>36</v>
      </c>
      <c r="C6" s="0" t="s">
        <v>37</v>
      </c>
      <c r="E6" s="7" t="n">
        <v>1</v>
      </c>
      <c r="G6" s="8" t="s">
        <v>38</v>
      </c>
    </row>
    <row r="7" customFormat="false" ht="15" hidden="false" customHeight="false" outlineLevel="0" collapsed="false">
      <c r="A7" s="5" t="s">
        <v>39</v>
      </c>
    </row>
    <row r="8" customFormat="false" ht="15" hidden="false" customHeight="false" outlineLevel="0" collapsed="false">
      <c r="A8" s="0" t="s">
        <v>40</v>
      </c>
      <c r="B8" s="6" t="s">
        <v>41</v>
      </c>
      <c r="C8" s="0" t="s">
        <v>42</v>
      </c>
      <c r="E8" s="7" t="n">
        <v>0.03</v>
      </c>
      <c r="G8" s="8" t="s">
        <v>43</v>
      </c>
      <c r="H8" s="6" t="s">
        <v>44</v>
      </c>
    </row>
    <row r="9" customFormat="false" ht="15" hidden="false" customHeight="false" outlineLevel="0" collapsed="false">
      <c r="A9" s="0" t="s">
        <v>45</v>
      </c>
      <c r="B9" s="6" t="s">
        <v>46</v>
      </c>
      <c r="C9" s="6" t="s">
        <v>47</v>
      </c>
      <c r="E9" s="7" t="n">
        <v>1.25</v>
      </c>
      <c r="G9" s="8" t="s">
        <v>43</v>
      </c>
      <c r="H9" s="6" t="s">
        <v>44</v>
      </c>
    </row>
    <row r="10" customFormat="false" ht="15" hidden="false" customHeight="false" outlineLevel="0" collapsed="false">
      <c r="A10" s="0" t="s">
        <v>48</v>
      </c>
      <c r="B10" s="6" t="s">
        <v>49</v>
      </c>
      <c r="C10" s="6" t="s">
        <v>47</v>
      </c>
      <c r="E10" s="7" t="n">
        <v>0.6</v>
      </c>
      <c r="G10" s="8" t="s">
        <v>43</v>
      </c>
      <c r="H10" s="6" t="s">
        <v>44</v>
      </c>
    </row>
    <row r="11" customFormat="false" ht="15" hidden="false" customHeight="false" outlineLevel="0" collapsed="false">
      <c r="A11" s="5" t="s">
        <v>50</v>
      </c>
    </row>
    <row r="12" customFormat="false" ht="15" hidden="false" customHeight="false" outlineLevel="0" collapsed="false">
      <c r="A12" s="0" t="s">
        <v>51</v>
      </c>
      <c r="B12" s="6" t="s">
        <v>52</v>
      </c>
      <c r="C12" s="0" t="s">
        <v>42</v>
      </c>
      <c r="D12" s="7" t="n">
        <v>0.06</v>
      </c>
      <c r="E12" s="7" t="n">
        <v>0.12</v>
      </c>
      <c r="F12" s="7" t="n">
        <v>0.18</v>
      </c>
      <c r="G12" s="8" t="s">
        <v>53</v>
      </c>
      <c r="H12" s="6" t="s">
        <v>54</v>
      </c>
    </row>
    <row r="13" customFormat="false" ht="15" hidden="false" customHeight="false" outlineLevel="0" collapsed="false">
      <c r="A13" s="0" t="s">
        <v>55</v>
      </c>
      <c r="B13" s="6" t="s">
        <v>56</v>
      </c>
      <c r="C13" s="0" t="s">
        <v>42</v>
      </c>
      <c r="D13" s="7" t="n">
        <v>0.1</v>
      </c>
      <c r="E13" s="7" t="n">
        <v>0.15</v>
      </c>
      <c r="F13" s="7" t="n">
        <v>0.2</v>
      </c>
      <c r="G13" s="8" t="s">
        <v>53</v>
      </c>
      <c r="H13" s="6" t="s">
        <v>57</v>
      </c>
    </row>
    <row r="14" customFormat="false" ht="15" hidden="false" customHeight="false" outlineLevel="0" collapsed="false">
      <c r="A14" s="0" t="s">
        <v>58</v>
      </c>
      <c r="B14" s="0" t="s">
        <v>59</v>
      </c>
      <c r="C14" s="0" t="s">
        <v>42</v>
      </c>
      <c r="D14" s="7" t="n">
        <v>0.12</v>
      </c>
      <c r="E14" s="7" t="n">
        <v>0.18</v>
      </c>
      <c r="F14" s="7" t="n">
        <v>0.25</v>
      </c>
      <c r="G14" s="8" t="s">
        <v>38</v>
      </c>
      <c r="H14" s="6" t="s">
        <v>60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42</v>
      </c>
      <c r="D15" s="7" t="n">
        <v>0.15</v>
      </c>
      <c r="E15" s="7" t="n">
        <v>0.2</v>
      </c>
      <c r="F15" s="7" t="n">
        <v>0.25</v>
      </c>
      <c r="G15" s="8" t="s">
        <v>38</v>
      </c>
      <c r="H15" s="6" t="s">
        <v>57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s">
        <v>42</v>
      </c>
      <c r="D16" s="7" t="n">
        <v>0.18</v>
      </c>
      <c r="E16" s="7" t="n">
        <v>0.21</v>
      </c>
      <c r="F16" s="7" t="n">
        <v>0.22</v>
      </c>
      <c r="G16" s="8" t="s">
        <v>33</v>
      </c>
      <c r="H16" s="8" t="s">
        <v>65</v>
      </c>
    </row>
    <row r="17" customFormat="false" ht="15" hidden="false" customHeight="false" outlineLevel="0" collapsed="false">
      <c r="A17" s="0" t="s">
        <v>66</v>
      </c>
      <c r="B17" s="0" t="s">
        <v>67</v>
      </c>
      <c r="C17" s="0" t="s">
        <v>42</v>
      </c>
      <c r="D17" s="7" t="n">
        <v>0.17</v>
      </c>
      <c r="E17" s="7" t="n">
        <v>0.19</v>
      </c>
      <c r="F17" s="7" t="n">
        <v>0.21</v>
      </c>
      <c r="G17" s="8" t="s">
        <v>33</v>
      </c>
      <c r="H17" s="8" t="s">
        <v>68</v>
      </c>
    </row>
    <row r="18" customFormat="false" ht="15" hidden="false" customHeight="false" outlineLevel="0" collapsed="false">
      <c r="A18" s="0" t="s">
        <v>69</v>
      </c>
      <c r="B18" s="0" t="s">
        <v>70</v>
      </c>
      <c r="C18" s="0" t="s">
        <v>42</v>
      </c>
      <c r="D18" s="7" t="n">
        <v>0.17</v>
      </c>
      <c r="E18" s="7" t="n">
        <v>0.2</v>
      </c>
      <c r="F18" s="7" t="n">
        <v>0.23</v>
      </c>
      <c r="G18" s="8" t="s">
        <v>33</v>
      </c>
      <c r="H18" s="8" t="s">
        <v>71</v>
      </c>
    </row>
    <row r="19" customFormat="false" ht="15" hidden="false" customHeight="false" outlineLevel="0" collapsed="false">
      <c r="A19" s="0" t="s">
        <v>72</v>
      </c>
      <c r="B19" s="0" t="s">
        <v>73</v>
      </c>
      <c r="C19" s="0" t="s">
        <v>42</v>
      </c>
      <c r="D19" s="7" t="n">
        <v>0.17</v>
      </c>
      <c r="E19" s="7" t="n">
        <v>0.2</v>
      </c>
      <c r="F19" s="7" t="n">
        <v>0.23</v>
      </c>
      <c r="G19" s="8" t="s">
        <v>43</v>
      </c>
    </row>
    <row r="20" customFormat="false" ht="15" hidden="false" customHeight="false" outlineLevel="0" collapsed="false">
      <c r="A20" s="0" t="s">
        <v>74</v>
      </c>
      <c r="B20" s="6" t="s">
        <v>75</v>
      </c>
      <c r="C20" s="6" t="s">
        <v>47</v>
      </c>
      <c r="E20" s="7" t="n">
        <v>0.7</v>
      </c>
      <c r="G20" s="8" t="s">
        <v>76</v>
      </c>
      <c r="H20" s="8" t="s">
        <v>77</v>
      </c>
    </row>
    <row r="21" customFormat="false" ht="15" hidden="false" customHeight="false" outlineLevel="0" collapsed="false">
      <c r="A21" s="0" t="s">
        <v>78</v>
      </c>
      <c r="B21" s="6" t="s">
        <v>79</v>
      </c>
      <c r="C21" s="0" t="s">
        <v>42</v>
      </c>
      <c r="E21" s="7" t="n">
        <v>0.5</v>
      </c>
      <c r="G21" s="8" t="s">
        <v>43</v>
      </c>
    </row>
    <row r="22" customFormat="false" ht="15" hidden="false" customHeight="false" outlineLevel="0" collapsed="false">
      <c r="A22" s="0" t="s">
        <v>80</v>
      </c>
      <c r="B22" s="6" t="s">
        <v>81</v>
      </c>
      <c r="C22" s="0" t="s">
        <v>42</v>
      </c>
      <c r="E22" s="7" t="n">
        <v>0.22</v>
      </c>
      <c r="G22" s="8" t="s">
        <v>43</v>
      </c>
      <c r="H22" s="8" t="s">
        <v>82</v>
      </c>
    </row>
    <row r="23" customFormat="false" ht="15" hidden="false" customHeight="false" outlineLevel="0" collapsed="false">
      <c r="A23" s="0" t="s">
        <v>83</v>
      </c>
      <c r="B23" s="6" t="s">
        <v>84</v>
      </c>
      <c r="C23" s="0" t="s">
        <v>42</v>
      </c>
      <c r="E23" s="7" t="n">
        <v>0.28</v>
      </c>
      <c r="G23" s="8" t="s">
        <v>43</v>
      </c>
      <c r="H23" s="8" t="s">
        <v>85</v>
      </c>
    </row>
    <row r="24" customFormat="false" ht="15" hidden="false" customHeight="false" outlineLevel="0" collapsed="false">
      <c r="A24" s="0" t="s">
        <v>86</v>
      </c>
      <c r="B24" s="6" t="s">
        <v>87</v>
      </c>
      <c r="C24" s="0" t="s">
        <v>42</v>
      </c>
      <c r="D24" s="7" t="n">
        <v>0.05</v>
      </c>
      <c r="E24" s="7" t="n">
        <v>0.1</v>
      </c>
      <c r="F24" s="7" t="n">
        <v>0.15</v>
      </c>
      <c r="G24" s="8" t="s">
        <v>43</v>
      </c>
    </row>
    <row r="25" customFormat="false" ht="15" hidden="false" customHeight="false" outlineLevel="0" collapsed="false">
      <c r="A25" s="0" t="s">
        <v>88</v>
      </c>
      <c r="B25" s="6" t="s">
        <v>89</v>
      </c>
      <c r="C25" s="6" t="s">
        <v>90</v>
      </c>
      <c r="D25" s="7" t="n">
        <v>4</v>
      </c>
      <c r="E25" s="7" t="n">
        <v>5</v>
      </c>
      <c r="F25" s="7" t="n">
        <v>6</v>
      </c>
      <c r="G25" s="8" t="s">
        <v>43</v>
      </c>
    </row>
    <row r="26" customFormat="false" ht="15" hidden="false" customHeight="false" outlineLevel="0" collapsed="false">
      <c r="A26" s="0" t="s">
        <v>91</v>
      </c>
      <c r="B26" s="6" t="s">
        <v>92</v>
      </c>
      <c r="C26" s="0" t="s">
        <v>42</v>
      </c>
      <c r="E26" s="7" t="n">
        <v>0.9</v>
      </c>
      <c r="G26" s="8" t="s">
        <v>43</v>
      </c>
    </row>
    <row r="27" customFormat="false" ht="15" hidden="false" customHeight="false" outlineLevel="0" collapsed="false">
      <c r="A27" s="0" t="s">
        <v>93</v>
      </c>
      <c r="B27" s="6" t="s">
        <v>94</v>
      </c>
      <c r="C27" s="6" t="s">
        <v>47</v>
      </c>
      <c r="E27" s="7" t="n">
        <v>5</v>
      </c>
      <c r="G27" s="8" t="s">
        <v>76</v>
      </c>
      <c r="H27" s="8" t="s">
        <v>95</v>
      </c>
    </row>
    <row r="28" customFormat="false" ht="15" hidden="false" customHeight="false" outlineLevel="0" collapsed="false">
      <c r="A28" s="0" t="s">
        <v>96</v>
      </c>
      <c r="B28" s="6" t="s">
        <v>97</v>
      </c>
      <c r="C28" s="0" t="s">
        <v>98</v>
      </c>
      <c r="D28" s="7" t="n">
        <v>0.01</v>
      </c>
      <c r="E28" s="7" t="n">
        <v>0.015</v>
      </c>
      <c r="F28" s="7" t="n">
        <v>0.03</v>
      </c>
      <c r="G28" s="8" t="s">
        <v>76</v>
      </c>
      <c r="H28" s="6" t="s">
        <v>99</v>
      </c>
    </row>
    <row r="29" customFormat="false" ht="15" hidden="false" customHeight="false" outlineLevel="0" collapsed="false">
      <c r="A29" s="0" t="s">
        <v>100</v>
      </c>
      <c r="B29" s="6" t="s">
        <v>101</v>
      </c>
      <c r="C29" s="0" t="s">
        <v>42</v>
      </c>
      <c r="E29" s="7" t="n">
        <v>0.15</v>
      </c>
      <c r="G29" s="8" t="s">
        <v>76</v>
      </c>
      <c r="H29" s="6" t="s">
        <v>102</v>
      </c>
    </row>
    <row r="30" customFormat="false" ht="15" hidden="false" customHeight="false" outlineLevel="0" collapsed="false">
      <c r="A30" s="0" t="s">
        <v>103</v>
      </c>
      <c r="B30" s="6" t="s">
        <v>104</v>
      </c>
      <c r="C30" s="0" t="s">
        <v>42</v>
      </c>
      <c r="D30" s="7" t="n">
        <v>0.14</v>
      </c>
      <c r="E30" s="7" t="n">
        <v>0.155</v>
      </c>
      <c r="F30" s="7" t="n">
        <v>0.18</v>
      </c>
      <c r="G30" s="8" t="s">
        <v>38</v>
      </c>
      <c r="H30" s="8" t="s">
        <v>105</v>
      </c>
    </row>
    <row r="31" customFormat="false" ht="15" hidden="false" customHeight="false" outlineLevel="0" collapsed="false">
      <c r="A31" s="0" t="s">
        <v>106</v>
      </c>
      <c r="B31" s="6" t="s">
        <v>107</v>
      </c>
      <c r="C31" s="0" t="s">
        <v>42</v>
      </c>
      <c r="E31" s="7" t="n">
        <v>0.04</v>
      </c>
      <c r="G31" s="8" t="s">
        <v>43</v>
      </c>
      <c r="H31" s="6" t="s">
        <v>108</v>
      </c>
    </row>
    <row r="32" customFormat="false" ht="15" hidden="false" customHeight="false" outlineLevel="0" collapsed="false">
      <c r="A32" s="0" t="s">
        <v>109</v>
      </c>
      <c r="B32" s="6" t="s">
        <v>110</v>
      </c>
      <c r="C32" s="6" t="s">
        <v>47</v>
      </c>
      <c r="E32" s="7" t="n">
        <v>27.367</v>
      </c>
      <c r="G32" s="8" t="s">
        <v>38</v>
      </c>
      <c r="H32" s="8" t="s">
        <v>111</v>
      </c>
    </row>
    <row r="33" customFormat="false" ht="15" hidden="false" customHeight="false" outlineLevel="0" collapsed="false">
      <c r="A33" s="0" t="s">
        <v>112</v>
      </c>
      <c r="B33" s="6" t="s">
        <v>113</v>
      </c>
      <c r="C33" s="6" t="s">
        <v>47</v>
      </c>
      <c r="D33" s="7" t="n">
        <v>50</v>
      </c>
      <c r="E33" s="7" t="n">
        <v>55</v>
      </c>
      <c r="F33" s="7" t="n">
        <v>65</v>
      </c>
      <c r="G33" s="8" t="s">
        <v>76</v>
      </c>
      <c r="H33" s="8" t="s">
        <v>114</v>
      </c>
    </row>
    <row r="34" customFormat="false" ht="15" hidden="false" customHeight="false" outlineLevel="0" collapsed="false">
      <c r="A34" s="0" t="s">
        <v>115</v>
      </c>
      <c r="B34" s="6" t="s">
        <v>116</v>
      </c>
      <c r="C34" s="6" t="s">
        <v>47</v>
      </c>
      <c r="D34" s="7" t="n">
        <v>50</v>
      </c>
      <c r="E34" s="7" t="n">
        <v>60</v>
      </c>
      <c r="F34" s="7" t="n">
        <v>75</v>
      </c>
      <c r="G34" s="8" t="s">
        <v>43</v>
      </c>
    </row>
    <row r="35" customFormat="false" ht="15" hidden="false" customHeight="false" outlineLevel="0" collapsed="false">
      <c r="A35" s="0" t="s">
        <v>117</v>
      </c>
      <c r="B35" s="6" t="s">
        <v>118</v>
      </c>
      <c r="C35" s="0" t="s">
        <v>42</v>
      </c>
      <c r="D35" s="7" t="n">
        <v>0.1</v>
      </c>
      <c r="E35" s="7" t="n">
        <v>0.15</v>
      </c>
      <c r="F35" s="7" t="n">
        <v>0.2</v>
      </c>
      <c r="G35" s="8" t="s">
        <v>43</v>
      </c>
    </row>
    <row r="36" customFormat="false" ht="15" hidden="false" customHeight="false" outlineLevel="0" collapsed="false">
      <c r="A36" s="0" t="s">
        <v>119</v>
      </c>
      <c r="B36" s="0" t="s">
        <v>120</v>
      </c>
      <c r="C36" s="0" t="s">
        <v>42</v>
      </c>
      <c r="D36" s="7" t="n">
        <v>0.15</v>
      </c>
      <c r="E36" s="7" t="n">
        <v>0.2</v>
      </c>
      <c r="F36" s="7" t="n">
        <v>0.25</v>
      </c>
      <c r="G36" s="8" t="s">
        <v>43</v>
      </c>
    </row>
    <row r="37" customFormat="false" ht="15" hidden="false" customHeight="false" outlineLevel="0" collapsed="false">
      <c r="A37" s="0" t="s">
        <v>121</v>
      </c>
      <c r="B37" s="0" t="s">
        <v>122</v>
      </c>
      <c r="C37" s="0" t="s">
        <v>42</v>
      </c>
      <c r="D37" s="7" t="n">
        <v>0.17</v>
      </c>
      <c r="E37" s="7" t="n">
        <v>0.2</v>
      </c>
      <c r="F37" s="7" t="n">
        <v>0.23</v>
      </c>
      <c r="G37" s="8" t="s">
        <v>43</v>
      </c>
    </row>
    <row r="38" customFormat="false" ht="15" hidden="false" customHeight="false" outlineLevel="0" collapsed="false">
      <c r="A38" s="0" t="s">
        <v>123</v>
      </c>
      <c r="B38" s="6" t="s">
        <v>124</v>
      </c>
      <c r="C38" s="6" t="s">
        <v>47</v>
      </c>
      <c r="D38" s="7" t="n">
        <v>50</v>
      </c>
      <c r="E38" s="7" t="n">
        <v>60</v>
      </c>
      <c r="F38" s="7" t="n">
        <v>75</v>
      </c>
      <c r="G38" s="8" t="s">
        <v>43</v>
      </c>
    </row>
    <row r="39" customFormat="false" ht="15" hidden="false" customHeight="false" outlineLevel="0" collapsed="false">
      <c r="A39" s="0" t="s">
        <v>125</v>
      </c>
      <c r="B39" s="6" t="s">
        <v>126</v>
      </c>
      <c r="C39" s="0" t="s">
        <v>32</v>
      </c>
      <c r="E39" s="7" t="n">
        <v>0.85</v>
      </c>
      <c r="G39" s="8" t="s">
        <v>43</v>
      </c>
    </row>
    <row r="40" customFormat="false" ht="15" hidden="false" customHeight="false" outlineLevel="0" collapsed="false">
      <c r="A40" s="0" t="s">
        <v>127</v>
      </c>
      <c r="B40" s="6" t="s">
        <v>128</v>
      </c>
      <c r="C40" s="0" t="s">
        <v>37</v>
      </c>
      <c r="E40" s="7" t="n">
        <v>0</v>
      </c>
      <c r="G40" s="8" t="s">
        <v>38</v>
      </c>
      <c r="H40" s="6" t="s">
        <v>129</v>
      </c>
    </row>
    <row r="41" customFormat="false" ht="15" hidden="false" customHeight="false" outlineLevel="0" collapsed="false">
      <c r="A41" s="0" t="s">
        <v>130</v>
      </c>
      <c r="B41" s="6" t="s">
        <v>131</v>
      </c>
      <c r="C41" s="0" t="s">
        <v>37</v>
      </c>
      <c r="E41" s="7" t="n">
        <v>0</v>
      </c>
      <c r="G41" s="8" t="s">
        <v>38</v>
      </c>
      <c r="H41" s="6" t="s">
        <v>132</v>
      </c>
    </row>
    <row r="42" customFormat="false" ht="15" hidden="false" customHeight="false" outlineLevel="0" collapsed="false">
      <c r="A42" s="0" t="s">
        <v>133</v>
      </c>
      <c r="B42" s="6" t="s">
        <v>134</v>
      </c>
      <c r="C42" s="0" t="s">
        <v>37</v>
      </c>
      <c r="E42" s="7" t="n">
        <v>0</v>
      </c>
      <c r="G42" s="8" t="s">
        <v>38</v>
      </c>
      <c r="H42" s="6" t="s">
        <v>132</v>
      </c>
    </row>
    <row r="43" customFormat="false" ht="15" hidden="false" customHeight="false" outlineLevel="0" collapsed="false">
      <c r="A43" s="0" t="s">
        <v>135</v>
      </c>
      <c r="B43" s="6" t="s">
        <v>136</v>
      </c>
      <c r="C43" s="0" t="s">
        <v>37</v>
      </c>
      <c r="E43" s="7" t="n">
        <v>0</v>
      </c>
      <c r="G43" s="8" t="s">
        <v>38</v>
      </c>
      <c r="H43" s="6" t="s">
        <v>132</v>
      </c>
    </row>
    <row r="44" customFormat="false" ht="15" hidden="false" customHeight="false" outlineLevel="0" collapsed="false">
      <c r="A44" s="0" t="s">
        <v>137</v>
      </c>
      <c r="B44" s="6" t="s">
        <v>138</v>
      </c>
      <c r="C44" s="0" t="s">
        <v>37</v>
      </c>
      <c r="E44" s="7" t="n">
        <v>0</v>
      </c>
      <c r="G44" s="8" t="s">
        <v>38</v>
      </c>
      <c r="H44" s="6" t="s">
        <v>132</v>
      </c>
    </row>
    <row r="45" customFormat="false" ht="15" hidden="false" customHeight="false" outlineLevel="0" collapsed="false">
      <c r="A45" s="0" t="s">
        <v>139</v>
      </c>
      <c r="B45" s="6" t="s">
        <v>140</v>
      </c>
      <c r="C45" s="0" t="s">
        <v>37</v>
      </c>
      <c r="E45" s="7" t="n">
        <v>0</v>
      </c>
      <c r="G45" s="8" t="s">
        <v>38</v>
      </c>
      <c r="H45" s="6" t="s">
        <v>132</v>
      </c>
    </row>
    <row r="46" customFormat="false" ht="15" hidden="false" customHeight="false" outlineLevel="0" collapsed="false">
      <c r="A46" s="0" t="s">
        <v>141</v>
      </c>
      <c r="B46" s="6" t="s">
        <v>142</v>
      </c>
      <c r="C46" s="0" t="s">
        <v>37</v>
      </c>
      <c r="E46" s="7" t="n">
        <v>0</v>
      </c>
      <c r="G46" s="8" t="s">
        <v>38</v>
      </c>
      <c r="H46" s="6" t="s">
        <v>132</v>
      </c>
    </row>
    <row r="47" customFormat="false" ht="15" hidden="false" customHeight="false" outlineLevel="0" collapsed="false">
      <c r="A47" s="0" t="s">
        <v>143</v>
      </c>
      <c r="B47" s="6" t="s">
        <v>144</v>
      </c>
      <c r="C47" s="0" t="s">
        <v>37</v>
      </c>
      <c r="E47" s="7" t="n">
        <v>0</v>
      </c>
      <c r="G47" s="8" t="s">
        <v>38</v>
      </c>
      <c r="H47" s="6" t="s">
        <v>132</v>
      </c>
    </row>
    <row r="48" customFormat="false" ht="15" hidden="false" customHeight="false" outlineLevel="0" collapsed="false">
      <c r="A48" s="0" t="s">
        <v>145</v>
      </c>
      <c r="B48" s="6" t="s">
        <v>146</v>
      </c>
      <c r="C48" s="0" t="s">
        <v>37</v>
      </c>
      <c r="E48" s="7" t="n">
        <v>0</v>
      </c>
      <c r="G48" s="8" t="s">
        <v>38</v>
      </c>
      <c r="H48" s="6" t="s">
        <v>132</v>
      </c>
    </row>
    <row r="49" customFormat="false" ht="15" hidden="false" customHeight="false" outlineLevel="0" collapsed="false">
      <c r="A49" s="5" t="s">
        <v>147</v>
      </c>
    </row>
    <row r="50" customFormat="false" ht="15" hidden="false" customHeight="false" outlineLevel="0" collapsed="false">
      <c r="A50" s="0" t="s">
        <v>148</v>
      </c>
      <c r="B50" s="0" t="s">
        <v>149</v>
      </c>
      <c r="C50" s="6" t="s">
        <v>47</v>
      </c>
      <c r="E50" s="7" t="n">
        <v>138.378</v>
      </c>
      <c r="G50" s="8" t="s">
        <v>38</v>
      </c>
      <c r="H50" s="8" t="s">
        <v>150</v>
      </c>
    </row>
    <row r="51" customFormat="false" ht="15" hidden="false" customHeight="false" outlineLevel="0" collapsed="false">
      <c r="A51" s="0" t="s">
        <v>151</v>
      </c>
      <c r="B51" s="0" t="s">
        <v>152</v>
      </c>
      <c r="C51" s="6" t="s">
        <v>47</v>
      </c>
      <c r="E51" s="7" t="n">
        <v>68.3</v>
      </c>
      <c r="G51" s="8" t="s">
        <v>76</v>
      </c>
      <c r="H51" s="6" t="s">
        <v>153</v>
      </c>
    </row>
    <row r="52" customFormat="false" ht="15" hidden="false" customHeight="false" outlineLevel="0" collapsed="false">
      <c r="A52" s="0" t="s">
        <v>154</v>
      </c>
      <c r="B52" s="6" t="s">
        <v>155</v>
      </c>
      <c r="C52" s="6" t="s">
        <v>156</v>
      </c>
      <c r="E52" s="7" t="n">
        <v>1129.4</v>
      </c>
      <c r="G52" s="8" t="s">
        <v>38</v>
      </c>
      <c r="H52" s="8" t="s">
        <v>157</v>
      </c>
    </row>
    <row r="53" customFormat="false" ht="15" hidden="false" customHeight="false" outlineLevel="0" collapsed="false">
      <c r="A53" s="0" t="s">
        <v>158</v>
      </c>
      <c r="B53" s="6" t="s">
        <v>159</v>
      </c>
      <c r="C53" s="6" t="s">
        <v>47</v>
      </c>
      <c r="E53" s="7" t="n">
        <v>0</v>
      </c>
      <c r="G53" s="8" t="s">
        <v>38</v>
      </c>
      <c r="H53" s="6" t="s">
        <v>132</v>
      </c>
    </row>
    <row r="54" customFormat="false" ht="15" hidden="false" customHeight="false" outlineLevel="0" collapsed="false">
      <c r="A54" s="0" t="s">
        <v>160</v>
      </c>
      <c r="B54" s="6" t="s">
        <v>161</v>
      </c>
      <c r="C54" s="6" t="s">
        <v>156</v>
      </c>
      <c r="E54" s="7" t="n">
        <v>0</v>
      </c>
      <c r="G54" s="8" t="s">
        <v>38</v>
      </c>
      <c r="H54" s="6" t="s">
        <v>132</v>
      </c>
    </row>
    <row r="55" customFormat="false" ht="15" hidden="false" customHeight="false" outlineLevel="0" collapsed="false">
      <c r="A55" s="0" t="s">
        <v>162</v>
      </c>
      <c r="B55" s="6" t="s">
        <v>163</v>
      </c>
      <c r="C55" s="6" t="s">
        <v>47</v>
      </c>
      <c r="E55" s="7" t="n">
        <v>0</v>
      </c>
      <c r="G55" s="8" t="s">
        <v>38</v>
      </c>
      <c r="H55" s="6" t="s">
        <v>164</v>
      </c>
    </row>
    <row r="56" customFormat="false" ht="15" hidden="false" customHeight="false" outlineLevel="0" collapsed="false">
      <c r="A56" s="0" t="s">
        <v>165</v>
      </c>
      <c r="B56" s="6" t="s">
        <v>166</v>
      </c>
      <c r="C56" s="6" t="s">
        <v>156</v>
      </c>
      <c r="E56" s="7" t="n">
        <v>0</v>
      </c>
      <c r="G56" s="8" t="s">
        <v>38</v>
      </c>
    </row>
    <row r="57" customFormat="false" ht="15" hidden="false" customHeight="false" outlineLevel="0" collapsed="false">
      <c r="A57" s="0" t="s">
        <v>167</v>
      </c>
      <c r="B57" s="6" t="s">
        <v>168</v>
      </c>
      <c r="C57" s="6" t="s">
        <v>47</v>
      </c>
      <c r="E57" s="7" t="n">
        <v>0</v>
      </c>
      <c r="G57" s="8" t="s">
        <v>38</v>
      </c>
    </row>
    <row r="58" customFormat="false" ht="15" hidden="false" customHeight="false" outlineLevel="0" collapsed="false">
      <c r="A58" s="0" t="s">
        <v>169</v>
      </c>
      <c r="B58" s="6" t="s">
        <v>170</v>
      </c>
      <c r="C58" s="6" t="s">
        <v>47</v>
      </c>
      <c r="E58" s="7" t="n">
        <v>0</v>
      </c>
      <c r="G58" s="8" t="s">
        <v>38</v>
      </c>
    </row>
    <row r="59" customFormat="false" ht="15" hidden="false" customHeight="false" outlineLevel="0" collapsed="false">
      <c r="A59" s="0" t="s">
        <v>171</v>
      </c>
      <c r="B59" s="6" t="s">
        <v>172</v>
      </c>
      <c r="C59" s="0" t="s">
        <v>32</v>
      </c>
      <c r="E59" s="7" t="n">
        <v>0.6</v>
      </c>
      <c r="G59" s="8" t="s">
        <v>38</v>
      </c>
      <c r="H59" s="6" t="s">
        <v>173</v>
      </c>
    </row>
    <row r="60" customFormat="false" ht="15" hidden="false" customHeight="false" outlineLevel="0" collapsed="false">
      <c r="A60" s="0" t="s">
        <v>174</v>
      </c>
      <c r="B60" s="6" t="s">
        <v>175</v>
      </c>
      <c r="C60" s="0" t="s">
        <v>32</v>
      </c>
      <c r="E60" s="7" t="n">
        <v>0.72</v>
      </c>
      <c r="G60" s="8" t="s">
        <v>43</v>
      </c>
      <c r="H60" s="8" t="s">
        <v>176</v>
      </c>
    </row>
    <row r="61" customFormat="false" ht="15" hidden="false" customHeight="false" outlineLevel="0" collapsed="false">
      <c r="A61" s="0" t="s">
        <v>177</v>
      </c>
      <c r="B61" s="6" t="s">
        <v>178</v>
      </c>
      <c r="C61" s="0" t="s">
        <v>42</v>
      </c>
      <c r="D61" s="7" t="n">
        <v>0.5</v>
      </c>
      <c r="E61" s="7" t="n">
        <v>0.8</v>
      </c>
      <c r="F61" s="7" t="n">
        <v>1</v>
      </c>
      <c r="G61" s="8" t="s">
        <v>179</v>
      </c>
      <c r="H61" s="6" t="s">
        <v>180</v>
      </c>
    </row>
    <row r="62" customFormat="false" ht="15" hidden="false" customHeight="false" outlineLevel="0" collapsed="false">
      <c r="A62" s="0" t="s">
        <v>181</v>
      </c>
      <c r="B62" s="6" t="s">
        <v>182</v>
      </c>
      <c r="C62" s="0" t="s">
        <v>32</v>
      </c>
      <c r="E62" s="7" t="n">
        <v>1088</v>
      </c>
      <c r="G62" s="8" t="s">
        <v>43</v>
      </c>
      <c r="H62" s="6" t="s">
        <v>183</v>
      </c>
    </row>
    <row r="63" customFormat="false" ht="15" hidden="false" customHeight="false" outlineLevel="0" collapsed="false">
      <c r="A63" s="5" t="s">
        <v>184</v>
      </c>
    </row>
    <row r="64" customFormat="false" ht="15" hidden="false" customHeight="false" outlineLevel="0" collapsed="false">
      <c r="A64" s="0" t="s">
        <v>185</v>
      </c>
      <c r="B64" s="0" t="s">
        <v>186</v>
      </c>
      <c r="C64" s="0" t="s">
        <v>187</v>
      </c>
      <c r="E64" s="7" t="n">
        <v>1</v>
      </c>
      <c r="G64" s="8" t="s">
        <v>33</v>
      </c>
      <c r="H64" s="6" t="s">
        <v>188</v>
      </c>
    </row>
    <row r="65" customFormat="false" ht="15" hidden="false" customHeight="false" outlineLevel="0" collapsed="false">
      <c r="A65" s="0" t="s">
        <v>189</v>
      </c>
      <c r="B65" s="0" t="s">
        <v>190</v>
      </c>
      <c r="C65" s="0" t="s">
        <v>187</v>
      </c>
      <c r="E65" s="7" t="n">
        <v>1.4</v>
      </c>
      <c r="G65" s="8" t="s">
        <v>33</v>
      </c>
      <c r="H65" s="8" t="s">
        <v>191</v>
      </c>
    </row>
    <row r="66" customFormat="false" ht="15" hidden="false" customHeight="false" outlineLevel="0" collapsed="false">
      <c r="A66" s="0" t="s">
        <v>192</v>
      </c>
      <c r="B66" s="0" t="s">
        <v>193</v>
      </c>
      <c r="C66" s="0" t="s">
        <v>187</v>
      </c>
      <c r="E66" s="7" t="n">
        <v>3</v>
      </c>
      <c r="G66" s="8" t="s">
        <v>33</v>
      </c>
      <c r="H66" s="6" t="s">
        <v>194</v>
      </c>
    </row>
    <row r="67" customFormat="false" ht="15" hidden="false" customHeight="false" outlineLevel="0" collapsed="false">
      <c r="A67" s="0" t="s">
        <v>195</v>
      </c>
      <c r="B67" s="0" t="s">
        <v>196</v>
      </c>
      <c r="C67" s="0" t="s">
        <v>187</v>
      </c>
      <c r="E67" s="7" t="n">
        <v>4</v>
      </c>
      <c r="G67" s="8" t="s">
        <v>43</v>
      </c>
      <c r="H67" s="6" t="s">
        <v>197</v>
      </c>
    </row>
    <row r="68" customFormat="false" ht="15" hidden="false" customHeight="false" outlineLevel="0" collapsed="false">
      <c r="A68" s="0" t="s">
        <v>198</v>
      </c>
      <c r="B68" s="0" t="s">
        <v>199</v>
      </c>
      <c r="C68" s="0" t="s">
        <v>187</v>
      </c>
      <c r="E68" s="7" t="n">
        <v>8</v>
      </c>
      <c r="G68" s="8" t="s">
        <v>43</v>
      </c>
    </row>
    <row r="69" customFormat="false" ht="15" hidden="false" customHeight="false" outlineLevel="0" collapsed="false">
      <c r="A69" s="0" t="s">
        <v>200</v>
      </c>
      <c r="B69" s="0" t="s">
        <v>201</v>
      </c>
      <c r="C69" s="0" t="s">
        <v>187</v>
      </c>
      <c r="E69" s="7" t="n">
        <v>12</v>
      </c>
      <c r="G69" s="8" t="s">
        <v>43</v>
      </c>
    </row>
    <row r="70" customFormat="false" ht="15" hidden="false" customHeight="false" outlineLevel="0" collapsed="false">
      <c r="A70" s="5" t="s">
        <v>202</v>
      </c>
    </row>
    <row r="71" customFormat="false" ht="15" hidden="false" customHeight="false" outlineLevel="0" collapsed="false">
      <c r="A71" s="0" t="s">
        <v>203</v>
      </c>
      <c r="B71" s="6" t="s">
        <v>204</v>
      </c>
      <c r="C71" s="0" t="s">
        <v>42</v>
      </c>
      <c r="E71" s="7" t="n">
        <v>-0.025</v>
      </c>
      <c r="G71" s="8" t="s">
        <v>33</v>
      </c>
      <c r="H71" s="8" t="s">
        <v>205</v>
      </c>
    </row>
    <row r="72" customFormat="false" ht="15" hidden="false" customHeight="false" outlineLevel="0" collapsed="false">
      <c r="A72" s="0" t="s">
        <v>206</v>
      </c>
      <c r="B72" s="6" t="s">
        <v>207</v>
      </c>
      <c r="C72" s="0" t="s">
        <v>42</v>
      </c>
      <c r="E72" s="7" t="n">
        <v>0.125</v>
      </c>
      <c r="G72" s="8" t="s">
        <v>33</v>
      </c>
      <c r="H72" s="6" t="s">
        <v>57</v>
      </c>
    </row>
    <row r="73" customFormat="false" ht="15" hidden="false" customHeight="false" outlineLevel="0" collapsed="false">
      <c r="A73" s="0" t="s">
        <v>208</v>
      </c>
      <c r="B73" s="6" t="s">
        <v>209</v>
      </c>
      <c r="C73" s="0" t="s">
        <v>42</v>
      </c>
      <c r="E73" s="7" t="n">
        <v>0.475</v>
      </c>
      <c r="G73" s="8" t="s">
        <v>33</v>
      </c>
      <c r="H73" s="6" t="s">
        <v>57</v>
      </c>
    </row>
    <row r="74" customFormat="false" ht="15" hidden="false" customHeight="false" outlineLevel="0" collapsed="false">
      <c r="A74" s="0" t="s">
        <v>210</v>
      </c>
      <c r="B74" s="6" t="s">
        <v>211</v>
      </c>
      <c r="C74" s="0" t="s">
        <v>42</v>
      </c>
      <c r="E74" s="7" t="n">
        <v>0.95</v>
      </c>
      <c r="G74" s="8" t="s">
        <v>33</v>
      </c>
      <c r="H74" s="6" t="s">
        <v>57</v>
      </c>
    </row>
    <row r="75" customFormat="false" ht="15" hidden="false" customHeight="false" outlineLevel="0" collapsed="false">
      <c r="A75" s="0" t="s">
        <v>212</v>
      </c>
      <c r="B75" s="6" t="s">
        <v>213</v>
      </c>
      <c r="C75" s="0" t="s">
        <v>42</v>
      </c>
      <c r="E75" s="7" t="n">
        <v>0.605</v>
      </c>
      <c r="G75" s="8" t="s">
        <v>33</v>
      </c>
      <c r="H75" s="6" t="s">
        <v>57</v>
      </c>
    </row>
    <row r="76" customFormat="false" ht="15" hidden="false" customHeight="false" outlineLevel="0" collapsed="false">
      <c r="A76" s="0" t="s">
        <v>214</v>
      </c>
      <c r="B76" s="6" t="s">
        <v>215</v>
      </c>
      <c r="C76" s="0" t="s">
        <v>42</v>
      </c>
      <c r="E76" s="7" t="n">
        <v>0.155</v>
      </c>
      <c r="G76" s="8" t="s">
        <v>33</v>
      </c>
      <c r="H76" s="6" t="s">
        <v>57</v>
      </c>
    </row>
    <row r="77" customFormat="false" ht="15" hidden="false" customHeight="false" outlineLevel="0" collapsed="false">
      <c r="A77" s="0" t="s">
        <v>216</v>
      </c>
      <c r="B77" s="6" t="s">
        <v>217</v>
      </c>
      <c r="C77" s="0" t="s">
        <v>42</v>
      </c>
      <c r="E77" s="7" t="n">
        <v>0.125</v>
      </c>
      <c r="G77" s="8" t="s">
        <v>33</v>
      </c>
      <c r="H77" s="6" t="s">
        <v>57</v>
      </c>
    </row>
    <row r="78" customFormat="false" ht="15" hidden="false" customHeight="false" outlineLevel="0" collapsed="false">
      <c r="A78" s="0" t="s">
        <v>218</v>
      </c>
      <c r="B78" s="6" t="s">
        <v>219</v>
      </c>
      <c r="C78" s="0" t="s">
        <v>42</v>
      </c>
      <c r="E78" s="7" t="n">
        <v>0.03</v>
      </c>
      <c r="G78" s="8" t="s">
        <v>33</v>
      </c>
      <c r="H78" s="8" t="s">
        <v>220</v>
      </c>
    </row>
    <row r="79" customFormat="false" ht="15" hidden="false" customHeight="false" outlineLevel="0" collapsed="false">
      <c r="A79" s="0" t="s">
        <v>221</v>
      </c>
      <c r="B79" s="6" t="s">
        <v>222</v>
      </c>
      <c r="C79" s="0" t="s">
        <v>42</v>
      </c>
      <c r="E79" s="7" t="n">
        <v>0</v>
      </c>
      <c r="G79" s="8" t="s">
        <v>33</v>
      </c>
      <c r="H79" s="6" t="s">
        <v>57</v>
      </c>
    </row>
    <row r="80" customFormat="false" ht="15" hidden="false" customHeight="false" outlineLevel="0" collapsed="false">
      <c r="A80" s="0" t="s">
        <v>223</v>
      </c>
      <c r="B80" s="6" t="s">
        <v>224</v>
      </c>
      <c r="C80" s="0" t="s">
        <v>42</v>
      </c>
      <c r="E80" s="7" t="n">
        <v>-0.02</v>
      </c>
      <c r="G80" s="8" t="s">
        <v>33</v>
      </c>
      <c r="H80" s="6" t="s">
        <v>57</v>
      </c>
    </row>
    <row r="81" customFormat="false" ht="15" hidden="false" customHeight="false" outlineLevel="0" collapsed="false">
      <c r="A81" s="0" t="s">
        <v>225</v>
      </c>
      <c r="B81" s="6" t="s">
        <v>226</v>
      </c>
      <c r="C81" s="0" t="s">
        <v>42</v>
      </c>
      <c r="E81" s="7" t="n">
        <v>-0.03</v>
      </c>
      <c r="G81" s="8" t="s">
        <v>33</v>
      </c>
      <c r="H81" s="6" t="s">
        <v>57</v>
      </c>
    </row>
    <row r="82" customFormat="false" ht="15" hidden="false" customHeight="false" outlineLevel="0" collapsed="false">
      <c r="A82" s="0" t="s">
        <v>227</v>
      </c>
      <c r="B82" s="6" t="s">
        <v>228</v>
      </c>
      <c r="C82" s="0" t="s">
        <v>42</v>
      </c>
      <c r="E82" s="7" t="n">
        <v>-0.03</v>
      </c>
      <c r="G82" s="8" t="s">
        <v>33</v>
      </c>
      <c r="H82" s="6" t="s">
        <v>57</v>
      </c>
    </row>
    <row r="83" customFormat="false" ht="15" hidden="false" customHeight="false" outlineLevel="0" collapsed="false">
      <c r="A83" s="0" t="s">
        <v>229</v>
      </c>
      <c r="B83" s="6" t="s">
        <v>230</v>
      </c>
      <c r="C83" s="0" t="s">
        <v>42</v>
      </c>
      <c r="E83" s="7" t="n">
        <v>-0.03</v>
      </c>
      <c r="G83" s="8" t="s">
        <v>33</v>
      </c>
      <c r="H83" s="6" t="s">
        <v>57</v>
      </c>
    </row>
    <row r="84" customFormat="false" ht="15" hidden="false" customHeight="false" outlineLevel="0" collapsed="false">
      <c r="A84" s="0" t="s">
        <v>231</v>
      </c>
      <c r="B84" s="6" t="s">
        <v>232</v>
      </c>
      <c r="C84" s="0" t="s">
        <v>42</v>
      </c>
      <c r="E84" s="7" t="n">
        <v>-0.02</v>
      </c>
      <c r="G84" s="8" t="s">
        <v>33</v>
      </c>
      <c r="H84" s="6" t="s">
        <v>57</v>
      </c>
    </row>
    <row r="85" customFormat="false" ht="15" hidden="false" customHeight="false" outlineLevel="0" collapsed="false">
      <c r="A85" s="0" t="s">
        <v>233</v>
      </c>
      <c r="B85" s="6" t="s">
        <v>234</v>
      </c>
      <c r="C85" s="0" t="s">
        <v>42</v>
      </c>
      <c r="E85" s="7" t="n">
        <v>-0.02</v>
      </c>
      <c r="G85" s="8" t="s">
        <v>33</v>
      </c>
      <c r="H85" s="6" t="s">
        <v>57</v>
      </c>
    </row>
    <row r="86" customFormat="false" ht="15" hidden="false" customHeight="false" outlineLevel="0" collapsed="false">
      <c r="A86" s="0" t="s">
        <v>235</v>
      </c>
      <c r="B86" s="6" t="s">
        <v>236</v>
      </c>
      <c r="C86" s="0" t="s">
        <v>42</v>
      </c>
      <c r="E86" s="7" t="n">
        <v>-0.03</v>
      </c>
      <c r="G86" s="8" t="s">
        <v>33</v>
      </c>
      <c r="H86" s="6" t="s">
        <v>57</v>
      </c>
    </row>
    <row r="87" customFormat="false" ht="15" hidden="false" customHeight="false" outlineLevel="0" collapsed="false">
      <c r="A87" s="0" t="s">
        <v>237</v>
      </c>
      <c r="B87" s="6" t="s">
        <v>238</v>
      </c>
      <c r="C87" s="0" t="s">
        <v>42</v>
      </c>
      <c r="E87" s="7" t="n">
        <v>-0.03</v>
      </c>
      <c r="G87" s="8" t="s">
        <v>33</v>
      </c>
      <c r="H87" s="6" t="s">
        <v>57</v>
      </c>
    </row>
    <row r="88" customFormat="false" ht="15" hidden="false" customHeight="false" outlineLevel="0" collapsed="false">
      <c r="A88" s="0" t="s">
        <v>239</v>
      </c>
      <c r="B88" s="6" t="s">
        <v>240</v>
      </c>
      <c r="C88" s="0" t="s">
        <v>42</v>
      </c>
      <c r="E88" s="7" t="n">
        <v>-0.02</v>
      </c>
      <c r="G88" s="8" t="s">
        <v>33</v>
      </c>
      <c r="H88" s="6" t="s">
        <v>57</v>
      </c>
    </row>
    <row r="89" customFormat="false" ht="15" hidden="false" customHeight="false" outlineLevel="0" collapsed="false">
      <c r="A89" s="0" t="s">
        <v>241</v>
      </c>
      <c r="B89" s="6" t="s">
        <v>242</v>
      </c>
      <c r="C89" s="0" t="s">
        <v>42</v>
      </c>
      <c r="E89" s="7" t="n">
        <v>-0.02</v>
      </c>
      <c r="G89" s="8" t="s">
        <v>33</v>
      </c>
      <c r="H89" s="6" t="s">
        <v>57</v>
      </c>
    </row>
    <row r="90" customFormat="false" ht="15" hidden="false" customHeight="false" outlineLevel="0" collapsed="false">
      <c r="A90" s="0" t="s">
        <v>243</v>
      </c>
      <c r="B90" s="6" t="s">
        <v>244</v>
      </c>
      <c r="C90" s="0" t="s">
        <v>42</v>
      </c>
      <c r="E90" s="7" t="n">
        <v>0.05</v>
      </c>
      <c r="G90" s="8" t="s">
        <v>33</v>
      </c>
      <c r="H90" s="8" t="s">
        <v>245</v>
      </c>
    </row>
    <row r="91" customFormat="false" ht="15" hidden="false" customHeight="false" outlineLevel="0" collapsed="false">
      <c r="A91" s="0" t="s">
        <v>246</v>
      </c>
      <c r="B91" s="6" t="s">
        <v>247</v>
      </c>
      <c r="C91" s="0" t="s">
        <v>42</v>
      </c>
      <c r="E91" s="7" t="n">
        <v>0.02</v>
      </c>
      <c r="G91" s="8" t="s">
        <v>33</v>
      </c>
      <c r="H91" s="6" t="s">
        <v>57</v>
      </c>
    </row>
    <row r="92" customFormat="false" ht="15" hidden="false" customHeight="false" outlineLevel="0" collapsed="false">
      <c r="A92" s="0" t="s">
        <v>248</v>
      </c>
      <c r="B92" s="6" t="s">
        <v>249</v>
      </c>
      <c r="C92" s="0" t="s">
        <v>42</v>
      </c>
      <c r="E92" s="7" t="n">
        <v>-0.08</v>
      </c>
      <c r="G92" s="8" t="s">
        <v>33</v>
      </c>
      <c r="H92" s="6" t="s">
        <v>57</v>
      </c>
    </row>
    <row r="93" customFormat="false" ht="15" hidden="false" customHeight="false" outlineLevel="0" collapsed="false">
      <c r="A93" s="0" t="s">
        <v>250</v>
      </c>
      <c r="B93" s="6" t="s">
        <v>251</v>
      </c>
      <c r="C93" s="0" t="s">
        <v>42</v>
      </c>
      <c r="E93" s="7" t="n">
        <v>-0.15</v>
      </c>
      <c r="G93" s="8" t="s">
        <v>33</v>
      </c>
      <c r="H93" s="6" t="s">
        <v>57</v>
      </c>
    </row>
    <row r="94" customFormat="false" ht="15" hidden="false" customHeight="false" outlineLevel="0" collapsed="false">
      <c r="A94" s="0" t="s">
        <v>252</v>
      </c>
      <c r="B94" s="6" t="s">
        <v>253</v>
      </c>
      <c r="C94" s="0" t="s">
        <v>42</v>
      </c>
      <c r="E94" s="7" t="n">
        <v>-0.25</v>
      </c>
      <c r="G94" s="8" t="s">
        <v>33</v>
      </c>
      <c r="H94" s="6" t="s">
        <v>57</v>
      </c>
    </row>
    <row r="95" customFormat="false" ht="15" hidden="false" customHeight="false" outlineLevel="0" collapsed="false">
      <c r="A95" s="0" t="s">
        <v>254</v>
      </c>
      <c r="B95" s="6" t="s">
        <v>255</v>
      </c>
      <c r="C95" s="0" t="s">
        <v>42</v>
      </c>
      <c r="E95" s="7" t="n">
        <v>-0.15</v>
      </c>
      <c r="G95" s="8" t="s">
        <v>33</v>
      </c>
      <c r="H95" s="6" t="s">
        <v>57</v>
      </c>
    </row>
    <row r="96" customFormat="false" ht="15" hidden="false" customHeight="false" outlineLevel="0" collapsed="false">
      <c r="A96" s="0" t="s">
        <v>256</v>
      </c>
      <c r="B96" s="6" t="s">
        <v>257</v>
      </c>
      <c r="C96" s="0" t="s">
        <v>42</v>
      </c>
      <c r="E96" s="7" t="n">
        <v>-0.1</v>
      </c>
      <c r="G96" s="8" t="s">
        <v>33</v>
      </c>
      <c r="H96" s="6" t="s">
        <v>57</v>
      </c>
    </row>
    <row r="97" customFormat="false" ht="15" hidden="false" customHeight="false" outlineLevel="0" collapsed="false">
      <c r="A97" s="0" t="s">
        <v>258</v>
      </c>
      <c r="B97" s="6" t="s">
        <v>259</v>
      </c>
      <c r="C97" s="0" t="s">
        <v>42</v>
      </c>
      <c r="E97" s="7" t="n">
        <v>-0.05</v>
      </c>
      <c r="G97" s="8" t="s">
        <v>33</v>
      </c>
      <c r="H97" s="6" t="s">
        <v>57</v>
      </c>
    </row>
    <row r="98" customFormat="false" ht="15" hidden="false" customHeight="false" outlineLevel="0" collapsed="false">
      <c r="A98" s="0" t="s">
        <v>260</v>
      </c>
      <c r="B98" s="6" t="s">
        <v>261</v>
      </c>
      <c r="C98" s="0" t="s">
        <v>42</v>
      </c>
      <c r="E98" s="7" t="n">
        <v>0.05</v>
      </c>
      <c r="G98" s="8" t="s">
        <v>33</v>
      </c>
      <c r="H98" s="6" t="s">
        <v>57</v>
      </c>
    </row>
    <row r="99" customFormat="false" ht="15" hidden="false" customHeight="false" outlineLevel="0" collapsed="false">
      <c r="A99" s="0" t="s">
        <v>262</v>
      </c>
      <c r="B99" s="6" t="s">
        <v>263</v>
      </c>
      <c r="C99" s="0" t="s">
        <v>42</v>
      </c>
      <c r="E99" s="7" t="n">
        <v>0.05</v>
      </c>
      <c r="G99" s="8" t="s">
        <v>33</v>
      </c>
      <c r="H99" s="6" t="s">
        <v>57</v>
      </c>
    </row>
    <row r="100" customFormat="false" ht="15" hidden="false" customHeight="false" outlineLevel="0" collapsed="false">
      <c r="A100" s="0" t="s">
        <v>264</v>
      </c>
      <c r="B100" s="6" t="s">
        <v>265</v>
      </c>
      <c r="C100" s="0" t="s">
        <v>42</v>
      </c>
      <c r="E100" s="7" t="n">
        <v>0.03</v>
      </c>
      <c r="G100" s="8" t="s">
        <v>33</v>
      </c>
      <c r="H100" s="6" t="s">
        <v>57</v>
      </c>
    </row>
    <row r="101" customFormat="false" ht="15" hidden="false" customHeight="false" outlineLevel="0" collapsed="false">
      <c r="A101" s="0" t="s">
        <v>266</v>
      </c>
      <c r="B101" s="6" t="s">
        <v>267</v>
      </c>
      <c r="C101" s="0" t="s">
        <v>42</v>
      </c>
      <c r="E101" s="7" t="n">
        <v>0.03</v>
      </c>
      <c r="G101" s="8" t="s">
        <v>33</v>
      </c>
      <c r="H101" s="6" t="s">
        <v>57</v>
      </c>
    </row>
    <row r="102" customFormat="false" ht="15" hidden="false" customHeight="false" outlineLevel="0" collapsed="false">
      <c r="A102" s="0" t="s">
        <v>268</v>
      </c>
      <c r="B102" s="6" t="s">
        <v>269</v>
      </c>
      <c r="C102" s="0" t="s">
        <v>42</v>
      </c>
      <c r="E102" s="7" t="n">
        <v>0.05</v>
      </c>
      <c r="G102" s="8" t="s">
        <v>43</v>
      </c>
      <c r="H102" s="8" t="s">
        <v>270</v>
      </c>
    </row>
    <row r="103" customFormat="false" ht="15" hidden="false" customHeight="false" outlineLevel="0" collapsed="false">
      <c r="A103" s="0" t="s">
        <v>271</v>
      </c>
      <c r="B103" s="6" t="s">
        <v>272</v>
      </c>
      <c r="C103" s="0" t="s">
        <v>42</v>
      </c>
      <c r="E103" s="7" t="n">
        <v>0.02</v>
      </c>
      <c r="G103" s="8" t="s">
        <v>43</v>
      </c>
      <c r="H103" s="6" t="s">
        <v>57</v>
      </c>
    </row>
    <row r="104" customFormat="false" ht="15" hidden="false" customHeight="false" outlineLevel="0" collapsed="false">
      <c r="A104" s="0" t="s">
        <v>273</v>
      </c>
      <c r="B104" s="6" t="s">
        <v>274</v>
      </c>
      <c r="C104" s="0" t="s">
        <v>42</v>
      </c>
      <c r="E104" s="7" t="n">
        <v>-0.08</v>
      </c>
      <c r="G104" s="8" t="s">
        <v>43</v>
      </c>
      <c r="H104" s="6" t="s">
        <v>57</v>
      </c>
    </row>
    <row r="105" customFormat="false" ht="15" hidden="false" customHeight="false" outlineLevel="0" collapsed="false">
      <c r="A105" s="0" t="s">
        <v>275</v>
      </c>
      <c r="B105" s="6" t="s">
        <v>276</v>
      </c>
      <c r="C105" s="0" t="s">
        <v>42</v>
      </c>
      <c r="E105" s="7" t="n">
        <v>-0.15</v>
      </c>
      <c r="G105" s="8" t="s">
        <v>43</v>
      </c>
      <c r="H105" s="6" t="s">
        <v>57</v>
      </c>
    </row>
    <row r="106" customFormat="false" ht="15" hidden="false" customHeight="false" outlineLevel="0" collapsed="false">
      <c r="A106" s="0" t="s">
        <v>277</v>
      </c>
      <c r="B106" s="6" t="s">
        <v>278</v>
      </c>
      <c r="C106" s="0" t="s">
        <v>42</v>
      </c>
      <c r="E106" s="7" t="n">
        <v>-0.35</v>
      </c>
      <c r="G106" s="8" t="s">
        <v>43</v>
      </c>
      <c r="H106" s="6" t="s">
        <v>57</v>
      </c>
    </row>
    <row r="107" customFormat="false" ht="15" hidden="false" customHeight="false" outlineLevel="0" collapsed="false">
      <c r="A107" s="0" t="s">
        <v>279</v>
      </c>
      <c r="B107" s="6" t="s">
        <v>280</v>
      </c>
      <c r="C107" s="0" t="s">
        <v>42</v>
      </c>
      <c r="E107" s="7" t="n">
        <v>-0.3</v>
      </c>
      <c r="G107" s="8" t="s">
        <v>43</v>
      </c>
      <c r="H107" s="6" t="s">
        <v>57</v>
      </c>
    </row>
    <row r="108" customFormat="false" ht="15" hidden="false" customHeight="false" outlineLevel="0" collapsed="false">
      <c r="A108" s="0" t="s">
        <v>281</v>
      </c>
      <c r="B108" s="6" t="s">
        <v>282</v>
      </c>
      <c r="C108" s="0" t="s">
        <v>42</v>
      </c>
      <c r="E108" s="7" t="n">
        <v>-0.25</v>
      </c>
      <c r="G108" s="8" t="s">
        <v>43</v>
      </c>
      <c r="H108" s="6" t="s">
        <v>57</v>
      </c>
    </row>
    <row r="109" customFormat="false" ht="15" hidden="false" customHeight="false" outlineLevel="0" collapsed="false">
      <c r="A109" s="0" t="s">
        <v>283</v>
      </c>
      <c r="B109" s="6" t="s">
        <v>284</v>
      </c>
      <c r="C109" s="0" t="s">
        <v>42</v>
      </c>
      <c r="E109" s="7" t="n">
        <v>-0.2</v>
      </c>
      <c r="G109" s="8" t="s">
        <v>43</v>
      </c>
      <c r="H109" s="6" t="s">
        <v>57</v>
      </c>
    </row>
    <row r="110" customFormat="false" ht="15" hidden="false" customHeight="false" outlineLevel="0" collapsed="false">
      <c r="A110" s="0" t="s">
        <v>285</v>
      </c>
      <c r="B110" s="6" t="s">
        <v>286</v>
      </c>
      <c r="C110" s="0" t="s">
        <v>42</v>
      </c>
      <c r="E110" s="7" t="n">
        <v>0</v>
      </c>
      <c r="G110" s="8" t="s">
        <v>43</v>
      </c>
      <c r="H110" s="6" t="s">
        <v>57</v>
      </c>
    </row>
    <row r="111" customFormat="false" ht="15" hidden="false" customHeight="false" outlineLevel="0" collapsed="false">
      <c r="A111" s="0" t="s">
        <v>287</v>
      </c>
      <c r="B111" s="6" t="s">
        <v>288</v>
      </c>
      <c r="C111" s="0" t="s">
        <v>42</v>
      </c>
      <c r="E111" s="7" t="n">
        <v>0.05</v>
      </c>
      <c r="G111" s="8" t="s">
        <v>43</v>
      </c>
      <c r="H111" s="6" t="s">
        <v>57</v>
      </c>
    </row>
    <row r="112" customFormat="false" ht="15" hidden="false" customHeight="false" outlineLevel="0" collapsed="false">
      <c r="A112" s="0" t="s">
        <v>289</v>
      </c>
      <c r="B112" s="6" t="s">
        <v>290</v>
      </c>
      <c r="C112" s="0" t="s">
        <v>42</v>
      </c>
      <c r="E112" s="7" t="n">
        <v>0.08</v>
      </c>
      <c r="G112" s="8" t="s">
        <v>43</v>
      </c>
      <c r="H112" s="6" t="s">
        <v>57</v>
      </c>
    </row>
    <row r="113" customFormat="false" ht="15" hidden="false" customHeight="false" outlineLevel="0" collapsed="false">
      <c r="A113" s="0" t="s">
        <v>291</v>
      </c>
      <c r="B113" s="6" t="s">
        <v>292</v>
      </c>
      <c r="C113" s="0" t="s">
        <v>42</v>
      </c>
      <c r="E113" s="7" t="n">
        <v>0.1</v>
      </c>
      <c r="G113" s="8" t="s">
        <v>43</v>
      </c>
      <c r="H113" s="6" t="s">
        <v>57</v>
      </c>
    </row>
    <row r="114" customFormat="false" ht="15" hidden="false" customHeight="false" outlineLevel="0" collapsed="false">
      <c r="A114" s="0" t="s">
        <v>293</v>
      </c>
      <c r="B114" s="0" t="s">
        <v>294</v>
      </c>
      <c r="C114" s="0" t="s">
        <v>42</v>
      </c>
      <c r="E114" s="7" t="n">
        <v>0</v>
      </c>
      <c r="G114" s="8" t="s">
        <v>33</v>
      </c>
      <c r="H114" s="8" t="s">
        <v>295</v>
      </c>
    </row>
    <row r="115" customFormat="false" ht="15" hidden="false" customHeight="false" outlineLevel="0" collapsed="false">
      <c r="A115" s="0" t="s">
        <v>296</v>
      </c>
      <c r="B115" s="0" t="s">
        <v>297</v>
      </c>
      <c r="C115" s="0" t="s">
        <v>42</v>
      </c>
      <c r="E115" s="7" t="n">
        <v>0.05</v>
      </c>
      <c r="G115" s="8" t="s">
        <v>33</v>
      </c>
      <c r="H115" s="6" t="s">
        <v>57</v>
      </c>
    </row>
    <row r="116" customFormat="false" ht="15" hidden="false" customHeight="false" outlineLevel="0" collapsed="false">
      <c r="A116" s="0" t="s">
        <v>298</v>
      </c>
      <c r="B116" s="0" t="s">
        <v>299</v>
      </c>
      <c r="C116" s="0" t="s">
        <v>42</v>
      </c>
      <c r="E116" s="7" t="n">
        <v>0.3</v>
      </c>
      <c r="G116" s="8" t="s">
        <v>33</v>
      </c>
      <c r="H116" s="6" t="s">
        <v>57</v>
      </c>
    </row>
    <row r="117" customFormat="false" ht="15" hidden="false" customHeight="false" outlineLevel="0" collapsed="false">
      <c r="A117" s="0" t="s">
        <v>300</v>
      </c>
      <c r="B117" s="0" t="s">
        <v>301</v>
      </c>
      <c r="C117" s="0" t="s">
        <v>42</v>
      </c>
      <c r="E117" s="7" t="n">
        <v>0.875</v>
      </c>
      <c r="G117" s="8" t="s">
        <v>33</v>
      </c>
      <c r="H117" s="6" t="s">
        <v>57</v>
      </c>
    </row>
    <row r="118" customFormat="false" ht="15" hidden="false" customHeight="false" outlineLevel="0" collapsed="false">
      <c r="A118" s="0" t="s">
        <v>302</v>
      </c>
      <c r="B118" s="0" t="s">
        <v>303</v>
      </c>
      <c r="C118" s="0" t="s">
        <v>42</v>
      </c>
      <c r="E118" s="7" t="n">
        <v>0.725</v>
      </c>
      <c r="G118" s="8" t="s">
        <v>33</v>
      </c>
      <c r="H118" s="6" t="s">
        <v>57</v>
      </c>
    </row>
    <row r="119" customFormat="false" ht="15" hidden="false" customHeight="false" outlineLevel="0" collapsed="false">
      <c r="A119" s="0" t="s">
        <v>304</v>
      </c>
      <c r="B119" s="0" t="s">
        <v>305</v>
      </c>
      <c r="C119" s="0" t="s">
        <v>42</v>
      </c>
      <c r="E119" s="7" t="n">
        <v>0.15</v>
      </c>
      <c r="G119" s="8" t="s">
        <v>33</v>
      </c>
      <c r="H119" s="6" t="s">
        <v>57</v>
      </c>
    </row>
    <row r="120" customFormat="false" ht="15" hidden="false" customHeight="false" outlineLevel="0" collapsed="false">
      <c r="A120" s="0" t="s">
        <v>306</v>
      </c>
      <c r="B120" s="0" t="s">
        <v>307</v>
      </c>
      <c r="C120" s="0" t="s">
        <v>42</v>
      </c>
      <c r="E120" s="7" t="n">
        <v>0.175</v>
      </c>
      <c r="G120" s="8" t="s">
        <v>33</v>
      </c>
      <c r="H120" s="6" t="s">
        <v>57</v>
      </c>
    </row>
    <row r="121" customFormat="false" ht="15" hidden="false" customHeight="false" outlineLevel="0" collapsed="false">
      <c r="A121" s="0" t="s">
        <v>308</v>
      </c>
      <c r="B121" s="0" t="s">
        <v>309</v>
      </c>
      <c r="C121" s="0" t="s">
        <v>42</v>
      </c>
      <c r="E121" s="7" t="n">
        <v>0.03</v>
      </c>
      <c r="G121" s="8" t="s">
        <v>33</v>
      </c>
      <c r="H121" s="8" t="s">
        <v>310</v>
      </c>
    </row>
    <row r="122" customFormat="false" ht="15" hidden="false" customHeight="false" outlineLevel="0" collapsed="false">
      <c r="A122" s="0" t="s">
        <v>311</v>
      </c>
      <c r="B122" s="0" t="s">
        <v>312</v>
      </c>
      <c r="C122" s="0" t="s">
        <v>42</v>
      </c>
      <c r="E122" s="7" t="n">
        <v>0</v>
      </c>
      <c r="G122" s="8" t="s">
        <v>33</v>
      </c>
      <c r="H122" s="6" t="s">
        <v>57</v>
      </c>
    </row>
    <row r="123" customFormat="false" ht="15" hidden="false" customHeight="false" outlineLevel="0" collapsed="false">
      <c r="A123" s="0" t="s">
        <v>313</v>
      </c>
      <c r="B123" s="0" t="s">
        <v>314</v>
      </c>
      <c r="C123" s="0" t="s">
        <v>42</v>
      </c>
      <c r="E123" s="7" t="n">
        <v>-0.05</v>
      </c>
      <c r="G123" s="8" t="s">
        <v>33</v>
      </c>
      <c r="H123" s="6" t="s">
        <v>57</v>
      </c>
    </row>
    <row r="124" customFormat="false" ht="15" hidden="false" customHeight="false" outlineLevel="0" collapsed="false">
      <c r="A124" s="0" t="s">
        <v>315</v>
      </c>
      <c r="B124" s="0" t="s">
        <v>316</v>
      </c>
      <c r="C124" s="0" t="s">
        <v>42</v>
      </c>
      <c r="E124" s="7" t="n">
        <v>-0.07</v>
      </c>
      <c r="G124" s="8" t="s">
        <v>33</v>
      </c>
      <c r="H124" s="6" t="s">
        <v>57</v>
      </c>
    </row>
    <row r="125" customFormat="false" ht="15" hidden="false" customHeight="false" outlineLevel="0" collapsed="false">
      <c r="A125" s="0" t="s">
        <v>317</v>
      </c>
      <c r="B125" s="0" t="s">
        <v>318</v>
      </c>
      <c r="C125" s="0" t="s">
        <v>42</v>
      </c>
      <c r="E125" s="7" t="n">
        <v>-0.05</v>
      </c>
      <c r="G125" s="8" t="s">
        <v>33</v>
      </c>
      <c r="H125" s="6" t="s">
        <v>57</v>
      </c>
    </row>
    <row r="126" customFormat="false" ht="15" hidden="false" customHeight="false" outlineLevel="0" collapsed="false">
      <c r="A126" s="0" t="s">
        <v>319</v>
      </c>
      <c r="B126" s="0" t="s">
        <v>320</v>
      </c>
      <c r="C126" s="0" t="s">
        <v>42</v>
      </c>
      <c r="E126" s="7" t="n">
        <v>-0.05</v>
      </c>
      <c r="G126" s="8" t="s">
        <v>33</v>
      </c>
      <c r="H126" s="6" t="s">
        <v>57</v>
      </c>
    </row>
    <row r="127" customFormat="false" ht="15" hidden="false" customHeight="false" outlineLevel="0" collapsed="false">
      <c r="A127" s="0" t="s">
        <v>321</v>
      </c>
      <c r="B127" s="0" t="s">
        <v>322</v>
      </c>
      <c r="C127" s="0" t="s">
        <v>42</v>
      </c>
      <c r="E127" s="7" t="n">
        <v>-0.05</v>
      </c>
      <c r="G127" s="8" t="s">
        <v>33</v>
      </c>
      <c r="H127" s="6" t="s">
        <v>57</v>
      </c>
    </row>
    <row r="128" customFormat="false" ht="15" hidden="false" customHeight="false" outlineLevel="0" collapsed="false">
      <c r="A128" s="0" t="s">
        <v>323</v>
      </c>
      <c r="B128" s="0" t="s">
        <v>324</v>
      </c>
      <c r="C128" s="0" t="s">
        <v>42</v>
      </c>
      <c r="E128" s="7" t="n">
        <v>-0.05</v>
      </c>
      <c r="G128" s="8" t="s">
        <v>33</v>
      </c>
      <c r="H128" s="6" t="s">
        <v>57</v>
      </c>
    </row>
    <row r="129" customFormat="false" ht="15" hidden="false" customHeight="false" outlineLevel="0" collapsed="false">
      <c r="A129" s="0" t="s">
        <v>325</v>
      </c>
      <c r="B129" s="0" t="s">
        <v>326</v>
      </c>
      <c r="C129" s="0" t="s">
        <v>42</v>
      </c>
      <c r="E129" s="7" t="n">
        <v>-0.03</v>
      </c>
      <c r="G129" s="8" t="s">
        <v>33</v>
      </c>
      <c r="H129" s="6" t="s">
        <v>57</v>
      </c>
    </row>
    <row r="130" customFormat="false" ht="15" hidden="false" customHeight="false" outlineLevel="0" collapsed="false">
      <c r="A130" s="0" t="s">
        <v>327</v>
      </c>
      <c r="B130" s="0" t="s">
        <v>328</v>
      </c>
      <c r="C130" s="0" t="s">
        <v>42</v>
      </c>
      <c r="E130" s="7" t="n">
        <v>-0.03</v>
      </c>
      <c r="G130" s="8" t="s">
        <v>33</v>
      </c>
      <c r="H130" s="6" t="s">
        <v>57</v>
      </c>
    </row>
    <row r="131" customFormat="false" ht="15" hidden="false" customHeight="false" outlineLevel="0" collapsed="false">
      <c r="A131" s="0" t="s">
        <v>329</v>
      </c>
      <c r="B131" s="0" t="s">
        <v>330</v>
      </c>
      <c r="C131" s="0" t="s">
        <v>42</v>
      </c>
      <c r="E131" s="7" t="n">
        <v>-0.03</v>
      </c>
      <c r="G131" s="8" t="s">
        <v>33</v>
      </c>
      <c r="H131" s="6" t="s">
        <v>57</v>
      </c>
    </row>
    <row r="132" customFormat="false" ht="15" hidden="false" customHeight="false" outlineLevel="0" collapsed="false">
      <c r="A132" s="0" t="s">
        <v>331</v>
      </c>
      <c r="B132" s="0" t="s">
        <v>332</v>
      </c>
      <c r="C132" s="0" t="s">
        <v>42</v>
      </c>
      <c r="E132" s="7" t="n">
        <v>-0.03</v>
      </c>
      <c r="G132" s="8" t="s">
        <v>33</v>
      </c>
      <c r="H132" s="6" t="s">
        <v>57</v>
      </c>
    </row>
    <row r="133" customFormat="false" ht="15" hidden="false" customHeight="false" outlineLevel="0" collapsed="false">
      <c r="A133" s="0" t="s">
        <v>333</v>
      </c>
      <c r="B133" s="0" t="s">
        <v>334</v>
      </c>
      <c r="C133" s="0" t="s">
        <v>42</v>
      </c>
      <c r="E133" s="7" t="n">
        <v>0.05</v>
      </c>
      <c r="G133" s="8" t="s">
        <v>33</v>
      </c>
      <c r="H133" s="8" t="s">
        <v>335</v>
      </c>
    </row>
    <row r="134" customFormat="false" ht="15" hidden="false" customHeight="false" outlineLevel="0" collapsed="false">
      <c r="A134" s="0" t="s">
        <v>336</v>
      </c>
      <c r="B134" s="0" t="s">
        <v>337</v>
      </c>
      <c r="C134" s="0" t="s">
        <v>42</v>
      </c>
      <c r="E134" s="7" t="n">
        <v>0.02</v>
      </c>
      <c r="G134" s="8" t="s">
        <v>33</v>
      </c>
      <c r="H134" s="6" t="s">
        <v>57</v>
      </c>
    </row>
    <row r="135" customFormat="false" ht="15" hidden="false" customHeight="false" outlineLevel="0" collapsed="false">
      <c r="A135" s="0" t="s">
        <v>338</v>
      </c>
      <c r="B135" s="0" t="s">
        <v>339</v>
      </c>
      <c r="C135" s="0" t="s">
        <v>42</v>
      </c>
      <c r="E135" s="7" t="n">
        <v>-0.1</v>
      </c>
      <c r="G135" s="8" t="s">
        <v>33</v>
      </c>
      <c r="H135" s="6" t="s">
        <v>57</v>
      </c>
    </row>
    <row r="136" customFormat="false" ht="15" hidden="false" customHeight="false" outlineLevel="0" collapsed="false">
      <c r="A136" s="0" t="s">
        <v>340</v>
      </c>
      <c r="B136" s="0" t="s">
        <v>341</v>
      </c>
      <c r="C136" s="0" t="s">
        <v>42</v>
      </c>
      <c r="E136" s="7" t="n">
        <v>-0.2</v>
      </c>
      <c r="G136" s="8" t="s">
        <v>33</v>
      </c>
      <c r="H136" s="6" t="s">
        <v>57</v>
      </c>
    </row>
    <row r="137" customFormat="false" ht="15" hidden="false" customHeight="false" outlineLevel="0" collapsed="false">
      <c r="A137" s="0" t="s">
        <v>342</v>
      </c>
      <c r="B137" s="0" t="s">
        <v>343</v>
      </c>
      <c r="C137" s="0" t="s">
        <v>42</v>
      </c>
      <c r="E137" s="7" t="n">
        <v>-0.3</v>
      </c>
      <c r="G137" s="8" t="s">
        <v>33</v>
      </c>
      <c r="H137" s="6" t="s">
        <v>57</v>
      </c>
    </row>
    <row r="138" customFormat="false" ht="15" hidden="false" customHeight="false" outlineLevel="0" collapsed="false">
      <c r="A138" s="0" t="s">
        <v>344</v>
      </c>
      <c r="B138" s="0" t="s">
        <v>345</v>
      </c>
      <c r="C138" s="0" t="s">
        <v>42</v>
      </c>
      <c r="E138" s="7" t="n">
        <v>-0.25</v>
      </c>
      <c r="G138" s="8" t="s">
        <v>33</v>
      </c>
      <c r="H138" s="6" t="s">
        <v>57</v>
      </c>
    </row>
    <row r="139" customFormat="false" ht="15" hidden="false" customHeight="false" outlineLevel="0" collapsed="false">
      <c r="A139" s="0" t="s">
        <v>346</v>
      </c>
      <c r="B139" s="0" t="s">
        <v>347</v>
      </c>
      <c r="C139" s="0" t="s">
        <v>42</v>
      </c>
      <c r="E139" s="7" t="n">
        <v>-0.2</v>
      </c>
      <c r="G139" s="8" t="s">
        <v>33</v>
      </c>
      <c r="H139" s="6" t="s">
        <v>57</v>
      </c>
    </row>
    <row r="140" customFormat="false" ht="15" hidden="false" customHeight="false" outlineLevel="0" collapsed="false">
      <c r="A140" s="0" t="s">
        <v>348</v>
      </c>
      <c r="B140" s="0" t="s">
        <v>349</v>
      </c>
      <c r="C140" s="0" t="s">
        <v>42</v>
      </c>
      <c r="E140" s="7" t="n">
        <v>-0.1</v>
      </c>
      <c r="G140" s="8" t="s">
        <v>33</v>
      </c>
      <c r="H140" s="6" t="s">
        <v>57</v>
      </c>
    </row>
    <row r="141" customFormat="false" ht="15" hidden="false" customHeight="false" outlineLevel="0" collapsed="false">
      <c r="A141" s="0" t="s">
        <v>350</v>
      </c>
      <c r="B141" s="0" t="s">
        <v>351</v>
      </c>
      <c r="C141" s="0" t="s">
        <v>42</v>
      </c>
      <c r="E141" s="7" t="n">
        <v>0.05</v>
      </c>
      <c r="G141" s="8" t="s">
        <v>33</v>
      </c>
      <c r="H141" s="6" t="s">
        <v>57</v>
      </c>
    </row>
    <row r="142" customFormat="false" ht="15" hidden="false" customHeight="false" outlineLevel="0" collapsed="false">
      <c r="A142" s="0" t="s">
        <v>352</v>
      </c>
      <c r="B142" s="0" t="s">
        <v>353</v>
      </c>
      <c r="C142" s="0" t="s">
        <v>42</v>
      </c>
      <c r="E142" s="7" t="n">
        <v>0.05</v>
      </c>
      <c r="G142" s="8" t="s">
        <v>33</v>
      </c>
      <c r="H142" s="6" t="s">
        <v>57</v>
      </c>
    </row>
    <row r="143" customFormat="false" ht="15" hidden="false" customHeight="false" outlineLevel="0" collapsed="false">
      <c r="A143" s="0" t="s">
        <v>354</v>
      </c>
      <c r="B143" s="0" t="s">
        <v>355</v>
      </c>
      <c r="C143" s="0" t="s">
        <v>42</v>
      </c>
      <c r="E143" s="7" t="n">
        <v>0.03</v>
      </c>
      <c r="G143" s="8" t="s">
        <v>33</v>
      </c>
      <c r="H143" s="6" t="s">
        <v>57</v>
      </c>
    </row>
    <row r="144" customFormat="false" ht="15" hidden="false" customHeight="false" outlineLevel="0" collapsed="false">
      <c r="A144" s="0" t="s">
        <v>356</v>
      </c>
      <c r="B144" s="0" t="s">
        <v>357</v>
      </c>
      <c r="C144" s="0" t="s">
        <v>42</v>
      </c>
      <c r="E144" s="7" t="n">
        <v>0.03</v>
      </c>
      <c r="G144" s="8" t="s">
        <v>33</v>
      </c>
      <c r="H144" s="6" t="s">
        <v>57</v>
      </c>
    </row>
    <row r="145" customFormat="false" ht="15" hidden="false" customHeight="false" outlineLevel="0" collapsed="false">
      <c r="A145" s="0" t="s">
        <v>358</v>
      </c>
      <c r="B145" s="0" t="s">
        <v>359</v>
      </c>
      <c r="C145" s="0" t="s">
        <v>42</v>
      </c>
      <c r="E145" s="7" t="n">
        <v>0.05</v>
      </c>
      <c r="G145" s="8" t="s">
        <v>43</v>
      </c>
      <c r="H145" s="8" t="s">
        <v>360</v>
      </c>
    </row>
    <row r="146" customFormat="false" ht="15" hidden="false" customHeight="false" outlineLevel="0" collapsed="false">
      <c r="A146" s="0" t="s">
        <v>361</v>
      </c>
      <c r="B146" s="0" t="s">
        <v>362</v>
      </c>
      <c r="C146" s="0" t="s">
        <v>42</v>
      </c>
      <c r="E146" s="7" t="n">
        <v>0.02</v>
      </c>
      <c r="G146" s="8" t="s">
        <v>43</v>
      </c>
      <c r="H146" s="6" t="s">
        <v>57</v>
      </c>
    </row>
    <row r="147" customFormat="false" ht="15" hidden="false" customHeight="false" outlineLevel="0" collapsed="false">
      <c r="A147" s="0" t="s">
        <v>363</v>
      </c>
      <c r="B147" s="0" t="s">
        <v>364</v>
      </c>
      <c r="C147" s="0" t="s">
        <v>42</v>
      </c>
      <c r="E147" s="7" t="n">
        <v>-0.1</v>
      </c>
      <c r="G147" s="8" t="s">
        <v>43</v>
      </c>
      <c r="H147" s="6" t="s">
        <v>57</v>
      </c>
    </row>
    <row r="148" customFormat="false" ht="15" hidden="false" customHeight="false" outlineLevel="0" collapsed="false">
      <c r="A148" s="0" t="s">
        <v>365</v>
      </c>
      <c r="B148" s="0" t="s">
        <v>366</v>
      </c>
      <c r="C148" s="0" t="s">
        <v>42</v>
      </c>
      <c r="E148" s="7" t="n">
        <v>-0.2</v>
      </c>
      <c r="G148" s="8" t="s">
        <v>43</v>
      </c>
      <c r="H148" s="6" t="s">
        <v>57</v>
      </c>
    </row>
    <row r="149" customFormat="false" ht="15" hidden="false" customHeight="false" outlineLevel="0" collapsed="false">
      <c r="A149" s="0" t="s">
        <v>367</v>
      </c>
      <c r="B149" s="0" t="s">
        <v>368</v>
      </c>
      <c r="C149" s="0" t="s">
        <v>42</v>
      </c>
      <c r="E149" s="7" t="n">
        <v>-0.35</v>
      </c>
      <c r="G149" s="8" t="s">
        <v>43</v>
      </c>
      <c r="H149" s="6" t="s">
        <v>57</v>
      </c>
    </row>
    <row r="150" customFormat="false" ht="15" hidden="false" customHeight="false" outlineLevel="0" collapsed="false">
      <c r="A150" s="0" t="s">
        <v>369</v>
      </c>
      <c r="B150" s="0" t="s">
        <v>370</v>
      </c>
      <c r="C150" s="0" t="s">
        <v>42</v>
      </c>
      <c r="E150" s="7" t="n">
        <v>-0.35</v>
      </c>
      <c r="G150" s="8" t="s">
        <v>43</v>
      </c>
      <c r="H150" s="6" t="s">
        <v>57</v>
      </c>
    </row>
    <row r="151" customFormat="false" ht="15" hidden="false" customHeight="false" outlineLevel="0" collapsed="false">
      <c r="A151" s="0" t="s">
        <v>371</v>
      </c>
      <c r="B151" s="0" t="s">
        <v>372</v>
      </c>
      <c r="C151" s="0" t="s">
        <v>42</v>
      </c>
      <c r="E151" s="7" t="n">
        <v>-0.25</v>
      </c>
      <c r="G151" s="8" t="s">
        <v>43</v>
      </c>
      <c r="H151" s="6" t="s">
        <v>57</v>
      </c>
    </row>
    <row r="152" customFormat="false" ht="15" hidden="false" customHeight="false" outlineLevel="0" collapsed="false">
      <c r="A152" s="0" t="s">
        <v>373</v>
      </c>
      <c r="B152" s="0" t="s">
        <v>374</v>
      </c>
      <c r="C152" s="0" t="s">
        <v>42</v>
      </c>
      <c r="E152" s="7" t="n">
        <v>-0.2</v>
      </c>
      <c r="G152" s="8" t="s">
        <v>43</v>
      </c>
      <c r="H152" s="6" t="s">
        <v>57</v>
      </c>
    </row>
    <row r="153" customFormat="false" ht="15" hidden="false" customHeight="false" outlineLevel="0" collapsed="false">
      <c r="A153" s="0" t="s">
        <v>375</v>
      </c>
      <c r="B153" s="0" t="s">
        <v>376</v>
      </c>
      <c r="C153" s="0" t="s">
        <v>42</v>
      </c>
      <c r="E153" s="7" t="n">
        <v>0</v>
      </c>
      <c r="G153" s="8" t="s">
        <v>43</v>
      </c>
      <c r="H153" s="6" t="s">
        <v>57</v>
      </c>
    </row>
    <row r="154" customFormat="false" ht="15" hidden="false" customHeight="false" outlineLevel="0" collapsed="false">
      <c r="A154" s="0" t="s">
        <v>377</v>
      </c>
      <c r="B154" s="0" t="s">
        <v>378</v>
      </c>
      <c r="C154" s="0" t="s">
        <v>42</v>
      </c>
      <c r="E154" s="7" t="n">
        <v>0.05</v>
      </c>
      <c r="G154" s="8" t="s">
        <v>43</v>
      </c>
      <c r="H154" s="6" t="s">
        <v>57</v>
      </c>
    </row>
    <row r="155" customFormat="false" ht="15" hidden="false" customHeight="false" outlineLevel="0" collapsed="false">
      <c r="A155" s="0" t="s">
        <v>379</v>
      </c>
      <c r="B155" s="0" t="s">
        <v>380</v>
      </c>
      <c r="C155" s="0" t="s">
        <v>42</v>
      </c>
      <c r="E155" s="7" t="n">
        <v>0.08</v>
      </c>
      <c r="G155" s="8" t="s">
        <v>43</v>
      </c>
      <c r="H155" s="6" t="s">
        <v>57</v>
      </c>
    </row>
    <row r="156" customFormat="false" ht="15" hidden="false" customHeight="false" outlineLevel="0" collapsed="false">
      <c r="A156" s="0" t="s">
        <v>381</v>
      </c>
      <c r="B156" s="0" t="s">
        <v>382</v>
      </c>
      <c r="C156" s="0" t="s">
        <v>42</v>
      </c>
      <c r="E156" s="7" t="n">
        <v>0.1</v>
      </c>
      <c r="G156" s="8" t="s">
        <v>43</v>
      </c>
      <c r="H156" s="6" t="s">
        <v>57</v>
      </c>
    </row>
    <row r="157" customFormat="false" ht="15" hidden="false" customHeight="false" outlineLevel="0" collapsed="false">
      <c r="A157" s="5" t="s">
        <v>383</v>
      </c>
    </row>
    <row r="158" customFormat="false" ht="15" hidden="false" customHeight="false" outlineLevel="0" collapsed="false">
      <c r="A158" s="0" t="s">
        <v>384</v>
      </c>
      <c r="B158" s="0" t="s">
        <v>385</v>
      </c>
      <c r="C158" s="6" t="s">
        <v>386</v>
      </c>
      <c r="E158" s="7" t="n">
        <v>5.4</v>
      </c>
      <c r="G158" s="8" t="s">
        <v>33</v>
      </c>
      <c r="H158" s="6" t="s">
        <v>387</v>
      </c>
    </row>
    <row r="159" customFormat="false" ht="15" hidden="false" customHeight="false" outlineLevel="0" collapsed="false">
      <c r="A159" s="0" t="s">
        <v>388</v>
      </c>
      <c r="B159" s="0" t="s">
        <v>389</v>
      </c>
      <c r="C159" s="6" t="s">
        <v>386</v>
      </c>
      <c r="E159" s="7" t="n">
        <v>2.4</v>
      </c>
      <c r="G159" s="8" t="s">
        <v>33</v>
      </c>
      <c r="H159" s="6" t="s">
        <v>57</v>
      </c>
    </row>
    <row r="160" customFormat="false" ht="15" hidden="false" customHeight="false" outlineLevel="0" collapsed="false">
      <c r="A160" s="0" t="s">
        <v>390</v>
      </c>
      <c r="B160" s="0" t="s">
        <v>391</v>
      </c>
      <c r="C160" s="6" t="s">
        <v>386</v>
      </c>
      <c r="E160" s="7" t="n">
        <v>0.5</v>
      </c>
      <c r="G160" s="8" t="s">
        <v>33</v>
      </c>
      <c r="H160" s="6" t="s">
        <v>57</v>
      </c>
    </row>
    <row r="161" customFormat="false" ht="15" hidden="false" customHeight="false" outlineLevel="0" collapsed="false">
      <c r="A161" s="0" t="s">
        <v>392</v>
      </c>
      <c r="B161" s="0" t="s">
        <v>393</v>
      </c>
      <c r="C161" s="0" t="s">
        <v>394</v>
      </c>
      <c r="E161" s="7" t="n">
        <v>260</v>
      </c>
      <c r="G161" s="8" t="s">
        <v>33</v>
      </c>
      <c r="H161" s="6" t="s">
        <v>57</v>
      </c>
    </row>
    <row r="162" customFormat="false" ht="15" hidden="false" customHeight="false" outlineLevel="0" collapsed="false">
      <c r="A162" s="0" t="s">
        <v>395</v>
      </c>
      <c r="B162" s="0" t="s">
        <v>396</v>
      </c>
      <c r="C162" s="0" t="s">
        <v>394</v>
      </c>
      <c r="E162" s="7" t="n">
        <v>280</v>
      </c>
      <c r="G162" s="8" t="s">
        <v>33</v>
      </c>
      <c r="H162" s="6" t="s">
        <v>57</v>
      </c>
    </row>
    <row r="163" customFormat="false" ht="15" hidden="false" customHeight="false" outlineLevel="0" collapsed="false">
      <c r="A163" s="0" t="s">
        <v>397</v>
      </c>
      <c r="B163" s="0" t="s">
        <v>398</v>
      </c>
      <c r="C163" s="0" t="s">
        <v>394</v>
      </c>
      <c r="E163" s="7" t="n">
        <v>288</v>
      </c>
      <c r="G163" s="8" t="s">
        <v>33</v>
      </c>
      <c r="H163" s="6" t="s">
        <v>57</v>
      </c>
    </row>
    <row r="164" customFormat="false" ht="15" hidden="false" customHeight="false" outlineLevel="0" collapsed="false">
      <c r="A164" s="0" t="s">
        <v>399</v>
      </c>
      <c r="B164" s="0" t="s">
        <v>400</v>
      </c>
      <c r="C164" s="6" t="s">
        <v>386</v>
      </c>
      <c r="E164" s="7" t="n">
        <v>1.7</v>
      </c>
      <c r="G164" s="8" t="s">
        <v>33</v>
      </c>
      <c r="H164" s="8" t="s">
        <v>401</v>
      </c>
    </row>
    <row r="165" customFormat="false" ht="15" hidden="false" customHeight="false" outlineLevel="0" collapsed="false">
      <c r="A165" s="0" t="s">
        <v>402</v>
      </c>
      <c r="B165" s="0" t="s">
        <v>403</v>
      </c>
      <c r="C165" s="6" t="s">
        <v>386</v>
      </c>
      <c r="E165" s="7" t="n">
        <v>7</v>
      </c>
      <c r="G165" s="8" t="s">
        <v>33</v>
      </c>
      <c r="H165" s="6" t="s">
        <v>57</v>
      </c>
    </row>
    <row r="166" customFormat="false" ht="15" hidden="false" customHeight="false" outlineLevel="0" collapsed="false">
      <c r="A166" s="0" t="s">
        <v>404</v>
      </c>
      <c r="B166" s="0" t="s">
        <v>405</v>
      </c>
      <c r="C166" s="6" t="s">
        <v>386</v>
      </c>
      <c r="E166" s="7" t="n">
        <v>7</v>
      </c>
      <c r="G166" s="8" t="s">
        <v>33</v>
      </c>
      <c r="H166" s="6" t="s">
        <v>57</v>
      </c>
    </row>
    <row r="167" customFormat="false" ht="15" hidden="false" customHeight="false" outlineLevel="0" collapsed="false">
      <c r="A167" s="0" t="s">
        <v>406</v>
      </c>
      <c r="B167" s="0" t="s">
        <v>407</v>
      </c>
      <c r="C167" s="0" t="s">
        <v>394</v>
      </c>
      <c r="E167" s="7" t="n">
        <v>288</v>
      </c>
      <c r="G167" s="8" t="s">
        <v>33</v>
      </c>
      <c r="H167" s="6" t="s">
        <v>57</v>
      </c>
    </row>
    <row r="168" customFormat="false" ht="15" hidden="false" customHeight="false" outlineLevel="0" collapsed="false">
      <c r="A168" s="0" t="s">
        <v>408</v>
      </c>
      <c r="B168" s="0" t="s">
        <v>409</v>
      </c>
      <c r="C168" s="0" t="s">
        <v>394</v>
      </c>
      <c r="E168" s="7" t="n">
        <v>288</v>
      </c>
      <c r="G168" s="8" t="s">
        <v>33</v>
      </c>
      <c r="H168" s="6" t="s">
        <v>57</v>
      </c>
    </row>
    <row r="169" customFormat="false" ht="15" hidden="false" customHeight="false" outlineLevel="0" collapsed="false">
      <c r="A169" s="0" t="s">
        <v>410</v>
      </c>
      <c r="B169" s="0" t="s">
        <v>411</v>
      </c>
      <c r="C169" s="0" t="s">
        <v>394</v>
      </c>
      <c r="E169" s="7" t="n">
        <v>288</v>
      </c>
      <c r="G169" s="8" t="s">
        <v>33</v>
      </c>
      <c r="H169" s="6" t="s">
        <v>57</v>
      </c>
    </row>
    <row r="170" customFormat="false" ht="15" hidden="false" customHeight="false" outlineLevel="0" collapsed="false">
      <c r="A170" s="0" t="s">
        <v>412</v>
      </c>
      <c r="B170" s="0" t="s">
        <v>413</v>
      </c>
      <c r="C170" s="6" t="s">
        <v>386</v>
      </c>
      <c r="E170" s="7" t="n">
        <v>0</v>
      </c>
      <c r="G170" s="8" t="s">
        <v>43</v>
      </c>
      <c r="H170" s="6" t="s">
        <v>414</v>
      </c>
    </row>
    <row r="171" customFormat="false" ht="15" hidden="false" customHeight="false" outlineLevel="0" collapsed="false">
      <c r="A171" s="0" t="s">
        <v>415</v>
      </c>
      <c r="B171" s="0" t="s">
        <v>416</v>
      </c>
      <c r="C171" s="6" t="s">
        <v>386</v>
      </c>
      <c r="E171" s="7" t="n">
        <v>0.3</v>
      </c>
      <c r="G171" s="8" t="s">
        <v>43</v>
      </c>
      <c r="H171" s="6" t="s">
        <v>57</v>
      </c>
    </row>
    <row r="172" customFormat="false" ht="15" hidden="false" customHeight="false" outlineLevel="0" collapsed="false">
      <c r="A172" s="0" t="s">
        <v>417</v>
      </c>
      <c r="B172" s="0" t="s">
        <v>418</v>
      </c>
      <c r="C172" s="6" t="s">
        <v>386</v>
      </c>
      <c r="E172" s="7" t="n">
        <v>2</v>
      </c>
      <c r="G172" s="8" t="s">
        <v>43</v>
      </c>
      <c r="H172" s="6" t="s">
        <v>57</v>
      </c>
    </row>
    <row r="173" customFormat="false" ht="15" hidden="false" customHeight="false" outlineLevel="0" collapsed="false">
      <c r="A173" s="0" t="s">
        <v>419</v>
      </c>
      <c r="B173" s="0" t="s">
        <v>420</v>
      </c>
      <c r="C173" s="0" t="s">
        <v>394</v>
      </c>
      <c r="E173" s="7" t="n">
        <v>1024</v>
      </c>
      <c r="G173" s="8" t="s">
        <v>43</v>
      </c>
      <c r="H173" s="6" t="s">
        <v>57</v>
      </c>
    </row>
    <row r="174" customFormat="false" ht="15" hidden="false" customHeight="false" outlineLevel="0" collapsed="false">
      <c r="A174" s="0" t="s">
        <v>421</v>
      </c>
      <c r="B174" s="0" t="s">
        <v>422</v>
      </c>
      <c r="C174" s="0" t="s">
        <v>394</v>
      </c>
      <c r="E174" s="7" t="n">
        <v>1024</v>
      </c>
      <c r="G174" s="8" t="s">
        <v>43</v>
      </c>
      <c r="H174" s="6" t="s">
        <v>57</v>
      </c>
    </row>
    <row r="175" customFormat="false" ht="15" hidden="false" customHeight="false" outlineLevel="0" collapsed="false">
      <c r="A175" s="0" t="s">
        <v>423</v>
      </c>
      <c r="B175" s="0" t="s">
        <v>424</v>
      </c>
      <c r="C175" s="0" t="s">
        <v>394</v>
      </c>
      <c r="E175" s="7" t="n">
        <v>1024</v>
      </c>
      <c r="G175" s="8" t="s">
        <v>43</v>
      </c>
      <c r="H175" s="6" t="s">
        <v>57</v>
      </c>
    </row>
    <row r="176" customFormat="false" ht="15" hidden="false" customHeight="false" outlineLevel="0" collapsed="false">
      <c r="A176" s="0" t="s">
        <v>425</v>
      </c>
      <c r="B176" s="0" t="s">
        <v>426</v>
      </c>
      <c r="C176" s="6" t="s">
        <v>386</v>
      </c>
      <c r="E176" s="7" t="n">
        <v>0.5</v>
      </c>
      <c r="G176" s="8" t="s">
        <v>33</v>
      </c>
      <c r="H176" s="8" t="s">
        <v>427</v>
      </c>
    </row>
    <row r="177" customFormat="false" ht="15" hidden="false" customHeight="false" outlineLevel="0" collapsed="false">
      <c r="A177" s="0" t="s">
        <v>428</v>
      </c>
      <c r="B177" s="0" t="s">
        <v>429</v>
      </c>
      <c r="C177" s="6" t="s">
        <v>386</v>
      </c>
      <c r="E177" s="7" t="n">
        <v>0</v>
      </c>
      <c r="G177" s="8" t="s">
        <v>33</v>
      </c>
      <c r="H177" s="6" t="s">
        <v>57</v>
      </c>
    </row>
    <row r="178" customFormat="false" ht="15" hidden="false" customHeight="false" outlineLevel="0" collapsed="false">
      <c r="A178" s="0" t="s">
        <v>430</v>
      </c>
      <c r="B178" s="0" t="s">
        <v>431</v>
      </c>
      <c r="C178" s="6" t="s">
        <v>386</v>
      </c>
      <c r="E178" s="7" t="n">
        <v>0</v>
      </c>
      <c r="G178" s="8" t="s">
        <v>33</v>
      </c>
      <c r="H178" s="6" t="s">
        <v>57</v>
      </c>
    </row>
    <row r="179" customFormat="false" ht="15" hidden="false" customHeight="false" outlineLevel="0" collapsed="false">
      <c r="A179" s="0" t="s">
        <v>432</v>
      </c>
      <c r="B179" s="0" t="s">
        <v>433</v>
      </c>
      <c r="C179" s="0" t="s">
        <v>394</v>
      </c>
      <c r="E179" s="7" t="n">
        <v>141</v>
      </c>
      <c r="G179" s="8" t="s">
        <v>33</v>
      </c>
      <c r="H179" s="6" t="s">
        <v>57</v>
      </c>
    </row>
    <row r="180" customFormat="false" ht="15" hidden="false" customHeight="false" outlineLevel="0" collapsed="false">
      <c r="A180" s="0" t="s">
        <v>434</v>
      </c>
      <c r="B180" s="0" t="s">
        <v>435</v>
      </c>
      <c r="C180" s="0" t="s">
        <v>394</v>
      </c>
      <c r="E180" s="7" t="n">
        <v>141</v>
      </c>
      <c r="G180" s="8" t="s">
        <v>33</v>
      </c>
      <c r="H180" s="6" t="s">
        <v>57</v>
      </c>
    </row>
    <row r="181" customFormat="false" ht="15" hidden="false" customHeight="false" outlineLevel="0" collapsed="false">
      <c r="A181" s="0" t="s">
        <v>436</v>
      </c>
      <c r="B181" s="0" t="s">
        <v>437</v>
      </c>
      <c r="C181" s="0" t="s">
        <v>394</v>
      </c>
      <c r="E181" s="7" t="n">
        <v>141</v>
      </c>
      <c r="G181" s="8" t="s">
        <v>33</v>
      </c>
      <c r="H181" s="6" t="s">
        <v>57</v>
      </c>
    </row>
    <row r="182" customFormat="false" ht="15" hidden="false" customHeight="false" outlineLevel="0" collapsed="false">
      <c r="A182" s="0" t="s">
        <v>438</v>
      </c>
      <c r="B182" s="0" t="s">
        <v>439</v>
      </c>
      <c r="C182" s="6" t="s">
        <v>386</v>
      </c>
      <c r="E182" s="7" t="n">
        <v>0.75</v>
      </c>
      <c r="G182" s="8" t="s">
        <v>440</v>
      </c>
      <c r="H182" s="8" t="s">
        <v>441</v>
      </c>
    </row>
    <row r="183" customFormat="false" ht="15" hidden="false" customHeight="false" outlineLevel="0" collapsed="false">
      <c r="A183" s="0" t="s">
        <v>442</v>
      </c>
      <c r="B183" s="0" t="s">
        <v>443</v>
      </c>
      <c r="C183" s="6" t="s">
        <v>386</v>
      </c>
      <c r="E183" s="7" t="n">
        <v>1.5</v>
      </c>
      <c r="G183" s="8" t="s">
        <v>440</v>
      </c>
      <c r="H183" s="6" t="s">
        <v>57</v>
      </c>
    </row>
    <row r="184" customFormat="false" ht="15" hidden="false" customHeight="false" outlineLevel="0" collapsed="false">
      <c r="A184" s="0" t="s">
        <v>444</v>
      </c>
      <c r="B184" s="0" t="s">
        <v>445</v>
      </c>
      <c r="C184" s="6" t="s">
        <v>386</v>
      </c>
      <c r="E184" s="7" t="n">
        <v>2</v>
      </c>
      <c r="G184" s="8" t="s">
        <v>440</v>
      </c>
      <c r="H184" s="6" t="s">
        <v>57</v>
      </c>
    </row>
    <row r="185" customFormat="false" ht="15" hidden="false" customHeight="false" outlineLevel="0" collapsed="false">
      <c r="A185" s="0" t="s">
        <v>446</v>
      </c>
      <c r="B185" s="0" t="s">
        <v>447</v>
      </c>
      <c r="C185" s="0" t="s">
        <v>394</v>
      </c>
      <c r="E185" s="7" t="n">
        <v>288</v>
      </c>
      <c r="G185" s="8" t="s">
        <v>440</v>
      </c>
      <c r="H185" s="6" t="s">
        <v>57</v>
      </c>
    </row>
    <row r="186" customFormat="false" ht="15" hidden="false" customHeight="false" outlineLevel="0" collapsed="false">
      <c r="A186" s="0" t="s">
        <v>448</v>
      </c>
      <c r="B186" s="0" t="s">
        <v>449</v>
      </c>
      <c r="C186" s="0" t="s">
        <v>394</v>
      </c>
      <c r="E186" s="7" t="n">
        <v>360</v>
      </c>
      <c r="G186" s="8" t="s">
        <v>440</v>
      </c>
      <c r="H186" s="6" t="s">
        <v>57</v>
      </c>
    </row>
    <row r="187" customFormat="false" ht="15" hidden="false" customHeight="false" outlineLevel="0" collapsed="false">
      <c r="A187" s="0" t="s">
        <v>450</v>
      </c>
      <c r="B187" s="0" t="s">
        <v>451</v>
      </c>
      <c r="C187" s="0" t="s">
        <v>394</v>
      </c>
      <c r="E187" s="7" t="n">
        <v>432</v>
      </c>
      <c r="G187" s="8" t="s">
        <v>440</v>
      </c>
      <c r="H187" s="6" t="s">
        <v>57</v>
      </c>
    </row>
    <row r="188" customFormat="false" ht="15" hidden="false" customHeight="false" outlineLevel="0" collapsed="false">
      <c r="A188" s="0" t="s">
        <v>452</v>
      </c>
      <c r="B188" s="0" t="s">
        <v>453</v>
      </c>
      <c r="C188" s="6" t="s">
        <v>386</v>
      </c>
      <c r="E188" s="7" t="n">
        <v>3.85</v>
      </c>
      <c r="G188" s="8" t="s">
        <v>33</v>
      </c>
      <c r="H188" s="8" t="s">
        <v>454</v>
      </c>
    </row>
    <row r="189" customFormat="false" ht="15" hidden="false" customHeight="false" outlineLevel="0" collapsed="false">
      <c r="A189" s="0" t="s">
        <v>455</v>
      </c>
      <c r="B189" s="0" t="s">
        <v>456</v>
      </c>
      <c r="C189" s="6" t="s">
        <v>386</v>
      </c>
      <c r="E189" s="7" t="n">
        <v>5.5</v>
      </c>
      <c r="G189" s="8" t="s">
        <v>33</v>
      </c>
      <c r="H189" s="6" t="s">
        <v>57</v>
      </c>
    </row>
    <row r="190" customFormat="false" ht="15" hidden="false" customHeight="false" outlineLevel="0" collapsed="false">
      <c r="A190" s="0" t="s">
        <v>457</v>
      </c>
      <c r="B190" s="0" t="s">
        <v>458</v>
      </c>
      <c r="C190" s="6" t="s">
        <v>386</v>
      </c>
      <c r="E190" s="7" t="n">
        <v>7</v>
      </c>
      <c r="G190" s="8" t="s">
        <v>33</v>
      </c>
      <c r="H190" s="6" t="s">
        <v>57</v>
      </c>
    </row>
    <row r="191" customFormat="false" ht="15" hidden="false" customHeight="false" outlineLevel="0" collapsed="false">
      <c r="A191" s="0" t="s">
        <v>459</v>
      </c>
      <c r="B191" s="0" t="s">
        <v>460</v>
      </c>
      <c r="C191" s="0" t="s">
        <v>394</v>
      </c>
      <c r="E191" s="7" t="n">
        <v>192</v>
      </c>
      <c r="G191" s="8" t="s">
        <v>33</v>
      </c>
      <c r="H191" s="6" t="s">
        <v>57</v>
      </c>
    </row>
    <row r="192" customFormat="false" ht="15" hidden="false" customHeight="false" outlineLevel="0" collapsed="false">
      <c r="A192" s="0" t="s">
        <v>461</v>
      </c>
      <c r="B192" s="0" t="s">
        <v>462</v>
      </c>
      <c r="C192" s="0" t="s">
        <v>394</v>
      </c>
      <c r="E192" s="7" t="n">
        <v>250</v>
      </c>
      <c r="G192" s="8" t="s">
        <v>33</v>
      </c>
      <c r="H192" s="6" t="s">
        <v>57</v>
      </c>
    </row>
    <row r="193" customFormat="false" ht="15" hidden="false" customHeight="false" outlineLevel="0" collapsed="false">
      <c r="A193" s="0" t="s">
        <v>463</v>
      </c>
      <c r="B193" s="0" t="s">
        <v>464</v>
      </c>
      <c r="C193" s="0" t="s">
        <v>394</v>
      </c>
      <c r="E193" s="7" t="n">
        <v>288</v>
      </c>
      <c r="G193" s="8" t="s">
        <v>33</v>
      </c>
      <c r="H193" s="6" t="s">
        <v>57</v>
      </c>
    </row>
    <row r="194" customFormat="false" ht="15" hidden="false" customHeight="false" outlineLevel="0" collapsed="false">
      <c r="A194" s="0" t="s">
        <v>465</v>
      </c>
      <c r="B194" s="0" t="s">
        <v>466</v>
      </c>
      <c r="C194" s="6" t="s">
        <v>386</v>
      </c>
      <c r="E194" s="7" t="n">
        <v>2</v>
      </c>
      <c r="G194" s="8" t="s">
        <v>43</v>
      </c>
      <c r="H194" s="6" t="s">
        <v>467</v>
      </c>
    </row>
    <row r="195" customFormat="false" ht="15" hidden="false" customHeight="false" outlineLevel="0" collapsed="false">
      <c r="A195" s="0" t="s">
        <v>468</v>
      </c>
      <c r="B195" s="0" t="s">
        <v>469</v>
      </c>
      <c r="C195" s="6" t="s">
        <v>386</v>
      </c>
      <c r="E195" s="7" t="n">
        <v>2.5</v>
      </c>
      <c r="G195" s="8" t="s">
        <v>43</v>
      </c>
      <c r="H195" s="6" t="s">
        <v>57</v>
      </c>
    </row>
    <row r="196" customFormat="false" ht="15" hidden="false" customHeight="false" outlineLevel="0" collapsed="false">
      <c r="A196" s="0" t="s">
        <v>470</v>
      </c>
      <c r="B196" s="0" t="s">
        <v>471</v>
      </c>
      <c r="C196" s="6" t="s">
        <v>386</v>
      </c>
      <c r="E196" s="7" t="n">
        <v>3</v>
      </c>
      <c r="G196" s="8" t="s">
        <v>43</v>
      </c>
      <c r="H196" s="6" t="s">
        <v>57</v>
      </c>
    </row>
    <row r="197" customFormat="false" ht="15" hidden="false" customHeight="false" outlineLevel="0" collapsed="false">
      <c r="A197" s="0" t="s">
        <v>472</v>
      </c>
      <c r="B197" s="0" t="s">
        <v>473</v>
      </c>
      <c r="C197" s="0" t="s">
        <v>394</v>
      </c>
      <c r="E197" s="7" t="n">
        <v>110</v>
      </c>
      <c r="G197" s="8" t="s">
        <v>43</v>
      </c>
      <c r="H197" s="6" t="s">
        <v>57</v>
      </c>
    </row>
    <row r="198" customFormat="false" ht="15" hidden="false" customHeight="false" outlineLevel="0" collapsed="false">
      <c r="A198" s="0" t="s">
        <v>474</v>
      </c>
      <c r="B198" s="0" t="s">
        <v>475</v>
      </c>
      <c r="C198" s="0" t="s">
        <v>394</v>
      </c>
      <c r="E198" s="7" t="n">
        <v>144</v>
      </c>
      <c r="G198" s="8" t="s">
        <v>43</v>
      </c>
      <c r="H198" s="6" t="s">
        <v>57</v>
      </c>
    </row>
    <row r="199" customFormat="false" ht="15" hidden="false" customHeight="false" outlineLevel="0" collapsed="false">
      <c r="A199" s="0" t="s">
        <v>476</v>
      </c>
      <c r="B199" s="0" t="s">
        <v>477</v>
      </c>
      <c r="C199" s="0" t="s">
        <v>394</v>
      </c>
      <c r="E199" s="7" t="n">
        <v>200</v>
      </c>
      <c r="G199" s="8" t="s">
        <v>43</v>
      </c>
      <c r="H199" s="6" t="s">
        <v>57</v>
      </c>
    </row>
    <row r="200" customFormat="false" ht="15" hidden="false" customHeight="false" outlineLevel="0" collapsed="false">
      <c r="A200" s="0" t="s">
        <v>478</v>
      </c>
      <c r="B200" s="6" t="s">
        <v>479</v>
      </c>
      <c r="C200" s="6" t="s">
        <v>386</v>
      </c>
      <c r="E200" s="7" t="n">
        <v>1</v>
      </c>
      <c r="G200" s="8" t="s">
        <v>480</v>
      </c>
      <c r="H200" s="8" t="s">
        <v>481</v>
      </c>
    </row>
    <row r="201" customFormat="false" ht="15" hidden="false" customHeight="false" outlineLevel="0" collapsed="false">
      <c r="A201" s="0" t="s">
        <v>482</v>
      </c>
      <c r="B201" s="6" t="s">
        <v>483</v>
      </c>
      <c r="C201" s="6" t="s">
        <v>386</v>
      </c>
      <c r="E201" s="7" t="n">
        <v>4.5</v>
      </c>
      <c r="G201" s="8" t="s">
        <v>480</v>
      </c>
      <c r="H201" s="6" t="s">
        <v>57</v>
      </c>
    </row>
    <row r="202" customFormat="false" ht="15" hidden="false" customHeight="false" outlineLevel="0" collapsed="false">
      <c r="A202" s="0" t="s">
        <v>484</v>
      </c>
      <c r="B202" s="6" t="s">
        <v>485</v>
      </c>
      <c r="C202" s="6" t="s">
        <v>386</v>
      </c>
      <c r="E202" s="7" t="n">
        <v>5</v>
      </c>
      <c r="G202" s="8" t="s">
        <v>480</v>
      </c>
      <c r="H202" s="6" t="s">
        <v>57</v>
      </c>
    </row>
    <row r="203" customFormat="false" ht="15" hidden="false" customHeight="false" outlineLevel="0" collapsed="false">
      <c r="A203" s="0" t="s">
        <v>486</v>
      </c>
      <c r="B203" s="6" t="s">
        <v>487</v>
      </c>
      <c r="C203" s="0" t="s">
        <v>394</v>
      </c>
      <c r="E203" s="7" t="n">
        <v>150</v>
      </c>
      <c r="G203" s="8" t="s">
        <v>480</v>
      </c>
      <c r="H203" s="6" t="s">
        <v>57</v>
      </c>
    </row>
    <row r="204" customFormat="false" ht="15" hidden="false" customHeight="false" outlineLevel="0" collapsed="false">
      <c r="A204" s="0" t="s">
        <v>488</v>
      </c>
      <c r="B204" s="6" t="s">
        <v>489</v>
      </c>
      <c r="C204" s="0" t="s">
        <v>394</v>
      </c>
      <c r="E204" s="7" t="n">
        <v>200</v>
      </c>
      <c r="G204" s="8" t="s">
        <v>480</v>
      </c>
      <c r="H204" s="6" t="s">
        <v>57</v>
      </c>
    </row>
    <row r="205" customFormat="false" ht="15" hidden="false" customHeight="false" outlineLevel="0" collapsed="false">
      <c r="A205" s="0" t="s">
        <v>490</v>
      </c>
      <c r="B205" s="6" t="s">
        <v>491</v>
      </c>
      <c r="C205" s="0" t="s">
        <v>394</v>
      </c>
      <c r="E205" s="7" t="n">
        <v>250</v>
      </c>
      <c r="G205" s="8" t="s">
        <v>480</v>
      </c>
      <c r="H205" s="6" t="s">
        <v>57</v>
      </c>
    </row>
    <row r="206" customFormat="false" ht="15" hidden="false" customHeight="false" outlineLevel="0" collapsed="false">
      <c r="A206" s="5" t="s">
        <v>492</v>
      </c>
    </row>
    <row r="207" customFormat="false" ht="15" hidden="false" customHeight="false" outlineLevel="0" collapsed="false">
      <c r="A207" s="0" t="s">
        <v>493</v>
      </c>
      <c r="B207" s="6" t="s">
        <v>494</v>
      </c>
      <c r="C207" s="0" t="s">
        <v>187</v>
      </c>
      <c r="E207" s="7" t="n">
        <v>1</v>
      </c>
      <c r="G207" s="8" t="s">
        <v>43</v>
      </c>
      <c r="H207" s="8" t="s">
        <v>495</v>
      </c>
    </row>
    <row r="208" customFormat="false" ht="15" hidden="false" customHeight="false" outlineLevel="0" collapsed="false">
      <c r="A208" s="0" t="s">
        <v>496</v>
      </c>
      <c r="B208" s="6" t="s">
        <v>497</v>
      </c>
      <c r="C208" s="0" t="s">
        <v>187</v>
      </c>
      <c r="E208" s="7" t="n">
        <v>1</v>
      </c>
      <c r="G208" s="8" t="s">
        <v>43</v>
      </c>
      <c r="H208" s="6" t="s">
        <v>57</v>
      </c>
    </row>
    <row r="209" customFormat="false" ht="15" hidden="false" customHeight="false" outlineLevel="0" collapsed="false">
      <c r="A209" s="0" t="s">
        <v>498</v>
      </c>
      <c r="B209" s="6" t="s">
        <v>499</v>
      </c>
      <c r="C209" s="0" t="s">
        <v>187</v>
      </c>
      <c r="D209" s="7" t="n">
        <v>0.7</v>
      </c>
      <c r="E209" s="7" t="n">
        <v>0.8</v>
      </c>
      <c r="F209" s="7" t="n">
        <v>0.9</v>
      </c>
      <c r="G209" s="8" t="s">
        <v>43</v>
      </c>
      <c r="H209" s="6" t="s">
        <v>57</v>
      </c>
    </row>
    <row r="210" customFormat="false" ht="15" hidden="false" customHeight="false" outlineLevel="0" collapsed="false">
      <c r="A210" s="0" t="s">
        <v>500</v>
      </c>
      <c r="B210" s="6" t="s">
        <v>501</v>
      </c>
      <c r="C210" s="0" t="s">
        <v>187</v>
      </c>
      <c r="D210" s="7" t="n">
        <v>0.75</v>
      </c>
      <c r="E210" s="7" t="n">
        <v>0.85</v>
      </c>
      <c r="F210" s="7" t="n">
        <v>0.95</v>
      </c>
      <c r="G210" s="8" t="s">
        <v>43</v>
      </c>
      <c r="H210" s="6" t="s">
        <v>57</v>
      </c>
    </row>
    <row r="211" customFormat="false" ht="15" hidden="false" customHeight="false" outlineLevel="0" collapsed="false">
      <c r="A211" s="0" t="s">
        <v>502</v>
      </c>
      <c r="B211" s="6" t="s">
        <v>503</v>
      </c>
      <c r="C211" s="0" t="s">
        <v>187</v>
      </c>
      <c r="D211" s="7" t="n">
        <v>0.5</v>
      </c>
      <c r="E211" s="7" t="n">
        <v>0.6</v>
      </c>
      <c r="F211" s="7" t="n">
        <v>0.7</v>
      </c>
      <c r="G211" s="8" t="s">
        <v>43</v>
      </c>
      <c r="H211" s="6" t="s">
        <v>57</v>
      </c>
    </row>
    <row r="212" customFormat="false" ht="15" hidden="false" customHeight="false" outlineLevel="0" collapsed="false">
      <c r="A212" s="0" t="s">
        <v>504</v>
      </c>
      <c r="B212" s="6" t="s">
        <v>505</v>
      </c>
      <c r="C212" s="0" t="s">
        <v>187</v>
      </c>
      <c r="D212" s="7" t="n">
        <v>0.5</v>
      </c>
      <c r="E212" s="7" t="n">
        <v>0.6</v>
      </c>
      <c r="F212" s="7" t="n">
        <v>0.7</v>
      </c>
      <c r="G212" s="8" t="s">
        <v>43</v>
      </c>
      <c r="H212" s="6" t="s">
        <v>57</v>
      </c>
    </row>
    <row r="213" customFormat="false" ht="15" hidden="false" customHeight="false" outlineLevel="0" collapsed="false">
      <c r="A213" s="5" t="s">
        <v>506</v>
      </c>
    </row>
    <row r="214" customFormat="false" ht="15" hidden="false" customHeight="false" outlineLevel="0" collapsed="false">
      <c r="A214" s="0" t="s">
        <v>507</v>
      </c>
      <c r="B214" s="0" t="s">
        <v>508</v>
      </c>
      <c r="C214" s="0" t="s">
        <v>509</v>
      </c>
      <c r="D214" s="7" t="n">
        <v>34</v>
      </c>
      <c r="E214" s="7" t="n">
        <v>35</v>
      </c>
      <c r="F214" s="7" t="n">
        <v>35</v>
      </c>
      <c r="G214" s="8" t="s">
        <v>38</v>
      </c>
      <c r="H214" s="8" t="s">
        <v>510</v>
      </c>
    </row>
    <row r="215" customFormat="false" ht="15" hidden="false" customHeight="false" outlineLevel="0" collapsed="false">
      <c r="A215" s="0" t="s">
        <v>511</v>
      </c>
      <c r="B215" s="0" t="s">
        <v>512</v>
      </c>
      <c r="C215" s="0" t="s">
        <v>42</v>
      </c>
      <c r="D215" s="7" t="n">
        <v>0.6</v>
      </c>
      <c r="E215" s="7" t="n">
        <v>0.7</v>
      </c>
      <c r="F215" s="7" t="n">
        <v>0.8</v>
      </c>
      <c r="G215" s="8" t="s">
        <v>33</v>
      </c>
      <c r="H215" s="8" t="s">
        <v>513</v>
      </c>
    </row>
    <row r="216" customFormat="false" ht="15" hidden="false" customHeight="false" outlineLevel="0" collapsed="false">
      <c r="A216" s="0" t="s">
        <v>514</v>
      </c>
      <c r="B216" s="6" t="s">
        <v>515</v>
      </c>
      <c r="C216" s="0" t="s">
        <v>187</v>
      </c>
      <c r="D216" s="7" t="n">
        <v>1</v>
      </c>
      <c r="E216" s="7" t="n">
        <v>1.15</v>
      </c>
      <c r="F216" s="7" t="n">
        <v>1.3</v>
      </c>
      <c r="G216" s="8" t="s">
        <v>43</v>
      </c>
      <c r="H216" s="6" t="s">
        <v>516</v>
      </c>
    </row>
    <row r="217" customFormat="false" ht="15" hidden="false" customHeight="false" outlineLevel="0" collapsed="false">
      <c r="A217" s="0" t="s">
        <v>517</v>
      </c>
      <c r="B217" s="0" t="s">
        <v>518</v>
      </c>
      <c r="C217" s="0" t="s">
        <v>42</v>
      </c>
      <c r="D217" s="7" t="n">
        <v>0.5</v>
      </c>
      <c r="E217" s="7" t="n">
        <v>0.55</v>
      </c>
      <c r="F217" s="7" t="n">
        <v>0.63</v>
      </c>
      <c r="G217" s="8" t="s">
        <v>33</v>
      </c>
      <c r="H217" s="8" t="s">
        <v>519</v>
      </c>
    </row>
    <row r="218" customFormat="false" ht="15" hidden="false" customHeight="false" outlineLevel="0" collapsed="false">
      <c r="A218" s="0" t="s">
        <v>520</v>
      </c>
      <c r="B218" s="0" t="s">
        <v>521</v>
      </c>
      <c r="C218" s="0" t="s">
        <v>42</v>
      </c>
      <c r="D218" s="7" t="n">
        <v>0.3</v>
      </c>
      <c r="E218" s="7" t="n">
        <v>0.45</v>
      </c>
      <c r="F218" s="7" t="n">
        <v>0.63</v>
      </c>
      <c r="G218" s="8" t="s">
        <v>43</v>
      </c>
      <c r="H218" s="6" t="s">
        <v>522</v>
      </c>
    </row>
    <row r="219" customFormat="false" ht="15" hidden="false" customHeight="false" outlineLevel="0" collapsed="false">
      <c r="A219" s="0" t="s">
        <v>523</v>
      </c>
      <c r="B219" s="0" t="s">
        <v>524</v>
      </c>
      <c r="C219" s="0" t="s">
        <v>525</v>
      </c>
      <c r="D219" s="7" t="n">
        <v>12.5</v>
      </c>
      <c r="E219" s="7" t="n">
        <v>14.6</v>
      </c>
      <c r="F219" s="7" t="n">
        <v>16</v>
      </c>
      <c r="G219" s="8" t="s">
        <v>33</v>
      </c>
      <c r="H219" s="8" t="s">
        <v>526</v>
      </c>
    </row>
    <row r="220" customFormat="false" ht="15" hidden="false" customHeight="false" outlineLevel="0" collapsed="false">
      <c r="A220" s="0" t="s">
        <v>527</v>
      </c>
      <c r="B220" s="0" t="s">
        <v>528</v>
      </c>
      <c r="C220" s="0" t="s">
        <v>42</v>
      </c>
      <c r="D220" s="7" t="n">
        <v>0.38</v>
      </c>
      <c r="E220" s="7" t="n">
        <v>0.8</v>
      </c>
      <c r="F220" s="7" t="n">
        <v>1.21</v>
      </c>
      <c r="G220" s="8" t="s">
        <v>33</v>
      </c>
      <c r="H220" s="8" t="s">
        <v>529</v>
      </c>
    </row>
    <row r="221" customFormat="false" ht="15" hidden="false" customHeight="false" outlineLevel="0" collapsed="false">
      <c r="A221" s="0" t="s">
        <v>530</v>
      </c>
      <c r="B221" s="0" t="s">
        <v>531</v>
      </c>
      <c r="C221" s="0" t="s">
        <v>42</v>
      </c>
      <c r="D221" s="7" t="n">
        <v>0</v>
      </c>
      <c r="E221" s="7" t="n">
        <v>0.1</v>
      </c>
      <c r="F221" s="7" t="n">
        <v>0.25</v>
      </c>
      <c r="G221" s="8" t="s">
        <v>33</v>
      </c>
      <c r="H221" s="8" t="s">
        <v>532</v>
      </c>
    </row>
    <row r="222" customFormat="false" ht="15" hidden="false" customHeight="false" outlineLevel="0" collapsed="false">
      <c r="A222" s="0" t="s">
        <v>533</v>
      </c>
      <c r="B222" s="0" t="s">
        <v>534</v>
      </c>
      <c r="C222" s="0" t="s">
        <v>42</v>
      </c>
      <c r="D222" s="7" t="n">
        <v>-0.4</v>
      </c>
      <c r="E222" s="7" t="n">
        <v>-0.25</v>
      </c>
      <c r="F222" s="7" t="n">
        <v>-0.1</v>
      </c>
      <c r="G222" s="8" t="s">
        <v>43</v>
      </c>
      <c r="H222" s="6" t="s">
        <v>535</v>
      </c>
    </row>
    <row r="223" customFormat="false" ht="15" hidden="false" customHeight="false" outlineLevel="0" collapsed="false">
      <c r="A223" s="0" t="s">
        <v>536</v>
      </c>
      <c r="B223" s="0" t="s">
        <v>537</v>
      </c>
      <c r="C223" s="0" t="s">
        <v>42</v>
      </c>
      <c r="D223" s="7" t="n">
        <v>-0.55</v>
      </c>
      <c r="E223" s="7" t="n">
        <v>-0.4</v>
      </c>
      <c r="F223" s="7" t="n">
        <v>-0.25</v>
      </c>
      <c r="G223" s="8" t="s">
        <v>43</v>
      </c>
      <c r="H223" s="6" t="s">
        <v>538</v>
      </c>
    </row>
    <row r="224" customFormat="false" ht="15" hidden="false" customHeight="false" outlineLevel="0" collapsed="false">
      <c r="A224" s="0" t="s">
        <v>539</v>
      </c>
      <c r="B224" s="0" t="s">
        <v>540</v>
      </c>
      <c r="C224" s="0" t="s">
        <v>42</v>
      </c>
      <c r="D224" s="7" t="n">
        <v>0.2</v>
      </c>
      <c r="E224" s="7" t="n">
        <v>0.3</v>
      </c>
      <c r="F224" s="7" t="n">
        <v>0.45</v>
      </c>
      <c r="G224" s="8" t="s">
        <v>43</v>
      </c>
      <c r="H224" s="8" t="s">
        <v>541</v>
      </c>
    </row>
    <row r="225" customFormat="false" ht="15" hidden="false" customHeight="false" outlineLevel="0" collapsed="false">
      <c r="A225" s="0" t="s">
        <v>542</v>
      </c>
      <c r="B225" s="0" t="s">
        <v>543</v>
      </c>
      <c r="C225" s="0" t="s">
        <v>42</v>
      </c>
      <c r="D225" s="7" t="n">
        <v>0.25</v>
      </c>
      <c r="E225" s="7" t="n">
        <v>0.35</v>
      </c>
      <c r="F225" s="7" t="n">
        <v>0.5</v>
      </c>
      <c r="G225" s="8" t="s">
        <v>43</v>
      </c>
      <c r="H225" s="8" t="s">
        <v>544</v>
      </c>
    </row>
    <row r="226" customFormat="false" ht="15" hidden="false" customHeight="false" outlineLevel="0" collapsed="false">
      <c r="A226" s="0" t="s">
        <v>545</v>
      </c>
      <c r="B226" s="0" t="s">
        <v>546</v>
      </c>
      <c r="C226" s="0" t="s">
        <v>42</v>
      </c>
      <c r="D226" s="7" t="n">
        <v>-0.15</v>
      </c>
      <c r="E226" s="7" t="n">
        <v>-0.05</v>
      </c>
      <c r="F226" s="7" t="n">
        <v>0.05</v>
      </c>
      <c r="G226" s="8" t="s">
        <v>43</v>
      </c>
    </row>
    <row r="227" customFormat="false" ht="15" hidden="false" customHeight="false" outlineLevel="0" collapsed="false">
      <c r="A227" s="0" t="s">
        <v>547</v>
      </c>
      <c r="B227" s="0" t="s">
        <v>548</v>
      </c>
      <c r="C227" s="0" t="s">
        <v>42</v>
      </c>
      <c r="D227" s="7" t="n">
        <v>-0.1</v>
      </c>
      <c r="E227" s="7" t="n">
        <v>0</v>
      </c>
      <c r="F227" s="7" t="n">
        <v>0.1</v>
      </c>
      <c r="G227" s="8" t="s">
        <v>43</v>
      </c>
    </row>
    <row r="228" customFormat="false" ht="15" hidden="false" customHeight="false" outlineLevel="0" collapsed="false">
      <c r="A228" s="0" t="s">
        <v>549</v>
      </c>
      <c r="B228" s="0" t="s">
        <v>550</v>
      </c>
      <c r="C228" s="0" t="s">
        <v>42</v>
      </c>
      <c r="D228" s="7" t="n">
        <v>-0.1</v>
      </c>
      <c r="E228" s="7" t="n">
        <v>0.05</v>
      </c>
      <c r="F228" s="7" t="n">
        <v>0.15</v>
      </c>
      <c r="G228" s="8" t="s">
        <v>43</v>
      </c>
      <c r="H228" s="6" t="s">
        <v>551</v>
      </c>
    </row>
    <row r="229" customFormat="false" ht="15" hidden="false" customHeight="false" outlineLevel="0" collapsed="false">
      <c r="A229" s="5" t="s">
        <v>552</v>
      </c>
    </row>
    <row r="230" customFormat="false" ht="15" hidden="false" customHeight="false" outlineLevel="0" collapsed="false">
      <c r="A230" s="0" t="s">
        <v>553</v>
      </c>
      <c r="B230" s="0" t="s">
        <v>554</v>
      </c>
      <c r="C230" s="0" t="s">
        <v>509</v>
      </c>
      <c r="D230" s="7" t="n">
        <v>340</v>
      </c>
      <c r="E230" s="7" t="n">
        <v>374</v>
      </c>
      <c r="F230" s="7" t="n">
        <v>400</v>
      </c>
      <c r="G230" s="8" t="s">
        <v>179</v>
      </c>
      <c r="H230" s="8" t="s">
        <v>555</v>
      </c>
    </row>
    <row r="231" customFormat="false" ht="15" hidden="false" customHeight="false" outlineLevel="0" collapsed="false">
      <c r="A231" s="0" t="s">
        <v>556</v>
      </c>
      <c r="B231" s="6" t="s">
        <v>557</v>
      </c>
      <c r="C231" s="0" t="s">
        <v>558</v>
      </c>
      <c r="D231" s="7" t="n">
        <v>38</v>
      </c>
      <c r="E231" s="7" t="n">
        <v>42.8</v>
      </c>
      <c r="F231" s="7" t="n">
        <v>48</v>
      </c>
      <c r="G231" s="8" t="s">
        <v>76</v>
      </c>
      <c r="H231" s="8" t="s">
        <v>559</v>
      </c>
    </row>
    <row r="232" customFormat="false" ht="15" hidden="false" customHeight="false" outlineLevel="0" collapsed="false">
      <c r="A232" s="0" t="s">
        <v>560</v>
      </c>
      <c r="B232" s="6" t="s">
        <v>561</v>
      </c>
      <c r="C232" s="0" t="s">
        <v>558</v>
      </c>
      <c r="D232" s="7" t="n">
        <v>3.5</v>
      </c>
      <c r="E232" s="7" t="n">
        <v>4.46</v>
      </c>
      <c r="F232" s="7" t="n">
        <v>4.9</v>
      </c>
      <c r="G232" s="8" t="s">
        <v>76</v>
      </c>
      <c r="H232" s="8" t="s">
        <v>562</v>
      </c>
    </row>
    <row r="233" customFormat="false" ht="15" hidden="false" customHeight="false" outlineLevel="0" collapsed="false">
      <c r="A233" s="0" t="s">
        <v>563</v>
      </c>
      <c r="B233" s="6" t="s">
        <v>564</v>
      </c>
      <c r="C233" s="0" t="s">
        <v>509</v>
      </c>
      <c r="E233" s="7" t="n">
        <v>54.6</v>
      </c>
      <c r="G233" s="8" t="s">
        <v>33</v>
      </c>
      <c r="H233" s="8" t="s">
        <v>565</v>
      </c>
    </row>
    <row r="234" customFormat="false" ht="15" hidden="false" customHeight="false" outlineLevel="0" collapsed="false">
      <c r="A234" s="0" t="s">
        <v>566</v>
      </c>
      <c r="B234" s="6" t="s">
        <v>567</v>
      </c>
      <c r="C234" s="0" t="s">
        <v>509</v>
      </c>
      <c r="E234" s="7" t="n">
        <v>77.4</v>
      </c>
      <c r="G234" s="8" t="s">
        <v>33</v>
      </c>
      <c r="H234" s="8" t="s">
        <v>568</v>
      </c>
    </row>
    <row r="235" customFormat="false" ht="15" hidden="false" customHeight="false" outlineLevel="0" collapsed="false">
      <c r="A235" s="0" t="s">
        <v>569</v>
      </c>
      <c r="B235" s="6" t="s">
        <v>570</v>
      </c>
      <c r="C235" s="0" t="s">
        <v>509</v>
      </c>
      <c r="E235" s="7" t="n">
        <v>152.8</v>
      </c>
      <c r="G235" s="8" t="s">
        <v>33</v>
      </c>
      <c r="H235" s="8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5" hidden="false" customHeight="false" outlineLevel="0" collapsed="false">
      <c r="A1" s="0" t="s">
        <v>572</v>
      </c>
    </row>
    <row r="3" customFormat="false" ht="15" hidden="false" customHeight="false" outlineLevel="0" collapsed="false">
      <c r="A3" s="4" t="s">
        <v>573</v>
      </c>
      <c r="B3" s="4" t="s">
        <v>574</v>
      </c>
      <c r="C3" s="9" t="s">
        <v>575</v>
      </c>
      <c r="D3" s="9" t="s">
        <v>576</v>
      </c>
      <c r="E3" s="9" t="s">
        <v>577</v>
      </c>
      <c r="F3" s="9" t="s">
        <v>578</v>
      </c>
      <c r="G3" s="9" t="s">
        <v>579</v>
      </c>
      <c r="H3" s="9" t="s">
        <v>580</v>
      </c>
      <c r="I3" s="9" t="s">
        <v>581</v>
      </c>
      <c r="J3" s="9" t="s">
        <v>582</v>
      </c>
      <c r="K3" s="9" t="s">
        <v>583</v>
      </c>
      <c r="L3" s="9" t="s">
        <v>584</v>
      </c>
      <c r="M3" s="9" t="s">
        <v>585</v>
      </c>
      <c r="N3" s="9" t="s">
        <v>586</v>
      </c>
      <c r="O3" s="9" t="s">
        <v>587</v>
      </c>
      <c r="P3" s="9" t="s">
        <v>588</v>
      </c>
      <c r="Q3" s="9" t="s">
        <v>589</v>
      </c>
      <c r="R3" s="9" t="s">
        <v>590</v>
      </c>
      <c r="S3" s="9" t="s">
        <v>591</v>
      </c>
      <c r="T3" s="9" t="s">
        <v>592</v>
      </c>
      <c r="U3" s="9" t="s">
        <v>593</v>
      </c>
      <c r="V3" s="9" t="s">
        <v>594</v>
      </c>
    </row>
    <row r="4" customFormat="false" ht="15" hidden="false" customHeight="false" outlineLevel="0" collapsed="false">
      <c r="A4" s="6" t="s">
        <v>595</v>
      </c>
      <c r="B4" s="0" t="s">
        <v>596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5" hidden="false" customHeight="false" outlineLevel="0" collapsed="false">
      <c r="A5" s="6" t="s">
        <v>595</v>
      </c>
      <c r="B5" s="0" t="s">
        <v>597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5" hidden="false" customHeight="false" outlineLevel="0" collapsed="false">
      <c r="A6" s="6" t="s">
        <v>595</v>
      </c>
      <c r="B6" s="0" t="s">
        <v>598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599</v>
      </c>
      <c r="B8" s="0" t="s">
        <v>596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599</v>
      </c>
      <c r="B9" s="0" t="s">
        <v>597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599</v>
      </c>
      <c r="B10" s="0" t="s">
        <v>598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1" t="s">
        <v>600</v>
      </c>
    </row>
    <row r="13" customFormat="false" ht="15" hidden="false" customHeight="false" outlineLevel="0" collapsed="false">
      <c r="A13" s="4" t="s">
        <v>573</v>
      </c>
      <c r="B13" s="4" t="s">
        <v>574</v>
      </c>
      <c r="C13" s="9" t="s">
        <v>601</v>
      </c>
      <c r="D13" s="9" t="s">
        <v>602</v>
      </c>
      <c r="E13" s="9" t="s">
        <v>603</v>
      </c>
      <c r="F13" s="9" t="s">
        <v>604</v>
      </c>
      <c r="G13" s="9" t="s">
        <v>605</v>
      </c>
      <c r="H13" s="9" t="s">
        <v>606</v>
      </c>
      <c r="I13" s="9" t="s">
        <v>607</v>
      </c>
      <c r="J13" s="9" t="s">
        <v>608</v>
      </c>
      <c r="K13" s="9" t="s">
        <v>609</v>
      </c>
    </row>
    <row r="14" customFormat="false" ht="15" hidden="false" customHeight="false" outlineLevel="0" collapsed="false">
      <c r="A14" s="6" t="s">
        <v>595</v>
      </c>
      <c r="B14" s="0" t="s">
        <v>596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5" hidden="false" customHeight="false" outlineLevel="0" collapsed="false">
      <c r="A15" s="6" t="s">
        <v>595</v>
      </c>
      <c r="B15" s="0" t="s">
        <v>597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5" hidden="false" customHeight="false" outlineLevel="0" collapsed="false">
      <c r="A16" s="6" t="s">
        <v>595</v>
      </c>
      <c r="B16" s="0" t="s">
        <v>598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599</v>
      </c>
      <c r="B17" s="0" t="s">
        <v>596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599</v>
      </c>
      <c r="B18" s="0" t="s">
        <v>597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599</v>
      </c>
      <c r="B19" s="0" t="s">
        <v>598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0" t="s">
        <v>610</v>
      </c>
    </row>
    <row r="3" customFormat="false" ht="15" hidden="false" customHeight="false" outlineLevel="0" collapsed="false">
      <c r="A3" s="4" t="s">
        <v>22</v>
      </c>
      <c r="B3" s="4" t="s">
        <v>23</v>
      </c>
      <c r="C3" s="9" t="s">
        <v>601</v>
      </c>
      <c r="D3" s="9" t="s">
        <v>602</v>
      </c>
      <c r="E3" s="9" t="s">
        <v>603</v>
      </c>
      <c r="F3" s="9" t="s">
        <v>604</v>
      </c>
      <c r="G3" s="9" t="s">
        <v>605</v>
      </c>
      <c r="H3" s="4" t="s">
        <v>611</v>
      </c>
    </row>
    <row r="4" customFormat="false" ht="15" hidden="false" customHeight="false" outlineLevel="0" collapsed="false">
      <c r="A4" s="1" t="s">
        <v>612</v>
      </c>
    </row>
    <row r="5" customFormat="false" ht="15" hidden="false" customHeight="false" outlineLevel="0" collapsed="false">
      <c r="A5" s="0" t="s">
        <v>613</v>
      </c>
      <c r="B5" s="0" t="s">
        <v>614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615</v>
      </c>
      <c r="B6" s="0" t="s">
        <v>614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616</v>
      </c>
      <c r="B7" s="0" t="s">
        <v>614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5" hidden="false" customHeight="false" outlineLevel="0" collapsed="false">
      <c r="A8" s="0" t="s">
        <v>617</v>
      </c>
      <c r="B8" s="0" t="s">
        <v>614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618</v>
      </c>
      <c r="B9" s="0" t="s">
        <v>614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619</v>
      </c>
      <c r="B10" s="0" t="s">
        <v>614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620</v>
      </c>
      <c r="B11" s="0" t="s">
        <v>614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5" hidden="false" customHeight="false" outlineLevel="0" collapsed="false">
      <c r="A12" s="6" t="s">
        <v>621</v>
      </c>
      <c r="B12" s="0" t="s">
        <v>614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622</v>
      </c>
      <c r="B13" s="0" t="s">
        <v>623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5" hidden="false" customHeight="false" outlineLevel="0" collapsed="false">
      <c r="A14" s="6" t="s">
        <v>624</v>
      </c>
      <c r="B14" s="0" t="s">
        <v>623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5" hidden="false" customHeight="false" outlineLevel="0" collapsed="false">
      <c r="A15" s="6" t="s">
        <v>625</v>
      </c>
      <c r="B15" s="6" t="s">
        <v>386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626</v>
      </c>
    </row>
    <row r="16" customFormat="false" ht="15" hidden="false" customHeight="false" outlineLevel="0" collapsed="false">
      <c r="A16" s="6" t="s">
        <v>627</v>
      </c>
      <c r="B16" s="0" t="s">
        <v>394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5" hidden="false" customHeight="false" outlineLevel="0" collapsed="false">
      <c r="A17" s="6" t="s">
        <v>628</v>
      </c>
      <c r="B17" s="0" t="s">
        <v>623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629</v>
      </c>
    </row>
    <row r="18" customFormat="false" ht="15" hidden="false" customHeight="false" outlineLevel="0" collapsed="false">
      <c r="A18" s="6" t="s">
        <v>630</v>
      </c>
      <c r="B18" s="0" t="s">
        <v>187</v>
      </c>
      <c r="D18" s="10" t="n">
        <v>1</v>
      </c>
      <c r="E18" s="10" t="n">
        <v>1</v>
      </c>
      <c r="F18" s="10" t="n">
        <f aca="false">um28_A</f>
        <v>1</v>
      </c>
      <c r="G18" s="10" t="n">
        <f aca="false">um29_A</f>
        <v>1</v>
      </c>
      <c r="H18" s="8" t="s">
        <v>631</v>
      </c>
    </row>
    <row r="19" customFormat="false" ht="15" hidden="false" customHeight="false" outlineLevel="0" collapsed="false">
      <c r="A19" s="6" t="s">
        <v>632</v>
      </c>
      <c r="B19" s="0" t="s">
        <v>187</v>
      </c>
      <c r="D19" s="10" t="n">
        <v>1</v>
      </c>
      <c r="E19" s="10" t="n">
        <v>1</v>
      </c>
      <c r="F19" s="10" t="n">
        <f aca="false">um28_B</f>
        <v>0.8</v>
      </c>
      <c r="G19" s="10" t="n">
        <f aca="false">um29_B</f>
        <v>0.85</v>
      </c>
      <c r="H19" s="8" t="s">
        <v>631</v>
      </c>
    </row>
    <row r="20" customFormat="false" ht="15" hidden="false" customHeight="false" outlineLevel="0" collapsed="false">
      <c r="A20" s="6" t="s">
        <v>633</v>
      </c>
      <c r="B20" s="0" t="s">
        <v>187</v>
      </c>
      <c r="D20" s="10" t="n">
        <v>1</v>
      </c>
      <c r="E20" s="10" t="n">
        <v>1</v>
      </c>
      <c r="F20" s="10" t="n">
        <f aca="false">um28_C</f>
        <v>0.6</v>
      </c>
      <c r="G20" s="10" t="n">
        <f aca="false">um29_C</f>
        <v>0.6</v>
      </c>
      <c r="H20" s="8" t="s">
        <v>631</v>
      </c>
    </row>
    <row r="21" customFormat="false" ht="15" hidden="false" customHeight="false" outlineLevel="0" collapsed="false">
      <c r="A21" s="6" t="s">
        <v>634</v>
      </c>
      <c r="B21" s="0" t="s">
        <v>623</v>
      </c>
      <c r="D21" s="10" t="n">
        <f aca="false">D14*D18</f>
        <v>3.782695</v>
      </c>
      <c r="E21" s="10" t="n">
        <f aca="false">E14*E18</f>
        <v>7.09573</v>
      </c>
      <c r="F21" s="10" t="n">
        <f aca="false">F14*F18</f>
        <v>10.2787</v>
      </c>
      <c r="G21" s="10" t="n">
        <f aca="false">G14*G18</f>
        <v>13.36231</v>
      </c>
    </row>
    <row r="22" customFormat="false" ht="15" hidden="false" customHeight="false" outlineLevel="0" collapsed="false">
      <c r="A22" s="6" t="s">
        <v>635</v>
      </c>
      <c r="B22" s="0" t="s">
        <v>623</v>
      </c>
      <c r="D22" s="10" t="n">
        <f aca="false">D14*D19</f>
        <v>3.782695</v>
      </c>
      <c r="E22" s="10" t="n">
        <f aca="false">E14*E19</f>
        <v>7.09573</v>
      </c>
      <c r="F22" s="10" t="n">
        <f aca="false">F14*F19</f>
        <v>8.22296</v>
      </c>
      <c r="G22" s="10" t="n">
        <f aca="false">G14*G19</f>
        <v>11.3579635</v>
      </c>
    </row>
    <row r="23" customFormat="false" ht="15" hidden="false" customHeight="false" outlineLevel="0" collapsed="false">
      <c r="A23" s="6" t="s">
        <v>636</v>
      </c>
      <c r="B23" s="0" t="s">
        <v>623</v>
      </c>
      <c r="D23" s="10" t="n">
        <f aca="false">D14*D20</f>
        <v>3.782695</v>
      </c>
      <c r="E23" s="10" t="n">
        <f aca="false">E14*E20</f>
        <v>7.09573</v>
      </c>
      <c r="F23" s="10" t="n">
        <f aca="false">F14*F20</f>
        <v>6.16722</v>
      </c>
      <c r="G23" s="10" t="n">
        <f aca="false">G14*G20</f>
        <v>8.017386</v>
      </c>
    </row>
    <row r="24" customFormat="false" ht="15" hidden="false" customHeight="false" outlineLevel="0" collapsed="false">
      <c r="A24" s="6" t="s">
        <v>637</v>
      </c>
      <c r="B24" s="0" t="s">
        <v>623</v>
      </c>
      <c r="C24" s="10" t="n">
        <f aca="false">C17</f>
        <v>2.22511470588235</v>
      </c>
      <c r="D24" s="10" t="n">
        <f aca="false">MIN(D21,D17)</f>
        <v>3.782695</v>
      </c>
      <c r="E24" s="10" t="n">
        <f aca="false">MIN(E21,E17)</f>
        <v>5.86317725</v>
      </c>
      <c r="F24" s="10" t="n">
        <f aca="false">MIN(F21,F17)</f>
        <v>8.5016070125</v>
      </c>
      <c r="G24" s="10" t="n">
        <f aca="false">MIN(G21,G17)</f>
        <v>11.477169466875</v>
      </c>
      <c r="H24" s="6" t="s">
        <v>638</v>
      </c>
    </row>
    <row r="25" customFormat="false" ht="15" hidden="false" customHeight="false" outlineLevel="0" collapsed="false">
      <c r="A25" s="6" t="s">
        <v>639</v>
      </c>
      <c r="B25" s="0" t="s">
        <v>623</v>
      </c>
      <c r="C25" s="10" t="n">
        <f aca="false">C17</f>
        <v>2.22511470588235</v>
      </c>
      <c r="D25" s="10" t="n">
        <f aca="false">MIN(D22,D17)</f>
        <v>3.782695</v>
      </c>
      <c r="E25" s="10" t="n">
        <f aca="false">MIN(E22,E17)</f>
        <v>5.86317725</v>
      </c>
      <c r="F25" s="10" t="n">
        <f aca="false">MIN(F22,F17)</f>
        <v>8.22296</v>
      </c>
      <c r="G25" s="10" t="n">
        <f aca="false">MIN(G22,G17)</f>
        <v>11.3579635</v>
      </c>
    </row>
    <row r="26" customFormat="false" ht="15" hidden="false" customHeight="false" outlineLevel="0" collapsed="false">
      <c r="A26" s="6" t="s">
        <v>640</v>
      </c>
      <c r="B26" s="0" t="s">
        <v>623</v>
      </c>
      <c r="C26" s="10" t="n">
        <f aca="false">C17</f>
        <v>2.22511470588235</v>
      </c>
      <c r="D26" s="10" t="n">
        <f aca="false">MIN(D23,D17)</f>
        <v>3.782695</v>
      </c>
      <c r="E26" s="10" t="n">
        <f aca="false">MIN(E23,E17)</f>
        <v>5.86317725</v>
      </c>
      <c r="F26" s="10" t="n">
        <f aca="false">MIN(F23,F17)</f>
        <v>6.16722</v>
      </c>
      <c r="G26" s="10" t="n">
        <f aca="false">MIN(G23,G17)</f>
        <v>8.017386</v>
      </c>
    </row>
    <row r="27" customFormat="false" ht="15" hidden="false" customHeight="false" outlineLevel="0" collapsed="false">
      <c r="A27" s="6" t="s">
        <v>641</v>
      </c>
      <c r="B27" s="0" t="s">
        <v>623</v>
      </c>
      <c r="D27" s="10" t="n">
        <f aca="false">D21-D17</f>
        <v>0</v>
      </c>
      <c r="E27" s="10" t="n">
        <f aca="false">E21-E17</f>
        <v>1.23255275</v>
      </c>
      <c r="F27" s="10" t="n">
        <f aca="false">F21-F17</f>
        <v>1.7770929875</v>
      </c>
      <c r="G27" s="10" t="n">
        <f aca="false">G21-G17</f>
        <v>1.885140533125</v>
      </c>
    </row>
    <row r="28" customFormat="false" ht="15" hidden="false" customHeight="false" outlineLevel="0" collapsed="false">
      <c r="A28" s="6" t="s">
        <v>642</v>
      </c>
      <c r="B28" s="0" t="s">
        <v>623</v>
      </c>
      <c r="D28" s="10" t="n">
        <f aca="false">D22-D17</f>
        <v>0</v>
      </c>
      <c r="E28" s="10" t="n">
        <f aca="false">E22-E17</f>
        <v>1.23255275</v>
      </c>
      <c r="F28" s="10" t="n">
        <f aca="false">F22-F17</f>
        <v>-0.278647012499999</v>
      </c>
      <c r="G28" s="10" t="n">
        <f aca="false">G22-G17</f>
        <v>-0.119205966875001</v>
      </c>
    </row>
    <row r="29" customFormat="false" ht="15" hidden="false" customHeight="false" outlineLevel="0" collapsed="false">
      <c r="A29" s="6" t="s">
        <v>643</v>
      </c>
      <c r="B29" s="0" t="s">
        <v>623</v>
      </c>
      <c r="D29" s="10" t="n">
        <f aca="false">D23-D17</f>
        <v>0</v>
      </c>
      <c r="E29" s="10" t="n">
        <f aca="false">E23-E17</f>
        <v>1.23255275</v>
      </c>
      <c r="F29" s="10" t="n">
        <f aca="false">F23-F17</f>
        <v>-2.3343870125</v>
      </c>
      <c r="G29" s="10" t="n">
        <f aca="false">G23-G17</f>
        <v>-3.459783466875</v>
      </c>
    </row>
    <row r="30" customFormat="false" ht="15" hidden="false" customHeight="false" outlineLevel="0" collapsed="false">
      <c r="A30" s="0" t="s">
        <v>644</v>
      </c>
      <c r="B30" s="0" t="s">
        <v>525</v>
      </c>
      <c r="C30" s="10" t="n">
        <f aca="false">hbm_mkt25/C24</f>
        <v>15.7295261711557</v>
      </c>
      <c r="D30" s="10" t="n">
        <f aca="false">hbm_p26</f>
        <v>14.6</v>
      </c>
      <c r="E30" s="10" t="n">
        <f aca="false">D30*(1+hbm_p27)</f>
        <v>26.28</v>
      </c>
      <c r="F30" s="10" t="n">
        <f aca="false">E30*(1+hbm_p28_A)</f>
        <v>28.908</v>
      </c>
      <c r="G30" s="8" t="n">
        <f aca="false">F30*(1+hbm_p29_A)</f>
        <v>27.4626</v>
      </c>
    </row>
    <row r="31" customFormat="false" ht="15" hidden="false" customHeight="false" outlineLevel="0" collapsed="false">
      <c r="A31" s="0" t="s">
        <v>645</v>
      </c>
      <c r="B31" s="0" t="s">
        <v>525</v>
      </c>
      <c r="C31" s="10" t="n">
        <f aca="false">hbm_mkt25/C24</f>
        <v>15.7295261711557</v>
      </c>
      <c r="D31" s="10" t="n">
        <f aca="false">hbm_p26</f>
        <v>14.6</v>
      </c>
      <c r="E31" s="10" t="n">
        <f aca="false">D31*(1+hbm_p27)</f>
        <v>26.28</v>
      </c>
      <c r="F31" s="10" t="n">
        <f aca="false">E31*(1+hbm_p28_B)</f>
        <v>19.71</v>
      </c>
      <c r="G31" s="8" t="n">
        <f aca="false">F31*(1+hbm_p29_B)</f>
        <v>19.71</v>
      </c>
    </row>
    <row r="32" customFormat="false" ht="15" hidden="false" customHeight="false" outlineLevel="0" collapsed="false">
      <c r="A32" s="0" t="s">
        <v>646</v>
      </c>
      <c r="B32" s="0" t="s">
        <v>525</v>
      </c>
      <c r="C32" s="10" t="n">
        <f aca="false">hbm_mkt25/C24</f>
        <v>15.7295261711557</v>
      </c>
      <c r="D32" s="10" t="n">
        <f aca="false">hbm_p26</f>
        <v>14.6</v>
      </c>
      <c r="E32" s="10" t="n">
        <f aca="false">D32*(1+hbm_p27)</f>
        <v>26.28</v>
      </c>
      <c r="F32" s="10" t="n">
        <f aca="false">E32*(1+hbm_p28_C)</f>
        <v>15.768</v>
      </c>
      <c r="G32" s="8" t="n">
        <f aca="false">F32*(1+hbm_p29_C)</f>
        <v>16.5564</v>
      </c>
    </row>
    <row r="33" customFormat="false" ht="15" hidden="false" customHeight="false" outlineLevel="0" collapsed="false">
      <c r="A33" s="0" t="s">
        <v>647</v>
      </c>
      <c r="B33" s="0" t="s">
        <v>509</v>
      </c>
      <c r="C33" s="13" t="n">
        <f aca="false">C24*C30</f>
        <v>35</v>
      </c>
      <c r="D33" s="13" t="n">
        <f aca="false">D24*D30</f>
        <v>55.227347</v>
      </c>
      <c r="E33" s="13" t="n">
        <f aca="false">E24*E30</f>
        <v>154.08429813</v>
      </c>
      <c r="F33" s="13" t="n">
        <f aca="false">F24*F30</f>
        <v>245.76445551735</v>
      </c>
      <c r="G33" s="13" t="n">
        <f aca="false">G24*G30</f>
        <v>315.192914201001</v>
      </c>
    </row>
    <row r="34" customFormat="false" ht="15" hidden="false" customHeight="false" outlineLevel="0" collapsed="false">
      <c r="A34" s="0" t="s">
        <v>648</v>
      </c>
      <c r="B34" s="0" t="s">
        <v>509</v>
      </c>
      <c r="C34" s="13" t="n">
        <f aca="false">C25*C31</f>
        <v>35</v>
      </c>
      <c r="D34" s="13" t="n">
        <f aca="false">D25*D31</f>
        <v>55.227347</v>
      </c>
      <c r="E34" s="13" t="n">
        <f aca="false">E25*E31</f>
        <v>154.08429813</v>
      </c>
      <c r="F34" s="13" t="n">
        <f aca="false">F25*F31</f>
        <v>162.0745416</v>
      </c>
      <c r="G34" s="13" t="n">
        <f aca="false">G25*G31</f>
        <v>223.865460585</v>
      </c>
    </row>
    <row r="35" customFormat="false" ht="15" hidden="false" customHeight="false" outlineLevel="0" collapsed="false">
      <c r="A35" s="0" t="s">
        <v>649</v>
      </c>
      <c r="B35" s="0" t="s">
        <v>509</v>
      </c>
      <c r="C35" s="13" t="n">
        <f aca="false">C26*C32</f>
        <v>35</v>
      </c>
      <c r="D35" s="13" t="n">
        <f aca="false">D26*D32</f>
        <v>55.227347</v>
      </c>
      <c r="E35" s="13" t="n">
        <f aca="false">E26*E32</f>
        <v>154.08429813</v>
      </c>
      <c r="F35" s="13" t="n">
        <f aca="false">F26*F32</f>
        <v>97.24472496</v>
      </c>
      <c r="G35" s="13" t="n">
        <f aca="false">G26*G32</f>
        <v>132.7390495704</v>
      </c>
    </row>
    <row r="37" customFormat="false" ht="15" hidden="false" customHeight="false" outlineLevel="0" collapsed="false">
      <c r="A37" s="1" t="s">
        <v>650</v>
      </c>
    </row>
    <row r="38" customFormat="false" ht="15" hidden="false" customHeight="false" outlineLevel="0" collapsed="false">
      <c r="A38" s="6" t="s">
        <v>651</v>
      </c>
      <c r="B38" s="0" t="s">
        <v>509</v>
      </c>
      <c r="D38" s="13" t="n">
        <f aca="false">(D5+D6+D7+D8)/1000*hbm_p26</f>
        <v>28.67586</v>
      </c>
    </row>
    <row r="39" customFormat="false" ht="15" hidden="false" customHeight="false" outlineLevel="0" collapsed="false">
      <c r="A39" s="6" t="s">
        <v>652</v>
      </c>
      <c r="B39" s="0" t="s">
        <v>509</v>
      </c>
      <c r="D39" s="13" t="n">
        <f aca="false">nv_dc26*nv_hbm/nv_content</f>
        <v>38.9728971962617</v>
      </c>
      <c r="H39" s="6" t="s">
        <v>653</v>
      </c>
    </row>
    <row r="40" customFormat="false" ht="15" hidden="false" customHeight="false" outlineLevel="0" collapsed="false">
      <c r="A40" s="6" t="s">
        <v>654</v>
      </c>
      <c r="B40" s="0" t="s">
        <v>42</v>
      </c>
      <c r="D40" s="11" t="n">
        <f aca="false">D38/D39-1</f>
        <v>-0.264210205990264</v>
      </c>
    </row>
    <row r="41" customFormat="false" ht="15" hidden="false" customHeight="false" outlineLevel="0" collapsed="false">
      <c r="A41" s="6" t="s">
        <v>655</v>
      </c>
      <c r="B41" s="6" t="s">
        <v>386</v>
      </c>
      <c r="D41" s="13" t="n">
        <f aca="false">nv_dc26/nv_content</f>
        <v>8.73831775700935</v>
      </c>
      <c r="E41" s="13" t="n">
        <f aca="false">u_bw_26+u_rb_26+u_hp_26</f>
        <v>7.6</v>
      </c>
      <c r="H41" s="8" t="s">
        <v>656</v>
      </c>
    </row>
    <row r="42" customFormat="false" ht="15" hidden="false" customHeight="false" outlineLevel="0" collapsed="false">
      <c r="A42" s="6" t="s">
        <v>657</v>
      </c>
      <c r="B42" s="0" t="s">
        <v>509</v>
      </c>
      <c r="D42" s="13" t="n">
        <f aca="false">pub26_lo</f>
        <v>54.6</v>
      </c>
      <c r="E42" s="13" t="n">
        <f aca="false">pub26_hi</f>
        <v>77.4</v>
      </c>
      <c r="F42" s="13" t="n">
        <f aca="false">pub27</f>
        <v>152.8</v>
      </c>
    </row>
    <row r="43" customFormat="false" ht="15" hidden="false" customHeight="false" outlineLevel="0" collapsed="false">
      <c r="A43" s="6" t="s">
        <v>658</v>
      </c>
      <c r="B43" s="0" t="s">
        <v>42</v>
      </c>
      <c r="D43" s="11" t="n">
        <f aca="false">D33/pub26_lo-1</f>
        <v>0.0114898717948717</v>
      </c>
      <c r="F43" s="11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5" hidden="false" customHeight="false" outlineLevel="0" collapsed="false">
      <c r="A1" s="0" t="s">
        <v>659</v>
      </c>
    </row>
    <row r="3" customFormat="false" ht="15" hidden="false" customHeight="false" outlineLevel="0" collapsed="false">
      <c r="A3" s="4" t="s">
        <v>22</v>
      </c>
      <c r="B3" s="9" t="s">
        <v>660</v>
      </c>
      <c r="C3" s="9" t="s">
        <v>661</v>
      </c>
      <c r="D3" s="9" t="s">
        <v>662</v>
      </c>
      <c r="E3" s="9" t="s">
        <v>663</v>
      </c>
      <c r="F3" s="9" t="s">
        <v>664</v>
      </c>
      <c r="G3" s="9" t="s">
        <v>665</v>
      </c>
      <c r="H3" s="9" t="s">
        <v>666</v>
      </c>
      <c r="I3" s="9" t="s">
        <v>667</v>
      </c>
      <c r="J3" s="9" t="s">
        <v>668</v>
      </c>
    </row>
    <row r="4" customFormat="false" ht="15" hidden="false" customHeight="false" outlineLevel="0" collapsed="false">
      <c r="A4" s="6" t="s">
        <v>669</v>
      </c>
      <c r="B4" s="14" t="n">
        <v>8.709</v>
      </c>
      <c r="C4" s="14" t="n">
        <v>8.053</v>
      </c>
      <c r="D4" s="14" t="n">
        <v>9.301</v>
      </c>
      <c r="E4" s="14" t="n">
        <v>11.315</v>
      </c>
      <c r="F4" s="14" t="n">
        <v>13.643</v>
      </c>
      <c r="G4" s="14" t="n">
        <v>23.86</v>
      </c>
      <c r="H4" s="14" t="n">
        <v>41.456</v>
      </c>
      <c r="I4" s="14" t="n">
        <v>54.229</v>
      </c>
      <c r="J4" s="10" t="n">
        <f aca="false">SUM(F4:I4)</f>
        <v>133.188</v>
      </c>
    </row>
    <row r="5" customFormat="false" ht="15" hidden="false" customHeight="false" outlineLevel="0" collapsed="false">
      <c r="A5" s="0" t="s">
        <v>670</v>
      </c>
      <c r="B5" s="14" t="n">
        <v>6.4</v>
      </c>
      <c r="C5" s="14" t="n">
        <v>6.123</v>
      </c>
      <c r="D5" s="14" t="n">
        <v>7.071</v>
      </c>
      <c r="E5" s="14" t="n">
        <v>8.984</v>
      </c>
      <c r="F5" s="14" t="n">
        <v>10.812</v>
      </c>
      <c r="G5" s="14" t="n">
        <v>18.768</v>
      </c>
      <c r="H5" s="14" t="n">
        <v>31.328</v>
      </c>
      <c r="I5" s="14" t="n">
        <v>39.8</v>
      </c>
      <c r="J5" s="10" t="n">
        <f aca="false">SUM(F5:I5)</f>
        <v>100.708</v>
      </c>
    </row>
    <row r="6" customFormat="false" ht="15" hidden="false" customHeight="false" outlineLevel="0" collapsed="false">
      <c r="A6" s="0" t="s">
        <v>671</v>
      </c>
      <c r="B6" s="14" t="n">
        <v>2.241</v>
      </c>
      <c r="C6" s="14" t="n">
        <v>1.855</v>
      </c>
      <c r="D6" s="14" t="n">
        <v>2.155</v>
      </c>
      <c r="E6" s="14" t="n">
        <v>2.252</v>
      </c>
      <c r="F6" s="14" t="n">
        <v>2.743</v>
      </c>
      <c r="G6" s="14" t="n">
        <v>4.997</v>
      </c>
      <c r="H6" s="14" t="n">
        <v>9.943</v>
      </c>
      <c r="I6" s="14" t="n">
        <v>14.1</v>
      </c>
      <c r="J6" s="10" t="n">
        <f aca="false">SUM(F6:I6)</f>
        <v>31.783</v>
      </c>
    </row>
    <row r="7" customFormat="false" ht="15" hidden="false" customHeight="false" outlineLevel="0" collapsed="false">
      <c r="A7" s="6" t="s">
        <v>672</v>
      </c>
      <c r="B7" s="0" t="n">
        <f aca="false">B4-B5-B6</f>
        <v>0.0679999999999992</v>
      </c>
      <c r="C7" s="0" t="n">
        <f aca="false">C4-C5-C6</f>
        <v>0.0750000000000006</v>
      </c>
      <c r="D7" s="0" t="n">
        <f aca="false">D4-D5-D6</f>
        <v>0.0750000000000006</v>
      </c>
      <c r="E7" s="0" t="n">
        <f aca="false">E4-E5-E6</f>
        <v>0.0789999999999997</v>
      </c>
      <c r="F7" s="0" t="n">
        <f aca="false">F4-F5-F6</f>
        <v>0.0880000000000014</v>
      </c>
      <c r="G7" s="0" t="n">
        <f aca="false">G4-G5-G6</f>
        <v>0.0949999999999989</v>
      </c>
      <c r="H7" s="0" t="n">
        <f aca="false">H4-H5-H6</f>
        <v>0.185000000000004</v>
      </c>
      <c r="I7" s="0" t="n">
        <f aca="false">I4-I5-I6</f>
        <v>0.329000000000002</v>
      </c>
      <c r="J7" s="10" t="n">
        <f aca="false">SUM(F7:I7)</f>
        <v>0.697000000000007</v>
      </c>
    </row>
    <row r="8" customFormat="false" ht="15" hidden="false" customHeight="false" outlineLevel="0" collapsed="false">
      <c r="A8" s="6" t="s">
        <v>673</v>
      </c>
      <c r="B8" s="10" t="n">
        <f aca="false">B4*(1-0.384)</f>
        <v>5.364744</v>
      </c>
      <c r="C8" s="10" t="n">
        <f aca="false">C4*(1-0.368)</f>
        <v>5.089496</v>
      </c>
      <c r="D8" s="10" t="n">
        <f aca="false">D4*(1-0.377)</f>
        <v>5.794523</v>
      </c>
      <c r="E8" s="10" t="n">
        <f aca="false">E4*(1-0.447)</f>
        <v>6.257195</v>
      </c>
      <c r="F8" s="10" t="n">
        <f aca="false">F4*(1-0.56)</f>
        <v>6.00292</v>
      </c>
      <c r="G8" s="10" t="n">
        <f aca="false">G4*(1-0.744)</f>
        <v>6.10816</v>
      </c>
      <c r="H8" s="10" t="n">
        <f aca="false">H4*(1-0.846)</f>
        <v>6.384224</v>
      </c>
      <c r="I8" s="10" t="n">
        <f aca="false">I4*(1-0.868)</f>
        <v>7.158228</v>
      </c>
      <c r="J8" s="10" t="n">
        <f aca="false">SUM(F8:I8)</f>
        <v>25.653532</v>
      </c>
    </row>
    <row r="9" customFormat="false" ht="15" hidden="false" customHeight="false" outlineLevel="0" collapsed="false">
      <c r="A9" s="6" t="s">
        <v>674</v>
      </c>
      <c r="B9" s="0" t="n">
        <f aca="false">B4-B8-B10</f>
        <v>1.170256</v>
      </c>
      <c r="C9" s="0" t="n">
        <f aca="false">C4-C8-C10</f>
        <v>1.190504</v>
      </c>
      <c r="D9" s="0" t="n">
        <f aca="false">D4-D8-D10</f>
        <v>1.337477</v>
      </c>
      <c r="E9" s="0" t="n">
        <f aca="false">E4-E8-E10</f>
        <v>1.403805</v>
      </c>
      <c r="F9" s="0" t="n">
        <f aca="false">F4-F8-F10</f>
        <v>1.50408</v>
      </c>
      <c r="G9" s="0" t="n">
        <f aca="false">G4-G8-G10</f>
        <v>1.61684</v>
      </c>
      <c r="H9" s="0" t="n">
        <f aca="false">H4-H8-H10</f>
        <v>1.753776</v>
      </c>
      <c r="I9" s="0" t="n">
        <f aca="false">I4-I8-I10</f>
        <v>3.319772</v>
      </c>
      <c r="J9" s="10" t="n">
        <f aca="false">SUM(F9:I9)</f>
        <v>8.194468</v>
      </c>
    </row>
    <row r="10" customFormat="false" ht="15" hidden="false" customHeight="false" outlineLevel="0" collapsed="false">
      <c r="A10" s="6" t="s">
        <v>675</v>
      </c>
      <c r="B10" s="14" t="n">
        <v>2.174</v>
      </c>
      <c r="C10" s="14" t="n">
        <v>1.773</v>
      </c>
      <c r="D10" s="14" t="n">
        <v>2.169</v>
      </c>
      <c r="E10" s="14" t="n">
        <v>3.654</v>
      </c>
      <c r="F10" s="14" t="n">
        <v>6.136</v>
      </c>
      <c r="G10" s="14" t="n">
        <v>16.135</v>
      </c>
      <c r="H10" s="14" t="n">
        <v>33.318</v>
      </c>
      <c r="I10" s="14" t="n">
        <v>43.751</v>
      </c>
      <c r="J10" s="10" t="n">
        <f aca="false">SUM(F10:I10)</f>
        <v>99.34</v>
      </c>
    </row>
    <row r="11" customFormat="false" ht="15" hidden="false" customHeight="false" outlineLevel="0" collapsed="false">
      <c r="A11" s="6" t="s">
        <v>676</v>
      </c>
      <c r="B11" s="15" t="n">
        <f aca="false">IF(B4=0,"",B10/B4)</f>
        <v>0.249626822826961</v>
      </c>
      <c r="C11" s="15" t="n">
        <f aca="false">IF(C4=0,"",C10/C4)</f>
        <v>0.220166397615795</v>
      </c>
      <c r="D11" s="15" t="n">
        <f aca="false">IF(D4=0,"",D10/D4)</f>
        <v>0.233200731104182</v>
      </c>
      <c r="E11" s="15" t="n">
        <f aca="false">IF(E4=0,"",E10/E4)</f>
        <v>0.322934158197084</v>
      </c>
      <c r="F11" s="15" t="n">
        <f aca="false">IF(F4=0,"",F10/F4)</f>
        <v>0.449754452832955</v>
      </c>
      <c r="G11" s="15" t="n">
        <f aca="false">IF(G4=0,"",G10/G4)</f>
        <v>0.676236378876781</v>
      </c>
      <c r="H11" s="15" t="n">
        <f aca="false">IF(H4=0,"",H10/H4)</f>
        <v>0.803695484368969</v>
      </c>
      <c r="I11" s="15" t="n">
        <f aca="false">IF(I4=0,"",I10/I4)</f>
        <v>0.806782348927696</v>
      </c>
      <c r="J11" s="15" t="n">
        <f aca="false">J10/J4</f>
        <v>0.745862990659819</v>
      </c>
    </row>
    <row r="12" customFormat="false" ht="15" hidden="false" customHeight="false" outlineLevel="0" collapsed="false">
      <c r="A12" s="6" t="s">
        <v>677</v>
      </c>
      <c r="B12" s="14" t="n">
        <v>1.87</v>
      </c>
      <c r="C12" s="14" t="n">
        <v>1.583</v>
      </c>
      <c r="D12" s="14" t="n">
        <v>1.885</v>
      </c>
      <c r="E12" s="14" t="n">
        <v>3.201</v>
      </c>
      <c r="F12" s="14" t="n">
        <v>5.24</v>
      </c>
      <c r="G12" s="14" t="n">
        <v>13.785</v>
      </c>
      <c r="H12" s="14" t="n">
        <v>28.243</v>
      </c>
      <c r="I12" s="14" t="n">
        <v>37.701</v>
      </c>
      <c r="J12" s="10" t="n">
        <f aca="false">SUM(F12:I12)</f>
        <v>84.969</v>
      </c>
    </row>
    <row r="13" customFormat="false" ht="15" hidden="false" customHeight="false" outlineLevel="0" collapsed="false">
      <c r="A13" s="6" t="s">
        <v>678</v>
      </c>
      <c r="B13" s="14" t="n">
        <v>2.03</v>
      </c>
      <c r="C13" s="14" t="n">
        <v>2.079</v>
      </c>
      <c r="D13" s="14" t="n">
        <v>2.094</v>
      </c>
      <c r="E13" s="14" t="n">
        <v>2.149</v>
      </c>
      <c r="F13" s="14" t="n">
        <v>2.212</v>
      </c>
      <c r="G13" s="14" t="n">
        <v>2.286</v>
      </c>
      <c r="H13" s="14" t="n">
        <v>2.364</v>
      </c>
      <c r="I13" s="14" t="n">
        <v>2.641</v>
      </c>
      <c r="J13" s="10" t="n">
        <f aca="false">SUM(F13:I13)</f>
        <v>9.503</v>
      </c>
    </row>
    <row r="14" customFormat="false" ht="15" hidden="false" customHeight="false" outlineLevel="0" collapsed="false">
      <c r="A14" s="0" t="s">
        <v>679</v>
      </c>
      <c r="I14" s="0" t="n">
        <v>1</v>
      </c>
    </row>
    <row r="15" customFormat="false" ht="15" hidden="false" customHeight="false" outlineLevel="0" collapsed="false">
      <c r="A15" s="0" t="s">
        <v>680</v>
      </c>
      <c r="I15" s="0" t="n">
        <v>1</v>
      </c>
    </row>
    <row r="18" customFormat="false" ht="15" hidden="false" customHeight="false" outlineLevel="0" collapsed="false">
      <c r="A18" s="6" t="s">
        <v>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5" hidden="false" customHeight="false" outlineLevel="0" collapsed="false">
      <c r="A1" s="0" t="s">
        <v>682</v>
      </c>
    </row>
    <row r="3" customFormat="false" ht="15" hidden="false" customHeight="false" outlineLevel="0" collapsed="false">
      <c r="A3" s="4" t="s">
        <v>22</v>
      </c>
      <c r="B3" s="9" t="s">
        <v>683</v>
      </c>
      <c r="C3" s="9" t="s">
        <v>684</v>
      </c>
      <c r="D3" s="9" t="s">
        <v>685</v>
      </c>
      <c r="E3" s="9" t="s">
        <v>686</v>
      </c>
      <c r="F3" s="9" t="s">
        <v>687</v>
      </c>
      <c r="G3" s="9" t="s">
        <v>688</v>
      </c>
      <c r="H3" s="9" t="s">
        <v>689</v>
      </c>
      <c r="I3" s="9" t="s">
        <v>690</v>
      </c>
      <c r="J3" s="9" t="s">
        <v>691</v>
      </c>
      <c r="K3" s="9" t="s">
        <v>692</v>
      </c>
      <c r="L3" s="9" t="s">
        <v>693</v>
      </c>
      <c r="M3" s="4" t="s">
        <v>611</v>
      </c>
    </row>
    <row r="4" customFormat="false" ht="15" hidden="false" customHeight="false" outlineLevel="0" collapsed="false">
      <c r="A4" s="6" t="s">
        <v>669</v>
      </c>
      <c r="B4" s="13" t="n">
        <f aca="false">SUM(Q!B4:E4)</f>
        <v>37.378</v>
      </c>
      <c r="C4" s="13" t="n">
        <f aca="false">Q!J4</f>
        <v>133.188</v>
      </c>
      <c r="D4" s="13" t="n">
        <f aca="false">D5+D6+D7+D8</f>
        <v>267.765729405049</v>
      </c>
      <c r="E4" s="13" t="n">
        <f aca="false">E5+E6+E7+E8</f>
        <v>297.348666752872</v>
      </c>
      <c r="F4" s="13" t="n">
        <f aca="false">F5+F6+F7+F8</f>
        <v>308.910550770756</v>
      </c>
      <c r="G4" s="13" t="n">
        <f aca="false">G5+G6+G7+G8</f>
        <v>270.117981428991</v>
      </c>
      <c r="H4" s="13" t="n">
        <f aca="false">H5+H6+H7+H8</f>
        <v>195.470759977292</v>
      </c>
      <c r="I4" s="13" t="n">
        <f aca="false">I5+I6+I7+I8</f>
        <v>251.830934179813</v>
      </c>
      <c r="J4" s="13" t="n">
        <f aca="false">J5+J6+J7+J8</f>
        <v>270.117981428991</v>
      </c>
      <c r="K4" s="13" t="n">
        <f aca="false">K5+K6+K7+K8</f>
        <v>160.594767713018</v>
      </c>
      <c r="L4" s="13" t="n">
        <f aca="false">L5+L6+L7+L8</f>
        <v>156.031097158362</v>
      </c>
    </row>
    <row r="5" customFormat="false" ht="15" hidden="false" customHeight="false" outlineLevel="0" collapsed="false">
      <c r="A5" s="6" t="s">
        <v>694</v>
      </c>
      <c r="C5" s="13" t="n">
        <f aca="false">Q!J5-C6</f>
        <v>91.0006030525</v>
      </c>
      <c r="D5" s="13" t="n">
        <f aca="false">C5*(1+cb_1)*(AVERAGE(Path!J4:M4)/AVERAGE(Path!F4:I4))</f>
        <v>173.982845639886</v>
      </c>
      <c r="E5" s="13" t="n">
        <f aca="false">D5*(1+cb_2)*(AVERAGE(Path!N4:Q4)/AVERAGE(Path!J4:M4))</f>
        <v>184.520959338567</v>
      </c>
      <c r="F5" s="13" t="n">
        <f aca="false">D5*(1+cb_3)*(AVERAGE(Path!R4:U4)/AVERAGE(Path!N4:Q4))</f>
        <v>180.800609458029</v>
      </c>
      <c r="G5" s="13" t="n">
        <f aca="false">C5*(1+cb_1)*(AVERAGE(Path!J5:M5)/AVERAGE(Path!F5:I5))</f>
        <v>175.561320761778</v>
      </c>
      <c r="H5" s="13" t="n">
        <f aca="false">G5*(1+cb_2)*(AVERAGE(Path!N5:Q5)/AVERAGE(Path!J5:M5))</f>
        <v>121.93971820349</v>
      </c>
      <c r="I5" s="13" t="n">
        <f aca="false">G5*(1+cb_3)*(AVERAGE(Path!R5:U5)/AVERAGE(Path!N5:Q5))</f>
        <v>159.35301417217</v>
      </c>
      <c r="J5" s="13" t="n">
        <f aca="false">C5*(1+cb_1)*(AVERAGE(Path!J6:M6)/AVERAGE(Path!F6:I6))</f>
        <v>175.561320761778</v>
      </c>
      <c r="K5" s="13" t="n">
        <f aca="false">J5*(1+cb_2)*(AVERAGE(Path!N6:Q6)/AVERAGE(Path!J6:M6))</f>
        <v>100.732810689839</v>
      </c>
      <c r="L5" s="13" t="n">
        <f aca="false">J5*(1+cb_3)*(AVERAGE(Path!R6:U6)/AVERAGE(Path!N6:Q6))</f>
        <v>94.2714449941019</v>
      </c>
      <c r="M5" s="6" t="s">
        <v>695</v>
      </c>
    </row>
    <row r="6" customFormat="false" ht="15" hidden="false" customHeight="false" outlineLevel="0" collapsed="false">
      <c r="A6" s="0" t="s">
        <v>696</v>
      </c>
      <c r="C6" s="13" t="n">
        <f aca="false">(Mkt!C33/4*sh25+Mkt!D33/4*sh26+Mkt!D33/4*sh26+Mkt!D33/4*sh26)*1</f>
        <v>9.7073969475</v>
      </c>
      <c r="D6" s="13" t="n">
        <f aca="false">(Mkt!D33/4*sh26+Mkt!E33/4*sh27+Mkt!E33/4*sh27+Mkt!E33/4*sh27)*1</f>
        <v>25.735943702</v>
      </c>
      <c r="E6" s="13" t="n">
        <f aca="false">(Mkt!E33/4*sh27+Mkt!F33/4*sh28+Mkt!F33/4*sh28+Mkt!F33/4*sh28)*1</f>
        <v>44.5688832341025</v>
      </c>
      <c r="F6" s="13" t="n">
        <f aca="false">(Mkt!F33/4*sh28+Mkt!G33/4*sh29+Mkt!G33/4*sh29+Mkt!G33/4*sh29)*1</f>
        <v>59.5671599060177</v>
      </c>
      <c r="G6" s="13" t="n">
        <f aca="false">(Mkt!D34/4*sh26+Mkt!E34/4*sh27+Mkt!E34/4*sh27+Mkt!E34/4*sh27)*1</f>
        <v>25.735943702</v>
      </c>
      <c r="H6" s="13" t="n">
        <f aca="false">(Mkt!E34/4*sh27+Mkt!F34/4*sh28+Mkt!F34/4*sh28+Mkt!F34/4*sh28)*1</f>
        <v>32.0153961465</v>
      </c>
      <c r="I6" s="13" t="n">
        <f aca="false">(Mkt!F34/4*sh28+Mkt!G34/4*sh29+Mkt!G34/4*sh29+Mkt!G34/4*sh29)*1</f>
        <v>41.68354616775</v>
      </c>
      <c r="J6" s="13" t="n">
        <f aca="false">(Mkt!D35/4*sh26+Mkt!E35/4*sh27+Mkt!E35/4*sh27+Mkt!E35/4*sh27)*1</f>
        <v>25.735943702</v>
      </c>
      <c r="K6" s="13" t="n">
        <f aca="false">(Mkt!E35/4*sh27+Mkt!F35/4*sh28+Mkt!F35/4*sh28+Mkt!F35/4*sh28)*1</f>
        <v>22.2909236505</v>
      </c>
      <c r="L6" s="13" t="n">
        <f aca="false">(Mkt!F35/4*sh28+Mkt!G35/4*sh29+Mkt!G35/4*sh29+Mkt!G35/4*sh29)*1</f>
        <v>24.77309368356</v>
      </c>
      <c r="M6" s="8" t="s">
        <v>697</v>
      </c>
    </row>
    <row r="7" customFormat="false" ht="15" hidden="false" customHeight="false" outlineLevel="0" collapsed="false">
      <c r="A7" s="0" t="s">
        <v>671</v>
      </c>
      <c r="C7" s="13" t="n">
        <f aca="false">Q!J6</f>
        <v>31.783</v>
      </c>
      <c r="D7" s="13" t="n">
        <f aca="false">C7*(1+nb_1)*(AVERAGE(Path!J8:M8)/AVERAGE(Path!F8:I8))</f>
        <v>67.3469400631632</v>
      </c>
      <c r="E7" s="13" t="n">
        <f aca="false">D7*(1+nb_2)*(AVERAGE(Path!N8:Q8)/AVERAGE(Path!J8:M8))</f>
        <v>67.5588241802033</v>
      </c>
      <c r="F7" s="13" t="n">
        <f aca="false">D7*(1+nb_3)*(AVERAGE(Path!R8:U8)/AVERAGE(Path!N8:Q8))</f>
        <v>67.8427814067099</v>
      </c>
      <c r="G7" s="13" t="n">
        <f aca="false">C7*(1+nb_1)*(AVERAGE(Path!J9:M9)/AVERAGE(Path!F9:I9))</f>
        <v>68.1207169652136</v>
      </c>
      <c r="H7" s="13" t="n">
        <f aca="false">G7*(1+nb_2)*(AVERAGE(Path!N9:Q9)/AVERAGE(Path!J9:M9))</f>
        <v>40.8156456273025</v>
      </c>
      <c r="I7" s="13" t="n">
        <f aca="false">G7*(1+nb_3)*(AVERAGE(Path!R9:U9)/AVERAGE(Path!N9:Q9))</f>
        <v>50.0943738398926</v>
      </c>
      <c r="J7" s="13" t="n">
        <f aca="false">C7*(1+nb_1)*(AVERAGE(Path!J10:M10)/AVERAGE(Path!F10:I10))</f>
        <v>68.1207169652136</v>
      </c>
      <c r="K7" s="13" t="n">
        <f aca="false">J7*(1+nb_2)*(AVERAGE(Path!N10:Q10)/AVERAGE(Path!J10:M10))</f>
        <v>36.871033372679</v>
      </c>
      <c r="L7" s="13" t="n">
        <f aca="false">J7*(1+nb_3)*(AVERAGE(Path!R10:U10)/AVERAGE(Path!N10:Q10))</f>
        <v>36.2865584807</v>
      </c>
    </row>
    <row r="8" customFormat="false" ht="15" hidden="false" customHeight="false" outlineLevel="0" collapsed="false">
      <c r="A8" s="6" t="s">
        <v>672</v>
      </c>
      <c r="C8" s="13" t="n">
        <f aca="false">Q!J7</f>
        <v>0.697000000000007</v>
      </c>
      <c r="D8" s="13" t="n">
        <f aca="false">other_y</f>
        <v>0.7</v>
      </c>
      <c r="E8" s="13" t="n">
        <f aca="false">other_y</f>
        <v>0.7</v>
      </c>
      <c r="F8" s="13" t="n">
        <f aca="false">other_y</f>
        <v>0.7</v>
      </c>
      <c r="G8" s="13" t="n">
        <f aca="false">other_y</f>
        <v>0.7</v>
      </c>
      <c r="H8" s="13" t="n">
        <f aca="false">other_y</f>
        <v>0.7</v>
      </c>
      <c r="I8" s="13" t="n">
        <f aca="false">other_y</f>
        <v>0.7</v>
      </c>
      <c r="J8" s="13" t="n">
        <f aca="false">other_y</f>
        <v>0.7</v>
      </c>
      <c r="K8" s="13" t="n">
        <f aca="false">other_y</f>
        <v>0.7</v>
      </c>
      <c r="L8" s="13" t="n">
        <f aca="false">other_y</f>
        <v>0.7</v>
      </c>
    </row>
    <row r="9" customFormat="false" ht="15" hidden="false" customHeight="false" outlineLevel="0" collapsed="false">
      <c r="A9" s="0" t="s">
        <v>698</v>
      </c>
      <c r="C9" s="15" t="n">
        <f aca="false">C6/C4</f>
        <v>0.0728849216708713</v>
      </c>
      <c r="D9" s="15" t="n">
        <f aca="false">D6/D4</f>
        <v>0.0961136578574968</v>
      </c>
      <c r="E9" s="15" t="n">
        <f aca="false">E6/E4</f>
        <v>0.149887617525939</v>
      </c>
      <c r="F9" s="15" t="n">
        <f aca="false">F6/F4</f>
        <v>0.192829800592414</v>
      </c>
      <c r="G9" s="15" t="n">
        <f aca="false">G6/G4</f>
        <v>0.0952766771240125</v>
      </c>
      <c r="H9" s="15" t="n">
        <f aca="false">H6/H4</f>
        <v>0.163786113842394</v>
      </c>
      <c r="I9" s="15" t="n">
        <f aca="false">I6/I4</f>
        <v>0.165521945520748</v>
      </c>
      <c r="J9" s="15" t="n">
        <f aca="false">J6/J4</f>
        <v>0.0952766771240125</v>
      </c>
      <c r="K9" s="15" t="n">
        <f aca="false">K6/K4</f>
        <v>0.138802303262668</v>
      </c>
      <c r="L9" s="15" t="n">
        <f aca="false">L6/L4</f>
        <v>0.158770233208172</v>
      </c>
    </row>
    <row r="10" customFormat="false" ht="15" hidden="false" customHeight="false" outlineLevel="0" collapsed="false">
      <c r="A10" s="6" t="s">
        <v>678</v>
      </c>
      <c r="B10" s="13" t="n">
        <f aca="false">SUM(Q!B13:E13)</f>
        <v>8.352</v>
      </c>
      <c r="C10" s="13" t="n">
        <f aca="false">Q!J13</f>
        <v>9.503</v>
      </c>
      <c r="D10" s="13" t="n">
        <f aca="false">C10+(C21-C10)/da_life</f>
        <v>13.0758</v>
      </c>
      <c r="E10" s="13" t="n">
        <f aca="false">D10+(D21-D10)/da_life</f>
        <v>21.46064</v>
      </c>
      <c r="F10" s="13" t="n">
        <f aca="false">D10+(D21-D10)/da_life</f>
        <v>21.46064</v>
      </c>
      <c r="G10" s="13" t="n">
        <f aca="false">C10+(C21-C10)/da_life</f>
        <v>13.0758</v>
      </c>
      <c r="H10" s="13" t="n">
        <f aca="false">G10+(G21-G10)/da_life</f>
        <v>21.46064</v>
      </c>
      <c r="I10" s="13" t="n">
        <f aca="false">G10+(G21-G10)/da_life</f>
        <v>21.46064</v>
      </c>
      <c r="J10" s="13" t="n">
        <f aca="false">C10+(C21-C10)/da_life</f>
        <v>13.0758</v>
      </c>
      <c r="K10" s="13" t="n">
        <f aca="false">J10+(J21-J10)/da_life</f>
        <v>21.46064</v>
      </c>
      <c r="L10" s="13" t="n">
        <f aca="false">J10+(J21-J10)/da_life</f>
        <v>21.46064</v>
      </c>
    </row>
    <row r="11" customFormat="false" ht="15" hidden="false" customHeight="false" outlineLevel="0" collapsed="false">
      <c r="A11" s="6" t="s">
        <v>699</v>
      </c>
      <c r="D11" s="10" t="n">
        <f aca="false">w_c*(1+cb_1)+w_h*D31/C31+w_n*(1+nb_1)</f>
        <v>1.24568413910093</v>
      </c>
      <c r="E11" s="10" t="n">
        <f aca="false">w_c*(1+cb_2)+w_h*E31/D31+w_n*(1+nb_2)</f>
        <v>1.23677678571429</v>
      </c>
      <c r="F11" s="10" t="n">
        <f aca="false">w_c*(1+cb_3)+w_h*F31/D31+w_n*(1+nb_3)</f>
        <v>1.35688794642857</v>
      </c>
      <c r="G11" s="10" t="n">
        <f aca="false">w_c*(1+cb_1)+w_h*G31/C31+w_n*(1+nb_1)</f>
        <v>1.24568413910093</v>
      </c>
      <c r="H11" s="10" t="n">
        <f aca="false">w_c*(1+cb_2)+w_h*H31/G31+w_n*(1+nb_2)</f>
        <v>1.22809500175895</v>
      </c>
      <c r="I11" s="10" t="n">
        <f aca="false">w_c*(1+cb_3)+w_h*I31/G31+w_n*(1+nb_3)</f>
        <v>1.35027992712301</v>
      </c>
      <c r="J11" s="10" t="n">
        <f aca="false">w_c*(1+cb_1)+w_h*J31/C31+w_n*(1+nb_1)</f>
        <v>1.24568413910093</v>
      </c>
      <c r="K11" s="10" t="n">
        <f aca="false">w_c*(1+cb_2)+w_h*K31/J31+w_n*(1+nb_2)</f>
        <v>1.16404446560493</v>
      </c>
      <c r="L11" s="10" t="n">
        <f aca="false">w_c*(1+cb_3)+w_h*L31/J31+w_n*(1+nb_3)</f>
        <v>1.22484762715471</v>
      </c>
    </row>
    <row r="12" customFormat="false" ht="15" hidden="false" customHeight="false" outlineLevel="0" collapsed="false">
      <c r="A12" s="6" t="s">
        <v>673</v>
      </c>
      <c r="C12" s="13" t="n">
        <f aca="false">Q!J8</f>
        <v>25.653532</v>
      </c>
      <c r="D12" s="13" t="n">
        <f aca="false">(C12-da_cogs*C10)*D11*(1-costdn_y)+da_cogs*D10</f>
        <v>30.9402316690467</v>
      </c>
      <c r="E12" s="13" t="n">
        <f aca="false">(D12-da_cogs*D10)*E11*(1-costdn_y)+da_cogs*E10</f>
        <v>40.6549250709483</v>
      </c>
      <c r="F12" s="13" t="n">
        <f aca="false">(D12-da_cogs*D10)*F11*(1-costdn_y)+da_cogs*F10</f>
        <v>42.7274203882657</v>
      </c>
      <c r="G12" s="13" t="n">
        <f aca="false">(C12-da_cogs*C10)*G11*(1-costdn_y)+da_cogs*G10</f>
        <v>30.9402316690467</v>
      </c>
      <c r="H12" s="13" t="n">
        <f aca="false">(G12-da_cogs*G10)*H11*(1-costdn_y)+da_cogs*H10</f>
        <v>40.5051225339785</v>
      </c>
      <c r="I12" s="13" t="n">
        <f aca="false">(G12-da_cogs*G10)*I11*(1-costdn_y)+da_cogs*I10</f>
        <v>42.6134002673537</v>
      </c>
      <c r="J12" s="13" t="n">
        <f aca="false">(C12-da_cogs*C10)*J11*(1-costdn_y)+da_cogs*J10</f>
        <v>30.9402316690467</v>
      </c>
      <c r="K12" s="13" t="n">
        <f aca="false">(J12-da_cogs*J10)*K11*(1-costdn_y)+da_cogs*K10</f>
        <v>39.3999426700802</v>
      </c>
      <c r="L12" s="13" t="n">
        <f aca="false">(J12-da_cogs*J10)*L11*(1-costdn_y)+da_cogs*L10</f>
        <v>40.4490897005529</v>
      </c>
      <c r="M12" s="6" t="s">
        <v>700</v>
      </c>
    </row>
    <row r="13" customFormat="false" ht="15" hidden="false" customHeight="false" outlineLevel="0" collapsed="false">
      <c r="A13" s="6" t="s">
        <v>674</v>
      </c>
      <c r="C13" s="13" t="n">
        <f aca="false">Q!J9</f>
        <v>8.194468</v>
      </c>
      <c r="D13" s="13" t="n">
        <f aca="false">opex_fix_y*(1+opex_g)^1+opex_var*D4</f>
        <v>9.76648594107574</v>
      </c>
      <c r="E13" s="13" t="n">
        <f aca="false">opex_fix_y*(1+opex_g)^2+opex_var*E4</f>
        <v>11.0727300012931</v>
      </c>
      <c r="F13" s="13" t="n">
        <f aca="false">opex_fix_y*(1+opex_g)^3+opex_var*F4</f>
        <v>12.2380332615613</v>
      </c>
      <c r="G13" s="13" t="n">
        <f aca="false">opex_fix_y*(1+opex_g)^1+opex_var*G4</f>
        <v>9.80176972143487</v>
      </c>
      <c r="H13" s="13" t="n">
        <f aca="false">opex_fix_y*(1+opex_g)^2+opex_var*H4</f>
        <v>9.54456139965938</v>
      </c>
      <c r="I13" s="13" t="n">
        <f aca="false">opex_fix_y*(1+opex_g)^3+opex_var*I4</f>
        <v>11.3818390126972</v>
      </c>
      <c r="J13" s="13" t="n">
        <f aca="false">opex_fix_y*(1+opex_g)^1+opex_var*J4</f>
        <v>9.80176972143487</v>
      </c>
      <c r="K13" s="13" t="n">
        <f aca="false">opex_fix_y*(1+opex_g)^2+opex_var*K4</f>
        <v>9.02142151569527</v>
      </c>
      <c r="L13" s="13" t="n">
        <f aca="false">opex_fix_y*(1+opex_g)^3+opex_var*L4</f>
        <v>9.94484145737543</v>
      </c>
    </row>
    <row r="14" customFormat="false" ht="15" hidden="false" customHeight="false" outlineLevel="0" collapsed="false">
      <c r="A14" s="6" t="s">
        <v>675</v>
      </c>
      <c r="B14" s="13" t="n">
        <f aca="false">SUM(Q!B10:E10)</f>
        <v>9.77</v>
      </c>
      <c r="C14" s="13" t="n">
        <f aca="false">Q!J10</f>
        <v>99.34</v>
      </c>
      <c r="D14" s="13" t="n">
        <f aca="false">D4-D12-D13</f>
        <v>227.059011794927</v>
      </c>
      <c r="E14" s="13" t="n">
        <f aca="false">E4-E12-E13</f>
        <v>245.621011680631</v>
      </c>
      <c r="F14" s="13" t="n">
        <f aca="false">F4-F12-F13</f>
        <v>253.945097120929</v>
      </c>
      <c r="G14" s="13" t="n">
        <f aca="false">G4-G12-G13</f>
        <v>229.37598003851</v>
      </c>
      <c r="H14" s="13" t="n">
        <f aca="false">H4-H12-H13</f>
        <v>145.421076043654</v>
      </c>
      <c r="I14" s="13" t="n">
        <f aca="false">I4-I12-I13</f>
        <v>197.835694899762</v>
      </c>
      <c r="J14" s="13" t="n">
        <f aca="false">J4-J12-J13</f>
        <v>229.37598003851</v>
      </c>
      <c r="K14" s="13" t="n">
        <f aca="false">K4-K12-K13</f>
        <v>112.173403527243</v>
      </c>
      <c r="L14" s="13" t="n">
        <f aca="false">L4-L12-L13</f>
        <v>105.637166000433</v>
      </c>
    </row>
    <row r="15" customFormat="false" ht="15" hidden="false" customHeight="false" outlineLevel="0" collapsed="false">
      <c r="A15" s="6" t="s">
        <v>676</v>
      </c>
      <c r="B15" s="15" t="n">
        <f aca="false">B14/B4</f>
        <v>0.261383701642678</v>
      </c>
      <c r="C15" s="15" t="n">
        <f aca="false">C14/C4</f>
        <v>0.745862990659819</v>
      </c>
      <c r="D15" s="15" t="n">
        <f aca="false">D14/D4</f>
        <v>0.847976372104941</v>
      </c>
      <c r="E15" s="15" t="n">
        <f aca="false">E14/E4</f>
        <v>0.826037037135154</v>
      </c>
      <c r="F15" s="15" t="n">
        <f aca="false">F14/F4</f>
        <v>0.822066764917275</v>
      </c>
      <c r="G15" s="15" t="n">
        <f aca="false">G14/G4</f>
        <v>0.849169606647635</v>
      </c>
      <c r="H15" s="15" t="n">
        <f aca="false">H14/H4</f>
        <v>0.743953090787327</v>
      </c>
      <c r="I15" s="15" t="n">
        <f aca="false">I14/I4</f>
        <v>0.78558933017539</v>
      </c>
      <c r="J15" s="15" t="n">
        <f aca="false">J14/J4</f>
        <v>0.849169606647635</v>
      </c>
      <c r="K15" s="15" t="n">
        <f aca="false">K14/K4</f>
        <v>0.698487286507963</v>
      </c>
      <c r="L15" s="15" t="n">
        <f aca="false">L14/L4</f>
        <v>0.677026361567005</v>
      </c>
    </row>
    <row r="16" customFormat="false" ht="15" hidden="false" customHeight="false" outlineLevel="0" collapsed="false">
      <c r="A16" s="6" t="s">
        <v>701</v>
      </c>
      <c r="C16" s="13" t="n">
        <f aca="false">nm_rev_0</f>
        <v>0</v>
      </c>
      <c r="D16" s="13" t="n">
        <f aca="false">nm_rev_1</f>
        <v>0</v>
      </c>
      <c r="E16" s="13" t="n">
        <f aca="false">nm_rev_2</f>
        <v>0</v>
      </c>
      <c r="F16" s="13" t="n">
        <f aca="false">nm_rev_3</f>
        <v>0</v>
      </c>
      <c r="G16" s="13" t="n">
        <f aca="false">nm_rev_1</f>
        <v>0</v>
      </c>
      <c r="H16" s="13" t="n">
        <f aca="false">nm_rev_2</f>
        <v>0</v>
      </c>
      <c r="I16" s="13" t="n">
        <f aca="false">nm_rev_3</f>
        <v>0</v>
      </c>
      <c r="J16" s="13" t="n">
        <f aca="false">nm_rev_1</f>
        <v>0</v>
      </c>
      <c r="K16" s="13" t="n">
        <f aca="false">nm_rev_2</f>
        <v>0</v>
      </c>
      <c r="L16" s="13" t="n">
        <f aca="false">nm_rev_3</f>
        <v>0</v>
      </c>
    </row>
    <row r="17" customFormat="false" ht="15" hidden="false" customHeight="false" outlineLevel="0" collapsed="false">
      <c r="A17" s="6" t="s">
        <v>702</v>
      </c>
      <c r="C17" s="13" t="n">
        <f aca="false">nm_op_0</f>
        <v>0</v>
      </c>
      <c r="D17" s="13" t="n">
        <f aca="false">nm_op_1</f>
        <v>0</v>
      </c>
      <c r="E17" s="13" t="n">
        <f aca="false">nm_op_2</f>
        <v>0</v>
      </c>
      <c r="F17" s="13" t="n">
        <f aca="false">nm_op_3</f>
        <v>0</v>
      </c>
      <c r="G17" s="13" t="n">
        <f aca="false">nm_op_1</f>
        <v>0</v>
      </c>
      <c r="H17" s="13" t="n">
        <f aca="false">nm_op_2</f>
        <v>0</v>
      </c>
      <c r="I17" s="13" t="n">
        <f aca="false">nm_op_3</f>
        <v>0</v>
      </c>
      <c r="J17" s="13" t="n">
        <f aca="false">nm_op_1</f>
        <v>0</v>
      </c>
      <c r="K17" s="13" t="n">
        <f aca="false">nm_op_2</f>
        <v>0</v>
      </c>
      <c r="L17" s="13" t="n">
        <f aca="false">nm_op_3</f>
        <v>0</v>
      </c>
    </row>
    <row r="18" customFormat="false" ht="15" hidden="false" customHeight="false" outlineLevel="0" collapsed="false">
      <c r="A18" s="6" t="s">
        <v>703</v>
      </c>
      <c r="C18" s="13" t="n">
        <f aca="false">C4+C16</f>
        <v>133.188</v>
      </c>
      <c r="D18" s="13" t="n">
        <f aca="false">D4+D16</f>
        <v>267.765729405049</v>
      </c>
      <c r="E18" s="13" t="n">
        <f aca="false">E4+E16</f>
        <v>297.348666752872</v>
      </c>
      <c r="F18" s="13" t="n">
        <f aca="false">F4+F16</f>
        <v>308.910550770756</v>
      </c>
      <c r="G18" s="13" t="n">
        <f aca="false">G4+G16</f>
        <v>270.117981428991</v>
      </c>
      <c r="H18" s="13" t="n">
        <f aca="false">H4+H16</f>
        <v>195.470759977292</v>
      </c>
      <c r="I18" s="13" t="n">
        <f aca="false">I4+I16</f>
        <v>251.830934179813</v>
      </c>
      <c r="J18" s="13" t="n">
        <f aca="false">J4+J16</f>
        <v>270.117981428991</v>
      </c>
      <c r="K18" s="13" t="n">
        <f aca="false">K4+K16</f>
        <v>160.594767713018</v>
      </c>
      <c r="L18" s="13" t="n">
        <f aca="false">L4+L16</f>
        <v>156.031097158362</v>
      </c>
    </row>
    <row r="19" customFormat="false" ht="15" hidden="false" customHeight="false" outlineLevel="0" collapsed="false">
      <c r="A19" s="6" t="s">
        <v>704</v>
      </c>
      <c r="C19" s="13" t="n">
        <f aca="false">C14+C17</f>
        <v>99.34</v>
      </c>
      <c r="D19" s="13" t="n">
        <f aca="false">D14+D17</f>
        <v>227.059011794927</v>
      </c>
      <c r="E19" s="13" t="n">
        <f aca="false">E14+E17</f>
        <v>245.621011680631</v>
      </c>
      <c r="F19" s="13" t="n">
        <f aca="false">F14+F17</f>
        <v>253.945097120929</v>
      </c>
      <c r="G19" s="13" t="n">
        <f aca="false">G14+G17</f>
        <v>229.37598003851</v>
      </c>
      <c r="H19" s="13" t="n">
        <f aca="false">H14+H17</f>
        <v>145.421076043654</v>
      </c>
      <c r="I19" s="13" t="n">
        <f aca="false">I14+I17</f>
        <v>197.835694899762</v>
      </c>
      <c r="J19" s="13" t="n">
        <f aca="false">J14+J17</f>
        <v>229.37598003851</v>
      </c>
      <c r="K19" s="13" t="n">
        <f aca="false">K14+K17</f>
        <v>112.173403527243</v>
      </c>
      <c r="L19" s="13" t="n">
        <f aca="false">L14+L17</f>
        <v>105.637166000433</v>
      </c>
    </row>
    <row r="20" customFormat="false" ht="15" hidden="false" customHeight="false" outlineLevel="0" collapsed="false">
      <c r="A20" s="6" t="s">
        <v>705</v>
      </c>
      <c r="B20" s="13" t="n">
        <f aca="false">SUM(Q!B12:E12)</f>
        <v>8.539</v>
      </c>
      <c r="C20" s="13" t="n">
        <f aca="false">Q!J12</f>
        <v>84.969</v>
      </c>
      <c r="D20" s="13" t="n">
        <f aca="false">(D19+rf*C26)*(1-tax)</f>
        <v>194.173404966713</v>
      </c>
      <c r="E20" s="13" t="n">
        <f aca="false">(E19+rf*D26)*(1-tax)</f>
        <v>210.887499495708</v>
      </c>
      <c r="F20" s="13" t="n">
        <f aca="false">(F19+rf*D26)*(1-tax)</f>
        <v>217.92135169276</v>
      </c>
      <c r="G20" s="13" t="n">
        <f aca="false">(G19+rf*C26)*(1-tax)</f>
        <v>196.131243132541</v>
      </c>
      <c r="H20" s="13" t="n">
        <f aca="false">(H19+rf*G26)*(1-tax)</f>
        <v>126.231788868464</v>
      </c>
      <c r="I20" s="13" t="n">
        <f aca="false">(I19+rf*G26)*(1-tax)</f>
        <v>170.522141801875</v>
      </c>
      <c r="J20" s="13" t="n">
        <f aca="false">(J19+rf*C26)*(1-tax)</f>
        <v>196.131243132541</v>
      </c>
      <c r="K20" s="13" t="n">
        <f aca="false">(K19+rf*J26)*(1-tax)</f>
        <v>98.137505592096</v>
      </c>
      <c r="L20" s="13" t="n">
        <f aca="false">(L19+rf*J26)*(1-tax)</f>
        <v>92.6143848819423</v>
      </c>
      <c r="M20" s="6" t="s">
        <v>706</v>
      </c>
    </row>
    <row r="21" customFormat="false" ht="15" hidden="false" customHeight="false" outlineLevel="0" collapsed="false">
      <c r="A21" s="6" t="s">
        <v>707</v>
      </c>
      <c r="C21" s="13" t="n">
        <f aca="false">cap_0</f>
        <v>27.367</v>
      </c>
      <c r="D21" s="13" t="n">
        <f aca="false">cap_1</f>
        <v>55</v>
      </c>
      <c r="E21" s="13" t="n">
        <f aca="false">cap_2</f>
        <v>60</v>
      </c>
      <c r="F21" s="13" t="n">
        <f aca="false">cap_3</f>
        <v>60</v>
      </c>
      <c r="G21" s="13" t="n">
        <f aca="false">cap_1</f>
        <v>55</v>
      </c>
      <c r="H21" s="13" t="n">
        <f aca="false">cap_2</f>
        <v>60</v>
      </c>
      <c r="I21" s="13" t="n">
        <f aca="false">cap_3</f>
        <v>60</v>
      </c>
      <c r="J21" s="13" t="n">
        <f aca="false">cap_1</f>
        <v>55</v>
      </c>
      <c r="K21" s="13" t="n">
        <f aca="false">cap_2</f>
        <v>60</v>
      </c>
      <c r="L21" s="13" t="n">
        <f aca="false">cap_3</f>
        <v>60</v>
      </c>
    </row>
    <row r="22" customFormat="false" ht="15" hidden="false" customHeight="false" outlineLevel="0" collapsed="false">
      <c r="A22" s="6" t="s">
        <v>708</v>
      </c>
      <c r="C22" s="13" t="n">
        <f aca="false">C20+C10-C21</f>
        <v>67.105</v>
      </c>
      <c r="D22" s="13" t="n">
        <f aca="false">D20+D10-D21</f>
        <v>152.249204966713</v>
      </c>
      <c r="E22" s="13" t="n">
        <f aca="false">E20+E10-E21</f>
        <v>172.348139495708</v>
      </c>
      <c r="F22" s="13" t="n">
        <f aca="false">F20+F10-F21</f>
        <v>179.38199169276</v>
      </c>
      <c r="G22" s="13" t="n">
        <f aca="false">G20+G10-G21</f>
        <v>154.207043132541</v>
      </c>
      <c r="H22" s="13" t="n">
        <f aca="false">H20+H10-H21</f>
        <v>87.6924288684637</v>
      </c>
      <c r="I22" s="13" t="n">
        <f aca="false">I20+I10-I21</f>
        <v>131.982781801875</v>
      </c>
      <c r="J22" s="13" t="n">
        <f aca="false">J20+J10-J21</f>
        <v>154.207043132541</v>
      </c>
      <c r="K22" s="13" t="n">
        <f aca="false">K20+K10-K21</f>
        <v>59.598145592096</v>
      </c>
      <c r="L22" s="13" t="n">
        <f aca="false">L20+L10-L21</f>
        <v>54.0750248819423</v>
      </c>
    </row>
    <row r="23" customFormat="false" ht="15" hidden="false" customHeight="false" outlineLevel="0" collapsed="false">
      <c r="A23" s="6" t="s">
        <v>709</v>
      </c>
      <c r="C23" s="13" t="n">
        <f aca="false">div_0</f>
        <v>0</v>
      </c>
      <c r="D23" s="13" t="n">
        <f aca="false">dps_1*C27/1000</f>
        <v>0.67764</v>
      </c>
      <c r="E23" s="13" t="n">
        <f aca="false">dps_2*D27/1000</f>
        <v>0.733013917958799</v>
      </c>
      <c r="F23" s="13" t="n">
        <f aca="false">dps_3*D27/1000</f>
        <v>0.865363653145804</v>
      </c>
      <c r="G23" s="13" t="n">
        <f aca="false">dps_1*C27/1000</f>
        <v>0.67764</v>
      </c>
      <c r="H23" s="13" t="n">
        <f aca="false">dps_2*G27/1000</f>
        <v>0.73197741540042</v>
      </c>
      <c r="I23" s="13" t="n">
        <f aca="false">dps_3*G27/1000</f>
        <v>0.864140004292162</v>
      </c>
      <c r="J23" s="13" t="n">
        <f aca="false">dps_1*C27/1000</f>
        <v>0.67764</v>
      </c>
      <c r="K23" s="13" t="n">
        <f aca="false">dps_2*J27/1000</f>
        <v>0.73197741540042</v>
      </c>
      <c r="L23" s="13" t="n">
        <f aca="false">dps_3*J27/1000</f>
        <v>0.864140004292162</v>
      </c>
    </row>
    <row r="24" customFormat="false" ht="15" hidden="false" customHeight="false" outlineLevel="0" collapsed="false">
      <c r="A24" s="6" t="s">
        <v>710</v>
      </c>
      <c r="C24" s="13" t="n">
        <f aca="false">bb_0</f>
        <v>0</v>
      </c>
      <c r="D24" s="13" t="n">
        <f aca="false">MAX(0,payout*D22-D23)</f>
        <v>121.121723973371</v>
      </c>
      <c r="E24" s="13" t="n">
        <f aca="false">MAX(0,payout*E22-E23)</f>
        <v>137.145497678608</v>
      </c>
      <c r="F24" s="13" t="n">
        <f aca="false">MAX(0,payout*F22-F23)</f>
        <v>142.640229701062</v>
      </c>
      <c r="G24" s="13" t="n">
        <f aca="false">MAX(0,payout*G22-G23)</f>
        <v>122.687994506033</v>
      </c>
      <c r="H24" s="13" t="n">
        <f aca="false">MAX(0,payout*H22-H23)</f>
        <v>69.4219656793706</v>
      </c>
      <c r="I24" s="13" t="n">
        <f aca="false">MAX(0,payout*I22-I23)</f>
        <v>104.722085437208</v>
      </c>
      <c r="J24" s="13" t="n">
        <f aca="false">MAX(0,payout*J22-J23)</f>
        <v>122.687994506033</v>
      </c>
      <c r="K24" s="13" t="n">
        <f aca="false">MAX(0,payout*K22-K23)</f>
        <v>46.9465390582764</v>
      </c>
      <c r="L24" s="13" t="n">
        <f aca="false">MAX(0,payout*L22-L23)</f>
        <v>42.3958799012616</v>
      </c>
      <c r="M24" s="6" t="s">
        <v>711</v>
      </c>
    </row>
    <row r="25" customFormat="false" ht="15" hidden="false" customHeight="false" outlineLevel="0" collapsed="false">
      <c r="A25" s="6" t="s">
        <v>712</v>
      </c>
      <c r="C25" s="13" t="n">
        <f aca="false">eq_last+(0)+extra_eq-C24-C23</f>
        <v>138.378</v>
      </c>
      <c r="D25" s="13" t="n">
        <f aca="false">C25+D20-D23-D24</f>
        <v>210.752040993343</v>
      </c>
      <c r="E25" s="13" t="n">
        <f aca="false">D25+E20-E23-E24</f>
        <v>283.761028892484</v>
      </c>
      <c r="F25" s="13" t="n">
        <f aca="false">D25+F20-F23-F24</f>
        <v>285.167799331895</v>
      </c>
      <c r="G25" s="13" t="n">
        <f aca="false">C25+G20-G23-G24</f>
        <v>211.143608626508</v>
      </c>
      <c r="H25" s="13" t="n">
        <f aca="false">G25+H20-H23-H24</f>
        <v>267.221454400201</v>
      </c>
      <c r="I25" s="13" t="n">
        <f aca="false">G25+I20-I23-I24</f>
        <v>276.079524986883</v>
      </c>
      <c r="J25" s="13" t="n">
        <f aca="false">C25+J20-J23-J24</f>
        <v>211.143608626508</v>
      </c>
      <c r="K25" s="13" t="n">
        <f aca="false">J25+K20-K23-K24</f>
        <v>261.602597744927</v>
      </c>
      <c r="L25" s="13" t="n">
        <f aca="false">J25+L20-L23-L24</f>
        <v>260.497973602897</v>
      </c>
    </row>
    <row r="26" customFormat="false" ht="15" hidden="false" customHeight="false" outlineLevel="0" collapsed="false">
      <c r="A26" s="6" t="s">
        <v>713</v>
      </c>
      <c r="C26" s="13" t="n">
        <f aca="false">nc_last+(0)+(0)-capex_rem+extra_eq-C24-C23</f>
        <v>68.3</v>
      </c>
      <c r="D26" s="13" t="n">
        <f aca="false">C26+D22-D23-D24</f>
        <v>98.7498409933427</v>
      </c>
      <c r="E26" s="13" t="n">
        <f aca="false">D26+E22-E23-E24</f>
        <v>133.219468892484</v>
      </c>
      <c r="F26" s="13" t="n">
        <f aca="false">D26+F22-F23-F24</f>
        <v>134.626239331895</v>
      </c>
      <c r="G26" s="13" t="n">
        <f aca="false">C26+G22-G23-G24</f>
        <v>99.1414086265081</v>
      </c>
      <c r="H26" s="13" t="n">
        <f aca="false">G26+H22-H23-H24</f>
        <v>116.679894400201</v>
      </c>
      <c r="I26" s="13" t="n">
        <f aca="false">G26+I22-I23-I24</f>
        <v>125.537964986883</v>
      </c>
      <c r="J26" s="13" t="n">
        <f aca="false">C26+J22-J23-J24</f>
        <v>99.1414086265081</v>
      </c>
      <c r="K26" s="13" t="n">
        <f aca="false">J26+K22-K23-K24</f>
        <v>111.061037744927</v>
      </c>
      <c r="L26" s="13" t="n">
        <f aca="false">J26+L22-L23-L24</f>
        <v>109.956413602897</v>
      </c>
    </row>
    <row r="27" customFormat="false" ht="15" hidden="false" customHeight="false" outlineLevel="0" collapsed="false">
      <c r="A27" s="6" t="s">
        <v>714</v>
      </c>
      <c r="C27" s="13" t="n">
        <f aca="false">sh_last+extra_sh-bb_sh_0</f>
        <v>1129.4</v>
      </c>
      <c r="D27" s="13" t="n">
        <f aca="false">C27-D24/bb_px*1000</f>
        <v>1018.07488605389</v>
      </c>
      <c r="E27" s="13" t="n">
        <f aca="false">D27-E24/bb_px*1000</f>
        <v>892.022038922814</v>
      </c>
      <c r="F27" s="13" t="n">
        <f aca="false">D27-F24/bb_px*1000</f>
        <v>886.971733755117</v>
      </c>
      <c r="G27" s="13" t="n">
        <f aca="false">C27-G24/bb_px*1000</f>
        <v>1016.63529916725</v>
      </c>
      <c r="H27" s="13" t="n">
        <f aca="false">G27-H24/bb_px*1000</f>
        <v>952.828345417828</v>
      </c>
      <c r="I27" s="13" t="n">
        <f aca="false">G27-I24/bb_px*1000</f>
        <v>920.38338240511</v>
      </c>
      <c r="J27" s="13" t="n">
        <f aca="false">C27-J24/bb_px*1000</f>
        <v>1016.63529916725</v>
      </c>
      <c r="K27" s="13" t="n">
        <f aca="false">J27-K24/bb_px*1000</f>
        <v>973.485906650452</v>
      </c>
      <c r="L27" s="13" t="n">
        <f aca="false">J27-L24/bb_px*1000</f>
        <v>977.668497787414</v>
      </c>
    </row>
    <row r="28" customFormat="false" ht="15" hidden="false" customHeight="false" outlineLevel="0" collapsed="false">
      <c r="A28" s="6" t="s">
        <v>715</v>
      </c>
      <c r="C28" s="16" t="n">
        <f aca="false">C25/C27*1000</f>
        <v>122.523463786081</v>
      </c>
      <c r="D28" s="16" t="n">
        <f aca="false">D25/D27*1000</f>
        <v>207.010352460641</v>
      </c>
      <c r="E28" s="16" t="n">
        <f aca="false">E25/E27*1000</f>
        <v>318.109885754782</v>
      </c>
      <c r="F28" s="16" t="n">
        <f aca="false">F25/F27*1000</f>
        <v>321.507200826567</v>
      </c>
      <c r="G28" s="16" t="n">
        <f aca="false">G25/G27*1000</f>
        <v>207.688645868839</v>
      </c>
      <c r="H28" s="16" t="n">
        <f aca="false">H25/H27*1000</f>
        <v>280.450781806896</v>
      </c>
      <c r="I28" s="16" t="n">
        <f aca="false">I25/I27*1000</f>
        <v>299.961440270078</v>
      </c>
      <c r="J28" s="16" t="n">
        <f aca="false">J25/J27*1000</f>
        <v>207.688645868839</v>
      </c>
      <c r="K28" s="16" t="n">
        <f aca="false">K25/K27*1000</f>
        <v>268.727668225875</v>
      </c>
      <c r="L28" s="16" t="n">
        <f aca="false">L25/L27*1000</f>
        <v>266.448161306656</v>
      </c>
    </row>
    <row r="29" customFormat="false" ht="15" hidden="false" customHeight="false" outlineLevel="0" collapsed="false">
      <c r="A29" s="6" t="s">
        <v>716</v>
      </c>
      <c r="C29" s="16" t="n">
        <f aca="false">C20/C27*1000</f>
        <v>75.2337524349212</v>
      </c>
      <c r="D29" s="16" t="n">
        <f aca="false">D20/D27*1000</f>
        <v>190.72605328606</v>
      </c>
      <c r="E29" s="16" t="n">
        <f aca="false">E20/E27*1000</f>
        <v>236.415122377886</v>
      </c>
      <c r="F29" s="16" t="n">
        <f aca="false">F20/F27*1000</f>
        <v>245.691427809272</v>
      </c>
      <c r="G29" s="16" t="n">
        <f aca="false">G20/G27*1000</f>
        <v>192.921929125613</v>
      </c>
      <c r="H29" s="16" t="n">
        <f aca="false">H20/H27*1000</f>
        <v>132.481143613658</v>
      </c>
      <c r="I29" s="16" t="n">
        <f aca="false">I20/I27*1000</f>
        <v>185.272947188891</v>
      </c>
      <c r="J29" s="16" t="n">
        <f aca="false">J20/J27*1000</f>
        <v>192.921929125613</v>
      </c>
      <c r="K29" s="16" t="n">
        <f aca="false">K20/K27*1000</f>
        <v>100.810402001366</v>
      </c>
      <c r="L29" s="16" t="n">
        <f aca="false">L20/L27*1000</f>
        <v>94.7298446165957</v>
      </c>
    </row>
    <row r="30" customFormat="false" ht="15" hidden="false" customHeight="false" outlineLevel="0" collapsed="false">
      <c r="A30" s="0" t="s">
        <v>717</v>
      </c>
      <c r="C30" s="11" t="n">
        <f aca="false">C20/C25</f>
        <v>0.614035468065733</v>
      </c>
      <c r="D30" s="11" t="n">
        <f aca="false">D20/D25</f>
        <v>0.921335822189484</v>
      </c>
      <c r="E30" s="11" t="n">
        <f aca="false">E20/E25</f>
        <v>0.743186970807089</v>
      </c>
      <c r="F30" s="11" t="n">
        <f aca="false">F20/F25</f>
        <v>0.764186392023634</v>
      </c>
      <c r="G30" s="11" t="n">
        <f aca="false">G20/G25</f>
        <v>0.928899739889722</v>
      </c>
      <c r="H30" s="11" t="n">
        <f aca="false">H20/H25</f>
        <v>0.472386430018505</v>
      </c>
      <c r="I30" s="11" t="n">
        <f aca="false">I20/I25</f>
        <v>0.617655879442622</v>
      </c>
      <c r="J30" s="11" t="n">
        <f aca="false">J20/J25</f>
        <v>0.928899739889722</v>
      </c>
      <c r="K30" s="11" t="n">
        <f aca="false">K20/K25</f>
        <v>0.37513964478206</v>
      </c>
      <c r="L30" s="11" t="n">
        <f aca="false">L20/L25</f>
        <v>0.355528235406252</v>
      </c>
    </row>
    <row r="31" customFormat="false" ht="15" hidden="false" customHeight="false" outlineLevel="0" collapsed="false">
      <c r="A31" s="0" t="s">
        <v>718</v>
      </c>
      <c r="C31" s="10" t="n">
        <f aca="false">(Mkt!C24/4*sh25+Mkt!D24/4*sh26+Mkt!D24/4*sh26+Mkt!D24/4*sh26)</f>
        <v>0.655852559558824</v>
      </c>
      <c r="D31" s="10" t="n">
        <f aca="false">(Mkt!D24/4*sh26+Mkt!E24/4*sh27+Mkt!E24/4*sh27+Mkt!E24/4*sh27)</f>
        <v>1.0591546</v>
      </c>
      <c r="E31" s="10" t="n">
        <f aca="false">(Mkt!E24/4*sh27+Mkt!F24/4*sh28+Mkt!F24/4*sh28+Mkt!F24/4*sh28)</f>
        <v>1.568399914375</v>
      </c>
      <c r="F31" s="10" t="n">
        <f aca="false">(Mkt!F24/4*sh28+Mkt!G24/4*sh29+Mkt!G24/4*sh29+Mkt!G24/4*sh29)</f>
        <v>2.14665577065625</v>
      </c>
      <c r="G31" s="10" t="n">
        <f aca="false">(Mkt!D25/4*sh26+Mkt!E25/4*sh27+Mkt!E25/4*sh27+Mkt!E25/4*sh27)</f>
        <v>1.0591546</v>
      </c>
      <c r="H31" s="10" t="n">
        <f aca="false">(Mkt!E25/4*sh27+Mkt!F25/4*sh28+Mkt!F25/4*sh28+Mkt!F25/4*sh28)</f>
        <v>1.5266028625</v>
      </c>
      <c r="I31" s="10" t="n">
        <f aca="false">(Mkt!F25/4*sh28+Mkt!G25/4*sh29+Mkt!G25/4*sh29+Mkt!G25/4*sh29)</f>
        <v>2.114842525</v>
      </c>
      <c r="J31" s="10" t="n">
        <f aca="false">(Mkt!D26/4*sh26+Mkt!E26/4*sh27+Mkt!E26/4*sh27+Mkt!E26/4*sh27)</f>
        <v>1.0591546</v>
      </c>
      <c r="K31" s="10" t="n">
        <f aca="false">(Mkt!E26/4*sh27+Mkt!F26/4*sh28+Mkt!F26/4*sh28+Mkt!F26/4*sh28)</f>
        <v>1.2182418625</v>
      </c>
      <c r="L31" s="10" t="n">
        <f aca="false">(Mkt!F26/4*sh28+Mkt!G26/4*sh29+Mkt!G26/4*sh29+Mkt!G26/4*sh29)</f>
        <v>1.5109689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0" t="s">
        <v>719</v>
      </c>
    </row>
    <row r="3" customFormat="false" ht="15" hidden="false" customHeight="false" outlineLevel="0" collapsed="false">
      <c r="A3" s="4" t="s">
        <v>720</v>
      </c>
      <c r="B3" s="4" t="s">
        <v>721</v>
      </c>
      <c r="C3" s="4" t="s">
        <v>25</v>
      </c>
      <c r="D3" s="4" t="s">
        <v>574</v>
      </c>
      <c r="E3" s="4" t="s">
        <v>722</v>
      </c>
      <c r="F3" s="4" t="s">
        <v>723</v>
      </c>
      <c r="G3" s="4" t="s">
        <v>724</v>
      </c>
    </row>
    <row r="4" customFormat="false" ht="15" hidden="false" customHeight="false" outlineLevel="0" collapsed="false">
      <c r="A4" s="0" t="s">
        <v>186</v>
      </c>
      <c r="B4" s="0" t="n">
        <f aca="false">pb_1</f>
        <v>1</v>
      </c>
      <c r="C4" s="0" t="s">
        <v>725</v>
      </c>
      <c r="D4" s="6" t="s">
        <v>726</v>
      </c>
      <c r="E4" s="16" t="n">
        <f aca="false">Y!C28</f>
        <v>122.523463786081</v>
      </c>
      <c r="F4" s="16" t="n">
        <f aca="false">B4*E4</f>
        <v>122.523463786081</v>
      </c>
      <c r="G4" s="11" t="n">
        <f aca="false">F4/px-1</f>
        <v>-0.88738652225544</v>
      </c>
    </row>
    <row r="5" customFormat="false" ht="15" hidden="false" customHeight="false" outlineLevel="0" collapsed="false">
      <c r="A5" s="0" t="s">
        <v>727</v>
      </c>
      <c r="B5" s="0" t="n">
        <f aca="false">pb_2</f>
        <v>1.4</v>
      </c>
      <c r="C5" s="0" t="s">
        <v>725</v>
      </c>
      <c r="D5" s="6" t="s">
        <v>726</v>
      </c>
      <c r="E5" s="16" t="n">
        <f aca="false">Y!C28</f>
        <v>122.523463786081</v>
      </c>
      <c r="F5" s="16" t="n">
        <f aca="false">B5*E5</f>
        <v>171.532849300514</v>
      </c>
      <c r="G5" s="11" t="n">
        <f aca="false">F5/px-1</f>
        <v>-0.842341131157616</v>
      </c>
    </row>
    <row r="6" customFormat="false" ht="15" hidden="false" customHeight="false" outlineLevel="0" collapsed="false">
      <c r="A6" s="0" t="s">
        <v>728</v>
      </c>
      <c r="B6" s="0" t="n">
        <f aca="false">pb_3</f>
        <v>3</v>
      </c>
      <c r="C6" s="0" t="s">
        <v>725</v>
      </c>
      <c r="D6" s="6" t="s">
        <v>726</v>
      </c>
      <c r="E6" s="16" t="n">
        <f aca="false">Y!C28</f>
        <v>122.523463786081</v>
      </c>
      <c r="F6" s="16" t="n">
        <f aca="false">B6*E6</f>
        <v>367.570391358243</v>
      </c>
      <c r="G6" s="11" t="n">
        <f aca="false">F6/px-1</f>
        <v>-0.662159566766321</v>
      </c>
    </row>
    <row r="7" customFormat="false" ht="15" hidden="false" customHeight="false" outlineLevel="0" collapsed="false">
      <c r="A7" s="0" t="s">
        <v>186</v>
      </c>
      <c r="B7" s="0" t="n">
        <f aca="false">pb_1</f>
        <v>1</v>
      </c>
      <c r="C7" s="0" t="s">
        <v>729</v>
      </c>
      <c r="D7" s="0" t="s">
        <v>596</v>
      </c>
      <c r="E7" s="16" t="n">
        <f aca="false">Y!D28</f>
        <v>207.010352460641</v>
      </c>
      <c r="F7" s="16" t="n">
        <f aca="false">B7*E7</f>
        <v>207.010352460641</v>
      </c>
      <c r="G7" s="11" t="n">
        <f aca="false">F7/px-1</f>
        <v>-0.809733131929558</v>
      </c>
    </row>
    <row r="8" customFormat="false" ht="15" hidden="false" customHeight="false" outlineLevel="0" collapsed="false">
      <c r="A8" s="0" t="s">
        <v>727</v>
      </c>
      <c r="B8" s="0" t="n">
        <f aca="false">pb_2</f>
        <v>1.4</v>
      </c>
      <c r="C8" s="0" t="s">
        <v>729</v>
      </c>
      <c r="D8" s="0" t="s">
        <v>596</v>
      </c>
      <c r="E8" s="16" t="n">
        <f aca="false">Y!D28</f>
        <v>207.010352460641</v>
      </c>
      <c r="F8" s="16" t="n">
        <f aca="false">B8*E8</f>
        <v>289.814493444898</v>
      </c>
      <c r="G8" s="11" t="n">
        <f aca="false">F8/px-1</f>
        <v>-0.733626384701381</v>
      </c>
    </row>
    <row r="9" customFormat="false" ht="15" hidden="false" customHeight="false" outlineLevel="0" collapsed="false">
      <c r="A9" s="0" t="s">
        <v>728</v>
      </c>
      <c r="B9" s="0" t="n">
        <f aca="false">pb_3</f>
        <v>3</v>
      </c>
      <c r="C9" s="0" t="s">
        <v>729</v>
      </c>
      <c r="D9" s="0" t="s">
        <v>596</v>
      </c>
      <c r="E9" s="16" t="n">
        <f aca="false">Y!D28</f>
        <v>207.010352460641</v>
      </c>
      <c r="F9" s="16" t="n">
        <f aca="false">B9*E9</f>
        <v>621.031057381924</v>
      </c>
      <c r="G9" s="11" t="n">
        <f aca="false">F9/px-1</f>
        <v>-0.429199395788673</v>
      </c>
    </row>
    <row r="10" customFormat="false" ht="15" hidden="false" customHeight="false" outlineLevel="0" collapsed="false">
      <c r="A10" s="0" t="s">
        <v>186</v>
      </c>
      <c r="B10" s="0" t="n">
        <f aca="false">pb_1</f>
        <v>1</v>
      </c>
      <c r="C10" s="0" t="s">
        <v>729</v>
      </c>
      <c r="D10" s="0" t="s">
        <v>597</v>
      </c>
      <c r="E10" s="16" t="n">
        <f aca="false">Y!G28</f>
        <v>207.688645868839</v>
      </c>
      <c r="F10" s="16" t="n">
        <f aca="false">B10*E10</f>
        <v>207.688645868839</v>
      </c>
      <c r="G10" s="11" t="n">
        <f aca="false">F10/px-1</f>
        <v>-0.8091097004882</v>
      </c>
    </row>
    <row r="11" customFormat="false" ht="15" hidden="false" customHeight="false" outlineLevel="0" collapsed="false">
      <c r="A11" s="0" t="s">
        <v>727</v>
      </c>
      <c r="B11" s="0" t="n">
        <f aca="false">pb_2</f>
        <v>1.4</v>
      </c>
      <c r="C11" s="0" t="s">
        <v>729</v>
      </c>
      <c r="D11" s="0" t="s">
        <v>597</v>
      </c>
      <c r="E11" s="16" t="n">
        <f aca="false">Y!G28</f>
        <v>207.688645868839</v>
      </c>
      <c r="F11" s="16" t="n">
        <f aca="false">B11*E11</f>
        <v>290.764104216375</v>
      </c>
      <c r="G11" s="11" t="n">
        <f aca="false">F11/px-1</f>
        <v>-0.732753580683479</v>
      </c>
    </row>
    <row r="12" customFormat="false" ht="15" hidden="false" customHeight="false" outlineLevel="0" collapsed="false">
      <c r="A12" s="0" t="s">
        <v>728</v>
      </c>
      <c r="B12" s="0" t="n">
        <f aca="false">pb_3</f>
        <v>3</v>
      </c>
      <c r="C12" s="0" t="s">
        <v>729</v>
      </c>
      <c r="D12" s="0" t="s">
        <v>597</v>
      </c>
      <c r="E12" s="16" t="n">
        <f aca="false">Y!G28</f>
        <v>207.688645868839</v>
      </c>
      <c r="F12" s="16" t="n">
        <f aca="false">B12*E12</f>
        <v>623.065937606517</v>
      </c>
      <c r="G12" s="11" t="n">
        <f aca="false">F12/px-1</f>
        <v>-0.427329101464598</v>
      </c>
    </row>
    <row r="13" customFormat="false" ht="15" hidden="false" customHeight="false" outlineLevel="0" collapsed="false">
      <c r="A13" s="0" t="s">
        <v>186</v>
      </c>
      <c r="B13" s="0" t="n">
        <f aca="false">pb_1</f>
        <v>1</v>
      </c>
      <c r="C13" s="0" t="s">
        <v>729</v>
      </c>
      <c r="D13" s="0" t="s">
        <v>598</v>
      </c>
      <c r="E13" s="16" t="n">
        <f aca="false">Y!J28</f>
        <v>207.688645868839</v>
      </c>
      <c r="F13" s="16" t="n">
        <f aca="false">B13*E13</f>
        <v>207.688645868839</v>
      </c>
      <c r="G13" s="11" t="n">
        <f aca="false">F13/px-1</f>
        <v>-0.8091097004882</v>
      </c>
    </row>
    <row r="14" customFormat="false" ht="15" hidden="false" customHeight="false" outlineLevel="0" collapsed="false">
      <c r="A14" s="0" t="s">
        <v>727</v>
      </c>
      <c r="B14" s="0" t="n">
        <f aca="false">pb_2</f>
        <v>1.4</v>
      </c>
      <c r="C14" s="0" t="s">
        <v>729</v>
      </c>
      <c r="D14" s="0" t="s">
        <v>598</v>
      </c>
      <c r="E14" s="16" t="n">
        <f aca="false">Y!J28</f>
        <v>207.688645868839</v>
      </c>
      <c r="F14" s="16" t="n">
        <f aca="false">B14*E14</f>
        <v>290.764104216375</v>
      </c>
      <c r="G14" s="11" t="n">
        <f aca="false">F14/px-1</f>
        <v>-0.732753580683479</v>
      </c>
    </row>
    <row r="15" customFormat="false" ht="15" hidden="false" customHeight="false" outlineLevel="0" collapsed="false">
      <c r="A15" s="0" t="s">
        <v>728</v>
      </c>
      <c r="B15" s="0" t="n">
        <f aca="false">pb_3</f>
        <v>3</v>
      </c>
      <c r="C15" s="0" t="s">
        <v>729</v>
      </c>
      <c r="D15" s="0" t="s">
        <v>598</v>
      </c>
      <c r="E15" s="16" t="n">
        <f aca="false">Y!J28</f>
        <v>207.688645868839</v>
      </c>
      <c r="F15" s="16" t="n">
        <f aca="false">B15*E15</f>
        <v>623.065937606517</v>
      </c>
      <c r="G15" s="11" t="n">
        <f aca="false">F15/px-1</f>
        <v>-0.427329101464598</v>
      </c>
    </row>
    <row r="16" customFormat="false" ht="15" hidden="false" customHeight="false" outlineLevel="0" collapsed="false">
      <c r="A16" s="0" t="s">
        <v>186</v>
      </c>
      <c r="B16" s="0" t="n">
        <f aca="false">pb_1</f>
        <v>1</v>
      </c>
      <c r="C16" s="0" t="s">
        <v>730</v>
      </c>
      <c r="D16" s="0" t="s">
        <v>596</v>
      </c>
      <c r="E16" s="16" t="n">
        <f aca="false">Y!E28</f>
        <v>318.109885754782</v>
      </c>
      <c r="F16" s="16" t="n">
        <f aca="false">B16*E16</f>
        <v>318.109885754782</v>
      </c>
      <c r="G16" s="11" t="n">
        <f aca="false">F16/px-1</f>
        <v>-0.707619590298914</v>
      </c>
    </row>
    <row r="17" customFormat="false" ht="15" hidden="false" customHeight="false" outlineLevel="0" collapsed="false">
      <c r="A17" s="0" t="s">
        <v>727</v>
      </c>
      <c r="B17" s="0" t="n">
        <f aca="false">pb_2</f>
        <v>1.4</v>
      </c>
      <c r="C17" s="0" t="s">
        <v>730</v>
      </c>
      <c r="D17" s="0" t="s">
        <v>596</v>
      </c>
      <c r="E17" s="16" t="n">
        <f aca="false">Y!E28</f>
        <v>318.109885754782</v>
      </c>
      <c r="F17" s="16" t="n">
        <f aca="false">B17*E17</f>
        <v>445.353840056695</v>
      </c>
      <c r="G17" s="11" t="n">
        <f aca="false">F17/px-1</f>
        <v>-0.590667426418479</v>
      </c>
    </row>
    <row r="18" customFormat="false" ht="15" hidden="false" customHeight="false" outlineLevel="0" collapsed="false">
      <c r="A18" s="0" t="s">
        <v>728</v>
      </c>
      <c r="B18" s="0" t="n">
        <f aca="false">pb_3</f>
        <v>3</v>
      </c>
      <c r="C18" s="0" t="s">
        <v>730</v>
      </c>
      <c r="D18" s="0" t="s">
        <v>596</v>
      </c>
      <c r="E18" s="16" t="n">
        <f aca="false">Y!E28</f>
        <v>318.109885754782</v>
      </c>
      <c r="F18" s="16" t="n">
        <f aca="false">B18*E18</f>
        <v>954.329657264347</v>
      </c>
      <c r="G18" s="11" t="n">
        <f aca="false">F18/px-1</f>
        <v>-0.12285877089674</v>
      </c>
    </row>
    <row r="19" customFormat="false" ht="15" hidden="false" customHeight="false" outlineLevel="0" collapsed="false">
      <c r="A19" s="0" t="s">
        <v>186</v>
      </c>
      <c r="B19" s="0" t="n">
        <f aca="false">pb_1</f>
        <v>1</v>
      </c>
      <c r="C19" s="0" t="s">
        <v>730</v>
      </c>
      <c r="D19" s="0" t="s">
        <v>597</v>
      </c>
      <c r="E19" s="16" t="n">
        <f aca="false">Y!H28</f>
        <v>280.450781806896</v>
      </c>
      <c r="F19" s="16" t="n">
        <f aca="false">B19*E19</f>
        <v>280.450781806896</v>
      </c>
      <c r="G19" s="11" t="n">
        <f aca="false">F19/px-1</f>
        <v>-0.742232737309838</v>
      </c>
    </row>
    <row r="20" customFormat="false" ht="15" hidden="false" customHeight="false" outlineLevel="0" collapsed="false">
      <c r="A20" s="0" t="s">
        <v>727</v>
      </c>
      <c r="B20" s="0" t="n">
        <f aca="false">pb_2</f>
        <v>1.4</v>
      </c>
      <c r="C20" s="0" t="s">
        <v>730</v>
      </c>
      <c r="D20" s="0" t="s">
        <v>597</v>
      </c>
      <c r="E20" s="16" t="n">
        <f aca="false">Y!H28</f>
        <v>280.450781806896</v>
      </c>
      <c r="F20" s="16" t="n">
        <f aca="false">B20*E20</f>
        <v>392.631094529654</v>
      </c>
      <c r="G20" s="11" t="n">
        <f aca="false">F20/px-1</f>
        <v>-0.639125832233774</v>
      </c>
    </row>
    <row r="21" customFormat="false" ht="15" hidden="false" customHeight="false" outlineLevel="0" collapsed="false">
      <c r="A21" s="0" t="s">
        <v>728</v>
      </c>
      <c r="B21" s="0" t="n">
        <f aca="false">pb_3</f>
        <v>3</v>
      </c>
      <c r="C21" s="0" t="s">
        <v>730</v>
      </c>
      <c r="D21" s="0" t="s">
        <v>597</v>
      </c>
      <c r="E21" s="16" t="n">
        <f aca="false">Y!H28</f>
        <v>280.450781806896</v>
      </c>
      <c r="F21" s="16" t="n">
        <f aca="false">B21*E21</f>
        <v>841.352345420688</v>
      </c>
      <c r="G21" s="11" t="n">
        <f aca="false">F21/px-1</f>
        <v>-0.226698211929515</v>
      </c>
    </row>
    <row r="22" customFormat="false" ht="15" hidden="false" customHeight="false" outlineLevel="0" collapsed="false">
      <c r="A22" s="0" t="s">
        <v>186</v>
      </c>
      <c r="B22" s="0" t="n">
        <f aca="false">pb_1</f>
        <v>1</v>
      </c>
      <c r="C22" s="0" t="s">
        <v>730</v>
      </c>
      <c r="D22" s="0" t="s">
        <v>598</v>
      </c>
      <c r="E22" s="16" t="n">
        <f aca="false">Y!K28</f>
        <v>268.727668225875</v>
      </c>
      <c r="F22" s="16" t="n">
        <f aca="false">B22*E22</f>
        <v>268.727668225875</v>
      </c>
      <c r="G22" s="11" t="n">
        <f aca="false">F22/px-1</f>
        <v>-0.75300765788063</v>
      </c>
    </row>
    <row r="23" customFormat="false" ht="15" hidden="false" customHeight="false" outlineLevel="0" collapsed="false">
      <c r="A23" s="0" t="s">
        <v>727</v>
      </c>
      <c r="B23" s="0" t="n">
        <f aca="false">pb_2</f>
        <v>1.4</v>
      </c>
      <c r="C23" s="0" t="s">
        <v>730</v>
      </c>
      <c r="D23" s="0" t="s">
        <v>598</v>
      </c>
      <c r="E23" s="16" t="n">
        <f aca="false">Y!K28</f>
        <v>268.727668225875</v>
      </c>
      <c r="F23" s="16" t="n">
        <f aca="false">B23*E23</f>
        <v>376.218735516225</v>
      </c>
      <c r="G23" s="11" t="n">
        <f aca="false">F23/px-1</f>
        <v>-0.654210721032882</v>
      </c>
    </row>
    <row r="24" customFormat="false" ht="15" hidden="false" customHeight="false" outlineLevel="0" collapsed="false">
      <c r="A24" s="0" t="s">
        <v>728</v>
      </c>
      <c r="B24" s="0" t="n">
        <f aca="false">pb_3</f>
        <v>3</v>
      </c>
      <c r="C24" s="0" t="s">
        <v>730</v>
      </c>
      <c r="D24" s="0" t="s">
        <v>598</v>
      </c>
      <c r="E24" s="16" t="n">
        <f aca="false">Y!K28</f>
        <v>268.727668225875</v>
      </c>
      <c r="F24" s="16" t="n">
        <f aca="false">B24*E24</f>
        <v>806.183004677624</v>
      </c>
      <c r="G24" s="11" t="n">
        <f aca="false">F24/px-1</f>
        <v>-0.25902297364189</v>
      </c>
    </row>
    <row r="25" customFormat="false" ht="15" hidden="false" customHeight="false" outlineLevel="0" collapsed="false">
      <c r="A25" s="0" t="s">
        <v>186</v>
      </c>
      <c r="B25" s="0" t="n">
        <f aca="false">pb_1</f>
        <v>1</v>
      </c>
      <c r="C25" s="0" t="s">
        <v>731</v>
      </c>
      <c r="D25" s="0" t="s">
        <v>596</v>
      </c>
      <c r="E25" s="16" t="n">
        <f aca="false">Y!F28</f>
        <v>321.507200826567</v>
      </c>
      <c r="F25" s="16" t="n">
        <f aca="false">B25*E25</f>
        <v>321.507200826567</v>
      </c>
      <c r="G25" s="11" t="n">
        <f aca="false">F25/px-1</f>
        <v>-0.704497058063817</v>
      </c>
    </row>
    <row r="26" customFormat="false" ht="15" hidden="false" customHeight="false" outlineLevel="0" collapsed="false">
      <c r="A26" s="0" t="s">
        <v>727</v>
      </c>
      <c r="B26" s="0" t="n">
        <f aca="false">pb_2</f>
        <v>1.4</v>
      </c>
      <c r="C26" s="0" t="s">
        <v>731</v>
      </c>
      <c r="D26" s="0" t="s">
        <v>596</v>
      </c>
      <c r="E26" s="16" t="n">
        <f aca="false">Y!F28</f>
        <v>321.507200826567</v>
      </c>
      <c r="F26" s="16" t="n">
        <f aca="false">B26*E26</f>
        <v>450.110081157194</v>
      </c>
      <c r="G26" s="11" t="n">
        <f aca="false">F26/px-1</f>
        <v>-0.586295881289344</v>
      </c>
    </row>
    <row r="27" customFormat="false" ht="15" hidden="false" customHeight="false" outlineLevel="0" collapsed="false">
      <c r="A27" s="0" t="s">
        <v>728</v>
      </c>
      <c r="B27" s="0" t="n">
        <f aca="false">pb_3</f>
        <v>3</v>
      </c>
      <c r="C27" s="0" t="s">
        <v>731</v>
      </c>
      <c r="D27" s="0" t="s">
        <v>596</v>
      </c>
      <c r="E27" s="16" t="n">
        <f aca="false">Y!F28</f>
        <v>321.507200826567</v>
      </c>
      <c r="F27" s="16" t="n">
        <f aca="false">B27*E27</f>
        <v>964.521602479701</v>
      </c>
      <c r="G27" s="11" t="n">
        <f aca="false">F27/px-1</f>
        <v>-0.113491174191451</v>
      </c>
    </row>
    <row r="28" customFormat="false" ht="15" hidden="false" customHeight="false" outlineLevel="0" collapsed="false">
      <c r="A28" s="0" t="s">
        <v>186</v>
      </c>
      <c r="B28" s="0" t="n">
        <f aca="false">pb_1</f>
        <v>1</v>
      </c>
      <c r="C28" s="0" t="s">
        <v>731</v>
      </c>
      <c r="D28" s="0" t="s">
        <v>597</v>
      </c>
      <c r="E28" s="16" t="n">
        <f aca="false">Y!I28</f>
        <v>299.961440270078</v>
      </c>
      <c r="F28" s="16" t="n">
        <f aca="false">B28*E28</f>
        <v>299.961440270078</v>
      </c>
      <c r="G28" s="11" t="n">
        <f aca="false">F28/px-1</f>
        <v>-0.72430014681059</v>
      </c>
    </row>
    <row r="29" customFormat="false" ht="15" hidden="false" customHeight="false" outlineLevel="0" collapsed="false">
      <c r="A29" s="0" t="s">
        <v>727</v>
      </c>
      <c r="B29" s="0" t="n">
        <f aca="false">pb_2</f>
        <v>1.4</v>
      </c>
      <c r="C29" s="0" t="s">
        <v>731</v>
      </c>
      <c r="D29" s="0" t="s">
        <v>597</v>
      </c>
      <c r="E29" s="16" t="n">
        <f aca="false">Y!I28</f>
        <v>299.961440270078</v>
      </c>
      <c r="F29" s="16" t="n">
        <f aca="false">B29*E29</f>
        <v>419.946016378109</v>
      </c>
      <c r="G29" s="11" t="n">
        <f aca="false">F29/px-1</f>
        <v>-0.614020205534826</v>
      </c>
    </row>
    <row r="30" customFormat="false" ht="15" hidden="false" customHeight="false" outlineLevel="0" collapsed="false">
      <c r="A30" s="0" t="s">
        <v>728</v>
      </c>
      <c r="B30" s="0" t="n">
        <f aca="false">pb_3</f>
        <v>3</v>
      </c>
      <c r="C30" s="0" t="s">
        <v>731</v>
      </c>
      <c r="D30" s="0" t="s">
        <v>597</v>
      </c>
      <c r="E30" s="16" t="n">
        <f aca="false">Y!I28</f>
        <v>299.961440270078</v>
      </c>
      <c r="F30" s="16" t="n">
        <f aca="false">B30*E30</f>
        <v>899.884320810234</v>
      </c>
      <c r="G30" s="11" t="n">
        <f aca="false">F30/px-1</f>
        <v>-0.17290044043177</v>
      </c>
    </row>
    <row r="31" customFormat="false" ht="15" hidden="false" customHeight="false" outlineLevel="0" collapsed="false">
      <c r="A31" s="0" t="s">
        <v>186</v>
      </c>
      <c r="B31" s="0" t="n">
        <f aca="false">pb_1</f>
        <v>1</v>
      </c>
      <c r="C31" s="0" t="s">
        <v>731</v>
      </c>
      <c r="D31" s="0" t="s">
        <v>598</v>
      </c>
      <c r="E31" s="16" t="n">
        <f aca="false">Y!L28</f>
        <v>266.448161306656</v>
      </c>
      <c r="F31" s="16" t="n">
        <f aca="false">B31*E31</f>
        <v>266.448161306656</v>
      </c>
      <c r="G31" s="11" t="n">
        <f aca="false">F31/px-1</f>
        <v>-0.755102792916677</v>
      </c>
    </row>
    <row r="32" customFormat="false" ht="15" hidden="false" customHeight="false" outlineLevel="0" collapsed="false">
      <c r="A32" s="0" t="s">
        <v>727</v>
      </c>
      <c r="B32" s="0" t="n">
        <f aca="false">pb_2</f>
        <v>1.4</v>
      </c>
      <c r="C32" s="0" t="s">
        <v>731</v>
      </c>
      <c r="D32" s="0" t="s">
        <v>598</v>
      </c>
      <c r="E32" s="16" t="n">
        <f aca="false">Y!L28</f>
        <v>266.448161306656</v>
      </c>
      <c r="F32" s="16" t="n">
        <f aca="false">B32*E32</f>
        <v>373.027425829318</v>
      </c>
      <c r="G32" s="11" t="n">
        <f aca="false">F32/px-1</f>
        <v>-0.657143910083347</v>
      </c>
    </row>
    <row r="33" customFormat="false" ht="15" hidden="false" customHeight="false" outlineLevel="0" collapsed="false">
      <c r="A33" s="0" t="s">
        <v>728</v>
      </c>
      <c r="B33" s="0" t="n">
        <f aca="false">pb_3</f>
        <v>3</v>
      </c>
      <c r="C33" s="0" t="s">
        <v>731</v>
      </c>
      <c r="D33" s="0" t="s">
        <v>598</v>
      </c>
      <c r="E33" s="16" t="n">
        <f aca="false">Y!L28</f>
        <v>266.448161306656</v>
      </c>
      <c r="F33" s="16" t="n">
        <f aca="false">B33*E33</f>
        <v>799.344483919967</v>
      </c>
      <c r="G33" s="11" t="n">
        <f aca="false">F33/px-1</f>
        <v>-0.26530837875003</v>
      </c>
    </row>
    <row r="34" customFormat="false" ht="15" hidden="false" customHeight="false" outlineLevel="0" collapsed="false">
      <c r="A34" s="0" t="s">
        <v>196</v>
      </c>
      <c r="B34" s="0" t="n">
        <f aca="false">pe_1</f>
        <v>4</v>
      </c>
      <c r="C34" s="0" t="s">
        <v>732</v>
      </c>
      <c r="D34" s="0" t="s">
        <v>596</v>
      </c>
      <c r="E34" s="16" t="n">
        <f aca="false">Y!D29</f>
        <v>190.72605328606</v>
      </c>
      <c r="F34" s="16" t="n">
        <f aca="false">B34*E34</f>
        <v>762.90421314424</v>
      </c>
      <c r="G34" s="11" t="n">
        <f aca="false">F34/px-1</f>
        <v>-0.298801274683603</v>
      </c>
    </row>
    <row r="35" customFormat="false" ht="15" hidden="false" customHeight="false" outlineLevel="0" collapsed="false">
      <c r="A35" s="0" t="s">
        <v>199</v>
      </c>
      <c r="B35" s="0" t="n">
        <f aca="false">pe_2</f>
        <v>8</v>
      </c>
      <c r="C35" s="0" t="s">
        <v>732</v>
      </c>
      <c r="D35" s="0" t="s">
        <v>596</v>
      </c>
      <c r="E35" s="16" t="n">
        <f aca="false">Y!D29</f>
        <v>190.72605328606</v>
      </c>
      <c r="F35" s="16" t="n">
        <f aca="false">B35*E35</f>
        <v>1525.80842628848</v>
      </c>
      <c r="G35" s="11" t="n">
        <f aca="false">F35/px-1</f>
        <v>0.402397450632795</v>
      </c>
    </row>
    <row r="36" customFormat="false" ht="15" hidden="false" customHeight="false" outlineLevel="0" collapsed="false">
      <c r="A36" s="0" t="s">
        <v>201</v>
      </c>
      <c r="B36" s="0" t="n">
        <f aca="false">pe_3</f>
        <v>12</v>
      </c>
      <c r="C36" s="0" t="s">
        <v>732</v>
      </c>
      <c r="D36" s="0" t="s">
        <v>596</v>
      </c>
      <c r="E36" s="16" t="n">
        <f aca="false">Y!D29</f>
        <v>190.72605328606</v>
      </c>
      <c r="F36" s="16" t="n">
        <f aca="false">B36*E36</f>
        <v>2288.71263943272</v>
      </c>
      <c r="G36" s="11" t="n">
        <f aca="false">F36/px-1</f>
        <v>1.10359617594919</v>
      </c>
    </row>
    <row r="37" customFormat="false" ht="15" hidden="false" customHeight="false" outlineLevel="0" collapsed="false">
      <c r="A37" s="0" t="s">
        <v>196</v>
      </c>
      <c r="B37" s="0" t="n">
        <f aca="false">pe_1</f>
        <v>4</v>
      </c>
      <c r="C37" s="0" t="s">
        <v>732</v>
      </c>
      <c r="D37" s="0" t="s">
        <v>597</v>
      </c>
      <c r="E37" s="16" t="n">
        <f aca="false">Y!G29</f>
        <v>192.921929125613</v>
      </c>
      <c r="F37" s="16" t="n">
        <f aca="false">B37*E37</f>
        <v>771.687716502452</v>
      </c>
      <c r="G37" s="11" t="n">
        <f aca="false">F37/px-1</f>
        <v>-0.290728201744069</v>
      </c>
    </row>
    <row r="38" customFormat="false" ht="15" hidden="false" customHeight="false" outlineLevel="0" collapsed="false">
      <c r="A38" s="0" t="s">
        <v>199</v>
      </c>
      <c r="B38" s="0" t="n">
        <f aca="false">pe_2</f>
        <v>8</v>
      </c>
      <c r="C38" s="0" t="s">
        <v>732</v>
      </c>
      <c r="D38" s="0" t="s">
        <v>597</v>
      </c>
      <c r="E38" s="16" t="n">
        <f aca="false">Y!G29</f>
        <v>192.921929125613</v>
      </c>
      <c r="F38" s="16" t="n">
        <f aca="false">B38*E38</f>
        <v>1543.3754330049</v>
      </c>
      <c r="G38" s="11" t="n">
        <f aca="false">F38/px-1</f>
        <v>0.418543596511861</v>
      </c>
    </row>
    <row r="39" customFormat="false" ht="15" hidden="false" customHeight="false" outlineLevel="0" collapsed="false">
      <c r="A39" s="0" t="s">
        <v>201</v>
      </c>
      <c r="B39" s="0" t="n">
        <f aca="false">pe_3</f>
        <v>12</v>
      </c>
      <c r="C39" s="0" t="s">
        <v>732</v>
      </c>
      <c r="D39" s="0" t="s">
        <v>597</v>
      </c>
      <c r="E39" s="16" t="n">
        <f aca="false">Y!G29</f>
        <v>192.921929125613</v>
      </c>
      <c r="F39" s="16" t="n">
        <f aca="false">B39*E39</f>
        <v>2315.06314950736</v>
      </c>
      <c r="G39" s="11" t="n">
        <f aca="false">F39/px-1</f>
        <v>1.12781539476779</v>
      </c>
    </row>
    <row r="40" customFormat="false" ht="15" hidden="false" customHeight="false" outlineLevel="0" collapsed="false">
      <c r="A40" s="0" t="s">
        <v>196</v>
      </c>
      <c r="B40" s="0" t="n">
        <f aca="false">pe_1</f>
        <v>4</v>
      </c>
      <c r="C40" s="0" t="s">
        <v>732</v>
      </c>
      <c r="D40" s="0" t="s">
        <v>598</v>
      </c>
      <c r="E40" s="16" t="n">
        <f aca="false">Y!J29</f>
        <v>192.921929125613</v>
      </c>
      <c r="F40" s="16" t="n">
        <f aca="false">B40*E40</f>
        <v>771.687716502452</v>
      </c>
      <c r="G40" s="11" t="n">
        <f aca="false">F40/px-1</f>
        <v>-0.290728201744069</v>
      </c>
    </row>
    <row r="41" customFormat="false" ht="15" hidden="false" customHeight="false" outlineLevel="0" collapsed="false">
      <c r="A41" s="0" t="s">
        <v>199</v>
      </c>
      <c r="B41" s="0" t="n">
        <f aca="false">pe_2</f>
        <v>8</v>
      </c>
      <c r="C41" s="0" t="s">
        <v>732</v>
      </c>
      <c r="D41" s="0" t="s">
        <v>598</v>
      </c>
      <c r="E41" s="16" t="n">
        <f aca="false">Y!J29</f>
        <v>192.921929125613</v>
      </c>
      <c r="F41" s="16" t="n">
        <f aca="false">B41*E41</f>
        <v>1543.3754330049</v>
      </c>
      <c r="G41" s="11" t="n">
        <f aca="false">F41/px-1</f>
        <v>0.418543596511861</v>
      </c>
    </row>
    <row r="42" customFormat="false" ht="15" hidden="false" customHeight="false" outlineLevel="0" collapsed="false">
      <c r="A42" s="0" t="s">
        <v>201</v>
      </c>
      <c r="B42" s="0" t="n">
        <f aca="false">pe_3</f>
        <v>12</v>
      </c>
      <c r="C42" s="0" t="s">
        <v>732</v>
      </c>
      <c r="D42" s="0" t="s">
        <v>598</v>
      </c>
      <c r="E42" s="16" t="n">
        <f aca="false">Y!J29</f>
        <v>192.921929125613</v>
      </c>
      <c r="F42" s="16" t="n">
        <f aca="false">B42*E42</f>
        <v>2315.06314950736</v>
      </c>
      <c r="G42" s="11" t="n">
        <f aca="false">F42/px-1</f>
        <v>1.12781539476779</v>
      </c>
    </row>
    <row r="43" customFormat="false" ht="15" hidden="false" customHeight="false" outlineLevel="0" collapsed="false">
      <c r="A43" s="0" t="s">
        <v>196</v>
      </c>
      <c r="B43" s="0" t="n">
        <f aca="false">pe_1</f>
        <v>4</v>
      </c>
      <c r="C43" s="0" t="s">
        <v>733</v>
      </c>
      <c r="D43" s="0" t="s">
        <v>596</v>
      </c>
      <c r="E43" s="16" t="n">
        <f aca="false">Y!E29</f>
        <v>236.415122377886</v>
      </c>
      <c r="F43" s="16" t="n">
        <f aca="false">B43*E43</f>
        <v>945.660489511543</v>
      </c>
      <c r="G43" s="11" t="n">
        <f aca="false">F43/px-1</f>
        <v>-0.130826755963656</v>
      </c>
    </row>
    <row r="44" customFormat="false" ht="15" hidden="false" customHeight="false" outlineLevel="0" collapsed="false">
      <c r="A44" s="0" t="s">
        <v>199</v>
      </c>
      <c r="B44" s="0" t="n">
        <f aca="false">pe_2</f>
        <v>8</v>
      </c>
      <c r="C44" s="0" t="s">
        <v>733</v>
      </c>
      <c r="D44" s="0" t="s">
        <v>596</v>
      </c>
      <c r="E44" s="16" t="n">
        <f aca="false">Y!E29</f>
        <v>236.415122377886</v>
      </c>
      <c r="F44" s="16" t="n">
        <f aca="false">B44*E44</f>
        <v>1891.32097902309</v>
      </c>
      <c r="G44" s="11" t="n">
        <f aca="false">F44/px-1</f>
        <v>0.738346488072688</v>
      </c>
    </row>
    <row r="45" customFormat="false" ht="15" hidden="false" customHeight="false" outlineLevel="0" collapsed="false">
      <c r="A45" s="0" t="s">
        <v>201</v>
      </c>
      <c r="B45" s="0" t="n">
        <f aca="false">pe_3</f>
        <v>12</v>
      </c>
      <c r="C45" s="0" t="s">
        <v>733</v>
      </c>
      <c r="D45" s="0" t="s">
        <v>596</v>
      </c>
      <c r="E45" s="16" t="n">
        <f aca="false">Y!E29</f>
        <v>236.415122377886</v>
      </c>
      <c r="F45" s="16" t="n">
        <f aca="false">B45*E45</f>
        <v>2836.98146853463</v>
      </c>
      <c r="G45" s="11" t="n">
        <f aca="false">F45/px-1</f>
        <v>1.60751973210903</v>
      </c>
    </row>
    <row r="46" customFormat="false" ht="15" hidden="false" customHeight="false" outlineLevel="0" collapsed="false">
      <c r="A46" s="0" t="s">
        <v>196</v>
      </c>
      <c r="B46" s="0" t="n">
        <f aca="false">pe_1</f>
        <v>4</v>
      </c>
      <c r="C46" s="0" t="s">
        <v>733</v>
      </c>
      <c r="D46" s="0" t="s">
        <v>597</v>
      </c>
      <c r="E46" s="16" t="n">
        <f aca="false">Y!H29</f>
        <v>132.481143613658</v>
      </c>
      <c r="F46" s="16" t="n">
        <f aca="false">B46*E46</f>
        <v>529.924574454633</v>
      </c>
      <c r="G46" s="11" t="n">
        <f aca="false">F46/px-1</f>
        <v>-0.512936972008609</v>
      </c>
    </row>
    <row r="47" customFormat="false" ht="15" hidden="false" customHeight="false" outlineLevel="0" collapsed="false">
      <c r="A47" s="0" t="s">
        <v>199</v>
      </c>
      <c r="B47" s="0" t="n">
        <f aca="false">pe_2</f>
        <v>8</v>
      </c>
      <c r="C47" s="0" t="s">
        <v>733</v>
      </c>
      <c r="D47" s="0" t="s">
        <v>597</v>
      </c>
      <c r="E47" s="16" t="n">
        <f aca="false">Y!H29</f>
        <v>132.481143613658</v>
      </c>
      <c r="F47" s="16" t="n">
        <f aca="false">B47*E47</f>
        <v>1059.84914890927</v>
      </c>
      <c r="G47" s="11" t="n">
        <f aca="false">F47/px-1</f>
        <v>-0.0258739440172183</v>
      </c>
    </row>
    <row r="48" customFormat="false" ht="15" hidden="false" customHeight="false" outlineLevel="0" collapsed="false">
      <c r="A48" s="0" t="s">
        <v>201</v>
      </c>
      <c r="B48" s="0" t="n">
        <f aca="false">pe_3</f>
        <v>12</v>
      </c>
      <c r="C48" s="0" t="s">
        <v>733</v>
      </c>
      <c r="D48" s="0" t="s">
        <v>597</v>
      </c>
      <c r="E48" s="16" t="n">
        <f aca="false">Y!H29</f>
        <v>132.481143613658</v>
      </c>
      <c r="F48" s="16" t="n">
        <f aca="false">B48*E48</f>
        <v>1589.7737233639</v>
      </c>
      <c r="G48" s="11" t="n">
        <f aca="false">F48/px-1</f>
        <v>0.461189083974172</v>
      </c>
    </row>
    <row r="49" customFormat="false" ht="15" hidden="false" customHeight="false" outlineLevel="0" collapsed="false">
      <c r="A49" s="0" t="s">
        <v>196</v>
      </c>
      <c r="B49" s="0" t="n">
        <f aca="false">pe_1</f>
        <v>4</v>
      </c>
      <c r="C49" s="0" t="s">
        <v>733</v>
      </c>
      <c r="D49" s="0" t="s">
        <v>598</v>
      </c>
      <c r="E49" s="16" t="n">
        <f aca="false">Y!K29</f>
        <v>100.810402001366</v>
      </c>
      <c r="F49" s="16" t="n">
        <f aca="false">B49*E49</f>
        <v>403.241608005463</v>
      </c>
      <c r="G49" s="11" t="n">
        <f aca="false">F49/px-1</f>
        <v>-0.629373522053803</v>
      </c>
    </row>
    <row r="50" customFormat="false" ht="15" hidden="false" customHeight="false" outlineLevel="0" collapsed="false">
      <c r="A50" s="0" t="s">
        <v>199</v>
      </c>
      <c r="B50" s="0" t="n">
        <f aca="false">pe_2</f>
        <v>8</v>
      </c>
      <c r="C50" s="0" t="s">
        <v>733</v>
      </c>
      <c r="D50" s="0" t="s">
        <v>598</v>
      </c>
      <c r="E50" s="16" t="n">
        <f aca="false">Y!K29</f>
        <v>100.810402001366</v>
      </c>
      <c r="F50" s="16" t="n">
        <f aca="false">B50*E50</f>
        <v>806.483216010926</v>
      </c>
      <c r="G50" s="11" t="n">
        <f aca="false">F50/px-1</f>
        <v>-0.258747044107605</v>
      </c>
    </row>
    <row r="51" customFormat="false" ht="15" hidden="false" customHeight="false" outlineLevel="0" collapsed="false">
      <c r="A51" s="0" t="s">
        <v>201</v>
      </c>
      <c r="B51" s="0" t="n">
        <f aca="false">pe_3</f>
        <v>12</v>
      </c>
      <c r="C51" s="0" t="s">
        <v>733</v>
      </c>
      <c r="D51" s="0" t="s">
        <v>598</v>
      </c>
      <c r="E51" s="16" t="n">
        <f aca="false">Y!K29</f>
        <v>100.810402001366</v>
      </c>
      <c r="F51" s="16" t="n">
        <f aca="false">B51*E51</f>
        <v>1209.72482401639</v>
      </c>
      <c r="G51" s="11" t="n">
        <f aca="false">F51/px-1</f>
        <v>0.111879433838593</v>
      </c>
    </row>
    <row r="52" customFormat="false" ht="15" hidden="false" customHeight="false" outlineLevel="0" collapsed="false">
      <c r="A52" s="0" t="s">
        <v>196</v>
      </c>
      <c r="B52" s="0" t="n">
        <f aca="false">pe_1</f>
        <v>4</v>
      </c>
      <c r="C52" s="0" t="s">
        <v>734</v>
      </c>
      <c r="D52" s="0" t="s">
        <v>596</v>
      </c>
      <c r="E52" s="16" t="n">
        <f aca="false">Y!F29</f>
        <v>245.691427809272</v>
      </c>
      <c r="F52" s="16" t="n">
        <f aca="false">B52*E52</f>
        <v>982.765711237089</v>
      </c>
      <c r="G52" s="11" t="n">
        <f aca="false">F52/px-1</f>
        <v>-0.0967226918776757</v>
      </c>
    </row>
    <row r="53" customFormat="false" ht="15" hidden="false" customHeight="false" outlineLevel="0" collapsed="false">
      <c r="A53" s="0" t="s">
        <v>199</v>
      </c>
      <c r="B53" s="0" t="n">
        <f aca="false">pe_2</f>
        <v>8</v>
      </c>
      <c r="C53" s="0" t="s">
        <v>734</v>
      </c>
      <c r="D53" s="0" t="s">
        <v>596</v>
      </c>
      <c r="E53" s="16" t="n">
        <f aca="false">Y!F29</f>
        <v>245.691427809272</v>
      </c>
      <c r="F53" s="16" t="n">
        <f aca="false">B53*E53</f>
        <v>1965.53142247418</v>
      </c>
      <c r="G53" s="11" t="n">
        <f aca="false">F53/px-1</f>
        <v>0.806554616244649</v>
      </c>
    </row>
    <row r="54" customFormat="false" ht="15" hidden="false" customHeight="false" outlineLevel="0" collapsed="false">
      <c r="A54" s="0" t="s">
        <v>201</v>
      </c>
      <c r="B54" s="0" t="n">
        <f aca="false">pe_3</f>
        <v>12</v>
      </c>
      <c r="C54" s="0" t="s">
        <v>734</v>
      </c>
      <c r="D54" s="0" t="s">
        <v>596</v>
      </c>
      <c r="E54" s="16" t="n">
        <f aca="false">Y!F29</f>
        <v>245.691427809272</v>
      </c>
      <c r="F54" s="16" t="n">
        <f aca="false">B54*E54</f>
        <v>2948.29713371127</v>
      </c>
      <c r="G54" s="11" t="n">
        <f aca="false">F54/px-1</f>
        <v>1.70983192436697</v>
      </c>
    </row>
    <row r="55" customFormat="false" ht="15" hidden="false" customHeight="false" outlineLevel="0" collapsed="false">
      <c r="A55" s="0" t="s">
        <v>196</v>
      </c>
      <c r="B55" s="0" t="n">
        <f aca="false">pe_1</f>
        <v>4</v>
      </c>
      <c r="C55" s="0" t="s">
        <v>734</v>
      </c>
      <c r="D55" s="0" t="s">
        <v>597</v>
      </c>
      <c r="E55" s="16" t="n">
        <f aca="false">Y!I29</f>
        <v>185.272947188891</v>
      </c>
      <c r="F55" s="16" t="n">
        <f aca="false">B55*E55</f>
        <v>741.091788755563</v>
      </c>
      <c r="G55" s="11" t="n">
        <f aca="false">F55/px-1</f>
        <v>-0.318849458864372</v>
      </c>
    </row>
    <row r="56" customFormat="false" ht="15" hidden="false" customHeight="false" outlineLevel="0" collapsed="false">
      <c r="A56" s="0" t="s">
        <v>199</v>
      </c>
      <c r="B56" s="0" t="n">
        <f aca="false">pe_2</f>
        <v>8</v>
      </c>
      <c r="C56" s="0" t="s">
        <v>734</v>
      </c>
      <c r="D56" s="0" t="s">
        <v>597</v>
      </c>
      <c r="E56" s="16" t="n">
        <f aca="false">Y!I29</f>
        <v>185.272947188891</v>
      </c>
      <c r="F56" s="16" t="n">
        <f aca="false">B56*E56</f>
        <v>1482.18357751113</v>
      </c>
      <c r="G56" s="11" t="n">
        <f aca="false">F56/px-1</f>
        <v>0.362301082271255</v>
      </c>
    </row>
    <row r="57" customFormat="false" ht="15" hidden="false" customHeight="false" outlineLevel="0" collapsed="false">
      <c r="A57" s="0" t="s">
        <v>201</v>
      </c>
      <c r="B57" s="0" t="n">
        <f aca="false">pe_3</f>
        <v>12</v>
      </c>
      <c r="C57" s="0" t="s">
        <v>734</v>
      </c>
      <c r="D57" s="0" t="s">
        <v>597</v>
      </c>
      <c r="E57" s="16" t="n">
        <f aca="false">Y!I29</f>
        <v>185.272947188891</v>
      </c>
      <c r="F57" s="16" t="n">
        <f aca="false">B57*E57</f>
        <v>2223.27536626669</v>
      </c>
      <c r="G57" s="11" t="n">
        <f aca="false">F57/px-1</f>
        <v>1.04345162340688</v>
      </c>
    </row>
    <row r="58" customFormat="false" ht="15" hidden="false" customHeight="false" outlineLevel="0" collapsed="false">
      <c r="A58" s="0" t="s">
        <v>196</v>
      </c>
      <c r="B58" s="0" t="n">
        <f aca="false">pe_1</f>
        <v>4</v>
      </c>
      <c r="C58" s="0" t="s">
        <v>734</v>
      </c>
      <c r="D58" s="0" t="s">
        <v>598</v>
      </c>
      <c r="E58" s="16" t="n">
        <f aca="false">Y!L29</f>
        <v>94.7298446165957</v>
      </c>
      <c r="F58" s="16" t="n">
        <f aca="false">B58*E58</f>
        <v>378.919378466383</v>
      </c>
      <c r="G58" s="11" t="n">
        <f aca="false">F58/px-1</f>
        <v>-0.651728512438986</v>
      </c>
    </row>
    <row r="59" customFormat="false" ht="15" hidden="false" customHeight="false" outlineLevel="0" collapsed="false">
      <c r="A59" s="0" t="s">
        <v>199</v>
      </c>
      <c r="B59" s="0" t="n">
        <f aca="false">pe_2</f>
        <v>8</v>
      </c>
      <c r="C59" s="0" t="s">
        <v>734</v>
      </c>
      <c r="D59" s="0" t="s">
        <v>598</v>
      </c>
      <c r="E59" s="16" t="n">
        <f aca="false">Y!L29</f>
        <v>94.7298446165957</v>
      </c>
      <c r="F59" s="16" t="n">
        <f aca="false">B59*E59</f>
        <v>757.838756932766</v>
      </c>
      <c r="G59" s="11" t="n">
        <f aca="false">F59/px-1</f>
        <v>-0.303457024877972</v>
      </c>
    </row>
    <row r="60" customFormat="false" ht="15" hidden="false" customHeight="false" outlineLevel="0" collapsed="false">
      <c r="A60" s="0" t="s">
        <v>201</v>
      </c>
      <c r="B60" s="0" t="n">
        <f aca="false">pe_3</f>
        <v>12</v>
      </c>
      <c r="C60" s="0" t="s">
        <v>734</v>
      </c>
      <c r="D60" s="0" t="s">
        <v>598</v>
      </c>
      <c r="E60" s="16" t="n">
        <f aca="false">Y!L29</f>
        <v>94.7298446165957</v>
      </c>
      <c r="F60" s="16" t="n">
        <f aca="false">B60*E60</f>
        <v>1136.75813539915</v>
      </c>
      <c r="G60" s="11" t="n">
        <f aca="false">F60/px-1</f>
        <v>0.0448144626830411</v>
      </c>
    </row>
    <row r="63" customFormat="false" ht="15" hidden="false" customHeight="false" outlineLevel="0" collapsed="false">
      <c r="A63" s="5" t="s">
        <v>735</v>
      </c>
    </row>
    <row r="64" customFormat="false" ht="15" hidden="false" customHeight="false" outlineLevel="0" collapsed="false">
      <c r="A64" s="4" t="s">
        <v>736</v>
      </c>
      <c r="B64" s="9" t="s">
        <v>737</v>
      </c>
      <c r="C64" s="4" t="s">
        <v>738</v>
      </c>
      <c r="D64" s="4" t="s">
        <v>739</v>
      </c>
      <c r="E64" s="4" t="s">
        <v>740</v>
      </c>
    </row>
    <row r="65" customFormat="false" ht="15" hidden="false" customHeight="false" outlineLevel="0" collapsed="false">
      <c r="A65" s="0" t="s">
        <v>741</v>
      </c>
      <c r="B65" s="7" t="n">
        <v>1.29</v>
      </c>
      <c r="C65" s="7" t="n">
        <v>12.08</v>
      </c>
      <c r="D65" s="7" t="n">
        <v>1.029</v>
      </c>
      <c r="E65" s="7" t="n">
        <v>-0.276</v>
      </c>
    </row>
    <row r="66" customFormat="false" ht="15" hidden="false" customHeight="false" outlineLevel="0" collapsed="false">
      <c r="A66" s="0" t="s">
        <v>742</v>
      </c>
      <c r="B66" s="7" t="n">
        <v>1.78</v>
      </c>
      <c r="C66" s="7" t="n">
        <v>18.621</v>
      </c>
      <c r="D66" s="7" t="n">
        <v>0.067</v>
      </c>
      <c r="E66" s="7" t="n">
        <v>5.089</v>
      </c>
    </row>
    <row r="67" customFormat="false" ht="15" hidden="false" customHeight="false" outlineLevel="0" collapsed="false">
      <c r="A67" s="0" t="s">
        <v>743</v>
      </c>
      <c r="B67" s="7" t="n">
        <v>1.79</v>
      </c>
      <c r="C67" s="7" t="n">
        <v>32.294</v>
      </c>
      <c r="D67" s="7" t="n">
        <v>0.429</v>
      </c>
      <c r="E67" s="7" t="n">
        <v>14.135</v>
      </c>
    </row>
    <row r="68" customFormat="false" ht="15" hidden="false" customHeight="false" outlineLevel="0" collapsed="false">
      <c r="A68" s="0" t="s">
        <v>744</v>
      </c>
      <c r="B68" s="7" t="n">
        <v>1.33</v>
      </c>
      <c r="C68" s="7" t="n">
        <v>35.881</v>
      </c>
      <c r="D68" s="7" t="n">
        <v>3.221</v>
      </c>
      <c r="E68" s="7" t="n">
        <v>6.313</v>
      </c>
    </row>
    <row r="69" customFormat="false" ht="15" hidden="false" customHeight="false" outlineLevel="0" collapsed="false">
      <c r="A69" s="0" t="s">
        <v>745</v>
      </c>
      <c r="B69" s="7" t="n">
        <v>1.27</v>
      </c>
      <c r="C69" s="7" t="n">
        <v>38.996</v>
      </c>
      <c r="D69" s="7" t="n">
        <v>3.495</v>
      </c>
      <c r="E69" s="7" t="n">
        <v>2.687</v>
      </c>
    </row>
    <row r="70" customFormat="false" ht="15" hidden="false" customHeight="false" outlineLevel="0" collapsed="false">
      <c r="A70" s="0" t="s">
        <v>746</v>
      </c>
      <c r="B70" s="7" t="n">
        <v>1.83</v>
      </c>
      <c r="C70" s="7" t="n">
        <v>43.933</v>
      </c>
      <c r="D70" s="7" t="n">
        <v>4.695</v>
      </c>
      <c r="E70" s="7" t="n">
        <v>5.861</v>
      </c>
    </row>
    <row r="71" customFormat="false" ht="15" hidden="false" customHeight="false" outlineLevel="0" collapsed="false">
      <c r="A71" s="0" t="s">
        <v>747</v>
      </c>
      <c r="B71" s="7" t="n">
        <v>1.22</v>
      </c>
      <c r="C71" s="7" t="n">
        <v>49.907</v>
      </c>
      <c r="D71" s="7" t="n">
        <v>7.127</v>
      </c>
      <c r="E71" s="7" t="n">
        <v>8.687</v>
      </c>
    </row>
    <row r="72" customFormat="false" ht="15" hidden="false" customHeight="false" outlineLevel="0" collapsed="false">
      <c r="A72" s="0" t="s">
        <v>748</v>
      </c>
      <c r="B72" s="7" t="n">
        <v>1.72</v>
      </c>
      <c r="C72" s="7" t="n">
        <v>44.12</v>
      </c>
      <c r="D72" s="7" t="n">
        <v>7.552</v>
      </c>
      <c r="E72" s="7" t="n">
        <v>-5.833</v>
      </c>
    </row>
    <row r="73" customFormat="false" ht="15" hidden="false" customHeight="false" outlineLevel="0" collapsed="false">
      <c r="A73" s="0" t="s">
        <v>749</v>
      </c>
      <c r="B73" s="7" t="n">
        <v>2.35</v>
      </c>
      <c r="C73" s="7" t="n">
        <v>45.131</v>
      </c>
      <c r="D73" s="7" t="n">
        <v>7.852</v>
      </c>
      <c r="E73" s="7" t="n">
        <v>0.778</v>
      </c>
    </row>
    <row r="74" customFormat="false" ht="15" hidden="false" customHeight="false" outlineLevel="0" collapsed="false">
      <c r="A74" s="0" t="s">
        <v>601</v>
      </c>
      <c r="B74" s="7" t="n">
        <v>2.46</v>
      </c>
      <c r="C74" s="7" t="n">
        <v>54.165</v>
      </c>
      <c r="D74" s="7" t="n">
        <v>7.852</v>
      </c>
      <c r="E74" s="7" t="n">
        <v>8.539</v>
      </c>
    </row>
    <row r="75" customFormat="false" ht="15" hidden="false" customHeight="false" outlineLevel="0" collapsed="false">
      <c r="A75" s="0" t="s">
        <v>750</v>
      </c>
    </row>
    <row r="77" customFormat="false" ht="15" hidden="false" customHeight="false" outlineLevel="0" collapsed="false">
      <c r="A77" s="5" t="s">
        <v>751</v>
      </c>
    </row>
    <row r="78" customFormat="false" ht="15" hidden="false" customHeight="false" outlineLevel="0" collapsed="false">
      <c r="A78" s="6" t="s">
        <v>752</v>
      </c>
    </row>
    <row r="80" customFormat="false" ht="15" hidden="false" customHeight="false" outlineLevel="0" collapsed="false">
      <c r="A80" s="5" t="s">
        <v>753</v>
      </c>
    </row>
    <row r="81" customFormat="false" ht="15" hidden="false" customHeight="false" outlineLevel="0" collapsed="false">
      <c r="A81" s="4" t="s">
        <v>754</v>
      </c>
      <c r="B81" s="9" t="s">
        <v>755</v>
      </c>
      <c r="C81" s="9" t="s">
        <v>756</v>
      </c>
      <c r="D81" s="4" t="s">
        <v>757</v>
      </c>
    </row>
    <row r="82" customFormat="false" ht="15" hidden="false" customHeight="false" outlineLevel="0" collapsed="false">
      <c r="A82" s="0" t="s">
        <v>741</v>
      </c>
      <c r="B82" s="14" t="n">
        <v>1.29</v>
      </c>
      <c r="C82" s="14" t="n">
        <v>1.83</v>
      </c>
      <c r="D82" s="8" t="s">
        <v>758</v>
      </c>
    </row>
    <row r="83" customFormat="false" ht="15" hidden="false" customHeight="false" outlineLevel="0" collapsed="false">
      <c r="A83" s="0" t="s">
        <v>742</v>
      </c>
      <c r="B83" s="14" t="n">
        <v>1.78</v>
      </c>
      <c r="C83" s="14" t="n">
        <v>2.03</v>
      </c>
    </row>
    <row r="84" customFormat="false" ht="15" hidden="false" customHeight="false" outlineLevel="0" collapsed="false">
      <c r="A84" s="0" t="s">
        <v>743</v>
      </c>
      <c r="B84" s="14" t="n">
        <v>1.79</v>
      </c>
      <c r="C84" s="14" t="n">
        <v>1.02</v>
      </c>
    </row>
    <row r="85" customFormat="false" ht="15" hidden="false" customHeight="false" outlineLevel="0" collapsed="false">
      <c r="A85" s="0" t="s">
        <v>744</v>
      </c>
      <c r="B85" s="14" t="n">
        <v>1.33</v>
      </c>
      <c r="C85" s="14" t="n">
        <v>1.64</v>
      </c>
    </row>
    <row r="86" customFormat="false" ht="15" hidden="false" customHeight="false" outlineLevel="0" collapsed="false">
      <c r="A86" s="0" t="s">
        <v>745</v>
      </c>
      <c r="B86" s="14" t="n">
        <v>1.27</v>
      </c>
      <c r="C86" s="14" t="n">
        <v>2.1</v>
      </c>
    </row>
    <row r="87" customFormat="false" ht="15" hidden="false" customHeight="false" outlineLevel="0" collapsed="false">
      <c r="A87" s="0" t="s">
        <v>746</v>
      </c>
      <c r="B87" s="14" t="n">
        <v>1.83</v>
      </c>
      <c r="C87" s="14" t="n">
        <v>2.27</v>
      </c>
    </row>
    <row r="88" customFormat="false" ht="15" hidden="false" customHeight="false" outlineLevel="0" collapsed="false">
      <c r="A88" s="0" t="s">
        <v>747</v>
      </c>
      <c r="B88" s="14" t="n">
        <v>1.22</v>
      </c>
      <c r="C88" s="14" t="n">
        <v>1.11</v>
      </c>
    </row>
    <row r="89" customFormat="false" ht="15" hidden="false" customHeight="false" outlineLevel="0" collapsed="false">
      <c r="A89" s="0" t="s">
        <v>748</v>
      </c>
      <c r="B89" s="14" t="n">
        <v>1.72</v>
      </c>
      <c r="C89" s="14" t="n">
        <v>2.2</v>
      </c>
    </row>
    <row r="90" customFormat="false" ht="15" hidden="false" customHeight="false" outlineLevel="0" collapsed="false">
      <c r="A90" s="0" t="s">
        <v>749</v>
      </c>
      <c r="B90" s="14" t="n">
        <v>2.35</v>
      </c>
      <c r="C90" s="14" t="n">
        <v>2.11</v>
      </c>
    </row>
    <row r="91" customFormat="false" ht="15" hidden="false" customHeight="false" outlineLevel="0" collapsed="false">
      <c r="A91" s="0" t="s">
        <v>601</v>
      </c>
      <c r="B91" s="14" t="n">
        <v>2.46</v>
      </c>
      <c r="C91" s="14" t="n">
        <v>6.04</v>
      </c>
    </row>
    <row r="92" customFormat="false" ht="15" hidden="false" customHeight="false" outlineLevel="0" collapsed="false">
      <c r="A92" s="0" t="s">
        <v>759</v>
      </c>
      <c r="B92" s="10" t="n">
        <f aca="false">PERCENTILE(B82:B91,0.25)</f>
        <v>1.3</v>
      </c>
      <c r="C92" s="10" t="n">
        <f aca="false">PERCENTILE(C82:C91,0.25)</f>
        <v>1.6875</v>
      </c>
    </row>
    <row r="93" customFormat="false" ht="15" hidden="false" customHeight="false" outlineLevel="0" collapsed="false">
      <c r="A93" s="6" t="s">
        <v>760</v>
      </c>
      <c r="B93" s="10" t="n">
        <f aca="false">MEDIAN(B82:B91)</f>
        <v>1.75</v>
      </c>
      <c r="C93" s="10" t="n">
        <f aca="false">MEDIAN(C82:C91)</f>
        <v>2.065</v>
      </c>
    </row>
    <row r="94" customFormat="false" ht="15" hidden="false" customHeight="false" outlineLevel="0" collapsed="false">
      <c r="A94" s="0" t="s">
        <v>761</v>
      </c>
      <c r="B94" s="10" t="n">
        <f aca="false">PERCENTILE(B82:B91,0.75)</f>
        <v>1.82</v>
      </c>
      <c r="C94" s="10" t="n">
        <f aca="false">PERCENTILE(C82:C91,0.75)</f>
        <v>2.1775</v>
      </c>
    </row>
    <row r="95" customFormat="false" ht="15" hidden="false" customHeight="false" outlineLevel="0" collapsed="false">
      <c r="A95" s="6" t="s">
        <v>762</v>
      </c>
      <c r="B95" s="10" t="n">
        <f aca="false">MIN(B82:B91)</f>
        <v>1.22</v>
      </c>
      <c r="C95" s="10" t="n">
        <f aca="false">MIN(C82:C91)</f>
        <v>1.02</v>
      </c>
    </row>
    <row r="96" customFormat="false" ht="15" hidden="false" customHeight="false" outlineLevel="0" collapsed="false">
      <c r="A96" s="6" t="s">
        <v>763</v>
      </c>
      <c r="B96" s="10" t="n">
        <f aca="false">MAX(B82:B91)</f>
        <v>2.46</v>
      </c>
      <c r="C96" s="10" t="n">
        <f aca="false">MAX(C82:C91)</f>
        <v>6.04</v>
      </c>
    </row>
    <row r="97" customFormat="false" ht="15" hidden="false" customHeight="false" outlineLevel="0" collapsed="false">
      <c r="A97" s="1" t="s">
        <v>764</v>
      </c>
      <c r="B97" s="10" t="n">
        <f aca="false">ROUND(AVERAGE(B92),2)</f>
        <v>1.3</v>
      </c>
    </row>
    <row r="98" customFormat="false" ht="15" hidden="false" customHeight="false" outlineLevel="0" collapsed="false">
      <c r="A98" s="1" t="s">
        <v>765</v>
      </c>
      <c r="B98" s="10" t="n">
        <f aca="false">ROUND(AVERAGE(B93),2)</f>
        <v>1.75</v>
      </c>
    </row>
    <row r="99" customFormat="false" ht="15" hidden="false" customHeight="false" outlineLevel="0" collapsed="false">
      <c r="A99" s="1" t="s">
        <v>766</v>
      </c>
      <c r="B99" s="10" t="n">
        <f aca="false">ROUND(AVERAGE(B94),2)</f>
        <v>1.82</v>
      </c>
    </row>
    <row r="100" customFormat="false" ht="15" hidden="false" customHeight="false" outlineLevel="0" collapsed="false">
      <c r="A100" s="1" t="s">
        <v>767</v>
      </c>
      <c r="B100" s="10" t="n">
        <f aca="false">ROUND(MIN(B95),2)</f>
        <v>1.22</v>
      </c>
    </row>
    <row r="101" customFormat="false" ht="15" hidden="false" customHeight="false" outlineLevel="0" collapsed="false">
      <c r="A101" s="1" t="s">
        <v>768</v>
      </c>
      <c r="B101" s="10" t="n">
        <f aca="false">ROUND(MAX(B96),2)</f>
        <v>2.46</v>
      </c>
    </row>
    <row r="102" customFormat="false" ht="15" hidden="false" customHeight="false" outlineLevel="0" collapsed="false">
      <c r="A102" s="6" t="s">
        <v>769</v>
      </c>
      <c r="B102" s="10" t="n">
        <f aca="false">ROUND(C92,2)</f>
        <v>1.69</v>
      </c>
    </row>
    <row r="103" customFormat="false" ht="15" hidden="false" customHeight="false" outlineLevel="0" collapsed="false">
      <c r="A103" s="6" t="s">
        <v>770</v>
      </c>
      <c r="B103" s="10" t="n">
        <f aca="false">ROUND(C93,2)</f>
        <v>2.07</v>
      </c>
    </row>
    <row r="104" customFormat="false" ht="15" hidden="false" customHeight="false" outlineLevel="0" collapsed="false">
      <c r="A104" s="6" t="s">
        <v>771</v>
      </c>
      <c r="B104" s="10" t="n">
        <f aca="false">ROUND(C94,2)</f>
        <v>2.18</v>
      </c>
    </row>
    <row r="106" customFormat="false" ht="15" hidden="false" customHeight="false" outlineLevel="0" collapsed="false">
      <c r="A106" s="5" t="s">
        <v>772</v>
      </c>
    </row>
    <row r="107" customFormat="false" ht="15" hidden="false" customHeight="false" outlineLevel="0" collapsed="false">
      <c r="A107" s="4" t="s">
        <v>773</v>
      </c>
      <c r="B107" s="4" t="s">
        <v>774</v>
      </c>
      <c r="C107" s="4" t="s">
        <v>721</v>
      </c>
      <c r="D107" s="4" t="s">
        <v>25</v>
      </c>
      <c r="E107" s="4" t="s">
        <v>722</v>
      </c>
      <c r="F107" s="4" t="s">
        <v>723</v>
      </c>
      <c r="G107" s="4" t="s">
        <v>724</v>
      </c>
      <c r="H107" s="4" t="s">
        <v>775</v>
      </c>
    </row>
    <row r="108" customFormat="false" ht="15" hidden="false" customHeight="false" outlineLevel="0" collapsed="false">
      <c r="A108" s="6" t="s">
        <v>776</v>
      </c>
      <c r="B108" s="6" t="s">
        <v>777</v>
      </c>
      <c r="C108" s="10" t="n">
        <f aca="false">B97</f>
        <v>1.3</v>
      </c>
      <c r="D108" s="8" t="s">
        <v>778</v>
      </c>
      <c r="E108" s="16" t="n">
        <f aca="false">Y!D28</f>
        <v>207.010352460641</v>
      </c>
      <c r="F108" s="17" t="n">
        <f aca="false">C108*E108</f>
        <v>269.113458198834</v>
      </c>
      <c r="G108" s="15" t="n">
        <f aca="false">F108/px-1</f>
        <v>-0.752653071508425</v>
      </c>
      <c r="H108" s="10" t="n">
        <f aca="false">px/E108</f>
        <v>5.25577579607696</v>
      </c>
    </row>
    <row r="109" customFormat="false" ht="15" hidden="false" customHeight="false" outlineLevel="0" collapsed="false">
      <c r="A109" s="6" t="s">
        <v>779</v>
      </c>
      <c r="B109" s="6" t="s">
        <v>780</v>
      </c>
      <c r="C109" s="10" t="n">
        <f aca="false">B98</f>
        <v>1.75</v>
      </c>
      <c r="D109" s="8" t="s">
        <v>778</v>
      </c>
      <c r="E109" s="16" t="n">
        <f aca="false">Y!D28</f>
        <v>207.010352460641</v>
      </c>
      <c r="F109" s="17" t="n">
        <f aca="false">C109*E109</f>
        <v>362.268116806123</v>
      </c>
      <c r="G109" s="15" t="n">
        <f aca="false">F109/px-1</f>
        <v>-0.667032980876726</v>
      </c>
      <c r="H109" s="10" t="n">
        <f aca="false">px/E109</f>
        <v>5.25577579607696</v>
      </c>
    </row>
    <row r="110" customFormat="false" ht="15" hidden="false" customHeight="false" outlineLevel="0" collapsed="false">
      <c r="A110" s="6" t="s">
        <v>781</v>
      </c>
      <c r="B110" s="6" t="s">
        <v>782</v>
      </c>
      <c r="C110" s="10" t="n">
        <f aca="false">B99</f>
        <v>1.82</v>
      </c>
      <c r="D110" s="8" t="s">
        <v>783</v>
      </c>
      <c r="E110" s="16" t="n">
        <f aca="false">Y!K28</f>
        <v>268.727668225875</v>
      </c>
      <c r="F110" s="17" t="n">
        <f aca="false">C110*E110</f>
        <v>489.084356171092</v>
      </c>
      <c r="G110" s="15" t="n">
        <f aca="false">F110/px-1</f>
        <v>-0.550473937342746</v>
      </c>
      <c r="H110" s="10" t="n">
        <f aca="false">px/E110</f>
        <v>4.04870852035042</v>
      </c>
    </row>
    <row r="113" customFormat="false" ht="15" hidden="false" customHeight="false" outlineLevel="0" collapsed="false">
      <c r="A113" s="5" t="s">
        <v>784</v>
      </c>
    </row>
    <row r="114" customFormat="false" ht="15" hidden="false" customHeight="false" outlineLevel="0" collapsed="false">
      <c r="A114" s="4" t="s">
        <v>754</v>
      </c>
      <c r="B114" s="9" t="s">
        <v>785</v>
      </c>
      <c r="C114" s="4" t="s">
        <v>757</v>
      </c>
    </row>
    <row r="115" customFormat="false" ht="15" hidden="false" customHeight="false" outlineLevel="0" collapsed="false">
      <c r="A115" s="0" t="s">
        <v>741</v>
      </c>
      <c r="B115" s="10" t="str">
        <f aca="false">IF(E65&gt;0,B65*C65/E65,"")</f>
        <v/>
      </c>
      <c r="C115" s="8" t="s">
        <v>786</v>
      </c>
    </row>
    <row r="116" customFormat="false" ht="15" hidden="false" customHeight="false" outlineLevel="0" collapsed="false">
      <c r="A116" s="0" t="s">
        <v>742</v>
      </c>
      <c r="B116" s="10" t="n">
        <f aca="false">IF(E66&gt;0,B66*C66/E66,"")</f>
        <v>6.51314207113382</v>
      </c>
      <c r="C116" s="6" t="s">
        <v>787</v>
      </c>
    </row>
    <row r="117" customFormat="false" ht="15" hidden="false" customHeight="false" outlineLevel="0" collapsed="false">
      <c r="A117" s="0" t="s">
        <v>743</v>
      </c>
      <c r="B117" s="10" t="n">
        <f aca="false">IF(E67&gt;0,B67*C67/E67,"")</f>
        <v>4.08958330385568</v>
      </c>
    </row>
    <row r="118" customFormat="false" ht="15" hidden="false" customHeight="false" outlineLevel="0" collapsed="false">
      <c r="A118" s="0" t="s">
        <v>744</v>
      </c>
      <c r="B118" s="10" t="n">
        <f aca="false">IF(E68&gt;0,B68*C68/E68,"")</f>
        <v>7.55927926500871</v>
      </c>
    </row>
    <row r="119" customFormat="false" ht="15" hidden="false" customHeight="false" outlineLevel="0" collapsed="false">
      <c r="A119" s="0" t="s">
        <v>745</v>
      </c>
      <c r="B119" s="10" t="n">
        <f aca="false">IF(E69&gt;0,B69*C69/E69,"")</f>
        <v>18.4313062895422</v>
      </c>
    </row>
    <row r="120" customFormat="false" ht="15" hidden="false" customHeight="false" outlineLevel="0" collapsed="false">
      <c r="A120" s="0" t="s">
        <v>746</v>
      </c>
      <c r="B120" s="10" t="n">
        <f aca="false">IF(E70&gt;0,B70*C70/E70,"")</f>
        <v>13.7173502815219</v>
      </c>
    </row>
    <row r="121" customFormat="false" ht="15" hidden="false" customHeight="false" outlineLevel="0" collapsed="false">
      <c r="A121" s="0" t="s">
        <v>747</v>
      </c>
      <c r="B121" s="10" t="n">
        <f aca="false">IF(E71&gt;0,B71*C71/E71,"")</f>
        <v>7.00892598135145</v>
      </c>
    </row>
    <row r="122" customFormat="false" ht="15" hidden="false" customHeight="false" outlineLevel="0" collapsed="false">
      <c r="A122" s="0" t="s">
        <v>748</v>
      </c>
      <c r="B122" s="10" t="str">
        <f aca="false">IF(E72&gt;0,B72*C72/E72,"")</f>
        <v/>
      </c>
    </row>
    <row r="123" customFormat="false" ht="15" hidden="false" customHeight="false" outlineLevel="0" collapsed="false">
      <c r="A123" s="0" t="s">
        <v>749</v>
      </c>
      <c r="B123" s="10" t="n">
        <f aca="false">IF(E73&gt;0,B73*C73/E73,"")</f>
        <v>136.321143958869</v>
      </c>
    </row>
    <row r="124" customFormat="false" ht="15" hidden="false" customHeight="false" outlineLevel="0" collapsed="false">
      <c r="A124" s="0" t="s">
        <v>601</v>
      </c>
      <c r="B124" s="10" t="n">
        <f aca="false">IF(E74&gt;0,B74*C74/E74,"")</f>
        <v>15.6043916149432</v>
      </c>
    </row>
    <row r="125" customFormat="false" ht="15" hidden="false" customHeight="false" outlineLevel="0" collapsed="false">
      <c r="A125" s="0" t="s">
        <v>759</v>
      </c>
      <c r="B125" s="10" t="n">
        <f aca="false">PERCENTILE(B115:B124,0.25)</f>
        <v>6.88498000379704</v>
      </c>
    </row>
    <row r="126" customFormat="false" ht="15" hidden="false" customHeight="false" outlineLevel="0" collapsed="false">
      <c r="A126" s="6" t="s">
        <v>760</v>
      </c>
      <c r="B126" s="10" t="n">
        <f aca="false">MEDIAN(B115:B124)</f>
        <v>10.6383147732653</v>
      </c>
    </row>
    <row r="127" customFormat="false" ht="15" hidden="false" customHeight="false" outlineLevel="0" collapsed="false">
      <c r="A127" s="0" t="s">
        <v>761</v>
      </c>
      <c r="B127" s="10" t="n">
        <f aca="false">PERCENTILE(B115:B124,0.75)</f>
        <v>16.311120283593</v>
      </c>
    </row>
    <row r="128" customFormat="false" ht="15" hidden="false" customHeight="false" outlineLevel="0" collapsed="false">
      <c r="A128" s="6" t="s">
        <v>762</v>
      </c>
      <c r="B128" s="10" t="n">
        <f aca="false">MIN(B115:B124)</f>
        <v>4.08958330385568</v>
      </c>
    </row>
    <row r="129" customFormat="false" ht="15" hidden="false" customHeight="false" outlineLevel="0" collapsed="false">
      <c r="A129" s="6" t="s">
        <v>763</v>
      </c>
      <c r="B129" s="10" t="n">
        <f aca="false">MAX(B115:B124)</f>
        <v>136.321143958869</v>
      </c>
    </row>
    <row r="130" customFormat="false" ht="15" hidden="false" customHeight="false" outlineLevel="0" collapsed="false">
      <c r="A130" s="1" t="s">
        <v>788</v>
      </c>
      <c r="B130" s="10" t="n">
        <f aca="false">ROUND(AVERAGE(B125),2)</f>
        <v>6.88</v>
      </c>
    </row>
    <row r="131" customFormat="false" ht="15" hidden="false" customHeight="false" outlineLevel="0" collapsed="false">
      <c r="A131" s="1" t="s">
        <v>789</v>
      </c>
      <c r="B131" s="10" t="n">
        <f aca="false">ROUND(AVERAGE(B126),2)</f>
        <v>10.64</v>
      </c>
    </row>
    <row r="132" customFormat="false" ht="15" hidden="false" customHeight="false" outlineLevel="0" collapsed="false">
      <c r="A132" s="1" t="s">
        <v>790</v>
      </c>
      <c r="B132" s="10" t="n">
        <f aca="false">ROUND(AVERAGE(B127),2)</f>
        <v>16.31</v>
      </c>
    </row>
    <row r="133" customFormat="false" ht="15" hidden="false" customHeight="false" outlineLevel="0" collapsed="false">
      <c r="A133" s="1" t="s">
        <v>791</v>
      </c>
      <c r="B133" s="10" t="n">
        <f aca="false">ROUND(MIN(B128),2)</f>
        <v>4.09</v>
      </c>
    </row>
    <row r="134" customFormat="false" ht="15" hidden="false" customHeight="false" outlineLevel="0" collapsed="false">
      <c r="A134" s="1" t="s">
        <v>792</v>
      </c>
      <c r="B134" s="10" t="n">
        <f aca="false">ROUND(MAX(B129),2)</f>
        <v>136.32</v>
      </c>
    </row>
    <row r="136" customFormat="false" ht="15" hidden="false" customHeight="false" outlineLevel="0" collapsed="false">
      <c r="A136" s="5" t="s">
        <v>793</v>
      </c>
    </row>
    <row r="137" customFormat="false" ht="15" hidden="false" customHeight="false" outlineLevel="0" collapsed="false">
      <c r="A137" s="4" t="s">
        <v>773</v>
      </c>
      <c r="B137" s="4" t="s">
        <v>774</v>
      </c>
      <c r="C137" s="4" t="s">
        <v>721</v>
      </c>
      <c r="D137" s="4" t="s">
        <v>25</v>
      </c>
      <c r="E137" s="4" t="s">
        <v>722</v>
      </c>
      <c r="F137" s="4" t="s">
        <v>723</v>
      </c>
      <c r="G137" s="4" t="s">
        <v>724</v>
      </c>
      <c r="H137" s="4" t="s">
        <v>775</v>
      </c>
    </row>
    <row r="138" customFormat="false" ht="15" hidden="false" customHeight="false" outlineLevel="0" collapsed="false">
      <c r="A138" s="6" t="s">
        <v>794</v>
      </c>
      <c r="B138" s="6" t="s">
        <v>777</v>
      </c>
      <c r="C138" s="10" t="n">
        <f aca="false">B130</f>
        <v>6.88</v>
      </c>
      <c r="D138" s="8" t="s">
        <v>795</v>
      </c>
      <c r="E138" s="16" t="n">
        <f aca="false">Y!D29</f>
        <v>190.72605328606</v>
      </c>
      <c r="F138" s="17" t="n">
        <f aca="false">C138*E138</f>
        <v>1312.19524660809</v>
      </c>
      <c r="G138" s="15" t="n">
        <f aca="false">F138/px-1</f>
        <v>0.206061807544204</v>
      </c>
      <c r="H138" s="10" t="n">
        <f aca="false">px/E138</f>
        <v>5.70451693019708</v>
      </c>
    </row>
    <row r="139" customFormat="false" ht="15" hidden="false" customHeight="false" outlineLevel="0" collapsed="false">
      <c r="A139" s="6" t="s">
        <v>796</v>
      </c>
      <c r="B139" s="6" t="s">
        <v>780</v>
      </c>
      <c r="C139" s="10" t="n">
        <f aca="false">B131</f>
        <v>10.64</v>
      </c>
      <c r="D139" s="8" t="s">
        <v>795</v>
      </c>
      <c r="E139" s="16" t="n">
        <f aca="false">Y!D29</f>
        <v>190.72605328606</v>
      </c>
      <c r="F139" s="17" t="n">
        <f aca="false">C139*E139</f>
        <v>2029.32520696368</v>
      </c>
      <c r="G139" s="15" t="n">
        <f aca="false">F139/px-1</f>
        <v>0.865188609341617</v>
      </c>
      <c r="H139" s="10" t="n">
        <f aca="false">px/E139</f>
        <v>5.70451693019708</v>
      </c>
    </row>
    <row r="140" customFormat="false" ht="15" hidden="false" customHeight="false" outlineLevel="0" collapsed="false">
      <c r="A140" s="6" t="s">
        <v>797</v>
      </c>
      <c r="B140" s="6" t="s">
        <v>782</v>
      </c>
      <c r="C140" s="10" t="n">
        <f aca="false">B132</f>
        <v>16.31</v>
      </c>
      <c r="D140" s="8" t="s">
        <v>798</v>
      </c>
      <c r="E140" s="16" t="n">
        <f aca="false">Y!K29</f>
        <v>100.810402001366</v>
      </c>
      <c r="F140" s="17" t="n">
        <f aca="false">C140*E140</f>
        <v>1644.21765664228</v>
      </c>
      <c r="G140" s="15" t="n">
        <f aca="false">F140/px-1</f>
        <v>0.51122946382562</v>
      </c>
      <c r="H140" s="10" t="n">
        <f aca="false">px/E140</f>
        <v>10.7925370636381</v>
      </c>
    </row>
    <row r="143" customFormat="false" ht="15" hidden="false" customHeight="false" outlineLevel="0" collapsed="false">
      <c r="A143" s="1" t="s">
        <v>799</v>
      </c>
    </row>
    <row r="144" customFormat="false" ht="15" hidden="false" customHeight="false" outlineLevel="0" collapsed="false">
      <c r="A144" s="4" t="s">
        <v>754</v>
      </c>
      <c r="B144" s="9" t="s">
        <v>785</v>
      </c>
      <c r="C144" s="4" t="s">
        <v>757</v>
      </c>
    </row>
    <row r="145" customFormat="false" ht="15" hidden="false" customHeight="false" outlineLevel="0" collapsed="false">
      <c r="A145" s="0" t="s">
        <v>741</v>
      </c>
      <c r="B145" s="10" t="n">
        <f aca="false">B65*C65/(C65+D65)</f>
        <v>1.18874055992067</v>
      </c>
      <c r="C145" s="8" t="s">
        <v>786</v>
      </c>
    </row>
    <row r="146" customFormat="false" ht="15" hidden="false" customHeight="false" outlineLevel="0" collapsed="false">
      <c r="A146" s="0" t="s">
        <v>742</v>
      </c>
      <c r="B146" s="10" t="n">
        <f aca="false">B66*C66/(C66+D66)</f>
        <v>1.77361836472603</v>
      </c>
    </row>
    <row r="147" customFormat="false" ht="15" hidden="false" customHeight="false" outlineLevel="0" collapsed="false">
      <c r="A147" s="0" t="s">
        <v>743</v>
      </c>
      <c r="B147" s="10" t="n">
        <f aca="false">B67*C67/(C67+D67)</f>
        <v>1.76653301958867</v>
      </c>
    </row>
    <row r="148" customFormat="false" ht="15" hidden="false" customHeight="false" outlineLevel="0" collapsed="false">
      <c r="A148" s="0" t="s">
        <v>744</v>
      </c>
      <c r="B148" s="10" t="n">
        <f aca="false">B68*C68/(C68+D68)</f>
        <v>1.22044217687075</v>
      </c>
    </row>
    <row r="149" customFormat="false" ht="15" hidden="false" customHeight="false" outlineLevel="0" collapsed="false">
      <c r="A149" s="0" t="s">
        <v>745</v>
      </c>
      <c r="B149" s="10" t="n">
        <f aca="false">B69*C69/(C69+D69)</f>
        <v>1.16553905532936</v>
      </c>
    </row>
    <row r="150" customFormat="false" ht="15" hidden="false" customHeight="false" outlineLevel="0" collapsed="false">
      <c r="A150" s="0" t="s">
        <v>746</v>
      </c>
      <c r="B150" s="10" t="n">
        <f aca="false">B70*C70/(C70+D70)</f>
        <v>1.65331475693016</v>
      </c>
    </row>
    <row r="151" customFormat="false" ht="15" hidden="false" customHeight="false" outlineLevel="0" collapsed="false">
      <c r="A151" s="0" t="s">
        <v>747</v>
      </c>
      <c r="B151" s="10" t="n">
        <f aca="false">B71*C71/(C71+D71)</f>
        <v>1.0675481291861</v>
      </c>
    </row>
    <row r="152" customFormat="false" ht="15" hidden="false" customHeight="false" outlineLevel="0" collapsed="false">
      <c r="A152" s="0" t="s">
        <v>748</v>
      </c>
      <c r="B152" s="10" t="n">
        <f aca="false">B72*C72/(C72+D72)</f>
        <v>1.46861743303917</v>
      </c>
    </row>
    <row r="153" customFormat="false" ht="15" hidden="false" customHeight="false" outlineLevel="0" collapsed="false">
      <c r="A153" s="0" t="s">
        <v>749</v>
      </c>
      <c r="B153" s="10" t="n">
        <f aca="false">B73*C73/(C73+D73)</f>
        <v>2.00173357492026</v>
      </c>
    </row>
    <row r="154" customFormat="false" ht="15" hidden="false" customHeight="false" outlineLevel="0" collapsed="false">
      <c r="A154" s="0" t="s">
        <v>601</v>
      </c>
      <c r="B154" s="10" t="n">
        <f aca="false">B74*C74/(C74+D74)</f>
        <v>2.14853830401342</v>
      </c>
    </row>
    <row r="155" customFormat="false" ht="15" hidden="false" customHeight="false" outlineLevel="0" collapsed="false">
      <c r="A155" s="0" t="s">
        <v>759</v>
      </c>
      <c r="B155" s="10" t="n">
        <f aca="false">PERCENTILE(B145:B154,0.25)</f>
        <v>1.19666596415819</v>
      </c>
    </row>
    <row r="156" customFormat="false" ht="15" hidden="false" customHeight="false" outlineLevel="0" collapsed="false">
      <c r="A156" s="6" t="s">
        <v>760</v>
      </c>
      <c r="B156" s="10" t="n">
        <f aca="false">MEDIAN(B145:B154)</f>
        <v>1.56096609498467</v>
      </c>
    </row>
    <row r="157" customFormat="false" ht="15" hidden="false" customHeight="false" outlineLevel="0" collapsed="false">
      <c r="A157" s="0" t="s">
        <v>761</v>
      </c>
      <c r="B157" s="10" t="n">
        <f aca="false">PERCENTILE(B145:B154,0.75)</f>
        <v>1.77184702844169</v>
      </c>
    </row>
    <row r="158" customFormat="false" ht="15" hidden="false" customHeight="false" outlineLevel="0" collapsed="false">
      <c r="A158" s="6" t="s">
        <v>762</v>
      </c>
      <c r="B158" s="10" t="n">
        <f aca="false">MIN(B145:B154)</f>
        <v>1.0675481291861</v>
      </c>
    </row>
    <row r="159" customFormat="false" ht="15" hidden="false" customHeight="false" outlineLevel="0" collapsed="false">
      <c r="A159" s="6" t="s">
        <v>763</v>
      </c>
      <c r="B159" s="10" t="n">
        <f aca="false">MAX(B145:B154)</f>
        <v>2.14853830401342</v>
      </c>
    </row>
    <row r="160" customFormat="false" ht="15" hidden="false" customHeight="false" outlineLevel="0" collapsed="false">
      <c r="A160" s="1" t="s">
        <v>800</v>
      </c>
      <c r="B160" s="10" t="n">
        <f aca="false">ROUND(AVERAGE(B155),2)</f>
        <v>1.2</v>
      </c>
    </row>
    <row r="161" customFormat="false" ht="15" hidden="false" customHeight="false" outlineLevel="0" collapsed="false">
      <c r="A161" s="1" t="s">
        <v>801</v>
      </c>
      <c r="B161" s="10" t="n">
        <f aca="false">ROUND(AVERAGE(B156),2)</f>
        <v>1.56</v>
      </c>
    </row>
    <row r="162" customFormat="false" ht="15" hidden="false" customHeight="false" outlineLevel="0" collapsed="false">
      <c r="A162" s="1" t="s">
        <v>802</v>
      </c>
      <c r="B162" s="10" t="n">
        <f aca="false">ROUND(AVERAGE(B157),2)</f>
        <v>1.77</v>
      </c>
    </row>
    <row r="163" customFormat="false" ht="15" hidden="false" customHeight="false" outlineLevel="0" collapsed="false">
      <c r="A163" s="1" t="s">
        <v>803</v>
      </c>
      <c r="B163" s="10" t="n">
        <f aca="false">ROUND(MIN(B158),2)</f>
        <v>1.07</v>
      </c>
    </row>
    <row r="164" customFormat="false" ht="15" hidden="false" customHeight="false" outlineLevel="0" collapsed="false">
      <c r="A164" s="1" t="s">
        <v>804</v>
      </c>
      <c r="B164" s="10" t="n">
        <f aca="false">ROUND(MAX(B159),2)</f>
        <v>2.15</v>
      </c>
    </row>
    <row r="166" customFormat="false" ht="15" hidden="false" customHeight="false" outlineLevel="0" collapsed="false">
      <c r="A166" s="1" t="s">
        <v>805</v>
      </c>
    </row>
    <row r="167" customFormat="false" ht="15" hidden="false" customHeight="false" outlineLevel="0" collapsed="false">
      <c r="A167" s="4" t="s">
        <v>773</v>
      </c>
      <c r="B167" s="4" t="s">
        <v>774</v>
      </c>
      <c r="C167" s="4" t="s">
        <v>721</v>
      </c>
      <c r="D167" s="4" t="s">
        <v>25</v>
      </c>
      <c r="E167" s="4" t="s">
        <v>722</v>
      </c>
      <c r="F167" s="4" t="s">
        <v>723</v>
      </c>
      <c r="G167" s="4" t="s">
        <v>724</v>
      </c>
      <c r="H167" s="4" t="s">
        <v>775</v>
      </c>
    </row>
    <row r="168" customFormat="false" ht="15" hidden="false" customHeight="false" outlineLevel="0" collapsed="false">
      <c r="A168" s="6" t="s">
        <v>806</v>
      </c>
      <c r="B168" s="6" t="s">
        <v>777</v>
      </c>
      <c r="C168" s="10" t="n">
        <f aca="false">B160</f>
        <v>1.2</v>
      </c>
      <c r="D168" s="8" t="s">
        <v>807</v>
      </c>
      <c r="E168" s="16" t="n">
        <f aca="false">(Y!D25+$D$74+Y!D24)/Y!D27*1000</f>
        <v>333.694278898784</v>
      </c>
      <c r="F168" s="17" t="n">
        <f aca="false">C168*E168</f>
        <v>400.43313467854</v>
      </c>
      <c r="G168" s="15" t="n">
        <f aca="false">F168/px-1</f>
        <v>-0.631954839449871</v>
      </c>
      <c r="H168" s="10" t="n">
        <f aca="false">px/E168</f>
        <v>3.26046944403866</v>
      </c>
    </row>
    <row r="169" customFormat="false" ht="15" hidden="false" customHeight="false" outlineLevel="0" collapsed="false">
      <c r="A169" s="6" t="s">
        <v>808</v>
      </c>
      <c r="B169" s="6" t="s">
        <v>780</v>
      </c>
      <c r="C169" s="10" t="n">
        <f aca="false">B161</f>
        <v>1.56</v>
      </c>
      <c r="D169" s="8" t="s">
        <v>807</v>
      </c>
      <c r="E169" s="16" t="n">
        <f aca="false">(Y!D25+$D$74+Y!D24)/Y!D27*1000</f>
        <v>333.694278898784</v>
      </c>
      <c r="F169" s="17" t="n">
        <f aca="false">C169*E169</f>
        <v>520.563075082103</v>
      </c>
      <c r="G169" s="15" t="n">
        <f aca="false">F169/px-1</f>
        <v>-0.521541291284832</v>
      </c>
      <c r="H169" s="10" t="n">
        <f aca="false">px/E169</f>
        <v>3.26046944403866</v>
      </c>
    </row>
    <row r="170" customFormat="false" ht="15" hidden="false" customHeight="false" outlineLevel="0" collapsed="false">
      <c r="A170" s="6" t="s">
        <v>809</v>
      </c>
      <c r="B170" s="6" t="s">
        <v>782</v>
      </c>
      <c r="C170" s="10" t="n">
        <f aca="false">B162</f>
        <v>1.77</v>
      </c>
      <c r="D170" s="8" t="s">
        <v>810</v>
      </c>
      <c r="E170" s="16" t="n">
        <f aca="false">(Y!K25+$D$74+Y!J24+Y!K24)/Y!K27*1000</f>
        <v>451.048267170137</v>
      </c>
      <c r="F170" s="17" t="n">
        <f aca="false">C170*E170</f>
        <v>798.355432891143</v>
      </c>
      <c r="G170" s="15" t="n">
        <f aca="false">F170/px-1</f>
        <v>-0.266217433004464</v>
      </c>
      <c r="H170" s="10" t="n">
        <f aca="false">px/E170</f>
        <v>2.41215869606612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0" t="s">
        <v>811</v>
      </c>
    </row>
    <row r="3" customFormat="false" ht="15" hidden="false" customHeight="false" outlineLevel="0" collapsed="false">
      <c r="A3" s="4" t="s">
        <v>812</v>
      </c>
      <c r="B3" s="4" t="s">
        <v>813</v>
      </c>
      <c r="C3" s="9" t="s">
        <v>814</v>
      </c>
      <c r="D3" s="4" t="s">
        <v>815</v>
      </c>
      <c r="E3" s="4" t="s">
        <v>816</v>
      </c>
    </row>
    <row r="4" customFormat="false" ht="15" hidden="false" customHeight="false" outlineLevel="0" collapsed="false">
      <c r="A4" s="5" t="s">
        <v>685</v>
      </c>
      <c r="B4" s="6" t="s">
        <v>25</v>
      </c>
      <c r="D4" s="13" t="n">
        <f aca="false">Y!D14</f>
        <v>227.059011794927</v>
      </c>
    </row>
    <row r="5" customFormat="false" ht="15" hidden="false" customHeight="false" outlineLevel="0" collapsed="false">
      <c r="A5" s="0" t="s">
        <v>685</v>
      </c>
      <c r="B5" s="6" t="s">
        <v>817</v>
      </c>
      <c r="C5" s="13" t="n">
        <f aca="false">-0.2*Y!D5</f>
        <v>-34.7965691279772</v>
      </c>
      <c r="D5" s="13" t="n">
        <f aca="false">D4+C5*(1-opex_var)</f>
        <v>192.784391203869</v>
      </c>
      <c r="E5" s="11" t="n">
        <f aca="false">D5/D4-1</f>
        <v>-0.150950276406617</v>
      </c>
    </row>
    <row r="6" customFormat="false" ht="15" hidden="false" customHeight="false" outlineLevel="0" collapsed="false">
      <c r="A6" s="0" t="s">
        <v>685</v>
      </c>
      <c r="B6" s="6" t="s">
        <v>818</v>
      </c>
      <c r="C6" s="13" t="n">
        <f aca="false">0.2*Y!D5</f>
        <v>34.7965691279772</v>
      </c>
      <c r="D6" s="13" t="n">
        <f aca="false">D4+C6*(1-opex_var)</f>
        <v>261.333632385985</v>
      </c>
      <c r="E6" s="11" t="n">
        <f aca="false">D6/D4-1</f>
        <v>0.150950276406617</v>
      </c>
    </row>
    <row r="7" customFormat="false" ht="15" hidden="false" customHeight="false" outlineLevel="0" collapsed="false">
      <c r="A7" s="0" t="s">
        <v>685</v>
      </c>
      <c r="B7" s="0" t="s">
        <v>819</v>
      </c>
      <c r="C7" s="13" t="n">
        <f aca="false">-0.3*Y!D6</f>
        <v>-7.7207831106</v>
      </c>
      <c r="D7" s="13" t="n">
        <f aca="false">D4+C7*(1-opex_var)</f>
        <v>219.454040430986</v>
      </c>
      <c r="E7" s="11" t="n">
        <f aca="false">D7/D4-1</f>
        <v>-0.0334933694277221</v>
      </c>
    </row>
    <row r="8" customFormat="false" ht="15" hidden="false" customHeight="false" outlineLevel="0" collapsed="false">
      <c r="A8" s="0" t="s">
        <v>685</v>
      </c>
      <c r="B8" s="0" t="s">
        <v>820</v>
      </c>
      <c r="C8" s="13" t="n">
        <f aca="false">0.3*Y!D6</f>
        <v>7.7207831106</v>
      </c>
      <c r="D8" s="13" t="n">
        <f aca="false">D4+C8*(1-opex_var)</f>
        <v>234.663983158868</v>
      </c>
      <c r="E8" s="11" t="n">
        <f aca="false">D8/D4-1</f>
        <v>0.033493369427722</v>
      </c>
    </row>
    <row r="9" customFormat="false" ht="15" hidden="false" customHeight="false" outlineLevel="0" collapsed="false">
      <c r="A9" s="0" t="s">
        <v>685</v>
      </c>
      <c r="B9" s="0" t="s">
        <v>821</v>
      </c>
      <c r="C9" s="13" t="n">
        <f aca="false">-0.3*Y!D7</f>
        <v>-20.204082018949</v>
      </c>
      <c r="D9" s="13" t="n">
        <f aca="false">D4+C9*(1-opex_var)</f>
        <v>207.157991006262</v>
      </c>
      <c r="E9" s="11" t="n">
        <f aca="false">D9/D4-1</f>
        <v>-0.0876469100756887</v>
      </c>
    </row>
    <row r="10" customFormat="false" ht="15" hidden="false" customHeight="false" outlineLevel="0" collapsed="false">
      <c r="A10" s="0" t="s">
        <v>685</v>
      </c>
      <c r="B10" s="0" t="s">
        <v>822</v>
      </c>
      <c r="C10" s="13" t="n">
        <f aca="false">0.3*Y!D7</f>
        <v>20.204082018949</v>
      </c>
      <c r="D10" s="13" t="n">
        <f aca="false">D4+C10*(1-opex_var)</f>
        <v>246.960032583592</v>
      </c>
      <c r="E10" s="11" t="n">
        <f aca="false">D10/D4-1</f>
        <v>0.0876469100756887</v>
      </c>
    </row>
    <row r="12" customFormat="false" ht="15" hidden="false" customHeight="false" outlineLevel="0" collapsed="false">
      <c r="A12" s="5" t="s">
        <v>689</v>
      </c>
      <c r="B12" s="6" t="s">
        <v>25</v>
      </c>
      <c r="D12" s="13" t="n">
        <f aca="false">Y!H14</f>
        <v>145.421076043654</v>
      </c>
    </row>
    <row r="13" customFormat="false" ht="15" hidden="false" customHeight="false" outlineLevel="0" collapsed="false">
      <c r="A13" s="0" t="s">
        <v>689</v>
      </c>
      <c r="B13" s="6" t="s">
        <v>817</v>
      </c>
      <c r="C13" s="13" t="n">
        <f aca="false">-0.2*Y!H5</f>
        <v>-24.3879436406979</v>
      </c>
      <c r="D13" s="13" t="n">
        <f aca="false">D12+C13*(1-opex_var)</f>
        <v>121.398951557567</v>
      </c>
      <c r="E13" s="11" t="n">
        <f aca="false">D13/D12-1</f>
        <v>-0.165190116451045</v>
      </c>
    </row>
    <row r="14" customFormat="false" ht="15" hidden="false" customHeight="false" outlineLevel="0" collapsed="false">
      <c r="A14" s="0" t="s">
        <v>689</v>
      </c>
      <c r="B14" s="6" t="s">
        <v>818</v>
      </c>
      <c r="C14" s="13" t="n">
        <f aca="false">0.2*Y!H5</f>
        <v>24.3879436406979</v>
      </c>
      <c r="D14" s="13" t="n">
        <f aca="false">D12+C14*(1-opex_var)</f>
        <v>169.443200529742</v>
      </c>
      <c r="E14" s="11" t="n">
        <f aca="false">D14/D12-1</f>
        <v>0.165190116451045</v>
      </c>
    </row>
    <row r="15" customFormat="false" ht="15" hidden="false" customHeight="false" outlineLevel="0" collapsed="false">
      <c r="A15" s="0" t="s">
        <v>689</v>
      </c>
      <c r="B15" s="0" t="s">
        <v>819</v>
      </c>
      <c r="C15" s="13" t="n">
        <f aca="false">-0.3*Y!H6</f>
        <v>-9.60461884395</v>
      </c>
      <c r="D15" s="13" t="n">
        <f aca="false">D12+C15*(1-opex_var)</f>
        <v>135.960526482363</v>
      </c>
      <c r="E15" s="11" t="n">
        <f aca="false">D15/D12-1</f>
        <v>-0.0650562478196129</v>
      </c>
    </row>
    <row r="16" customFormat="false" ht="15" hidden="false" customHeight="false" outlineLevel="0" collapsed="false">
      <c r="A16" s="0" t="s">
        <v>689</v>
      </c>
      <c r="B16" s="0" t="s">
        <v>820</v>
      </c>
      <c r="C16" s="13" t="n">
        <f aca="false">0.3*Y!H6</f>
        <v>9.60461884395</v>
      </c>
      <c r="D16" s="13" t="n">
        <f aca="false">D12+C16*(1-opex_var)</f>
        <v>154.881625604945</v>
      </c>
      <c r="E16" s="11" t="n">
        <f aca="false">D16/D12-1</f>
        <v>0.0650562478196131</v>
      </c>
    </row>
    <row r="17" customFormat="false" ht="15" hidden="false" customHeight="false" outlineLevel="0" collapsed="false">
      <c r="A17" s="0" t="s">
        <v>689</v>
      </c>
      <c r="B17" s="0" t="s">
        <v>821</v>
      </c>
      <c r="C17" s="13" t="n">
        <f aca="false">-0.3*Y!H7</f>
        <v>-12.2446936881908</v>
      </c>
      <c r="D17" s="13" t="n">
        <f aca="false">D12+C17*(1-opex_var)</f>
        <v>133.360052760786</v>
      </c>
      <c r="E17" s="11" t="n">
        <f aca="false">D17/D12-1</f>
        <v>-0.0829386194285021</v>
      </c>
    </row>
    <row r="18" customFormat="false" ht="15" hidden="false" customHeight="false" outlineLevel="0" collapsed="false">
      <c r="A18" s="0" t="s">
        <v>689</v>
      </c>
      <c r="B18" s="0" t="s">
        <v>822</v>
      </c>
      <c r="C18" s="13" t="n">
        <f aca="false">0.3*Y!H7</f>
        <v>12.2446936881908</v>
      </c>
      <c r="D18" s="13" t="n">
        <f aca="false">D12+C18*(1-opex_var)</f>
        <v>157.482099326522</v>
      </c>
      <c r="E18" s="11" t="n">
        <f aca="false">D18/D12-1</f>
        <v>0.082938619428502</v>
      </c>
    </row>
    <row r="20" customFormat="false" ht="15" hidden="false" customHeight="false" outlineLevel="0" collapsed="false">
      <c r="A20" s="5" t="s">
        <v>692</v>
      </c>
      <c r="B20" s="6" t="s">
        <v>25</v>
      </c>
      <c r="D20" s="13" t="n">
        <f aca="false">Y!K14</f>
        <v>112.173403527243</v>
      </c>
    </row>
    <row r="21" customFormat="false" ht="15" hidden="false" customHeight="false" outlineLevel="0" collapsed="false">
      <c r="A21" s="0" t="s">
        <v>692</v>
      </c>
      <c r="B21" s="6" t="s">
        <v>817</v>
      </c>
      <c r="C21" s="13" t="n">
        <f aca="false">-0.2*Y!K5</f>
        <v>-20.1465621379678</v>
      </c>
      <c r="D21" s="13" t="n">
        <f aca="false">D20+C21*(1-opex_var)</f>
        <v>92.3290398213443</v>
      </c>
      <c r="E21" s="11" t="n">
        <f aca="false">D21/D20-1</f>
        <v>-0.176907921859382</v>
      </c>
    </row>
    <row r="22" customFormat="false" ht="15" hidden="false" customHeight="false" outlineLevel="0" collapsed="false">
      <c r="A22" s="0" t="s">
        <v>692</v>
      </c>
      <c r="B22" s="6" t="s">
        <v>818</v>
      </c>
      <c r="C22" s="13" t="n">
        <f aca="false">0.2*Y!K5</f>
        <v>20.1465621379678</v>
      </c>
      <c r="D22" s="13" t="n">
        <f aca="false">D20+C22*(1-opex_var)</f>
        <v>132.017767233141</v>
      </c>
      <c r="E22" s="11" t="n">
        <f aca="false">D22/D20-1</f>
        <v>0.176907921859382</v>
      </c>
    </row>
    <row r="23" customFormat="false" ht="15" hidden="false" customHeight="false" outlineLevel="0" collapsed="false">
      <c r="A23" s="0" t="s">
        <v>692</v>
      </c>
      <c r="B23" s="0" t="s">
        <v>819</v>
      </c>
      <c r="C23" s="13" t="n">
        <f aca="false">-0.3*Y!K6</f>
        <v>-6.68727709515</v>
      </c>
      <c r="D23" s="13" t="n">
        <f aca="false">D20+C23*(1-opex_var)</f>
        <v>105.58643558852</v>
      </c>
      <c r="E23" s="11" t="n">
        <f aca="false">D23/D20-1</f>
        <v>-0.0587212987356939</v>
      </c>
    </row>
    <row r="24" customFormat="false" ht="15" hidden="false" customHeight="false" outlineLevel="0" collapsed="false">
      <c r="A24" s="0" t="s">
        <v>692</v>
      </c>
      <c r="B24" s="0" t="s">
        <v>820</v>
      </c>
      <c r="C24" s="13" t="n">
        <f aca="false">0.3*Y!K6</f>
        <v>6.68727709515</v>
      </c>
      <c r="D24" s="13" t="n">
        <f aca="false">D20+C24*(1-opex_var)</f>
        <v>118.760371465965</v>
      </c>
      <c r="E24" s="11" t="n">
        <f aca="false">D24/D20-1</f>
        <v>0.0587212987356938</v>
      </c>
    </row>
    <row r="25" customFormat="false" ht="15" hidden="false" customHeight="false" outlineLevel="0" collapsed="false">
      <c r="A25" s="0" t="s">
        <v>692</v>
      </c>
      <c r="B25" s="0" t="s">
        <v>821</v>
      </c>
      <c r="C25" s="13" t="n">
        <f aca="false">-0.3*Y!K7</f>
        <v>-11.0613100118037</v>
      </c>
      <c r="D25" s="13" t="n">
        <f aca="false">D20+C25*(1-opex_var)</f>
        <v>101.278013165616</v>
      </c>
      <c r="E25" s="11" t="n">
        <f aca="false">D25/D20-1</f>
        <v>-0.0971298901435274</v>
      </c>
    </row>
    <row r="26" customFormat="false" ht="15" hidden="false" customHeight="false" outlineLevel="0" collapsed="false">
      <c r="A26" s="0" t="s">
        <v>692</v>
      </c>
      <c r="B26" s="0" t="s">
        <v>822</v>
      </c>
      <c r="C26" s="13" t="n">
        <f aca="false">0.3*Y!K7</f>
        <v>11.0613100118037</v>
      </c>
      <c r="D26" s="13" t="n">
        <f aca="false">D20+C26*(1-opex_var)</f>
        <v>123.068793888869</v>
      </c>
      <c r="E26" s="11" t="n">
        <f aca="false">D26/D20-1</f>
        <v>0.0971298901435274</v>
      </c>
    </row>
    <row r="28" customFormat="false" ht="15" hidden="false" customHeight="false" outlineLevel="0" collapsed="false">
      <c r="A28" s="5" t="s">
        <v>693</v>
      </c>
      <c r="B28" s="6" t="s">
        <v>25</v>
      </c>
      <c r="D28" s="13" t="n">
        <f aca="false">Y!L14</f>
        <v>105.637166000433</v>
      </c>
    </row>
    <row r="29" customFormat="false" ht="15" hidden="false" customHeight="false" outlineLevel="0" collapsed="false">
      <c r="A29" s="0" t="s">
        <v>693</v>
      </c>
      <c r="B29" s="6" t="s">
        <v>817</v>
      </c>
      <c r="C29" s="13" t="n">
        <f aca="false">-0.2*Y!L5</f>
        <v>-18.8542889988204</v>
      </c>
      <c r="D29" s="13" t="n">
        <f aca="false">D28+C29*(1-opex_var)</f>
        <v>87.0656913365954</v>
      </c>
      <c r="E29" s="11" t="n">
        <f aca="false">D29/D28-1</f>
        <v>-0.175804362867533</v>
      </c>
    </row>
    <row r="30" customFormat="false" ht="15" hidden="false" customHeight="false" outlineLevel="0" collapsed="false">
      <c r="A30" s="0" t="s">
        <v>693</v>
      </c>
      <c r="B30" s="6" t="s">
        <v>818</v>
      </c>
      <c r="C30" s="13" t="n">
        <f aca="false">0.2*Y!L5</f>
        <v>18.8542889988204</v>
      </c>
      <c r="D30" s="13" t="n">
        <f aca="false">D28+C30*(1-opex_var)</f>
        <v>124.208640664272</v>
      </c>
      <c r="E30" s="11" t="n">
        <f aca="false">D30/D28-1</f>
        <v>0.175804362867533</v>
      </c>
    </row>
    <row r="31" customFormat="false" ht="15" hidden="false" customHeight="false" outlineLevel="0" collapsed="false">
      <c r="A31" s="0" t="s">
        <v>693</v>
      </c>
      <c r="B31" s="0" t="s">
        <v>819</v>
      </c>
      <c r="C31" s="13" t="n">
        <f aca="false">-0.3*Y!L6</f>
        <v>-7.431928105068</v>
      </c>
      <c r="D31" s="13" t="n">
        <f aca="false">D28+C31*(1-opex_var)</f>
        <v>98.3167168169415</v>
      </c>
      <c r="E31" s="11" t="n">
        <f aca="false">D31/D28-1</f>
        <v>-0.0692980459496796</v>
      </c>
    </row>
    <row r="32" customFormat="false" ht="15" hidden="false" customHeight="false" outlineLevel="0" collapsed="false">
      <c r="A32" s="0" t="s">
        <v>693</v>
      </c>
      <c r="B32" s="0" t="s">
        <v>820</v>
      </c>
      <c r="C32" s="13" t="n">
        <f aca="false">0.3*Y!L6</f>
        <v>7.431928105068</v>
      </c>
      <c r="D32" s="13" t="n">
        <f aca="false">D28+C32*(1-opex_var)</f>
        <v>112.957615183925</v>
      </c>
      <c r="E32" s="11" t="n">
        <f aca="false">D32/D28-1</f>
        <v>0.0692980459496797</v>
      </c>
    </row>
    <row r="33" customFormat="false" ht="15" hidden="false" customHeight="false" outlineLevel="0" collapsed="false">
      <c r="A33" s="0" t="s">
        <v>693</v>
      </c>
      <c r="B33" s="0" t="s">
        <v>821</v>
      </c>
      <c r="C33" s="13" t="n">
        <f aca="false">-0.3*Y!L7</f>
        <v>-10.88596754421</v>
      </c>
      <c r="D33" s="13" t="n">
        <f aca="false">D28+C33*(1-opex_var)</f>
        <v>94.9144879693866</v>
      </c>
      <c r="E33" s="11" t="n">
        <f aca="false">D33/D28-1</f>
        <v>-0.101504786970552</v>
      </c>
    </row>
    <row r="34" customFormat="false" ht="15" hidden="false" customHeight="false" outlineLevel="0" collapsed="false">
      <c r="A34" s="0" t="s">
        <v>693</v>
      </c>
      <c r="B34" s="0" t="s">
        <v>822</v>
      </c>
      <c r="C34" s="13" t="n">
        <f aca="false">0.3*Y!L7</f>
        <v>10.88596754421</v>
      </c>
      <c r="D34" s="13" t="n">
        <f aca="false">D28+C34*(1-opex_var)</f>
        <v>116.35984403148</v>
      </c>
      <c r="E34" s="11" t="n">
        <f aca="false">D34/D28-1</f>
        <v>0.101504786970552</v>
      </c>
    </row>
    <row r="36" customFormat="false" ht="15" hidden="false" customHeight="false" outlineLevel="0" collapsed="false">
      <c r="A36" s="6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0" t="s">
        <v>824</v>
      </c>
    </row>
    <row r="3" customFormat="false" ht="15" hidden="false" customHeight="false" outlineLevel="0" collapsed="false">
      <c r="A3" s="4" t="s">
        <v>22</v>
      </c>
      <c r="B3" s="4" t="s">
        <v>825</v>
      </c>
      <c r="C3" s="4" t="s">
        <v>826</v>
      </c>
      <c r="D3" s="4" t="s">
        <v>827</v>
      </c>
      <c r="E3" s="4" t="s">
        <v>828</v>
      </c>
    </row>
    <row r="4" customFormat="false" ht="15" hidden="false" customHeight="false" outlineLevel="0" collapsed="false">
      <c r="A4" s="0" t="s">
        <v>829</v>
      </c>
      <c r="B4" s="13" t="n">
        <f aca="false">Y!C4</f>
        <v>133.188</v>
      </c>
      <c r="C4" s="7" t="n">
        <v>133.188</v>
      </c>
      <c r="D4" s="11" t="n">
        <f aca="false">B4/C4-1</f>
        <v>0</v>
      </c>
      <c r="E4" s="8" t="s">
        <v>150</v>
      </c>
    </row>
    <row r="5" customFormat="false" ht="15" hidden="false" customHeight="false" outlineLevel="0" collapsed="false">
      <c r="A5" s="0" t="s">
        <v>830</v>
      </c>
      <c r="B5" s="13" t="n">
        <f aca="false">Y!D4</f>
        <v>267.765729405049</v>
      </c>
      <c r="C5" s="7" t="n">
        <v>275</v>
      </c>
      <c r="D5" s="11" t="n">
        <f aca="false">B5/C5-1</f>
        <v>-0.0263064385270931</v>
      </c>
      <c r="E5" s="8" t="s">
        <v>831</v>
      </c>
    </row>
    <row r="6" customFormat="false" ht="15" hidden="false" customHeight="false" outlineLevel="0" collapsed="false">
      <c r="A6" s="0" t="s">
        <v>832</v>
      </c>
      <c r="B6" s="13" t="n">
        <f aca="false">Y!D20</f>
        <v>194.173404966713</v>
      </c>
      <c r="C6" s="7" t="n">
        <v>202.6</v>
      </c>
      <c r="D6" s="11" t="n">
        <f aca="false">B6/C6-1</f>
        <v>-0.0415922755838437</v>
      </c>
      <c r="E6" s="8" t="s">
        <v>833</v>
      </c>
    </row>
    <row r="7" customFormat="false" ht="15" hidden="false" customHeight="false" outlineLevel="0" collapsed="false">
      <c r="A7" s="0" t="s">
        <v>834</v>
      </c>
      <c r="B7" s="13" t="n">
        <f aca="false">Y!E4</f>
        <v>297.348666752872</v>
      </c>
      <c r="C7" s="7" t="n">
        <v>319.1</v>
      </c>
      <c r="D7" s="11" t="n">
        <f aca="false">B7/C7-1</f>
        <v>-0.0681646294175106</v>
      </c>
      <c r="E7" s="8" t="s">
        <v>835</v>
      </c>
    </row>
    <row r="8" customFormat="false" ht="15" hidden="false" customHeight="false" outlineLevel="0" collapsed="false">
      <c r="A8" s="0" t="s">
        <v>836</v>
      </c>
      <c r="B8" s="13" t="n">
        <f aca="false">Y!E20</f>
        <v>210.887499495708</v>
      </c>
      <c r="C8" s="7" t="n">
        <v>237.3</v>
      </c>
      <c r="D8" s="11" t="n">
        <f aca="false">B8/C8-1</f>
        <v>-0.111304258340884</v>
      </c>
      <c r="E8" s="8" t="s">
        <v>833</v>
      </c>
    </row>
    <row r="9" customFormat="false" ht="15" hidden="false" customHeight="false" outlineLevel="0" collapsed="false">
      <c r="A9" s="0" t="s">
        <v>837</v>
      </c>
      <c r="B9" s="13" t="n">
        <f aca="false">Y!D4/4</f>
        <v>66.9414323512624</v>
      </c>
      <c r="C9" s="7" t="n">
        <v>61.5</v>
      </c>
      <c r="D9" s="11" t="n">
        <f aca="false">B9/C9-1</f>
        <v>0.0884785748172741</v>
      </c>
      <c r="E9" s="6" t="s">
        <v>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5" t="s">
        <v>839</v>
      </c>
    </row>
    <row r="3" customFormat="false" ht="15" hidden="false" customHeight="false" outlineLevel="0" collapsed="false">
      <c r="A3" s="6" t="s">
        <v>840</v>
      </c>
      <c r="B3" s="0" t="n">
        <f aca="false">nv_hbm</f>
        <v>4.46</v>
      </c>
      <c r="C3" s="0" t="s">
        <v>558</v>
      </c>
    </row>
    <row r="4" customFormat="false" ht="15" hidden="false" customHeight="false" outlineLevel="0" collapsed="false">
      <c r="A4" s="6" t="s">
        <v>841</v>
      </c>
      <c r="B4" s="0" t="str">
        <f aca="false">TEXT(Mkt!D16,"0")&amp;" ／ "&amp;TEXT(Mkt!E16,"0")</f>
        <v>216 ／ 260</v>
      </c>
      <c r="C4" s="0" t="s">
        <v>394</v>
      </c>
    </row>
    <row r="5" customFormat="false" ht="15" hidden="false" customHeight="false" outlineLevel="0" collapsed="false">
      <c r="A5" s="0" t="s">
        <v>842</v>
      </c>
      <c r="B5" s="0" t="str">
        <f aca="false">TEXT(Mkt!D33,"0")&amp;" ／ "&amp;TEXT(Mkt!E33,"0")</f>
        <v>55 ／ 154</v>
      </c>
      <c r="C5" s="0" t="s">
        <v>509</v>
      </c>
    </row>
    <row r="6" customFormat="false" ht="15" hidden="false" customHeight="false" outlineLevel="0" collapsed="false">
      <c r="A6" s="0" t="s">
        <v>843</v>
      </c>
      <c r="B6" s="10" t="n">
        <f aca="false">Mkt!E27</f>
        <v>1.23255275</v>
      </c>
      <c r="C6" s="8" t="s">
        <v>623</v>
      </c>
    </row>
    <row r="7" customFormat="false" ht="15" hidden="false" customHeight="false" outlineLevel="0" collapsed="false">
      <c r="A7" s="6" t="s">
        <v>844</v>
      </c>
      <c r="B7" s="6" t="s">
        <v>845</v>
      </c>
      <c r="C7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846</v>
      </c>
    </row>
    <row r="2" customFormat="false" ht="15" hidden="false" customHeight="false" outlineLevel="0" collapsed="false">
      <c r="A2" s="0" t="s">
        <v>847</v>
      </c>
      <c r="B2" s="0" t="s">
        <v>848</v>
      </c>
    </row>
    <row r="3" customFormat="false" ht="15" hidden="false" customHeight="false" outlineLevel="0" collapsed="false">
      <c r="A3" s="0" t="s">
        <v>849</v>
      </c>
      <c r="B3" s="0" t="s">
        <v>850</v>
      </c>
    </row>
    <row r="4" customFormat="false" ht="15" hidden="false" customHeight="false" outlineLevel="0" collapsed="false">
      <c r="A4" s="0" t="s">
        <v>851</v>
      </c>
      <c r="B4" s="0" t="s">
        <v>852</v>
      </c>
    </row>
    <row r="5" customFormat="false" ht="15" hidden="false" customHeight="false" outlineLevel="0" collapsed="false">
      <c r="A5" s="0" t="s">
        <v>853</v>
      </c>
      <c r="B5" s="0" t="s">
        <v>854</v>
      </c>
    </row>
    <row r="6" customFormat="false" ht="15" hidden="false" customHeight="false" outlineLevel="0" collapsed="false">
      <c r="A6" s="0" t="s">
        <v>855</v>
      </c>
      <c r="B6" s="0" t="s">
        <v>856</v>
      </c>
    </row>
    <row r="7" customFormat="false" ht="15" hidden="false" customHeight="false" outlineLevel="0" collapsed="false">
      <c r="A7" s="0" t="s">
        <v>857</v>
      </c>
      <c r="B7" s="0" t="s">
        <v>858</v>
      </c>
    </row>
    <row r="8" customFormat="false" ht="15" hidden="false" customHeight="false" outlineLevel="0" collapsed="false">
      <c r="A8" s="0" t="s">
        <v>859</v>
      </c>
      <c r="B8" s="0" t="s">
        <v>860</v>
      </c>
    </row>
    <row r="9" customFormat="false" ht="15" hidden="false" customHeight="false" outlineLevel="0" collapsed="false">
      <c r="A9" s="0" t="s">
        <v>861</v>
      </c>
      <c r="B9" s="0" t="s">
        <v>862</v>
      </c>
    </row>
    <row r="10" customFormat="false" ht="15" hidden="false" customHeight="false" outlineLevel="0" collapsed="false">
      <c r="A10" s="0" t="s">
        <v>863</v>
      </c>
      <c r="B10" s="0" t="s">
        <v>864</v>
      </c>
    </row>
    <row r="11" customFormat="false" ht="15" hidden="false" customHeight="false" outlineLevel="0" collapsed="false">
      <c r="A11" s="0" t="s">
        <v>865</v>
      </c>
      <c r="B11" s="0" t="s">
        <v>866</v>
      </c>
    </row>
    <row r="12" customFormat="false" ht="14.9" hidden="false" customHeight="false" outlineLevel="0" collapsed="false">
      <c r="A12" s="0" t="s">
        <v>867</v>
      </c>
      <c r="B12" s="6" t="s">
        <v>868</v>
      </c>
    </row>
    <row r="13" customFormat="false" ht="15" hidden="false" customHeight="false" outlineLevel="0" collapsed="false">
      <c r="A13" s="0" t="s">
        <v>869</v>
      </c>
      <c r="B13" s="6" t="s">
        <v>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2026-10-23T09:14:25Z</dcterms:created>
  <dc:creator>openpyxl</dc:creator>
  <dc:description/>
  <dc:language>en-US</dc:language>
  <cp:lastModifiedBy/>
  <dcterms:modified xsi:type="dcterms:W3CDTF">2026-10-23T09:14:25Z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