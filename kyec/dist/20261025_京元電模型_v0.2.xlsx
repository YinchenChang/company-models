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apex" vbProcedure="false">Q!$B$17</definedName>
    <definedName function="false" hidden="false" name="a25_cc" vbProcedure="false">Q!$B$8</definedName>
    <definedName function="false" hidden="false" name="a25_da" vbProcedure="false">Q!$B$7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i" vbProcedure="false">Q!$B$12</definedName>
    <definedName function="false" hidden="false" name="a25_oi" vbProcedure="false">Q!$B$10</definedName>
    <definedName function="false" hidden="false" name="a25_opx" vbProcedure="false">Q!$B$9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capex" vbProcedure="false">Q!$F$17</definedName>
    <definedName function="false" hidden="false" name="a26_cc" vbProcedure="false">Q!$F$8</definedName>
    <definedName function="false" hidden="false" name="a26_da" vbProcedure="false">Q!$F$7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i" vbProcedure="false">Q!$F$12</definedName>
    <definedName function="false" hidden="false" name="a26_oi" vbProcedure="false">Q!$F$10</definedName>
    <definedName function="false" hidden="false" name="a26_opx" vbProcedure="false">Q!$F$9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In!$E$66</definedName>
    <definedName function="false" hidden="false" name="ai_25_hi" vbProcedure="false">In!$F$66</definedName>
    <definedName function="false" hidden="false" name="ai_25_lo" vbProcedure="false">In!$D$66</definedName>
    <definedName function="false" hidden="false" name="ai_26" vbProcedure="false">In!$E$67</definedName>
    <definedName function="false" hidden="false" name="ai_26_hi" vbProcedure="false">In!$F$67</definedName>
    <definedName function="false" hidden="false" name="ai_26_lo" vbProcedure="false">In!$D$67</definedName>
    <definedName function="false" hidden="false" name="bi_25" vbProcedure="false">In!$E$103</definedName>
    <definedName function="false" hidden="false" name="capex_26" vbProcedure="false">In!$E$72</definedName>
    <definedName function="false" hidden="false" name="capex_26_hi" vbProcedure="false">In!$F$72</definedName>
    <definedName function="false" hidden="false" name="capex_26_lo" vbProcedure="false">In!$D$72</definedName>
    <definedName function="false" hidden="false" name="cons_feps" vbProcedure="false">In!$E$121</definedName>
    <definedName function="false" hidden="false" name="cons_tp" vbProcedure="false">In!$E$120</definedName>
    <definedName function="false" hidden="false" name="c_eps26" vbProcedure="false">In!$E$94</definedName>
    <definedName function="false" hidden="false" name="c_eps26b" vbProcedure="false">In!$E$97</definedName>
    <definedName function="false" hidden="false" name="c_eps27" vbProcedure="false">In!$E$95</definedName>
    <definedName function="false" hidden="false" name="c_eps28" vbProcedure="false">In!$E$96</definedName>
    <definedName function="false" hidden="false" name="c_q4rev" vbProcedure="false">In!$E$99</definedName>
    <definedName function="false" hidden="false" name="c_rev26" vbProcedure="false">In!$E$98</definedName>
    <definedName function="false" hidden="false" name="dp_26" vbProcedure="false">In!$E$102</definedName>
    <definedName function="false" hidden="false" name="dr" vbProcedure="false">In!$E$75</definedName>
    <definedName function="false" hidden="false" name="dr_hi" vbProcedure="false">In!$F$75</definedName>
    <definedName function="false" hidden="false" name="dr_lo" vbProcedure="false">In!$D$75</definedName>
    <definedName function="false" hidden="false" name="ex_amd" vbProcedure="false">In!$E$53</definedName>
    <definedName function="false" hidden="false" name="ex_amd_hi" vbProcedure="false">In!$F$53</definedName>
    <definedName function="false" hidden="false" name="ex_amd_lo" vbProcedure="false">In!$D$53</definedName>
    <definedName function="false" hidden="false" name="ex_oth" vbProcedure="false">In!$E$56</definedName>
    <definedName function="false" hidden="false" name="ex_oth_hi" vbProcedure="false">In!$F$56</definedName>
    <definedName function="false" hidden="false" name="ex_oth_lo" vbProcedure="false">In!$D$56</definedName>
    <definedName function="false" hidden="false" name="ex_tpu" vbProcedure="false">In!$E$54</definedName>
    <definedName function="false" hidden="false" name="ex_tpu_hi" vbProcedure="false">In!$F$54</definedName>
    <definedName function="false" hidden="false" name="ex_tpu_lo" vbProcedure="false">In!$D$54</definedName>
    <definedName function="false" hidden="false" name="ex_trn" vbProcedure="false">In!$E$55</definedName>
    <definedName function="false" hidden="false" name="ex_trn_hi" vbProcedure="false">In!$F$55</definedName>
    <definedName function="false" hidden="false" name="ex_trn_lo" vbProcedure="false">In!$D$55</definedName>
    <definedName function="false" hidden="false" name="fade_gA" vbProcedure="false">In!$E$115</definedName>
    <definedName function="false" hidden="false" name="fade_gC" vbProcedure="false">In!$E$116</definedName>
    <definedName function="false" hidden="false" name="fade_mA" vbProcedure="false">In!$E$117</definedName>
    <definedName function="false" hidden="false" name="fade_mB" vbProcedure="false">In!$E$118</definedName>
    <definedName function="false" hidden="false" name="fade_mC" vbProcedure="false">In!$E$119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NHI27" vbProcedure="false">In!$F$68</definedName>
    <definedName function="false" hidden="false" name="GNHI28" vbProcedure="false">In!$F$69</definedName>
    <definedName function="false" hidden="false" name="GNHI29" vbProcedure="false">In!$F$70</definedName>
    <definedName function="false" hidden="false" name="GNLO27" vbProcedure="false">In!$D$68</definedName>
    <definedName function="false" hidden="false" name="GNLO28" vbProcedure="false">In!$D$69</definedName>
    <definedName function="false" hidden="false" name="GNLO29" vbProcedure="false">In!$D$70</definedName>
    <definedName function="false" hidden="false" name="g_nai27" vbProcedure="false">In!$E$68</definedName>
    <definedName function="false" hidden="false" name="g_nai27_hi" vbProcedure="false">In!$F$68</definedName>
    <definedName function="false" hidden="false" name="g_nai27_lo" vbProcedure="false">In!$D$68</definedName>
    <definedName function="false" hidden="false" name="g_nai28" vbProcedure="false">In!$E$69</definedName>
    <definedName function="false" hidden="false" name="g_nai28_hi" vbProcedure="false">In!$F$69</definedName>
    <definedName function="false" hidden="false" name="g_nai28_lo" vbProcedure="false">In!$D$69</definedName>
    <definedName function="false" hidden="false" name="g_nai29" vbProcedure="false">In!$E$70</definedName>
    <definedName function="false" hidden="false" name="g_nai29_hi" vbProcedure="false">In!$F$70</definedName>
    <definedName function="false" hidden="false" name="g_nai29_lo" vbProcedure="false">In!$D$70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ms_goog" vbProcedure="false">In!$E$101</definedName>
    <definedName function="false" hidden="false" name="ms_tp" vbProcedure="false">In!$E$100</definedName>
    <definedName function="false" hidden="false" name="m_cx" vbProcedure="false">In!$E$73</definedName>
    <definedName function="false" hidden="false" name="m_cx_hi" vbProcedure="false">In!$F$73</definedName>
    <definedName function="false" hidden="false" name="m_cx_lo" vbProcedure="false">In!$D$73</definedName>
    <definedName function="false" hidden="false" name="nir_f" vbProcedure="false">In!$E$91</definedName>
    <definedName function="false" hidden="false" name="nir_f_hi" vbProcedure="false">In!$F$91</definedName>
    <definedName function="false" hidden="false" name="nir_f_lo" vbProcedure="false">In!$D$91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hist" vbProcedure="false">Val!$B$92:$B$101</definedName>
    <definedName function="false" hidden="false" name="pe_mid" vbProcedure="false">Val!$C$116</definedName>
    <definedName function="false" hidden="false" name="pe_peak" vbProcedure="false">Val!$C$115</definedName>
    <definedName function="false" hidden="false" name="pe_trough" vbProcedure="false">Val!$C$117</definedName>
    <definedName function="false" hidden="false" name="pe_ttm" vbProcedure="false">In!$E$106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PHI_27" vbProcedure="false">In!$F$61</definedName>
    <definedName function="false" hidden="false" name="PPHI_28" vbProcedure="false">In!$F$62</definedName>
    <definedName function="false" hidden="false" name="PPHI_29" vbProcedure="false">In!$F$63</definedName>
    <definedName function="false" hidden="false" name="PPLO_27" vbProcedure="false">In!$D$61</definedName>
    <definedName function="false" hidden="false" name="PPLO_28" vbProcedure="false">In!$D$62</definedName>
    <definedName function="false" hidden="false" name="PPLO_29" vbProcedure="false">In!$D$63</definedName>
    <definedName function="false" hidden="false" name="pp_27" vbProcedure="false">In!$E$61</definedName>
    <definedName function="false" hidden="false" name="pp_27_hi" vbProcedure="false">In!$F$61</definedName>
    <definedName function="false" hidden="false" name="pp_27_lo" vbProcedure="false">In!$D$61</definedName>
    <definedName function="false" hidden="false" name="pp_28" vbProcedure="false">In!$E$62</definedName>
    <definedName function="false" hidden="false" name="pp_28_hi" vbProcedure="false">In!$F$62</definedName>
    <definedName function="false" hidden="false" name="pp_28_lo" vbProcedure="false">In!$D$62</definedName>
    <definedName function="false" hidden="false" name="pp_29" vbProcedure="false">In!$E$63</definedName>
    <definedName function="false" hidden="false" name="pp_29_hi" vbProcedure="false">In!$F$63</definedName>
    <definedName function="false" hidden="false" name="pp_29_lo" vbProcedure="false">In!$D$63</definedName>
    <definedName function="false" hidden="false" name="px" vbProcedure="false">In!$E$105</definedName>
    <definedName function="false" hidden="false" name="q3_da" vbProcedure="false">In!$E$83</definedName>
    <definedName function="false" hidden="false" name="q3_da_hi" vbProcedure="false">In!$F$83</definedName>
    <definedName function="false" hidden="false" name="q3_da_lo" vbProcedure="false">In!$D$83</definedName>
    <definedName function="false" hidden="false" name="q3_gm" vbProcedure="false">In!$E$81</definedName>
    <definedName function="false" hidden="false" name="q3_gm_hi" vbProcedure="false">In!$F$81</definedName>
    <definedName function="false" hidden="false" name="q3_gm_lo" vbProcedure="false">In!$D$81</definedName>
    <definedName function="false" hidden="false" name="q3_rev" vbProcedure="false">In!$E$79</definedName>
    <definedName function="false" hidden="false" name="q4g" vbProcedure="false">In!$E$80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_da" vbProcedure="false">In!$E$84</definedName>
    <definedName function="false" hidden="false" name="q4_da_hi" vbProcedure="false">In!$F$84</definedName>
    <definedName function="false" hidden="false" name="q4_da_lo" vbProcedure="false">In!$D$84</definedName>
    <definedName function="false" hidden="false" name="q4_gm" vbProcedure="false">In!$E$82</definedName>
    <definedName function="false" hidden="false" name="q4_gm_hi" vbProcedure="false">In!$F$82</definedName>
    <definedName function="false" hidden="false" name="q4_gm_lo" vbProcedure="false">In!$D$82</definedName>
    <definedName function="false" hidden="false" name="q_nir" vbProcedure="false">In!$E$86</definedName>
    <definedName function="false" hidden="false" name="q_nir_hi" vbProcedure="false">In!$F$86</definedName>
    <definedName function="false" hidden="false" name="q_nir_lo" vbProcedure="false">In!$D$86</definedName>
    <definedName function="false" hidden="false" name="q_opx" vbProcedure="false">In!$E$85</definedName>
    <definedName function="false" hidden="false" name="q_opx_hi" vbProcedure="false">In!$F$85</definedName>
    <definedName function="false" hidden="false" name="q_opx_lo" vbProcedure="false">In!$D$85</definedName>
    <definedName function="false" hidden="false" name="q_sh" vbProcedure="false">In!$E$87</definedName>
    <definedName function="false" hidden="false" name="rel_27" vbProcedure="false">In!$E$58</definedName>
    <definedName function="false" hidden="false" name="rel_27_hi" vbProcedure="false">In!$F$58</definedName>
    <definedName function="false" hidden="false" name="rel_27_lo" vbProcedure="false">In!$D$58</definedName>
    <definedName function="false" hidden="false" name="rel_28" vbProcedure="false">In!$E$59</definedName>
    <definedName function="false" hidden="false" name="rel_28_hi" vbProcedure="false">In!$F$59</definedName>
    <definedName function="false" hidden="false" name="rel_28_lo" vbProcedure="false">In!$D$59</definedName>
    <definedName function="false" hidden="false" name="rel_29" vbProcedure="false">In!$E$60</definedName>
    <definedName function="false" hidden="false" name="rel_29_hi" vbProcedure="false">In!$F$60</definedName>
    <definedName function="false" hidden="false" name="rel_29_lo" vbProcedure="false">In!$D$60</definedName>
    <definedName function="false" hidden="false" name="ret" vbProcedure="false">In!$E$76</definedName>
    <definedName function="false" hidden="false" name="ret_hi" vbProcedure="false">In!$F$76</definedName>
    <definedName function="false" hidden="false" name="ret_lo" vbProcedure="false">In!$D$76</definedName>
    <definedName function="false" hidden="false" name="rev24" vbProcedure="false">In!$E$74</definedName>
    <definedName function="false" hidden="false" name="RHI_27" vbProcedure="false">In!$F$58</definedName>
    <definedName function="false" hidden="false" name="RHI_28" vbProcedure="false">In!$F$59</definedName>
    <definedName function="false" hidden="false" name="RHI_29" vbProcedure="false">In!$F$60</definedName>
    <definedName function="false" hidden="false" name="RLO_27" vbProcedure="false">In!$D$58</definedName>
    <definedName function="false" hidden="false" name="RLO_28" vbProcedure="false">In!$D$59</definedName>
    <definedName function="false" hidden="false" name="RLO_29" vbProcedure="false">In!$D$60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tp_final" vbProcedure="false">Val!$B$39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tt_amd" vbProcedure="false">In!$E$49</definedName>
    <definedName function="false" hidden="false" name="tt_amd_hi" vbProcedure="false">In!$F$49</definedName>
    <definedName function="false" hidden="false" name="tt_amd_lo" vbProcedure="false">In!$D$49</definedName>
    <definedName function="false" hidden="false" name="tt_bw" vbProcedure="false">In!$E$45</definedName>
    <definedName function="false" hidden="false" name="tt_bw_hi" vbProcedure="false">In!$E$45</definedName>
    <definedName function="false" hidden="false" name="tt_bw_lo" vbProcedure="false">In!$E$45</definedName>
    <definedName function="false" hidden="false" name="tt_hp" vbProcedure="false">In!$E$48</definedName>
    <definedName function="false" hidden="false" name="tt_hp_hi" vbProcedure="false">In!$F$48</definedName>
    <definedName function="false" hidden="false" name="tt_hp_lo" vbProcedure="false">In!$D$48</definedName>
    <definedName function="false" hidden="false" name="tt_oth" vbProcedure="false">In!$E$52</definedName>
    <definedName function="false" hidden="false" name="tt_oth_hi" vbProcedure="false">In!$F$52</definedName>
    <definedName function="false" hidden="false" name="tt_oth_lo" vbProcedure="false">In!$D$52</definedName>
    <definedName function="false" hidden="false" name="tt_rb" vbProcedure="false">In!$E$46</definedName>
    <definedName function="false" hidden="false" name="tt_rb_hi" vbProcedure="false">In!$F$46</definedName>
    <definedName function="false" hidden="false" name="tt_rb_lo" vbProcedure="false">In!$D$46</definedName>
    <definedName function="false" hidden="false" name="tt_ru" vbProcedure="false">In!$E$47</definedName>
    <definedName function="false" hidden="false" name="tt_ru_hi" vbProcedure="false">In!$F$47</definedName>
    <definedName function="false" hidden="false" name="tt_ru_lo" vbProcedure="false">In!$D$47</definedName>
    <definedName function="false" hidden="false" name="tt_tpu" vbProcedure="false">In!$E$50</definedName>
    <definedName function="false" hidden="false" name="tt_tpu_hi" vbProcedure="false">In!$F$50</definedName>
    <definedName function="false" hidden="false" name="tt_tpu_lo" vbProcedure="false">In!$D$50</definedName>
    <definedName function="false" hidden="false" name="tt_trn" vbProcedure="false">In!$E$51</definedName>
    <definedName function="false" hidden="false" name="tt_trn_hi" vbProcedure="false">In!$F$51</definedName>
    <definedName function="false" hidden="false" name="tt_trn_lo" vbProcedure="false">In!$D$51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_cc" vbProcedure="false">In!$E$77</definedName>
    <definedName function="false" hidden="false" name="v_cc_hi" vbProcedure="false">In!$F$77</definedName>
    <definedName function="false" hidden="false" name="v_cc_lo" vbProcedure="false">In!$D$77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<sst xmlns="http://schemas.openxmlformats.org/spreadsheetml/2006/main" count="4349" uniqueCount="945">
  <si>
    <r>
      <rPr>
        <b val="true"/>
        <sz val="11"/>
        <rFont val="Noto Sans CJK SC"/>
        <family val="2"/>
      </rPr>
      <t xml:space="preserve">京元電子（</t>
    </r>
    <r>
      <rPr>
        <b val="true"/>
        <sz val="11"/>
        <rFont val="Cambria"/>
        <family val="0"/>
        <charset val="1"/>
      </rPr>
      <t xml:space="preserve">2449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：測試代工；</t>
    </r>
    <r>
      <rPr>
        <b val="true"/>
        <sz val="11"/>
        <rFont val="Cambria"/>
        <family val="0"/>
        <charset val="1"/>
      </rPr>
      <t xml:space="preserve">AI GPU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最終測試與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</si>
  <si>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加權，取代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的短期法／長期法）。驅動邏輯比照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模型（測試需求＝加速器顆數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每顆測試時間；顆數與情境係數讀台積電模型成品）；台股寫法比照台達電、台光電模型。</t>
    </r>
  </si>
  <si>
    <r>
      <rPr>
        <sz val="11"/>
        <rFont val="Noto Sans CJK SC"/>
        <family val="2"/>
      </rPr>
      <t xml:space="preserve">模型命題：京元電的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測試營收＝加速器顆數（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世代加長）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、手機、消費、車用）另依成長率推。毛利率由固定現金成本、變動現金成本與折舊推出，折舊由隨當年營收增量擴產的資本支出累積。股價約 </t>
    </r>
    <r>
      <rPr>
        <sz val="11"/>
        <rFont val="Cambria"/>
        <family val="0"/>
        <charset val="1"/>
      </rPr>
      <t xml:space="preserve">32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</si>
  <si>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億的擴產（約為營收的一倍）能否在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測試量吸收；顆數放緩或份額流失時，累積的折舊會讓毛利率掉多少；現價隱含的路徑合不合理。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</si>
  <si>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起為收斂法，非驅動因子推導（營收年增與淨利率線性收斂，延伸到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頁綠底）。金額：十億新台幣。口徑：歸屬母公司淨利；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起以盈餘配股 </t>
    </r>
    <r>
      <rPr>
        <sz val="11"/>
        <rFont val="Cambria"/>
        <family val="0"/>
        <charset val="1"/>
      </rPr>
      <t xml:space="preserve">5% </t>
    </r>
    <r>
      <rPr>
        <sz val="11"/>
        <rFont val="Noto Sans CJK SC"/>
        <family val="2"/>
      </rPr>
      <t xml:space="preserve">後的股數計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</si>
  <si>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</si>
  <si>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成品的加速器顆數（八個平台）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模型並加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京元電曝險（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）＝加權顆數；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35%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加速器測試營收。</t>
    </r>
  </si>
  <si>
    <r>
      <rPr>
        <sz val="11"/>
        <rFont val="Noto Sans CJK SC"/>
        <family val="2"/>
      </rPr>
      <t xml:space="preserve">供給面：資本支出＝維持性比例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營收＋</t>
    </r>
    <r>
      <rPr>
        <sz val="11"/>
        <rFont val="Cambria"/>
        <family val="0"/>
        <charset val="1"/>
      </rPr>
      <t xml:space="preserve">κ × </t>
    </r>
    <r>
      <rPr>
        <sz val="11"/>
        <rFont val="Noto Sans CJK SC"/>
        <family val="2"/>
      </rPr>
      <t xml:space="preserve">當年營收增量（</t>
    </r>
    <r>
      <rPr>
        <sz val="11"/>
        <rFont val="Cambria"/>
        <family val="0"/>
        <charset val="1"/>
      </rPr>
      <t xml:space="preserve">κ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現金資本支出與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營收增量校準）；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取公司預算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億的現金口徑 </t>
    </r>
    <r>
      <rPr>
        <sz val="11"/>
        <rFont val="Cambria"/>
        <family val="0"/>
        <charset val="1"/>
      </rPr>
      <t xml:space="preserve">420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到期）＋折舊率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資本支出平均。</t>
    </r>
  </si>
  <si>
    <r>
      <rPr>
        <sz val="11"/>
        <rFont val="Noto Sans CJK SC"/>
        <family val="2"/>
      </rPr>
      <t xml:space="preserve">毛利率：營收 − 現金營業成本（固定 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校準；變動 </t>
    </r>
    <r>
      <rPr>
        <sz val="11"/>
        <rFont val="Cambria"/>
        <family val="0"/>
        <charset val="1"/>
      </rPr>
      <t xml:space="preserve">v × </t>
    </r>
    <r>
      <rPr>
        <sz val="11"/>
        <rFont val="Noto Sans CJK SC"/>
        <family val="2"/>
      </rPr>
      <t xml:space="preserve">測試量）− 折舊。營業費用：彈性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：利息費用上升）。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</si>
  <si>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％／</t>
    </r>
    <r>
      <rPr>
        <sz val="11"/>
        <rFont val="Cambria"/>
        <family val="0"/>
        <charset val="1"/>
      </rPr>
      <t xml:space="preserve">39.5%</t>
    </r>
    <r>
      <rPr>
        <sz val="11"/>
        <rFont val="Noto Sans CJK SC"/>
        <family val="2"/>
      </rPr>
      <t xml:space="preserve">、折舊 </t>
    </r>
    <r>
      <rPr>
        <sz val="11"/>
        <rFont val="Cambria"/>
        <family val="0"/>
        <charset val="1"/>
      </rPr>
      <t xml:space="preserve">29.5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31.5 </t>
    </r>
    <r>
      <rPr>
        <sz val="11"/>
        <rFont val="Noto Sans CJK SC"/>
        <family val="2"/>
      </rPr>
      <t xml:space="preserve">億、營業費用率 </t>
    </r>
    <r>
      <rPr>
        <sz val="11"/>
        <rFont val="Cambria"/>
        <family val="0"/>
        <charset val="1"/>
      </rPr>
      <t xml:space="preserve">12.5%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月上旬公布。不用共識數字（只在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</si>
  <si>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當年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；循環位置以本模型營收最高年判定（京元電不套設備股見頂年）。目標價（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（台美封測同業前瞻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</si>
  <si>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未使用。公司原文＝每季 </t>
    </r>
    <r>
      <rPr>
        <sz val="11"/>
        <rFont val="Cambria"/>
        <family val="0"/>
        <charset val="1"/>
      </rPr>
      <t xml:space="preserve">Investor update </t>
    </r>
    <r>
      <rPr>
        <sz val="11"/>
        <rFont val="Noto Sans CJK SC"/>
        <family val="2"/>
      </rPr>
      <t xml:space="preserve">與月營收；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占比、客戶、資本支出預算多經媒體與券商轉述。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</si>
  <si>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營收、客戶別營收與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委外份額，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（媒體另有 </t>
    </r>
    <r>
      <rPr>
        <sz val="11"/>
        <rFont val="Cambria"/>
        <family val="0"/>
        <charset val="1"/>
      </rPr>
      <t xml:space="preserve">70% </t>
    </r>
    <r>
      <rPr>
        <sz val="11"/>
        <rFont val="Noto Sans CJK SC"/>
        <family val="2"/>
      </rPr>
      <t xml:space="preserve">的寬口徑說法）；份額只能以相對值表示；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）係數、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曝險、份額與單價路徑皆為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折舊攤提金額公司未直接揭露，以 </t>
    </r>
    <r>
      <rPr>
        <sz val="11"/>
        <rFont val="Cambria"/>
        <family val="0"/>
        <charset val="1"/>
      </rPr>
      <t xml:space="preserve">EBITDA − </t>
    </r>
    <r>
      <rPr>
        <sz val="11"/>
        <rFont val="Noto Sans CJK SC"/>
        <family val="2"/>
      </rPr>
      <t xml:space="preserve">營業利益推得，並假設全部在營業成本；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資本支出以營收增量連結，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年預算含廠房與美國廠的提前投資，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起的資本支出可能低估、毛利率可能高估；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前低倍數，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含處分利益；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月營收後更新錨點；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</si>
  <si>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節由短期法／長期法改為「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節起整體下移 </t>
    </r>
    <r>
      <rPr>
        <sz val="11"/>
        <rFont val="Cambria"/>
        <family val="0"/>
        <charset val="1"/>
      </rPr>
      <t xml:space="preserve">23 </t>
    </r>
    <r>
      <rPr>
        <sz val="11"/>
        <rFont val="Noto Sans CJK SC"/>
        <family val="2"/>
      </rPr>
      <t xml:space="preserve">列；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tp_mix </t>
    </r>
    <r>
      <rPr>
        <sz val="11"/>
        <rFont val="Noto Sans CJK SC"/>
        <family val="2"/>
      </rPr>
      <t xml:space="preserve">改為 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，新增共識目標價與共識前瞻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對照改用加權目標價；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FY2026–FY2032 EPS </t>
    </r>
    <r>
      <rPr>
        <sz val="11"/>
        <rFont val="Noto Sans CJK SC"/>
        <family val="2"/>
      </rPr>
      <t xml:space="preserve">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</si>
  <si>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</si>
  <si>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（英文簡報）與月營收公告；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占比、客戶與券商估計為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（媒體、券商轉述）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</si>
  <si>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</si>
  <si>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</si>
  <si>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</si>
  <si>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</si>
  <si>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</si>
  <si>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</si>
  <si>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</si>
  <si>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</si>
  <si>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</si>
  <si>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模型同一份；情境係數不另訂）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</si>
  <si>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</si>
  <si>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</si>
  <si>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</si>
  <si>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</si>
  <si>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</si>
  <si>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（經台積電模型；顆數本身多為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，見上游）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</si>
  <si>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</si>
  <si>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</si>
  <si>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</si>
  <si>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</si>
  <si>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</si>
  <si>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</si>
  <si>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</si>
  <si>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</si>
  <si>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 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</si>
  <si>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</si>
  <si>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</si>
  <si>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</si>
  <si>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沿用台積電模型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</si>
  <si>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</si>
  <si>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</si>
  <si>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</si>
  <si>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</si>
  <si>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</si>
  <si>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</si>
  <si>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</si>
  <si>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</si>
  <si>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</si>
  <si>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</si>
  <si>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</si>
  <si>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</si>
  <si>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</si>
  <si>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</si>
  <si>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</si>
  <si>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</si>
  <si>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</si>
  <si>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</si>
  <si>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</si>
  <si>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</si>
  <si>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</si>
  <si>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</si>
  <si>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</si>
  <si>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</si>
  <si>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</si>
  <si>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</si>
  <si>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</si>
  <si>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</si>
  <si>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</si>
  <si>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</si>
  <si>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</si>
  <si>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</si>
  <si>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</si>
  <si>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</si>
  <si>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</si>
  <si>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</si>
  <si>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</si>
  <si>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</si>
  <si>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</si>
  <si>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</si>
  <si>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</si>
  <si>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</si>
  <si>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</si>
  <si>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</si>
  <si>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</si>
  <si>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</si>
  <si>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</si>
  <si>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</si>
  <si>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</si>
  <si>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</si>
  <si>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</si>
  <si>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</si>
  <si>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</si>
  <si>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</si>
  <si>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</si>
  <si>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</si>
  <si>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</si>
  <si>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</si>
  <si>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</si>
  <si>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</si>
  <si>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</si>
  <si>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</si>
  <si>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</si>
  <si>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</si>
  <si>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</si>
  <si>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</si>
  <si>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</si>
  <si>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</si>
  <si>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</si>
  <si>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</si>
  <si>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</si>
  <si>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</si>
  <si>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</si>
  <si>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</si>
  <si>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</si>
  <si>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</si>
  <si>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</si>
  <si>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</si>
  <si>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</si>
  <si>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</si>
  <si>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</si>
  <si>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</si>
  <si>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</si>
  <si>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</si>
  <si>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</si>
  <si>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</si>
  <si>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</si>
  <si>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</si>
  <si>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</si>
  <si>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</si>
  <si>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</si>
  <si>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</si>
  <si>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</si>
  <si>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</si>
  <si>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</si>
  <si>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</si>
  <si>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</si>
  <si>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</si>
  <si>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</si>
  <si>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</si>
  <si>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</si>
  <si>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</si>
  <si>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</si>
  <si>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</si>
  <si>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</si>
  <si>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美元；只用於每顆美元換算的顯示）</t>
    </r>
  </si>
  <si>
    <t xml:space="preserve">NT$/US$</t>
  </si>
  <si>
    <t xml:space="preserve">與台達電、台光電模型相同</t>
  </si>
  <si>
    <r>
      <rPr>
        <sz val="11"/>
        <color theme="1"/>
        <rFont val="Noto Sans CJK SC"/>
        <family val="2"/>
      </rPr>
      <t xml:space="preserve">不影響營收與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</si>
  <si>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）係數與京元電曝險（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</si>
  <si>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tt_bw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</si>
  <si>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</si>
  <si>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定義：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</si>
  <si>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校準在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進行，係數只決定世代與平台間的相對權重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</si>
  <si>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</si>
  <si>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</si>
  <si>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測試時間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增量占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</si>
  <si>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客戶要求更高可靠度，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後需再做最終測試，總測試時間拉長（理財周刊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</si>
  <si>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tt_ru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</si>
  <si>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</si>
  <si>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功耗更高；</t>
    </r>
    <r>
      <rPr>
        <sz val="11"/>
        <color theme="1"/>
        <rFont val="Calibri"/>
        <family val="2"/>
        <charset val="1"/>
      </rPr>
      <t xml:space="preserve">Assumed</t>
    </r>
  </si>
  <si>
    <t xml:space="preserve">第二來源：未找到</t>
  </si>
  <si>
    <t xml:space="preserve">tt_hp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</si>
  <si>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Hopper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</si>
  <si>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</si>
  <si>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</si>
  <si>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</si>
  <si>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</si>
  <si>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1.1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</si>
  <si>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</si>
  <si>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</si>
  <si>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時間短於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</si>
  <si>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</si>
  <si>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</si>
  <si>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0.8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</si>
  <si>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</si>
  <si>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</si>
  <si>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0.7</t>
    </r>
  </si>
  <si>
    <t xml:space="preserve">ex_amd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</si>
  <si>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</si>
  <si>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委外測試主要在日月光、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</si>
  <si>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測試是較大的營收來源，</t>
    </r>
    <r>
      <rPr>
        <sz val="11"/>
        <color theme="1"/>
        <rFont val="Calibri"/>
        <family val="2"/>
        <charset val="1"/>
      </rPr>
      <t xml:space="preserve">ASIC 2026–27 </t>
    </r>
    <r>
      <rPr>
        <sz val="11"/>
        <color theme="1"/>
        <rFont val="Noto Sans CJK SC"/>
        <family val="2"/>
      </rPr>
      <t xml:space="preserve">由低基期快速成長（富果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</si>
  <si>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ex_tpu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</si>
  <si>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</si>
  <si>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）；聯發科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後段測試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月起量產（優分析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</si>
  <si>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</si>
  <si>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ex_trn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</si>
  <si>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</si>
  <si>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AWS ASIC </t>
    </r>
    <r>
      <rPr>
        <sz val="11"/>
        <color theme="1"/>
        <rFont val="Noto Sans CJK SC"/>
        <family val="2"/>
      </rPr>
      <t xml:space="preserve">專案出貨中（優分析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）；份額：未找到</t>
    </r>
  </si>
  <si>
    <t xml:space="preserve">ex_oth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</si>
  <si>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</si>
  <si>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）；份額：未找到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</si>
  <si>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份額、價格與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部署係數（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</si>
  <si>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rel_27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</si>
  <si>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</si>
  <si>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分散測試供應鏈（日月光、矽品、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擴最終測試與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</si>
  <si>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最終測試市占穩固（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</si>
  <si>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</si>
  <si>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</si>
  <si>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rel_29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</si>
  <si>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</si>
  <si>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pp_27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</si>
  <si>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</si>
  <si>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r>
      <rPr>
        <sz val="11"/>
        <color theme="1"/>
        <rFont val="Noto Sans CJK SC"/>
        <family val="2"/>
      </rPr>
      <t xml:space="preserve">公司未揭露測試單價：未找到；低毛利手機、網通訂單移出，產品組合改善（工商時報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</si>
  <si>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新產能到位後價格競爭（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</si>
  <si>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</si>
  <si>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</si>
  <si>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pp_29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</si>
  <si>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</si>
  <si>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</si>
  <si>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起乘在加權顆數上）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</si>
  <si>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</si>
  <si>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</si>
  <si>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加速器測試＝</t>
    </r>
    <r>
      <rPr>
        <b val="true"/>
        <sz val="11"/>
        <rFont val="Cambria"/>
        <family val="0"/>
        <charset val="1"/>
      </rPr>
      <t xml:space="preserve">NVIDIA GPU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的晶圓測試、最終測試、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</si>
  <si>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</si>
  <si>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</si>
  <si>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</si>
  <si>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25–30%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</si>
  <si>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相關測試超過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</si>
  <si>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</si>
  <si>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營收（校準用）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</si>
  <si>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）；中央社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：法人預估超過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</si>
  <si>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媒體另稱「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、優分析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），口徑含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、網通等，不採；公司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 </t>
    </r>
    <r>
      <rPr>
        <sz val="11"/>
        <color theme="1"/>
        <rFont val="Calibri"/>
        <family val="2"/>
        <charset val="1"/>
      </rPr>
      <t xml:space="preserve">36.3%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摘要公司簡報），上限參考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</si>
  <si>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</si>
  <si>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</si>
  <si>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：最大客戶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系列）占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8–10%</t>
    </r>
    <r>
      <rPr>
        <sz val="11"/>
        <color theme="1"/>
        <rFont val="Noto Sans CJK SC"/>
        <family val="2"/>
      </rPr>
      <t xml:space="preserve">，加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測試超過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</si>
  <si>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產能多在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年底建置完成，支撐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）；手機、網通訂單移出（工商時報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</si>
  <si>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</si>
  <si>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</si>
  <si>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</si>
  <si>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</si>
  <si>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資本支出與折舊（毛利率的關鍵）</t>
    </r>
  </si>
  <si>
    <t xml:space="preserve">capex_26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</si>
  <si>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年資本支出（現金口徑）</t>
    </r>
  </si>
  <si>
    <t xml:space="preserve">NT$B</t>
  </si>
  <si>
    <r>
      <rPr>
        <sz val="11"/>
        <color theme="1"/>
        <rFont val="Noto Sans CJK SC"/>
        <family val="2"/>
      </rPr>
      <t xml:space="preserve">董事會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億上修；工商時報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、理財周刊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）；約五成用於廠房與無塵室（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</si>
  <si>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67.9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138.9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年預算約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億、現金 </t>
    </r>
    <r>
      <rPr>
        <sz val="11"/>
        <color theme="1"/>
        <rFont val="Calibri"/>
        <family val="2"/>
        <charset val="1"/>
      </rPr>
      <t xml:space="preserve">323.6 </t>
    </r>
    <r>
      <rPr>
        <sz val="11"/>
        <color theme="1"/>
        <rFont val="Noto Sans CJK SC"/>
        <family val="2"/>
      </rPr>
      <t xml:space="preserve">億 → 現金約為預算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；基準＝下半年加速（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），高＝預算全額</t>
    </r>
  </si>
  <si>
    <t xml:space="preserve">m_cx</t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</si>
  <si>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</si>
  <si>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無：公司未拆分維持與擴產</t>
  </si>
  <si>
    <r>
      <rPr>
        <sz val="11"/>
        <color theme="1"/>
        <rFont val="Noto Sans CJK SC"/>
        <family val="2"/>
      </rPr>
      <t xml:space="preserve">測試機汰換與升級（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</si>
  <si>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</si>
  <si>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校準用）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</si>
  <si>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30.08%</t>
    </r>
    <r>
      <rPr>
        <sz val="11"/>
        <color theme="1"/>
        <rFont val="Noto Sans CJK SC"/>
        <family val="2"/>
      </rPr>
      <t xml:space="preserve">（雅虎新聞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</si>
  <si>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年累計年增 </t>
    </r>
    <r>
      <rPr>
        <sz val="11"/>
        <color theme="1"/>
        <rFont val="Calibri"/>
        <family val="2"/>
        <charset val="1"/>
      </rPr>
      <t xml:space="preserve">30.1%</t>
    </r>
  </si>
  <si>
    <t xml:space="preserve">dr</t>
  </si>
  <si>
    <r>
      <rPr>
        <sz val="11"/>
        <color theme="1"/>
        <rFont val="Noto Sans CJK SC"/>
        <family val="2"/>
      </rPr>
      <t xml:space="preserve">新增資本支出的年折舊率（設備約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年、廠房約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年的混合）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</si>
  <si>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</si>
  <si>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約一半用於廠房與無塵室（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0.5 ÷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 ÷ 20 ≈ 0.11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</si>
  <si>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以同一公式回測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</t>
    </r>
  </si>
  <si>
    <t xml:space="preserve">ret</t>
  </si>
  <si>
    <t xml:space="preserve">既有折舊每年到期比例</t>
  </si>
  <si>
    <t xml:space="preserve">v_cc</t>
  </si>
  <si>
    <r>
      <rPr>
        <sz val="11"/>
        <color theme="1"/>
        <rFont val="Noto Sans CJK SC"/>
        <family val="2"/>
      </rPr>
      <t xml:space="preserve">變動現金營業成本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營收（電力、耗材、直接人工）</t>
    </r>
  </si>
  <si>
    <r>
      <rPr>
        <sz val="11"/>
        <color theme="1"/>
        <rFont val="Noto Sans CJK SC"/>
        <family val="2"/>
      </rPr>
      <t xml:space="preserve">季資料（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1Q25 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2Q26 111 </t>
    </r>
    <r>
      <rPr>
        <sz val="11"/>
        <color theme="1"/>
        <rFont val="Noto Sans CJK SC"/>
        <family val="2"/>
      </rPr>
      <t xml:space="preserve">億，現金營業成本只從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億增至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億（斜率約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；同季比較 </t>
    </r>
    <r>
      <rPr>
        <sz val="11"/>
        <color theme="1"/>
        <rFont val="Calibri"/>
        <family val="2"/>
        <charset val="1"/>
      </rPr>
      <t xml:space="preserve">2Q25→2Q26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</si>
  <si>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公司：二季產能擴充後折舊、電費、人力成本上升（理財周刊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）；固定部分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錨點推得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</si>
  <si>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財報約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月上旬公布）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</si>
  <si>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</si>
  <si>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</si>
  <si>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</si>
  <si>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</si>
  <si>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https://histock.tw/stock/financial.aspx?no=2449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</si>
  <si>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</si>
  <si>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</si>
  <si>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公司未給量化指引；法人估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2026-09-18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145.59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</si>
  <si>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首批測試延到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底、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放量（優分析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）為下限參考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</si>
  <si>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</si>
  <si>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</si>
  <si>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公司未給指引；</t>
    </r>
    <r>
      <rPr>
        <sz val="11"/>
        <color theme="1"/>
        <rFont val="Calibri"/>
        <family val="2"/>
        <charset val="1"/>
      </rPr>
      <t xml:space="preserve">2Q26 39.5%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39.7%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</si>
  <si>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二季產能擴充後折舊、電費、人力上升（理財周刊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</si>
  <si>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</si>
  <si>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</si>
  <si>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營收放量、稼動率上升（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</si>
  <si>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q3_da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</si>
  <si>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</si>
  <si>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3Q25 1.91 → 4Q25 2.19 → 1Q26 2.49 → 2Q26 2.74</t>
    </r>
    <r>
      <rPr>
        <sz val="11"/>
        <color theme="1"/>
        <rFont val="Noto Sans CJK SC"/>
        <family val="2"/>
      </rPr>
      <t xml:space="preserve">（每季約 </t>
    </r>
    <r>
      <rPr>
        <sz val="11"/>
        <color theme="1"/>
        <rFont val="Calibri"/>
        <family val="2"/>
        <charset val="1"/>
      </rPr>
      <t xml:space="preserve">+0.25</t>
    </r>
    <r>
      <rPr>
        <sz val="11"/>
        <color theme="1"/>
        <rFont val="Noto Sans CJK SC"/>
        <family val="2"/>
      </rPr>
      <t xml:space="preserve">）</t>
    </r>
  </si>
  <si>
    <t xml:space="preserve">公司未直接揭露折舊金額：未找到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</si>
  <si>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</si>
  <si>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</si>
  <si>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</si>
  <si>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</si>
  <si>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14.1%</t>
    </r>
    <r>
      <rPr>
        <sz val="11"/>
        <color theme="1"/>
        <rFont val="Noto Sans CJK SC"/>
        <family val="2"/>
      </rPr>
      <t xml:space="preserve">（推銷管理＋研發；公司簡報）</t>
    </r>
  </si>
  <si>
    <t xml:space="preserve">FY2025 10.1%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</si>
  <si>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</si>
  <si>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</si>
  <si>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47.78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56.0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0.853</t>
    </r>
    <r>
      <rPr>
        <sz val="11"/>
        <color theme="1"/>
        <rFont val="Noto Sans CJK SC"/>
        <family val="2"/>
      </rPr>
      <t xml:space="preserve">（公司簡報推得）</t>
    </r>
  </si>
  <si>
    <r>
      <rPr>
        <sz val="11"/>
        <color theme="1"/>
        <rFont val="Calibri"/>
        <family val="2"/>
        <charset val="1"/>
      </rPr>
      <t xml:space="preserve">2Q–4Q25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0.899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處分利益）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</si>
  <si>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</si>
  <si>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年盈餘配股每股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</si>
  <si>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</si>
  <si>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24.92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2.04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12.22 </t>
    </r>
    <r>
      <rPr>
        <sz val="11"/>
        <color theme="1"/>
        <rFont val="Noto Sans CJK SC"/>
        <family val="2"/>
      </rPr>
      <t xml:space="preserve">億股（理財周刊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（盈餘配股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除權，工商時報）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</si>
  <si>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顯示股本 </t>
    </r>
    <r>
      <rPr>
        <sz val="11"/>
        <color theme="1"/>
        <rFont val="Calibri"/>
        <family val="2"/>
        <charset val="1"/>
      </rPr>
      <t xml:space="preserve">12.23 </t>
    </r>
    <r>
      <rPr>
        <sz val="11"/>
        <color theme="1"/>
        <rFont val="Noto Sans CJK SC"/>
        <family val="2"/>
      </rPr>
      <t xml:space="preserve">億股（可能尚未反映配股）；配股依會計準則追溯調整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億股計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</si>
  <si>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</si>
  <si>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</si>
  <si>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</si>
  <si>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費用率上升含美國廠籌設與員工酬勞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</si>
  <si>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</si>
  <si>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</si>
  <si>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</si>
  <si>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</si>
  <si>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</si>
  <si>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0.853</t>
    </r>
    <r>
      <rPr>
        <sz val="11"/>
        <color theme="1"/>
        <rFont val="Noto Sans CJK SC"/>
        <family val="2"/>
      </rPr>
      <t xml:space="preserve">；資本支出擴大使利息費用上升（淨負債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2Q26 32.7%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</t>
    </r>
  </si>
  <si>
    <t xml:space="preserve">2Q–4Q25 0.899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</si>
  <si>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</si>
  <si>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</si>
  <si>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；之後是否續配股：未找到</t>
    </r>
  </si>
  <si>
    <r>
      <rPr>
        <sz val="11"/>
        <color theme="1"/>
        <rFont val="Noto Sans CJK SC"/>
        <family val="2"/>
      </rPr>
      <t xml:space="preserve">高＝每年再配股 </t>
    </r>
    <r>
      <rPr>
        <sz val="11"/>
        <color theme="1"/>
        <rFont val="Calibri"/>
        <family val="2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</si>
  <si>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</si>
  <si>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</si>
  <si>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位分析師）</t>
    </r>
  </si>
  <si>
    <t xml:space="preserve">NT$</t>
  </si>
  <si>
    <t xml:space="preserve">https://news.cnyes.com/news/id/6407870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</si>
  <si>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9.02</t>
    </r>
    <r>
      <rPr>
        <sz val="11"/>
        <color theme="1"/>
        <rFont val="Noto Sans CJK SC"/>
        <family val="2"/>
      </rPr>
      <t xml:space="preserve">；配股前股數口徑（推定）</t>
    </r>
  </si>
  <si>
    <t xml:space="preserve">c_eps27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</si>
  <si>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</si>
  <si>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13.35</t>
    </r>
  </si>
  <si>
    <t xml:space="preserve">c_eps28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</si>
  <si>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</si>
  <si>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18.77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16.67</t>
    </r>
  </si>
  <si>
    <t xml:space="preserve">c_eps26b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</si>
  <si>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中位數區間中點（理財周刊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9.09–9.79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</si>
  <si>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https://www.moneyweekly.com.tw/_Article?AID=246195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</si>
  <si>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10.79</t>
    </r>
  </si>
  <si>
    <t xml:space="preserve">c_rev26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</si>
  <si>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485–500 </t>
    </r>
    <r>
      <rPr>
        <sz val="11"/>
        <color theme="1"/>
        <rFont val="Noto Sans CJK SC"/>
        <family val="2"/>
      </rPr>
      <t xml:space="preserve">億中點）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</si>
  <si>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：年增約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477.5 </t>
    </r>
    <r>
      <rPr>
        <sz val="11"/>
        <color theme="1"/>
        <rFont val="Noto Sans CJK SC"/>
        <family val="2"/>
      </rPr>
      <t xml:space="preserve">億）</t>
    </r>
  </si>
  <si>
    <t xml:space="preserve">c_q4rev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</si>
  <si>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</t>
    </r>
  </si>
  <si>
    <t xml:space="preserve">https://uanalyze.com.tw/articles/5209555591</t>
  </si>
  <si>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</si>
  <si>
    <t xml:space="preserve">ms_tp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</si>
  <si>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</si>
  <si>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https://finance.technews.tw/2026/06/23/morgan-stanley-expects-king-yuan-electronics-revenue-to-grow-by-40-in-2026/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</si>
  <si>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上調；法人目標價中位數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</si>
  <si>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t xml:space="preserve">ms_goog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</si>
  <si>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</t>
    </r>
  </si>
  <si>
    <r>
      <rPr>
        <sz val="11"/>
        <color theme="1"/>
        <rFont val="Noto Sans CJK SC"/>
        <family val="2"/>
      </rPr>
      <t xml:space="preserve">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，比本模型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測試寬</t>
    </r>
  </si>
  <si>
    <t xml:space="preserve">dp_26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</si>
  <si>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</si>
  <si>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摘要公司簡報，未核原文）</t>
    </r>
  </si>
  <si>
    <r>
      <rPr>
        <sz val="11"/>
        <color theme="1"/>
        <rFont val="Calibri"/>
        <family val="2"/>
        <charset val="1"/>
      </rPr>
      <t xml:space="preserve">3Q25 32.8%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</si>
  <si>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bi_25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</si>
  <si>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</si>
  <si>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https://blog.fugle.tw/post/earnings-call-2449-2025-11-28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摘要公司法說）</t>
    </r>
  </si>
  <si>
    <r>
      <rPr>
        <sz val="11"/>
        <color theme="1"/>
        <rFont val="Noto Sans CJK SC"/>
        <family val="2"/>
      </rPr>
      <t xml:space="preserve">最終測試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</si>
  <si>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</si>
  <si>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</si>
  <si>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</si>
  <si>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5.58%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</si>
  <si>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</si>
  <si>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</si>
  <si>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（鉅亨網，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</si>
  <si>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https://www.cnyes.com/twstock/2449</t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</si>
  <si>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月本益比 </t>
    </r>
    <r>
      <rPr>
        <sz val="11"/>
        <color theme="1"/>
        <rFont val="Calibri"/>
        <family val="2"/>
        <charset val="1"/>
      </rPr>
      <t xml:space="preserve">34.40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2026-09-03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36.12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</si>
  <si>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由短期法／長期法改為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</si>
  <si>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</si>
  <si>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</si>
  <si>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</si>
  <si>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</si>
  <si>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</si>
  <si>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</si>
  <si>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</si>
  <si>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</si>
  <si>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</si>
  <si>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</si>
  <si>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</si>
  <si>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</si>
  <si>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</si>
  <si>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</si>
  <si>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</si>
  <si>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</si>
  <si>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</si>
  <si>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玩股網年度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2025 23.77%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含處分利益）；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</si>
  <si>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2025 16.83%</t>
    </r>
    <r>
      <rPr>
        <sz val="11"/>
        <color theme="1"/>
        <rFont val="Noto Sans CJK SC"/>
        <family val="2"/>
      </rPr>
      <t xml:space="preserve">（口徑不同，平均 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，不採）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</si>
  <si>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</si>
  <si>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</si>
  <si>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</si>
  <si>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</si>
  <si>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</si>
  <si>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</si>
  <si>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</si>
  <si>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</si>
  <si>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</si>
  <si>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tp_g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</si>
  <si>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</si>
  <si>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</si>
  <si>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</si>
  <si>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</si>
  <si>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</si>
  <si>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</si>
  <si>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</si>
  <si>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</si>
  <si>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</si>
  <si>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</si>
  <si>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</si>
  <si>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</si>
  <si>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</si>
  <si>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Morgan Stanley 388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ms_tp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</si>
  <si>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</si>
  <si>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；換成配股後股數 </t>
    </r>
    <r>
      <rPr>
        <sz val="11"/>
        <color theme="1"/>
        <rFont val="Calibri"/>
        <family val="2"/>
        <charset val="1"/>
      </rPr>
      <t xml:space="preserve">÷ 1.05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</si>
  <si>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；推定為配股前口徑）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</si>
  <si>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與本列，不作校準；共識日期較舊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</si>
  <si>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為新台幣；股數為十億股）。藍字＝輸入；黑字＝公式。季資料取自京元電每季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（營收、毛利率、推銷管理費用、研發、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）；營業利益＝毛利 − 營業費用，折舊攤提＝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</si>
  <si>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假設（毛利率、折舊、營業費用率、淨利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月上旬公布（確切日期：未找到），公布後更新。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出售蘇州京隆科技的處分利益（法人估約每股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元，未拆出金額：未找到）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</si>
  <si>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</si>
  <si>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</si>
  <si>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</si>
  <si>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</si>
  <si>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</si>
  <si>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</si>
  <si>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</si>
  <si>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季資料（本頁下方）：公司 </t>
    </r>
    <r>
      <rPr>
        <sz val="11"/>
        <color theme="1"/>
        <rFont val="Calibri"/>
        <family val="2"/>
        <charset val="1"/>
      </rPr>
      <t xml:space="preserve">Investor update 1Q25–2Q26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</si>
  <si>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月營收合計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）、中央社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1H26 213.34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</si>
  <si>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</si>
  <si>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</si>
  <si>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35.84%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110.15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</si>
  <si>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</si>
  <si>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35.84%</t>
    </r>
    <r>
      <rPr>
        <sz val="11"/>
        <color theme="1"/>
        <rFont val="Noto Sans CJK SC"/>
        <family val="2"/>
      </rPr>
      <t xml:space="preserve">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</si>
  <si>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</si>
  <si>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</si>
  <si>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公司未直接揭露折舊金額：未找到；以公司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減營業利益推得</t>
    </r>
  </si>
  <si>
    <t xml:space="preserve">現金營業成本（營收 − 毛利 − 折舊攤提）</t>
  </si>
  <si>
    <r>
      <rPr>
        <sz val="11"/>
        <color theme="1"/>
        <rFont val="Noto Sans CJK SC"/>
        <family val="2"/>
      </rPr>
      <t xml:space="preserve">假設折舊攤提全部在營業成本（部分在營業費用，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</si>
  <si>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營業費用（推銷管理＋研發）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</si>
  <si>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</si>
  <si>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</si>
  <si>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億（中央社）；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</si>
  <si>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</si>
  <si>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</si>
  <si>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</si>
  <si>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110.15 </t>
    </r>
    <r>
      <rPr>
        <sz val="11"/>
        <color theme="1"/>
        <rFont val="Noto Sans CJK SC"/>
        <family val="2"/>
      </rPr>
      <t xml:space="preserve">億（中央社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22.86 </t>
    </r>
    <r>
      <rPr>
        <sz val="11"/>
        <color theme="1"/>
        <rFont val="Noto Sans CJK SC"/>
        <family val="2"/>
      </rPr>
      <t xml:space="preserve">億（科技新報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24.92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</si>
  <si>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47.78 </t>
    </r>
    <r>
      <rPr>
        <sz val="11"/>
        <color theme="1"/>
        <rFont val="Noto Sans CJK SC"/>
        <family val="2"/>
      </rPr>
      <t xml:space="preserve">億（理財周刊）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</si>
  <si>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</si>
  <si>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</si>
  <si>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</si>
  <si>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為配股前）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</si>
  <si>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錨點用配股後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q_sh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</si>
  <si>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</si>
  <si>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</si>
  <si>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以配股後股數計（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追溯後約 </t>
    </r>
    <r>
      <rPr>
        <sz val="11"/>
        <color theme="1"/>
        <rFont val="Calibri"/>
        <family val="2"/>
        <charset val="1"/>
      </rPr>
      <t xml:space="preserve">3.72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</si>
  <si>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</si>
  <si>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；公司簡報 </t>
    </r>
    <r>
      <rPr>
        <sz val="11"/>
        <color theme="1"/>
        <rFont val="Calibri"/>
        <family val="2"/>
        <charset val="1"/>
      </rPr>
      <t xml:space="preserve">1Q26 1.87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2.04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</si>
  <si>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</t>
    </r>
  </si>
  <si>
    <t xml:space="preserve">資本支出（現金）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</si>
  <si>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</si>
  <si>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</t>
    </r>
    <r>
      <rPr>
        <sz val="11"/>
        <color theme="1"/>
        <rFont val="Calibri"/>
        <family val="2"/>
        <charset val="1"/>
      </rPr>
      <t xml:space="preserve">2023 77.3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2025 323.6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67.9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71.0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</si>
  <si>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億（雅虎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</si>
  <si>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</si>
  <si>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</si>
  <si>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</si>
  <si>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</si>
  <si>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</si>
  <si>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、手機、消費、車用、工業、網通</t>
    </r>
  </si>
  <si>
    <t xml:space="preserve">核對（參考）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</si>
  <si>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營業利益（季資料推得）− 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</si>
  <si>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毛利率（季資料推得）− 公司 </t>
    </r>
    <r>
      <rPr>
        <sz val="11"/>
        <color theme="1"/>
        <rFont val="Calibri"/>
        <family val="2"/>
        <charset val="1"/>
      </rPr>
      <t xml:space="preserve">35.84%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</si>
  <si>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營收年增（錨點）</t>
    </r>
  </si>
  <si>
    <r>
      <rPr>
        <b val="true"/>
        <sz val="11"/>
        <rFont val="Noto Sans CJK SC"/>
        <family val="2"/>
      </rPr>
      <t xml:space="preserve">季資料（公司 </t>
    </r>
    <r>
      <rPr>
        <b val="true"/>
        <sz val="11"/>
        <rFont val="Cambria"/>
        <family val="0"/>
        <charset val="1"/>
      </rPr>
      <t xml:space="preserve">Investor update</t>
    </r>
    <r>
      <rPr>
        <b val="true"/>
        <sz val="11"/>
        <rFont val="Noto Sans CJK SC"/>
        <family val="2"/>
      </rPr>
      <t xml:space="preserve">）</t>
    </r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</si>
  <si>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</si>
  <si>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</si>
  <si>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</si>
  <si>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</si>
  <si>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</si>
  <si>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</si>
  <si>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來源</t>
  </si>
  <si>
    <r>
      <rPr>
        <sz val="11"/>
        <color theme="1"/>
        <rFont val="Noto Sans CJK SC"/>
        <family val="2"/>
      </rPr>
      <t xml:space="preserve">公司簡報（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月營收合計相符</t>
    </r>
  </si>
  <si>
    <r>
      <rPr>
        <sz val="11"/>
        <color theme="1"/>
        <rFont val="Noto Sans CJK SC"/>
        <family val="2"/>
      </rPr>
      <t xml:space="preserve">公司簡報（四捨五入至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39.74%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</si>
  <si>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推銷及管理費用</t>
  </si>
  <si>
    <t xml:space="preserve">公司簡報</t>
  </si>
  <si>
    <t xml:space="preserve">研發費用</t>
  </si>
  <si>
    <t xml:space="preserve">EBITDA</t>
  </si>
  <si>
    <t xml:space="preserve">公司簡報（定義未載明；本模型視為營業利益＋折舊攤提）</t>
  </si>
  <si>
    <r>
      <rPr>
        <sz val="11"/>
        <color theme="1"/>
        <rFont val="Noto Sans CJK SC"/>
        <family val="2"/>
      </rPr>
      <t xml:space="preserve">毛利（營收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</si>
  <si>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</si>
  <si>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（基本，公司揭露）</t>
    </r>
  </si>
  <si>
    <r>
      <rPr>
        <sz val="11"/>
        <color theme="1"/>
        <rFont val="Noto Sans CJK SC"/>
        <family val="2"/>
      </rPr>
      <t xml:space="preserve">公司簡報；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含處分利益</t>
    </r>
  </si>
  <si>
    <r>
      <rPr>
        <sz val="11"/>
        <color theme="1"/>
        <rFont val="Noto Sans CJK SC"/>
        <family val="2"/>
      </rPr>
      <t xml:space="preserve">現金營業成本季增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2Q25→2Q26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v_cc </t>
    </r>
    <r>
      <rPr>
        <sz val="11"/>
        <color theme="1"/>
        <rFont val="Noto Sans CJK SC"/>
        <family val="2"/>
      </rPr>
      <t xml:space="preserve">的參考）</t>
    </r>
  </si>
  <si>
    <t xml:space="preserve">同季比較排除季節性；斜率小代表現金成本多為固定（人力、電力基本量）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</si>
  <si>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京元電曝險 → 加權顆數；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占比校準每加權顆營收。情境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</si>
  <si>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</si>
  <si>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</si>
  <si>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</si>
  <si>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</si>
  <si>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</si>
  <si>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t xml:space="preserve">加速器顆數合計（未加權）</t>
  </si>
  <si>
    <r>
      <rPr>
        <sz val="11"/>
        <color theme="1"/>
        <rFont val="Noto Sans CJK SC"/>
        <family val="2"/>
      </rPr>
      <t xml:space="preserve">讀台積電模型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同一份）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</si>
  <si>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</si>
  <si>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</t>
    </r>
  </si>
  <si>
    <r>
      <rPr>
        <sz val="11"/>
        <color theme="1"/>
        <rFont val="Calibri"/>
        <family val="2"/>
        <charset val="1"/>
      </rPr>
      <t xml:space="preserve">  NVIDIA Rubin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</si>
  <si>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Rubin Ultra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</si>
  <si>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</si>
  <si>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AMD Instinct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</si>
  <si>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</t>
    </r>
  </si>
  <si>
    <r>
      <rPr>
        <sz val="11"/>
        <color theme="1"/>
        <rFont val="Calibri"/>
        <family val="2"/>
        <charset val="1"/>
      </rPr>
      <t xml:space="preserve">  Google TPU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</si>
  <si>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AWS Trainium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</si>
  <si>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等）：加權顆數</t>
    </r>
  </si>
  <si>
    <r>
      <rPr>
        <sz val="11"/>
        <color theme="1"/>
        <rFont val="Noto Sans CJK SC"/>
        <family val="2"/>
      </rPr>
      <t xml:space="preserve">加權顆數合計（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</si>
  <si>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Calibri"/>
        <family val="2"/>
        <charset val="1"/>
      </rPr>
      <t xml:space="preserve">NVIDIA 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</si>
  <si>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為較大的營收來源（富果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</si>
  <si>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Noto Sans CJK SC"/>
        <family val="2"/>
      </rPr>
      <t xml:space="preserve">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</t>
    </r>
  </si>
  <si>
    <t xml:space="preserve">US$B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</si>
  <si>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</si>
  <si>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</si>
  <si>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</si>
  <si>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每顆加速器（未加權）的京元電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</si>
  <si>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t xml:space="preserve">世代組合升級使每顆金額上升</t>
  </si>
  <si>
    <t xml:space="preserve">資本支出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</si>
  <si>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加權顆數增量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</si>
  <si>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</si>
  <si>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t xml:space="preserve">顆數下修（增量為負）時數值無意義</t>
  </si>
  <si>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</si>
  <si>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毛利率的主要變數</t>
  </si>
  <si>
    <r>
      <rPr>
        <b val="true"/>
        <sz val="11"/>
        <rFont val="Noto Sans CJK SC"/>
        <family val="2"/>
      </rPr>
      <t xml:space="preserve">讀法：加權顆數的絕對水準與曝險只影響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校準出的每加權顆營收，不影響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營收；影響成長的是世代組合（</t>
    </r>
    <r>
      <rPr>
        <b val="true"/>
        <sz val="11"/>
        <rFont val="Cambria"/>
        <family val="0"/>
        <charset val="1"/>
      </rPr>
      <t xml:space="preserve">Rubin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的測試時間與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曝險、份額相對值與單價。京元電的份額無法單獨識別（公司不揭露客戶別營收），以「每顆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等值營收」與份額相對值表示。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</si>
  <si>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京元電損益（十億新台幣；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</si>
  <si>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</si>
  <si>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</si>
  <si>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</si>
  <si>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</si>
  <si>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</si>
  <si>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</si>
  <si>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</si>
  <si>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</si>
  <si>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</si>
  <si>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</si>
  <si>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加速器測試營收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</si>
  <si>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</si>
  <si>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  資本支出</t>
  </si>
  <si>
    <r>
      <rPr>
        <sz val="11"/>
        <color theme="1"/>
        <rFont val="Noto Sans CJK SC"/>
        <family val="2"/>
      </rPr>
      <t xml:space="preserve">  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</si>
  <si>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</si>
  <si>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</si>
  <si>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</si>
  <si>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</si>
  <si>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模型營收、毛利、營業利益 − 錨點（情境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</si>
  <si>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</si>
  <si>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</si>
  <si>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</si>
  <si>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</si>
  <si>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</si>
  <si>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加速器測試需求（加權顆數＝顆數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京元電曝險；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</si>
  <si>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</si>
  <si>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加權顆數（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</si>
  <si>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t xml:space="preserve">加權顆數合計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</si>
  <si>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加速器測試營收（校準）＝ 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</si>
  <si>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每加權顆營收（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</si>
  <si>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</si>
  <si>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 千元新台幣／顆；乘積（測試時間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每小時價格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份額）只能整體識別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</si>
  <si>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</si>
  <si>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測試單價指數（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</si>
  <si>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＝ 每加權顆營收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</si>
  <si>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</si>
  <si>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</si>
  <si>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</si>
  <si>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含份額與單價指數；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起隨份額、單價變動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</si>
  <si>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資本支出與折舊（資本支出＝維持性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營收＋</t>
    </r>
    <r>
      <rPr>
        <b val="true"/>
        <sz val="11"/>
        <rFont val="Cambria"/>
        <family val="0"/>
        <charset val="1"/>
      </rPr>
      <t xml:space="preserve">κ × </t>
    </r>
    <r>
      <rPr>
        <b val="true"/>
        <sz val="11"/>
        <rFont val="Noto Sans CJK SC"/>
        <family val="2"/>
      </rPr>
      <t xml:space="preserve">當年營收增量；折舊＝前一年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到期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＋折舊率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當年與前一年資本支出平均）</t>
    </r>
  </si>
  <si>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：每增加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元年營收所需擴產資本支出（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</si>
  <si>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現金資本支出 − 維持性）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</si>
  <si>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（公式值見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）；營收下滑時只剩維持性資本支出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</si>
  <si>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</si>
  <si>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折舊攤提</t>
  </si>
  <si>
    <r>
      <rPr>
        <sz val="11"/>
        <color theme="1"/>
        <rFont val="Noto Sans CJK SC"/>
        <family val="2"/>
      </rPr>
      <t xml:space="preserve">回測：以同一公式算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 − 錨點</t>
    </r>
  </si>
  <si>
    <t xml:space="preserve">校準檢查（非獨立檢驗）：正值＝公式高估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</si>
  <si>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</si>
  <si>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固定現金成本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校準＝錨點現金成本 − </t>
    </r>
    <r>
      <rPr>
        <sz val="11"/>
        <color theme="1"/>
        <rFont val="Calibri"/>
        <family val="2"/>
        <charset val="1"/>
      </rPr>
      <t xml:space="preserve">v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</si>
  <si>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：人力、電力基本量、租金等；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</t>
    </r>
  </si>
  <si>
    <r>
      <rPr>
        <sz val="11"/>
        <color theme="1"/>
        <rFont val="Noto Sans CJK SC"/>
        <family val="2"/>
      </rPr>
      <t xml:space="preserve">現金營業成本 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v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單價指數＋非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</si>
  <si>
    <t xml:space="preserve">成本隨測試量（不含價格）變動；單價下降全部落在毛利</t>
  </si>
  <si>
    <t xml:space="preserve">毛利 ＝ 營收 − 現金營業成本 − 折舊攤提</t>
  </si>
  <si>
    <t xml:space="preserve">營業費用（基準路徑）</t>
  </si>
  <si>
    <t xml:space="preserve">營業費用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</si>
  <si>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（營業利益＋折舊攤提）</t>
    </r>
  </si>
  <si>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資本支出（近似，未計稅與營運資金）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</si>
  <si>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</si>
  <si>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</si>
  <si>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：股數口徑不同（配股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</si>
  <si>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</si>
  <si>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</si>
  <si>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</si>
  <si>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</si>
  <si>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收斂目標，線性，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</si>
  <si>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</si>
  <si>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中段利潤率，線性）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</si>
  <si>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</si>
  <si>
    <r>
      <rPr>
        <sz val="11"/>
        <color theme="1"/>
        <rFont val="Noto Sans CJK SC"/>
        <family val="2"/>
      </rPr>
      <t xml:space="preserve">股數（沿用 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</si>
  <si>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</si>
  <si>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</si>
  <si>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fade_mB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</si>
  <si>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</si>
  <si>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</si>
  <si>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fade_mC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</si>
  <si>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）；綠底為收斂年度。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</si>
  <si>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</si>
  <si>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循環位置：京元電是測試代工，不是設備股，不套設備市場見頂年；以本模型營收最高的會計年度為見頂年（比照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</si>
  <si>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</si>
  <si>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</si>
  <si>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</si>
  <si>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</si>
  <si>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</si>
  <si>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</si>
  <si>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</si>
  <si>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</si>
  <si>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</si>
  <si>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</si>
  <si>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</si>
  <si>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</si>
  <si>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</si>
  <si>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</si>
  <si>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</si>
  <si>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</si>
  <si>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</si>
  <si>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</si>
  <si>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</si>
  <si>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</si>
  <si>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</si>
  <si>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</si>
  <si>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</si>
  <si>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</si>
  <si>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</si>
  <si>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</si>
  <si>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</si>
  <si>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</si>
  <si>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</si>
  <si>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；分析師共識）</t>
    </r>
  </si>
  <si>
    <t xml:space="preserve">Amkor Technology</t>
  </si>
  <si>
    <t xml:space="preserve">AMKR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</si>
  <si>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</si>
  <si>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</si>
  <si>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</si>
  <si>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</si>
  <si>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（頁面價格日期較舊）</t>
    </r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</si>
  <si>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</si>
  <si>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</si>
  <si>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</si>
  <si>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</si>
  <si>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</si>
  <si>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；頁面價格日期較舊）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</si>
  <si>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</si>
  <si>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股：長電、通富等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股同業有結構性溢價；工作單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</si>
  <si>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</si>
  <si>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（會計年度＝日曆年；配股後股數）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</si>
  <si>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</si>
  <si>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</si>
  <si>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</si>
  <si>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</si>
  <si>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</si>
  <si>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</si>
  <si>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</si>
  <si>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</si>
  <si>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）；法人中位數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Morgan Stanley 388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</si>
  <si>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</si>
  <si>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</si>
  <si>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</si>
  <si>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</si>
  <si>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2026-04-06</t>
    </r>
    <r>
      <rPr>
        <sz val="11"/>
        <color theme="1"/>
        <rFont val="Noto Sans CJK SC"/>
        <family val="2"/>
      </rPr>
      <t xml:space="preserve">，換成配股後股數）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</si>
  <si>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</si>
  <si>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</si>
  <si>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</si>
  <si>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</si>
  <si>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</si>
  <si>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</si>
  <si>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（玩股網；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含處分利益，偏高，再投資率約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起為收斂法。京元電為資本密集的測試代工，模型有資本支出與折舊，但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起只有收斂法、未延伸資本支出，未改用淨利＋折舊－資本支出；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年大幅擴產期的現金流偏高估。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測試為主、成長較高，同業中位數偏低估。情境對應：顆數情境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</si>
  <si>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</si>
  <si>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</si>
  <si>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</si>
  <si>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</si>
  <si>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</si>
  <si>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</si>
  <si>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起以配股後股數計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</si>
  <si>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</si>
  <si>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</si>
  <si>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</si>
  <si>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</si>
  <si>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</si>
  <si>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</si>
  <si>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</si>
  <si>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</si>
  <si>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</si>
  <si>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</si>
  <si>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</si>
  <si>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</si>
  <si>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</si>
  <si>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</si>
  <si>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</si>
  <si>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</si>
  <si>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</si>
  <si>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</si>
  <si>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</si>
  <si>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</si>
  <si>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</si>
  <si>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</si>
  <si>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</si>
  <si>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</si>
  <si>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</si>
  <si>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</si>
  <si>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</si>
  <si>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</si>
  <si>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年京元電以手機、消費性晶片測試為主（約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含處分利益（每股約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元）使當年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偏低。兩者都使規則值可能低估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</si>
  <si>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</si>
  <si>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</si>
  <si>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× 1.05</t>
    </r>
    <r>
      <rPr>
        <b val="true"/>
        <sz val="11"/>
        <rFont val="Noto Sans CJK SC"/>
        <family val="2"/>
      </rPr>
      <t xml:space="preserve">、玩股網／</t>
    </r>
    <r>
      <rPr>
        <b val="true"/>
        <sz val="11"/>
        <rFont val="Cambria"/>
        <family val="0"/>
        <charset val="1"/>
      </rPr>
      <t xml:space="preserve">HiStock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</si>
  <si>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</si>
  <si>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</si>
  <si>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</si>
  <si>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</si>
  <si>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、玩股網／</t>
    </r>
    <r>
      <rPr>
        <sz val="11"/>
        <color theme="1"/>
        <rFont val="Calibri"/>
        <family val="2"/>
        <charset val="1"/>
      </rPr>
      <t xml:space="preserve">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年，皆為正值且小於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，無剔除；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收盤已因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下調，乘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還原）；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</si>
  <si>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</si>
  <si>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</si>
  <si>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</si>
  <si>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</si>
  <si>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</si>
  <si>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</si>
  <si>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</si>
  <si>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</si>
  <si>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</si>
  <si>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</si>
  <si>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</si>
  <si>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</si>
  <si>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</si>
  <si>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</si>
  <si>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</si>
  <si>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</si>
  <si>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</si>
  <si>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</si>
  <si>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</si>
  <si>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</si>
  <si>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</si>
  <si>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</si>
  <si>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</si>
  <si>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</si>
  <si>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</si>
  <si>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</si>
  <si>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</si>
  <si>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</si>
  <si>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</si>
  <si>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</si>
  <si>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</si>
  <si>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</si>
  <si>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</si>
  <si>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</si>
  <si>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共識、券商估計與公司揭露的結構數字。只作事後對照，不為對上數字而調參數。共識為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，經鉅亨網）與媒體轉述的法人估計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</si>
  <si>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</si>
  <si>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</si>
  <si>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</si>
  <si>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</si>
  <si>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</si>
  <si>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</si>
  <si>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</si>
  <si>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</si>
  <si>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共識與法人估計（校準未使用）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</si>
  <si>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</si>
  <si>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</si>
  <si>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；法人約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</si>
  <si>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</si>
  <si>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</si>
  <si>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</si>
  <si>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（鉅亨網）</t>
    </r>
  </si>
  <si>
    <t xml:space="preserve">模型以配股後股數計；下一列換回配股前口徑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</si>
  <si>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，配股前口徑）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</si>
  <si>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t xml:space="preserve">共識的股數口徑未載明（推定為配股前）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</si>
  <si>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法人中位數區間中點（</t>
    </r>
    <r>
      <rPr>
        <sz val="11"/>
        <color theme="1"/>
        <rFont val="Calibri"/>
        <family val="2"/>
        <charset val="1"/>
      </rPr>
      <t xml:space="preserve">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</si>
  <si>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Rubin </t>
    </r>
    <r>
      <rPr>
        <sz val="11"/>
        <color theme="1"/>
        <rFont val="Noto Sans CJK SC"/>
        <family val="2"/>
      </rPr>
      <t xml:space="preserve">延後後的估計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</si>
  <si>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</si>
  <si>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</si>
  <si>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</si>
  <si>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目標價</t>
    </r>
  </si>
  <si>
    <t xml:space="preserve">Morgan Stanley 2026-06-23</t>
  </si>
  <si>
    <r>
      <rPr>
        <sz val="11"/>
        <color theme="1"/>
        <rFont val="Noto Sans CJK SC"/>
        <family val="2"/>
      </rPr>
      <t xml:space="preserve">三情境同一個加權目標價；券商目標價多以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</si>
  <si>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結構與機制檢查</t>
    </r>
  </si>
  <si>
    <r>
      <rPr>
        <sz val="11"/>
        <color theme="1"/>
        <rFont val="Calibri"/>
        <family val="2"/>
        <charset val="1"/>
      </rPr>
      <t xml:space="preserve">FY2026 Google TPU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Google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</si>
  <si>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對照值含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、晶圓測試，口徑較寬；模型應低於對照值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</si>
  <si>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加速器測試占比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資料處理應用占比</t>
    </r>
  </si>
  <si>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</t>
    </r>
  </si>
  <si>
    <r>
      <rPr>
        <sz val="11"/>
        <color theme="1"/>
        <rFont val="Noto Sans CJK SC"/>
        <family val="2"/>
      </rPr>
      <t xml:space="preserve">資料處理含 </t>
    </r>
    <r>
      <rPr>
        <sz val="11"/>
        <color theme="1"/>
        <rFont val="Calibri"/>
        <family val="2"/>
        <charset val="1"/>
      </rPr>
      <t xml:space="preserve">AI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占比應不高於此值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</si>
  <si>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折舊公式回測（同一公式 − 錨點，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</si>
  <si>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ret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</si>
  <si>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表示折舊率與到期比例和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一致（校準檢查）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</si>
  <si>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資本支出：公式值（維持性＋</t>
    </r>
    <r>
      <rPr>
        <sz val="11"/>
        <color theme="1"/>
        <rFont val="Calibri"/>
        <family val="2"/>
        <charset val="1"/>
      </rPr>
      <t xml:space="preserve">κ × FY2026 </t>
    </r>
    <r>
      <rPr>
        <sz val="11"/>
        <color theme="1"/>
        <rFont val="Noto Sans CJK SC"/>
        <family val="2"/>
      </rPr>
      <t xml:space="preserve">營收增量）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capex_26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</si>
  <si>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（公司預算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億的現金口徑）</t>
    </r>
  </si>
  <si>
    <r>
      <rPr>
        <sz val="11"/>
        <color theme="1"/>
        <rFont val="Noto Sans CJK SC"/>
        <family val="2"/>
      </rPr>
      <t xml:space="preserve">公式值接近預算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億、高於現金口徑輸入；差距反映預算與現金支出的時間差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</si>
  <si>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</si>
  <si>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</si>
  <si>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92.6%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預算約 </t>
    </r>
    <r>
      <rPr>
        <sz val="11"/>
        <color theme="1"/>
        <rFont val="Calibri"/>
        <family val="2"/>
        <charset val="1"/>
      </rPr>
      <t xml:space="preserve">105%</t>
    </r>
    <r>
      <rPr>
        <sz val="11"/>
        <color theme="1"/>
        <rFont val="Noto Sans CJK SC"/>
        <family val="2"/>
      </rPr>
      <t xml:space="preserve">（現金基準約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</si>
  <si>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</si>
  <si>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FY2025 21.5%</t>
  </si>
  <si>
    <r>
      <rPr>
        <sz val="11"/>
        <color theme="1"/>
        <rFont val="Calibri"/>
        <family val="2"/>
        <charset val="1"/>
      </rPr>
      <t xml:space="preserve">FY2028 EBITDA −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</si>
  <si>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負值＝擴產仍需外部資金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</si>
  <si>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，公司法說）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</si>
  <si>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</si>
  <si>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本模型未拆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加長含在測試時間係數內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</si>
  <si>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</si>
  <si>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月上旬）：更新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毛利率、折舊、營業費用與淨利，並檢查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季增假設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</si>
  <si>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</si>
  <si>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，尚未建立）：上線後以部署路徑取代顆數輸入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</si>
  <si>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；每加權顆營收、固定現金成本、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</si>
  <si>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</si>
  <si>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</si>
  <si>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</si>
  <si>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</si>
  <si>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</si>
  <si>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</si>
  <si>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</si>
  <si>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</si>
  <si>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</si>
  <si>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</si>
  <si>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</si>
  <si>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</si>
  <si>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</si>
  <si>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測試時間係數 低</t>
  </si>
  <si>
    <r>
      <rPr>
        <sz val="11"/>
        <color theme="1"/>
        <rFont val="Noto Sans CJK SC"/>
        <family val="2"/>
      </rPr>
      <t xml:space="preserve">全部平台取低值（</t>
    </r>
    <r>
      <rPr>
        <sz val="11"/>
        <color theme="1"/>
        <rFont val="Calibri"/>
        <family val="2"/>
        <charset val="1"/>
      </rPr>
      <t xml:space="preserve">Rubin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）</t>
    </r>
  </si>
  <si>
    <t xml:space="preserve">測試時間係數 高</t>
  </si>
  <si>
    <r>
      <rPr>
        <sz val="11"/>
        <color theme="1"/>
        <rFont val="Noto Sans CJK SC"/>
        <family val="2"/>
      </rPr>
      <t xml:space="preserve">全部平台取高值（</t>
    </r>
    <r>
      <rPr>
        <sz val="11"/>
        <color theme="1"/>
        <rFont val="Calibri"/>
        <family val="2"/>
        <charset val="1"/>
      </rPr>
      <t xml:space="preserve">Rubin 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</si>
  <si>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低</t>
    </r>
  </si>
  <si>
    <r>
      <rPr>
        <sz val="11"/>
        <color theme="1"/>
        <rFont val="Calibri"/>
        <family val="2"/>
        <charset val="1"/>
      </rPr>
      <t xml:space="preserve">AMD 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0.2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</si>
  <si>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高</t>
    </r>
  </si>
  <si>
    <r>
      <rPr>
        <sz val="11"/>
        <color theme="1"/>
        <rFont val="Calibri"/>
        <family val="2"/>
        <charset val="1"/>
      </rPr>
      <t xml:space="preserve">AMD 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0.6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0.6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</si>
  <si>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</si>
  <si>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（日月光、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</si>
  <si>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</si>
  <si>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2027–29 1.00</t>
    </r>
  </si>
  <si>
    <t xml:space="preserve">測試單價下滑快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</si>
  <si>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</si>
  <si>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測試單價持平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</si>
  <si>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</si>
  <si>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</si>
  <si>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起加速器顆數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</si>
  <si>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</si>
  <si>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</si>
  <si>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</si>
  <si>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Noto Sans CJK SC"/>
        <family val="2"/>
      </rPr>
      <t xml:space="preserve">校準用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占比取低值（非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基期較大）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</si>
  <si>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</si>
  <si>
    <t xml:space="preserve">取高值</t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</si>
  <si>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</si>
  <si>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（固定成本占比較高）</t>
    </r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</si>
  <si>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</si>
  <si>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</si>
  <si>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</si>
  <si>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新增資本支出年折舊率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</si>
  <si>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</si>
  <si>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年折舊率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（設備占比較高）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</si>
  <si>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</si>
  <si>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</si>
  <si>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</si>
  <si>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</si>
  <si>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</si>
  <si>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</si>
  <si>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t xml:space="preserve">營業費用與營收同步成長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</si>
  <si>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</t>
    </r>
  </si>
  <si>
    <t xml:space="preserve">利息費用上升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</si>
  <si>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</si>
  <si>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</si>
  <si>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</si>
  <si>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</si>
  <si>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</si>
  <si>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</si>
  <si>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</si>
  <si>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</si>
  <si>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</si>
  <si>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</si>
  <si>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起。資本支出隨當年營收增量擴產；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顆數下修、營收下滑時只剩維持性資本支出，但固定現金成本與既有折舊不降，毛利率跌幅大於營收。測試單價只改營收、不改成本，對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</si>
  <si>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</si>
  <si>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</si>
  <si>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</si>
  <si>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</si>
  <si>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</si>
  <si>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</si>
  <si>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案例區塊：測試單價下滑快（情境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</si>
  <si>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案例區塊：測試單價持平（情境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</si>
  <si>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</si>
  <si>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</si>
  <si>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</si>
  <si>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</si>
  <si>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</si>
  <si>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</si>
  <si>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</si>
  <si>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</si>
  <si>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</si>
  <si>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</si>
  <si>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</si>
  <si>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</si>
  <si>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</si>
  <si>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</si>
  <si>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</si>
  <si>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</si>
  <si>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</si>
  <si>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</si>
  <si>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</si>
  <si>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</si>
  <si>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</si>
  <si>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</si>
  <si>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</si>
  <si>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</si>
  <si>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</si>
  <si>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</si>
  <si>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</si>
  <si>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</si>
  <si>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</si>
  <si>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</si>
  <si>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</si>
  <si>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</si>
  <si>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</si>
  <si>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</si>
  <si>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來源（公司原文＝京元電每季 </t>
    </r>
    <r>
      <rPr>
        <b val="true"/>
        <sz val="11"/>
        <rFont val="Cambria"/>
        <family val="0"/>
        <charset val="1"/>
      </rPr>
      <t xml:space="preserve">Investor update </t>
    </r>
    <r>
      <rPr>
        <b val="true"/>
        <sz val="11"/>
        <rFont val="Noto Sans CJK SC"/>
        <family val="2"/>
      </rPr>
      <t xml:space="preserve">與月營收；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占比、客戶與券商估計皆為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</si>
  <si>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；安裝測試機 </t>
    </r>
    <r>
      <rPr>
        <sz val="11"/>
        <color theme="1"/>
        <rFont val="Calibri"/>
        <family val="2"/>
        <charset val="1"/>
      </rPr>
      <t xml:space="preserve">5,900 </t>
    </r>
    <r>
      <rPr>
        <sz val="11"/>
        <color theme="1"/>
        <rFont val="Noto Sans CJK SC"/>
        <family val="2"/>
      </rPr>
      <t xml:space="preserve">台以上）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</si>
  <si>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</si>
  <si>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</si>
  <si>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</si>
  <si>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；不含已出售的中國子公司）</t>
    </r>
  </si>
  <si>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</si>
  <si>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；配股；處分利益）</t>
    </r>
  </si>
  <si>
    <t xml:space="preserve">https://www.cna.com.tw/news/afe/202603060261.aspx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</si>
  <si>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39.74%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、淨利）</t>
    </r>
  </si>
  <si>
    <t xml:space="preserve">https://finance.technews.tw/2026/05/11/king-yuan-electrics-first-quarter-financial-report-hit-a-new-quarterly-high/</t>
  </si>
  <si>
    <r>
      <rPr>
        <sz val="11"/>
        <color theme="1"/>
        <rFont val="Noto Sans CJK SC"/>
        <family val="2"/>
      </rPr>
      <t xml:space="preserve">月營收：科技新報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</si>
  <si>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https://finance.technews.tw/2026/10/08/kyec-2449-202609-financial-report/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</si>
  <si>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</si>
  <si>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https://histock.tw/stock/financial.aspx?no=2449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</si>
  <si>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；法人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；目標價中位數）</t>
    </r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</si>
  <si>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億、美國廠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延後、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客戶）</t>
    </r>
  </si>
  <si>
    <t xml:space="preserve">https://www.moneyweekly.com.tw/_Article?AID=251167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</si>
  <si>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影響、聯發科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、博通占比）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</si>
  <si>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（經科技新報 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、資本支出、目標價）</t>
    </r>
  </si>
  <si>
    <r>
      <rPr>
        <sz val="11"/>
        <color theme="1"/>
        <rFont val="Noto Sans CJK SC"/>
        <family val="2"/>
      </rPr>
      <t xml:space="preserve">媒體：雅虎新聞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億）</t>
    </r>
  </si>
  <si>
    <t xml:space="preserve">https://n.yam.com/Article/20260127965778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</si>
  <si>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（配股、美國投資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億美元、資本支出上修至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營收）</t>
    </r>
  </si>
  <si>
    <t xml:space="preserve">https://wantrich.chinatimes.com/news/20260728900199-420101</t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</si>
  <si>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法說會摘要（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摘要公司簡報：季資本支出、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年資本支出、稼動率、資料處理占比）</t>
    </r>
  </si>
  <si>
    <t xml:space="preserve">https://poorstock.com/earningcall/2449</t>
  </si>
  <si>
    <r>
      <rPr>
        <sz val="11"/>
        <color theme="1"/>
        <rFont val="Noto Sans CJK SC"/>
        <family val="2"/>
      </rPr>
      <t xml:space="preserve">公司法說摘要：富果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（製程與應用別營收結構、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</si>
  <si>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https://blog.fugle.tw/post/earnings-call-2449-2025-11-28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</si>
  <si>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（經鉅亨網 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2026–2028 EPS </t>
    </r>
    <r>
      <rPr>
        <sz val="11"/>
        <color theme="1"/>
        <rFont val="Noto Sans CJK SC"/>
        <family val="2"/>
      </rPr>
      <t xml:space="preserve">中位數、目標價）</t>
    </r>
  </si>
  <si>
    <r>
      <rPr>
        <sz val="11"/>
        <color theme="1"/>
        <rFont val="Noto Sans CJK SC"/>
        <family val="2"/>
      </rPr>
      <t xml:space="preserve">資料商：鉅亨網、財報狗（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、股本）</t>
    </r>
  </si>
  <si>
    <r>
      <rPr>
        <sz val="11"/>
        <color theme="1"/>
        <rFont val="Calibri"/>
        <family val="2"/>
        <charset val="1"/>
      </rPr>
      <t xml:space="preserve">https://www.cnyes.com/twstock/2449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https://statementdog.com/analysis/2449/eps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</si>
  <si>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月；已因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年配股調整）</t>
    </r>
  </si>
  <si>
    <t xml:space="preserve">https://finance.yahoo.com/quote/2449.TW/history/</t>
  </si>
  <si>
    <r>
      <rPr>
        <sz val="11"/>
        <color theme="1"/>
        <rFont val="Noto Sans CJK SC"/>
        <family val="2"/>
      </rPr>
      <t xml:space="preserve">資料商：玩股網年度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2013–2025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與月本益比；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</si>
  <si>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https://www.wantgoo.com/stock/2449/profitability/dividend-payout-ratio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https://histock.tw/stock/2449/%E6%9C%AC%E7%9B%8A%E6%AF%94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https://stockanalysis.com/quote/tpe/2449/financials/ratios/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</si>
  <si>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成品（加速器顆數與情境係數，本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</si>
  <si>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月上旬）；折舊攤提金額（財報附註）；客戶別營收與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委外份額；測試單價；處分利益金額；前瞻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</si>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</sst>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0.000%"/>
    <numFmt numFmtId="170" formatCode="#,##0.00"/>
    <numFmt numFmtId="171" formatCode="#,##0.0"/>
    <numFmt numFmtId="172" formatCode="#,##0"/>
    <numFmt numFmtId="173" formatCode="0.0000"/>
    <numFmt numFmtId="174" formatCode="0.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4" t="s">
        <v>28</v>
      </c>
      <c r="E5" s="7" t="n">
        <v>5.4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4" t="s">
        <v>28</v>
      </c>
      <c r="E6" s="7" t="n">
        <v>2.4</v>
      </c>
      <c r="G6" s="8" t="s">
        <v>29</v>
      </c>
      <c r="H6" s="8" t="s">
        <v>34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4" t="s">
        <v>28</v>
      </c>
      <c r="E7" s="7" t="n">
        <v>0.5</v>
      </c>
      <c r="G7" s="8" t="s">
        <v>29</v>
      </c>
      <c r="H7" s="8" t="s">
        <v>38</v>
      </c>
      <c r="I7" s="4" t="s">
        <v>35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E8" s="7" t="n">
        <v>-0.5</v>
      </c>
      <c r="G8" s="8" t="s">
        <v>42</v>
      </c>
      <c r="H8" s="8" t="s">
        <v>43</v>
      </c>
      <c r="I8" s="4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4" t="s">
        <v>28</v>
      </c>
      <c r="E9" s="7" t="n">
        <v>1.7</v>
      </c>
      <c r="G9" s="8" t="s">
        <v>29</v>
      </c>
      <c r="H9" s="8" t="s">
        <v>47</v>
      </c>
      <c r="I9" s="8" t="s">
        <v>31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4" t="s">
        <v>28</v>
      </c>
      <c r="E10" s="7" t="n">
        <v>7</v>
      </c>
      <c r="G10" s="8" t="s">
        <v>29</v>
      </c>
      <c r="H10" s="8" t="s">
        <v>50</v>
      </c>
      <c r="I10" s="4" t="s">
        <v>35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4" t="s">
        <v>28</v>
      </c>
      <c r="E11" s="7" t="n">
        <v>7</v>
      </c>
      <c r="G11" s="8" t="s">
        <v>29</v>
      </c>
      <c r="H11" s="8" t="s">
        <v>53</v>
      </c>
      <c r="I11" s="4" t="s">
        <v>35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41</v>
      </c>
      <c r="E12" s="7" t="n">
        <v>0.15</v>
      </c>
      <c r="G12" s="8" t="s">
        <v>42</v>
      </c>
      <c r="H12" s="8" t="s">
        <v>56</v>
      </c>
      <c r="I12" s="4" t="s">
        <v>44</v>
      </c>
    </row>
    <row r="13" customFormat="false" ht="17.15" hidden="false" customHeight="false" outlineLevel="0" collapsed="false">
      <c r="A13" s="0" t="s">
        <v>57</v>
      </c>
      <c r="B13" s="0" t="s">
        <v>58</v>
      </c>
      <c r="C13" s="4" t="s">
        <v>28</v>
      </c>
      <c r="E13" s="7" t="n">
        <v>0</v>
      </c>
      <c r="G13" s="8" t="s">
        <v>29</v>
      </c>
      <c r="H13" s="8" t="s">
        <v>59</v>
      </c>
      <c r="I13" s="8" t="s">
        <v>31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4" t="s">
        <v>28</v>
      </c>
      <c r="E14" s="7" t="n">
        <v>0.3</v>
      </c>
      <c r="G14" s="8" t="s">
        <v>29</v>
      </c>
      <c r="H14" s="8" t="s">
        <v>62</v>
      </c>
      <c r="I14" s="4" t="s">
        <v>35</v>
      </c>
    </row>
    <row r="15" customFormat="false" ht="17.15" hidden="false" customHeight="false" outlineLevel="0" collapsed="false">
      <c r="A15" s="0" t="s">
        <v>63</v>
      </c>
      <c r="B15" s="0" t="s">
        <v>64</v>
      </c>
      <c r="C15" s="4" t="s">
        <v>28</v>
      </c>
      <c r="E15" s="7" t="n">
        <v>2</v>
      </c>
      <c r="G15" s="8" t="s">
        <v>29</v>
      </c>
      <c r="H15" s="8" t="s">
        <v>65</v>
      </c>
      <c r="I15" s="4" t="s">
        <v>35</v>
      </c>
    </row>
    <row r="16" customFormat="false" ht="17.15" hidden="false" customHeight="false" outlineLevel="0" collapsed="false">
      <c r="A16" s="0" t="s">
        <v>66</v>
      </c>
      <c r="B16" s="0" t="s">
        <v>67</v>
      </c>
      <c r="C16" s="0" t="s">
        <v>41</v>
      </c>
      <c r="E16" s="7" t="n">
        <v>0.15</v>
      </c>
      <c r="G16" s="8" t="s">
        <v>42</v>
      </c>
      <c r="H16" s="8" t="s">
        <v>68</v>
      </c>
      <c r="I16" s="4" t="s">
        <v>44</v>
      </c>
    </row>
    <row r="17" customFormat="false" ht="17.15" hidden="false" customHeight="false" outlineLevel="0" collapsed="false">
      <c r="A17" s="0" t="s">
        <v>69</v>
      </c>
      <c r="B17" s="0" t="s">
        <v>70</v>
      </c>
      <c r="C17" s="4" t="s">
        <v>28</v>
      </c>
      <c r="E17" s="7" t="n">
        <v>0.5</v>
      </c>
      <c r="G17" s="8" t="s">
        <v>29</v>
      </c>
      <c r="H17" s="8" t="s">
        <v>71</v>
      </c>
      <c r="I17" s="8" t="s">
        <v>31</v>
      </c>
    </row>
    <row r="18" customFormat="false" ht="17.15" hidden="false" customHeight="false" outlineLevel="0" collapsed="false">
      <c r="A18" s="0" t="s">
        <v>72</v>
      </c>
      <c r="B18" s="0" t="s">
        <v>73</v>
      </c>
      <c r="C18" s="4" t="s">
        <v>28</v>
      </c>
      <c r="E18" s="7" t="n">
        <v>0</v>
      </c>
      <c r="G18" s="8" t="s">
        <v>29</v>
      </c>
      <c r="H18" s="8" t="s">
        <v>74</v>
      </c>
      <c r="I18" s="4" t="s">
        <v>35</v>
      </c>
    </row>
    <row r="19" customFormat="false" ht="17.15" hidden="false" customHeight="false" outlineLevel="0" collapsed="false">
      <c r="A19" s="0" t="s">
        <v>75</v>
      </c>
      <c r="B19" s="0" t="s">
        <v>76</v>
      </c>
      <c r="C19" s="4" t="s">
        <v>28</v>
      </c>
      <c r="E19" s="7" t="n">
        <v>0</v>
      </c>
      <c r="G19" s="8" t="s">
        <v>29</v>
      </c>
      <c r="H19" s="8" t="s">
        <v>77</v>
      </c>
      <c r="I19" s="4" t="s">
        <v>35</v>
      </c>
    </row>
    <row r="20" customFormat="false" ht="17.15" hidden="false" customHeight="false" outlineLevel="0" collapsed="false">
      <c r="A20" s="0" t="s">
        <v>78</v>
      </c>
      <c r="B20" s="0" t="s">
        <v>79</v>
      </c>
      <c r="C20" s="0" t="s">
        <v>41</v>
      </c>
      <c r="E20" s="7" t="n">
        <v>0</v>
      </c>
      <c r="G20" s="8" t="s">
        <v>42</v>
      </c>
      <c r="H20" s="8" t="s">
        <v>80</v>
      </c>
      <c r="I20" s="4" t="s">
        <v>44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4" t="s">
        <v>28</v>
      </c>
      <c r="E21" s="7" t="n">
        <v>0.75</v>
      </c>
      <c r="G21" s="8" t="s">
        <v>29</v>
      </c>
      <c r="H21" s="8" t="s">
        <v>83</v>
      </c>
      <c r="I21" s="8" t="s">
        <v>31</v>
      </c>
    </row>
    <row r="22" customFormat="false" ht="17.15" hidden="false" customHeight="false" outlineLevel="0" collapsed="false">
      <c r="A22" s="0" t="s">
        <v>84</v>
      </c>
      <c r="B22" s="0" t="s">
        <v>85</v>
      </c>
      <c r="C22" s="4" t="s">
        <v>28</v>
      </c>
      <c r="E22" s="7" t="n">
        <v>1.5</v>
      </c>
      <c r="G22" s="8" t="s">
        <v>29</v>
      </c>
      <c r="H22" s="8" t="s">
        <v>86</v>
      </c>
      <c r="I22" s="4" t="s">
        <v>35</v>
      </c>
    </row>
    <row r="23" customFormat="false" ht="17.15" hidden="false" customHeight="false" outlineLevel="0" collapsed="false">
      <c r="A23" s="0" t="s">
        <v>87</v>
      </c>
      <c r="B23" s="0" t="s">
        <v>88</v>
      </c>
      <c r="C23" s="4" t="s">
        <v>28</v>
      </c>
      <c r="E23" s="7" t="n">
        <v>2</v>
      </c>
      <c r="G23" s="8" t="s">
        <v>29</v>
      </c>
      <c r="H23" s="8" t="s">
        <v>89</v>
      </c>
      <c r="I23" s="4" t="s">
        <v>35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41</v>
      </c>
      <c r="E24" s="7" t="n">
        <v>0.15</v>
      </c>
      <c r="G24" s="8" t="s">
        <v>42</v>
      </c>
      <c r="H24" s="8" t="s">
        <v>92</v>
      </c>
      <c r="I24" s="4" t="s">
        <v>44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4" t="s">
        <v>28</v>
      </c>
      <c r="E25" s="7" t="n">
        <v>3.85</v>
      </c>
      <c r="G25" s="8" t="s">
        <v>29</v>
      </c>
      <c r="H25" s="8" t="s">
        <v>95</v>
      </c>
      <c r="I25" s="8" t="s">
        <v>31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4" t="s">
        <v>28</v>
      </c>
      <c r="E26" s="7" t="n">
        <v>5.5</v>
      </c>
      <c r="G26" s="8" t="s">
        <v>29</v>
      </c>
      <c r="H26" s="8" t="s">
        <v>98</v>
      </c>
      <c r="I26" s="4" t="s">
        <v>35</v>
      </c>
    </row>
    <row r="27" customFormat="false" ht="17.15" hidden="false" customHeight="false" outlineLevel="0" collapsed="false">
      <c r="A27" s="0" t="s">
        <v>99</v>
      </c>
      <c r="B27" s="0" t="s">
        <v>100</v>
      </c>
      <c r="C27" s="4" t="s">
        <v>28</v>
      </c>
      <c r="E27" s="7" t="n">
        <v>7</v>
      </c>
      <c r="G27" s="8" t="s">
        <v>29</v>
      </c>
      <c r="H27" s="8" t="s">
        <v>101</v>
      </c>
      <c r="I27" s="4" t="s">
        <v>35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41</v>
      </c>
      <c r="E28" s="7" t="n">
        <v>0.15</v>
      </c>
      <c r="G28" s="8" t="s">
        <v>42</v>
      </c>
      <c r="H28" s="8" t="s">
        <v>104</v>
      </c>
      <c r="I28" s="4" t="s">
        <v>44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4" t="s">
        <v>28</v>
      </c>
      <c r="E29" s="7" t="n">
        <v>2</v>
      </c>
      <c r="G29" s="8" t="s">
        <v>29</v>
      </c>
      <c r="H29" s="8" t="s">
        <v>107</v>
      </c>
      <c r="I29" s="8" t="s">
        <v>31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4" t="s">
        <v>28</v>
      </c>
      <c r="E30" s="7" t="n">
        <v>2.5</v>
      </c>
      <c r="G30" s="8" t="s">
        <v>29</v>
      </c>
      <c r="H30" s="8" t="s">
        <v>110</v>
      </c>
      <c r="I30" s="4" t="s">
        <v>35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4" t="s">
        <v>28</v>
      </c>
      <c r="E31" s="7" t="n">
        <v>3</v>
      </c>
      <c r="G31" s="8" t="s">
        <v>29</v>
      </c>
      <c r="H31" s="8" t="s">
        <v>113</v>
      </c>
      <c r="I31" s="4" t="s">
        <v>35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41</v>
      </c>
      <c r="E32" s="7" t="n">
        <v>0.15</v>
      </c>
      <c r="G32" s="8" t="s">
        <v>42</v>
      </c>
      <c r="H32" s="8" t="s">
        <v>116</v>
      </c>
      <c r="I32" s="4" t="s">
        <v>44</v>
      </c>
    </row>
    <row r="33" customFormat="false" ht="17.15" hidden="false" customHeight="false" outlineLevel="0" collapsed="false">
      <c r="A33" s="0" t="s">
        <v>117</v>
      </c>
      <c r="B33" s="4" t="s">
        <v>118</v>
      </c>
      <c r="C33" s="4" t="s">
        <v>28</v>
      </c>
      <c r="E33" s="7" t="n">
        <v>1</v>
      </c>
      <c r="G33" s="8" t="s">
        <v>29</v>
      </c>
      <c r="H33" s="8" t="s">
        <v>119</v>
      </c>
      <c r="I33" s="8" t="s">
        <v>31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4" t="s">
        <v>28</v>
      </c>
      <c r="E34" s="7" t="n">
        <v>4.5</v>
      </c>
      <c r="G34" s="8" t="s">
        <v>29</v>
      </c>
      <c r="H34" s="8" t="s">
        <v>122</v>
      </c>
      <c r="I34" s="4" t="s">
        <v>35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4" t="s">
        <v>28</v>
      </c>
      <c r="E35" s="7" t="n">
        <v>5</v>
      </c>
      <c r="G35" s="8" t="s">
        <v>29</v>
      </c>
      <c r="H35" s="8" t="s">
        <v>125</v>
      </c>
      <c r="I35" s="4" t="s">
        <v>35</v>
      </c>
    </row>
    <row r="36" customFormat="false" ht="17.15" hidden="false" customHeight="false" outlineLevel="0" collapsed="false">
      <c r="A36" s="0" t="s">
        <v>126</v>
      </c>
      <c r="B36" s="4" t="s">
        <v>127</v>
      </c>
      <c r="C36" s="0" t="s">
        <v>41</v>
      </c>
      <c r="E36" s="7" t="n">
        <v>0.15</v>
      </c>
      <c r="G36" s="8" t="s">
        <v>42</v>
      </c>
      <c r="H36" s="8" t="s">
        <v>128</v>
      </c>
      <c r="I36" s="4" t="s">
        <v>44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131</v>
      </c>
      <c r="E37" s="7" t="n">
        <v>1</v>
      </c>
      <c r="G37" s="8" t="s">
        <v>42</v>
      </c>
      <c r="H37" s="8" t="s">
        <v>132</v>
      </c>
      <c r="I37" s="8" t="s">
        <v>133</v>
      </c>
    </row>
    <row r="38" customFormat="false" ht="17.15" hidden="false" customHeight="false" outlineLevel="0" collapsed="false">
      <c r="A38" s="0" t="s">
        <v>134</v>
      </c>
      <c r="B38" s="4" t="s">
        <v>135</v>
      </c>
      <c r="C38" s="0" t="s">
        <v>131</v>
      </c>
      <c r="E38" s="7" t="n">
        <v>1</v>
      </c>
      <c r="G38" s="8" t="s">
        <v>42</v>
      </c>
      <c r="H38" s="8" t="s">
        <v>136</v>
      </c>
      <c r="I38" s="4" t="s">
        <v>35</v>
      </c>
    </row>
    <row r="39" customFormat="false" ht="17.15" hidden="false" customHeight="false" outlineLevel="0" collapsed="false">
      <c r="A39" s="0" t="s">
        <v>137</v>
      </c>
      <c r="B39" s="4" t="s">
        <v>138</v>
      </c>
      <c r="C39" s="0" t="s">
        <v>131</v>
      </c>
      <c r="E39" s="7" t="n">
        <v>0.8</v>
      </c>
      <c r="G39" s="8" t="s">
        <v>42</v>
      </c>
      <c r="H39" s="8" t="s">
        <v>139</v>
      </c>
      <c r="I39" s="8" t="s">
        <v>133</v>
      </c>
    </row>
    <row r="40" customFormat="false" ht="17.15" hidden="false" customHeight="false" outlineLevel="0" collapsed="false">
      <c r="A40" s="0" t="s">
        <v>140</v>
      </c>
      <c r="B40" s="4" t="s">
        <v>141</v>
      </c>
      <c r="C40" s="0" t="s">
        <v>131</v>
      </c>
      <c r="E40" s="7" t="n">
        <v>0.85</v>
      </c>
      <c r="G40" s="8" t="s">
        <v>42</v>
      </c>
      <c r="H40" s="8" t="s">
        <v>142</v>
      </c>
      <c r="I40" s="4" t="s">
        <v>35</v>
      </c>
    </row>
    <row r="41" customFormat="false" ht="17.15" hidden="false" customHeight="false" outlineLevel="0" collapsed="false">
      <c r="A41" s="0" t="s">
        <v>143</v>
      </c>
      <c r="B41" s="4" t="s">
        <v>144</v>
      </c>
      <c r="C41" s="0" t="s">
        <v>131</v>
      </c>
      <c r="E41" s="7" t="n">
        <v>0.6</v>
      </c>
      <c r="G41" s="8" t="s">
        <v>42</v>
      </c>
      <c r="H41" s="8" t="s">
        <v>145</v>
      </c>
      <c r="I41" s="8" t="s">
        <v>133</v>
      </c>
    </row>
    <row r="42" customFormat="false" ht="17.15" hidden="false" customHeight="false" outlineLevel="0" collapsed="false">
      <c r="A42" s="0" t="s">
        <v>146</v>
      </c>
      <c r="B42" s="4" t="s">
        <v>147</v>
      </c>
      <c r="C42" s="0" t="s">
        <v>131</v>
      </c>
      <c r="E42" s="7" t="n">
        <v>0.6</v>
      </c>
      <c r="G42" s="8" t="s">
        <v>42</v>
      </c>
      <c r="H42" s="8" t="s">
        <v>148</v>
      </c>
      <c r="I42" s="4" t="s">
        <v>35</v>
      </c>
    </row>
    <row r="43" customFormat="false" ht="17.15" hidden="false" customHeight="false" outlineLevel="0" collapsed="false">
      <c r="A43" s="0" t="s">
        <v>149</v>
      </c>
      <c r="B43" s="4" t="s">
        <v>150</v>
      </c>
      <c r="C43" s="0" t="s">
        <v>151</v>
      </c>
      <c r="D43" s="7" t="n">
        <v>30.5</v>
      </c>
      <c r="E43" s="7" t="n">
        <v>32</v>
      </c>
      <c r="F43" s="7" t="n">
        <v>33</v>
      </c>
      <c r="G43" s="8" t="s">
        <v>29</v>
      </c>
      <c r="H43" s="4" t="s">
        <v>152</v>
      </c>
      <c r="I43" s="4" t="s">
        <v>153</v>
      </c>
    </row>
    <row r="44" customFormat="false" ht="17.15" hidden="false" customHeight="false" outlineLevel="0" collapsed="false">
      <c r="A44" s="6" t="s">
        <v>154</v>
      </c>
    </row>
    <row r="45" customFormat="false" ht="17.15" hidden="false" customHeight="false" outlineLevel="0" collapsed="false">
      <c r="A45" s="0" t="s">
        <v>155</v>
      </c>
      <c r="B45" s="4" t="s">
        <v>156</v>
      </c>
      <c r="C45" s="0" t="s">
        <v>131</v>
      </c>
      <c r="E45" s="7" t="n">
        <v>1</v>
      </c>
      <c r="G45" s="8" t="s">
        <v>42</v>
      </c>
      <c r="H45" s="4" t="s">
        <v>157</v>
      </c>
      <c r="I45" s="4" t="s">
        <v>158</v>
      </c>
    </row>
    <row r="46" customFormat="false" ht="17.15" hidden="false" customHeight="false" outlineLevel="0" collapsed="false">
      <c r="A46" s="0" t="s">
        <v>159</v>
      </c>
      <c r="B46" s="4" t="s">
        <v>160</v>
      </c>
      <c r="C46" s="0" t="s">
        <v>131</v>
      </c>
      <c r="D46" s="7" t="n">
        <v>1.2</v>
      </c>
      <c r="E46" s="7" t="n">
        <v>1.5</v>
      </c>
      <c r="F46" s="7" t="n">
        <v>1.8</v>
      </c>
      <c r="G46" s="8" t="s">
        <v>42</v>
      </c>
      <c r="H46" s="8" t="s">
        <v>161</v>
      </c>
      <c r="I46" s="4" t="s">
        <v>162</v>
      </c>
    </row>
    <row r="47" customFormat="false" ht="17.15" hidden="false" customHeight="false" outlineLevel="0" collapsed="false">
      <c r="A47" s="0" t="s">
        <v>163</v>
      </c>
      <c r="B47" s="4" t="s">
        <v>164</v>
      </c>
      <c r="C47" s="0" t="s">
        <v>131</v>
      </c>
      <c r="D47" s="7" t="n">
        <v>1.5</v>
      </c>
      <c r="E47" s="7" t="n">
        <v>2</v>
      </c>
      <c r="F47" s="7" t="n">
        <v>2.6</v>
      </c>
      <c r="G47" s="8" t="s">
        <v>42</v>
      </c>
      <c r="H47" s="8" t="s">
        <v>165</v>
      </c>
      <c r="I47" s="4" t="s">
        <v>166</v>
      </c>
    </row>
    <row r="48" customFormat="false" ht="17.15" hidden="false" customHeight="false" outlineLevel="0" collapsed="false">
      <c r="A48" s="0" t="s">
        <v>167</v>
      </c>
      <c r="B48" s="4" t="s">
        <v>168</v>
      </c>
      <c r="C48" s="0" t="s">
        <v>131</v>
      </c>
      <c r="D48" s="7" t="n">
        <v>0.5</v>
      </c>
      <c r="E48" s="7" t="n">
        <v>0.6</v>
      </c>
      <c r="F48" s="7" t="n">
        <v>0.8</v>
      </c>
      <c r="G48" s="8" t="s">
        <v>169</v>
      </c>
      <c r="H48" s="8" t="s">
        <v>170</v>
      </c>
      <c r="I48" s="4" t="s">
        <v>166</v>
      </c>
    </row>
    <row r="49" customFormat="false" ht="17.15" hidden="false" customHeight="false" outlineLevel="0" collapsed="false">
      <c r="A49" s="0" t="s">
        <v>171</v>
      </c>
      <c r="B49" s="4" t="s">
        <v>172</v>
      </c>
      <c r="C49" s="0" t="s">
        <v>131</v>
      </c>
      <c r="D49" s="7" t="n">
        <v>0.9</v>
      </c>
      <c r="E49" s="7" t="n">
        <v>1.1</v>
      </c>
      <c r="F49" s="7" t="n">
        <v>1.4</v>
      </c>
      <c r="G49" s="8" t="s">
        <v>169</v>
      </c>
      <c r="H49" s="8" t="s">
        <v>173</v>
      </c>
      <c r="I49" s="4" t="s">
        <v>166</v>
      </c>
    </row>
    <row r="50" customFormat="false" ht="17.15" hidden="false" customHeight="false" outlineLevel="0" collapsed="false">
      <c r="A50" s="0" t="s">
        <v>174</v>
      </c>
      <c r="B50" s="4" t="s">
        <v>175</v>
      </c>
      <c r="C50" s="0" t="s">
        <v>131</v>
      </c>
      <c r="D50" s="7" t="n">
        <v>0.7</v>
      </c>
      <c r="E50" s="7" t="n">
        <v>0.9</v>
      </c>
      <c r="F50" s="7" t="n">
        <v>1.2</v>
      </c>
      <c r="G50" s="8" t="s">
        <v>42</v>
      </c>
      <c r="H50" s="8" t="s">
        <v>176</v>
      </c>
      <c r="I50" s="4" t="s">
        <v>166</v>
      </c>
    </row>
    <row r="51" customFormat="false" ht="17.15" hidden="false" customHeight="false" outlineLevel="0" collapsed="false">
      <c r="A51" s="0" t="s">
        <v>177</v>
      </c>
      <c r="B51" s="4" t="s">
        <v>178</v>
      </c>
      <c r="C51" s="0" t="s">
        <v>131</v>
      </c>
      <c r="D51" s="7" t="n">
        <v>0.6</v>
      </c>
      <c r="E51" s="7" t="n">
        <v>0.8</v>
      </c>
      <c r="F51" s="7" t="n">
        <v>1.1</v>
      </c>
      <c r="G51" s="8" t="s">
        <v>169</v>
      </c>
      <c r="H51" s="8" t="s">
        <v>179</v>
      </c>
      <c r="I51" s="4" t="s">
        <v>166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131</v>
      </c>
      <c r="D52" s="7" t="n">
        <v>0.5</v>
      </c>
      <c r="E52" s="7" t="n">
        <v>0.7</v>
      </c>
      <c r="F52" s="7" t="n">
        <v>1</v>
      </c>
      <c r="G52" s="8" t="s">
        <v>169</v>
      </c>
      <c r="H52" s="8" t="s">
        <v>182</v>
      </c>
      <c r="I52" s="4" t="s">
        <v>166</v>
      </c>
    </row>
    <row r="53" customFormat="false" ht="17.15" hidden="false" customHeight="false" outlineLevel="0" collapsed="false">
      <c r="A53" s="0" t="s">
        <v>183</v>
      </c>
      <c r="B53" s="4" t="s">
        <v>184</v>
      </c>
      <c r="C53" s="0" t="s">
        <v>131</v>
      </c>
      <c r="D53" s="7" t="n">
        <v>0.1</v>
      </c>
      <c r="E53" s="7" t="n">
        <v>0.2</v>
      </c>
      <c r="F53" s="7" t="n">
        <v>0.4</v>
      </c>
      <c r="G53" s="8" t="s">
        <v>42</v>
      </c>
      <c r="H53" s="8" t="s">
        <v>185</v>
      </c>
      <c r="I53" s="4" t="s">
        <v>186</v>
      </c>
    </row>
    <row r="54" customFormat="false" ht="17.15" hidden="false" customHeight="false" outlineLevel="0" collapsed="false">
      <c r="A54" s="0" t="s">
        <v>187</v>
      </c>
      <c r="B54" s="4" t="s">
        <v>188</v>
      </c>
      <c r="C54" s="0" t="s">
        <v>131</v>
      </c>
      <c r="D54" s="7" t="n">
        <v>0.3</v>
      </c>
      <c r="E54" s="7" t="n">
        <v>0.5</v>
      </c>
      <c r="F54" s="7" t="n">
        <v>0.7</v>
      </c>
      <c r="G54" s="8" t="s">
        <v>42</v>
      </c>
      <c r="H54" s="8" t="s">
        <v>189</v>
      </c>
      <c r="I54" s="8" t="s">
        <v>190</v>
      </c>
    </row>
    <row r="55" customFormat="false" ht="17.15" hidden="false" customHeight="false" outlineLevel="0" collapsed="false">
      <c r="A55" s="0" t="s">
        <v>191</v>
      </c>
      <c r="B55" s="4" t="s">
        <v>192</v>
      </c>
      <c r="C55" s="0" t="s">
        <v>131</v>
      </c>
      <c r="D55" s="7" t="n">
        <v>0.2</v>
      </c>
      <c r="E55" s="7" t="n">
        <v>0.4</v>
      </c>
      <c r="F55" s="7" t="n">
        <v>0.6</v>
      </c>
      <c r="G55" s="8" t="s">
        <v>42</v>
      </c>
      <c r="H55" s="8" t="s">
        <v>193</v>
      </c>
      <c r="I55" s="8" t="s">
        <v>190</v>
      </c>
    </row>
    <row r="56" customFormat="false" ht="17.15" hidden="false" customHeight="false" outlineLevel="0" collapsed="false">
      <c r="A56" s="0" t="s">
        <v>194</v>
      </c>
      <c r="B56" s="4" t="s">
        <v>195</v>
      </c>
      <c r="C56" s="0" t="s">
        <v>131</v>
      </c>
      <c r="D56" s="7" t="n">
        <v>0.2</v>
      </c>
      <c r="E56" s="7" t="n">
        <v>0.4</v>
      </c>
      <c r="F56" s="7" t="n">
        <v>0.6</v>
      </c>
      <c r="G56" s="8" t="s">
        <v>42</v>
      </c>
      <c r="H56" s="8" t="s">
        <v>196</v>
      </c>
      <c r="I56" s="8" t="s">
        <v>190</v>
      </c>
    </row>
    <row r="57" customFormat="false" ht="17.15" hidden="false" customHeight="false" outlineLevel="0" collapsed="false">
      <c r="A57" s="6" t="s">
        <v>197</v>
      </c>
    </row>
    <row r="58" customFormat="false" ht="17.15" hidden="false" customHeight="false" outlineLevel="0" collapsed="false">
      <c r="A58" s="0" t="s">
        <v>198</v>
      </c>
      <c r="B58" s="4" t="s">
        <v>199</v>
      </c>
      <c r="C58" s="0" t="s">
        <v>131</v>
      </c>
      <c r="D58" s="7" t="n">
        <v>0.88</v>
      </c>
      <c r="E58" s="7" t="n">
        <v>0.95</v>
      </c>
      <c r="F58" s="7" t="n">
        <v>1</v>
      </c>
      <c r="G58" s="8" t="s">
        <v>42</v>
      </c>
      <c r="H58" s="8" t="s">
        <v>200</v>
      </c>
      <c r="I58" s="8" t="s">
        <v>201</v>
      </c>
    </row>
    <row r="59" customFormat="false" ht="17.15" hidden="false" customHeight="false" outlineLevel="0" collapsed="false">
      <c r="A59" s="0" t="s">
        <v>202</v>
      </c>
      <c r="B59" s="4" t="s">
        <v>203</v>
      </c>
      <c r="C59" s="0" t="s">
        <v>131</v>
      </c>
      <c r="D59" s="7" t="n">
        <v>0.8</v>
      </c>
      <c r="E59" s="7" t="n">
        <v>0.92</v>
      </c>
      <c r="F59" s="7" t="n">
        <v>1</v>
      </c>
      <c r="G59" s="8" t="s">
        <v>42</v>
      </c>
      <c r="H59" s="4" t="s">
        <v>35</v>
      </c>
      <c r="I59" s="8" t="s">
        <v>190</v>
      </c>
    </row>
    <row r="60" customFormat="false" ht="17.15" hidden="false" customHeight="false" outlineLevel="0" collapsed="false">
      <c r="A60" s="0" t="s">
        <v>204</v>
      </c>
      <c r="B60" s="4" t="s">
        <v>205</v>
      </c>
      <c r="C60" s="0" t="s">
        <v>131</v>
      </c>
      <c r="D60" s="7" t="n">
        <v>0.75</v>
      </c>
      <c r="E60" s="7" t="n">
        <v>0.9</v>
      </c>
      <c r="F60" s="7" t="n">
        <v>1</v>
      </c>
      <c r="G60" s="8" t="s">
        <v>42</v>
      </c>
      <c r="H60" s="4" t="s">
        <v>35</v>
      </c>
      <c r="I60" s="8" t="s">
        <v>190</v>
      </c>
    </row>
    <row r="61" customFormat="false" ht="17.15" hidden="false" customHeight="false" outlineLevel="0" collapsed="false">
      <c r="A61" s="0" t="s">
        <v>206</v>
      </c>
      <c r="B61" s="4" t="s">
        <v>207</v>
      </c>
      <c r="C61" s="0" t="s">
        <v>131</v>
      </c>
      <c r="D61" s="7" t="n">
        <v>0.95</v>
      </c>
      <c r="E61" s="7" t="n">
        <v>0.98</v>
      </c>
      <c r="F61" s="7" t="n">
        <v>1.02</v>
      </c>
      <c r="G61" s="8" t="s">
        <v>42</v>
      </c>
      <c r="H61" s="4" t="s">
        <v>208</v>
      </c>
      <c r="I61" s="4" t="s">
        <v>209</v>
      </c>
    </row>
    <row r="62" customFormat="false" ht="17.15" hidden="false" customHeight="false" outlineLevel="0" collapsed="false">
      <c r="A62" s="0" t="s">
        <v>210</v>
      </c>
      <c r="B62" s="4" t="s">
        <v>211</v>
      </c>
      <c r="C62" s="0" t="s">
        <v>131</v>
      </c>
      <c r="D62" s="7" t="n">
        <v>0.9</v>
      </c>
      <c r="E62" s="7" t="n">
        <v>0.96</v>
      </c>
      <c r="F62" s="7" t="n">
        <v>1</v>
      </c>
      <c r="G62" s="8" t="s">
        <v>42</v>
      </c>
      <c r="H62" s="4" t="s">
        <v>35</v>
      </c>
      <c r="I62" s="8" t="s">
        <v>190</v>
      </c>
    </row>
    <row r="63" customFormat="false" ht="17.15" hidden="false" customHeight="false" outlineLevel="0" collapsed="false">
      <c r="A63" s="0" t="s">
        <v>212</v>
      </c>
      <c r="B63" s="4" t="s">
        <v>213</v>
      </c>
      <c r="C63" s="0" t="s">
        <v>131</v>
      </c>
      <c r="D63" s="7" t="n">
        <v>0.88</v>
      </c>
      <c r="E63" s="7" t="n">
        <v>0.95</v>
      </c>
      <c r="F63" s="7" t="n">
        <v>1</v>
      </c>
      <c r="G63" s="8" t="s">
        <v>42</v>
      </c>
      <c r="H63" s="4" t="s">
        <v>35</v>
      </c>
      <c r="I63" s="8" t="s">
        <v>190</v>
      </c>
    </row>
    <row r="64" customFormat="false" ht="17.15" hidden="false" customHeight="false" outlineLevel="0" collapsed="false">
      <c r="A64" s="0" t="s">
        <v>214</v>
      </c>
      <c r="B64" s="0" t="s">
        <v>215</v>
      </c>
      <c r="C64" s="0" t="s">
        <v>131</v>
      </c>
      <c r="D64" s="7" t="n">
        <v>0.8</v>
      </c>
      <c r="E64" s="7" t="n">
        <v>1</v>
      </c>
      <c r="F64" s="7" t="n">
        <v>1.2</v>
      </c>
      <c r="G64" s="8" t="s">
        <v>42</v>
      </c>
      <c r="H64" s="4" t="s">
        <v>216</v>
      </c>
      <c r="I64" s="8" t="s">
        <v>217</v>
      </c>
    </row>
    <row r="65" customFormat="false" ht="17.15" hidden="false" customHeight="false" outlineLevel="0" collapsed="false">
      <c r="A65" s="6" t="s">
        <v>218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41</v>
      </c>
      <c r="D66" s="7" t="n">
        <v>0.25</v>
      </c>
      <c r="E66" s="7" t="n">
        <v>0.275</v>
      </c>
      <c r="F66" s="7" t="n">
        <v>0.3</v>
      </c>
      <c r="G66" s="8" t="s">
        <v>221</v>
      </c>
      <c r="H66" s="8" t="s">
        <v>222</v>
      </c>
      <c r="I66" s="4" t="s">
        <v>223</v>
      </c>
    </row>
    <row r="67" customFormat="false" ht="17.15" hidden="false" customHeight="false" outlineLevel="0" collapsed="false">
      <c r="A67" s="0" t="s">
        <v>224</v>
      </c>
      <c r="B67" s="0" t="s">
        <v>225</v>
      </c>
      <c r="C67" s="0" t="s">
        <v>41</v>
      </c>
      <c r="D67" s="7" t="n">
        <v>0.28</v>
      </c>
      <c r="E67" s="7" t="n">
        <v>0.35</v>
      </c>
      <c r="F67" s="7" t="n">
        <v>0.45</v>
      </c>
      <c r="G67" s="8" t="s">
        <v>221</v>
      </c>
      <c r="H67" s="8" t="s">
        <v>226</v>
      </c>
      <c r="I67" s="4" t="s">
        <v>227</v>
      </c>
    </row>
    <row r="68" customFormat="false" ht="17.15" hidden="false" customHeight="false" outlineLevel="0" collapsed="false">
      <c r="A68" s="0" t="s">
        <v>228</v>
      </c>
      <c r="B68" s="4" t="s">
        <v>229</v>
      </c>
      <c r="C68" s="0" t="s">
        <v>41</v>
      </c>
      <c r="D68" s="7" t="n">
        <v>0.04</v>
      </c>
      <c r="E68" s="7" t="n">
        <v>0.12</v>
      </c>
      <c r="F68" s="7" t="n">
        <v>0.2</v>
      </c>
      <c r="G68" s="8" t="s">
        <v>42</v>
      </c>
      <c r="H68" s="8" t="s">
        <v>230</v>
      </c>
      <c r="I68" s="4" t="s">
        <v>231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41</v>
      </c>
      <c r="D69" s="7" t="n">
        <v>0</v>
      </c>
      <c r="E69" s="7" t="n">
        <v>0.07</v>
      </c>
      <c r="F69" s="7" t="n">
        <v>0.12</v>
      </c>
      <c r="G69" s="8" t="s">
        <v>42</v>
      </c>
      <c r="H69" s="4" t="s">
        <v>35</v>
      </c>
      <c r="I69" s="8" t="s">
        <v>190</v>
      </c>
    </row>
    <row r="70" customFormat="false" ht="17.15" hidden="false" customHeight="false" outlineLevel="0" collapsed="false">
      <c r="A70" s="0" t="s">
        <v>234</v>
      </c>
      <c r="B70" s="4" t="s">
        <v>235</v>
      </c>
      <c r="C70" s="0" t="s">
        <v>41</v>
      </c>
      <c r="D70" s="7" t="n">
        <v>0</v>
      </c>
      <c r="E70" s="7" t="n">
        <v>0.05</v>
      </c>
      <c r="F70" s="7" t="n">
        <v>0.1</v>
      </c>
      <c r="G70" s="8" t="s">
        <v>42</v>
      </c>
      <c r="H70" s="4" t="s">
        <v>35</v>
      </c>
      <c r="I70" s="8" t="s">
        <v>190</v>
      </c>
    </row>
    <row r="71" customFormat="false" ht="17.15" hidden="false" customHeight="false" outlineLevel="0" collapsed="false">
      <c r="A71" s="6" t="s">
        <v>236</v>
      </c>
    </row>
    <row r="72" customFormat="false" ht="17.15" hidden="false" customHeight="false" outlineLevel="0" collapsed="false">
      <c r="A72" s="0" t="s">
        <v>237</v>
      </c>
      <c r="B72" s="0" t="s">
        <v>238</v>
      </c>
      <c r="C72" s="0" t="s">
        <v>239</v>
      </c>
      <c r="D72" s="7" t="n">
        <v>35</v>
      </c>
      <c r="E72" s="7" t="n">
        <v>42</v>
      </c>
      <c r="F72" s="7" t="n">
        <v>50</v>
      </c>
      <c r="G72" s="8" t="s">
        <v>29</v>
      </c>
      <c r="H72" s="4" t="s">
        <v>240</v>
      </c>
      <c r="I72" s="8" t="s">
        <v>241</v>
      </c>
    </row>
    <row r="73" customFormat="false" ht="17.15" hidden="false" customHeight="false" outlineLevel="0" collapsed="false">
      <c r="A73" s="0" t="s">
        <v>242</v>
      </c>
      <c r="B73" s="4" t="s">
        <v>243</v>
      </c>
      <c r="C73" s="0" t="s">
        <v>41</v>
      </c>
      <c r="D73" s="7" t="n">
        <v>0.06</v>
      </c>
      <c r="E73" s="7" t="n">
        <v>0.1</v>
      </c>
      <c r="F73" s="7" t="n">
        <v>0.15</v>
      </c>
      <c r="G73" s="8" t="s">
        <v>42</v>
      </c>
      <c r="H73" s="4" t="s">
        <v>244</v>
      </c>
      <c r="I73" s="4" t="s">
        <v>245</v>
      </c>
    </row>
    <row r="74" customFormat="false" ht="17.15" hidden="false" customHeight="false" outlineLevel="0" collapsed="false">
      <c r="A74" s="0" t="s">
        <v>246</v>
      </c>
      <c r="B74" s="0" t="s">
        <v>247</v>
      </c>
      <c r="C74" s="0" t="s">
        <v>239</v>
      </c>
      <c r="E74" s="0" t="n">
        <f aca="false">34.93354/1.3008</f>
        <v>26.8554274292743</v>
      </c>
      <c r="G74" s="0" t="s">
        <v>29</v>
      </c>
      <c r="H74" s="0" t="s">
        <v>248</v>
      </c>
      <c r="I74" s="0" t="s">
        <v>249</v>
      </c>
    </row>
    <row r="75" customFormat="false" ht="17.15" hidden="false" customHeight="false" outlineLevel="0" collapsed="false">
      <c r="A75" s="0" t="s">
        <v>250</v>
      </c>
      <c r="B75" s="4" t="s">
        <v>251</v>
      </c>
      <c r="C75" s="0" t="s">
        <v>252</v>
      </c>
      <c r="D75" s="7" t="n">
        <v>0.09</v>
      </c>
      <c r="E75" s="7" t="n">
        <v>0.11</v>
      </c>
      <c r="F75" s="7" t="n">
        <v>0.14</v>
      </c>
      <c r="G75" s="8" t="s">
        <v>42</v>
      </c>
      <c r="H75" s="4" t="s">
        <v>253</v>
      </c>
      <c r="I75" s="8" t="s">
        <v>254</v>
      </c>
    </row>
    <row r="76" customFormat="false" ht="17.15" hidden="false" customHeight="false" outlineLevel="0" collapsed="false">
      <c r="A76" s="0" t="s">
        <v>255</v>
      </c>
      <c r="B76" s="4" t="s">
        <v>256</v>
      </c>
      <c r="C76" s="0" t="s">
        <v>252</v>
      </c>
      <c r="D76" s="7" t="n">
        <v>0</v>
      </c>
      <c r="E76" s="7" t="n">
        <v>0.05</v>
      </c>
      <c r="F76" s="7" t="n">
        <v>0.1</v>
      </c>
      <c r="G76" s="8" t="s">
        <v>42</v>
      </c>
      <c r="H76" s="4" t="s">
        <v>216</v>
      </c>
      <c r="I76" s="8" t="s">
        <v>190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41</v>
      </c>
      <c r="D77" s="7" t="n">
        <v>0.1</v>
      </c>
      <c r="E77" s="7" t="n">
        <v>0.2</v>
      </c>
      <c r="F77" s="7" t="n">
        <v>0.3</v>
      </c>
      <c r="G77" s="8" t="s">
        <v>42</v>
      </c>
      <c r="H77" s="4" t="s">
        <v>259</v>
      </c>
      <c r="I77" s="4" t="s">
        <v>260</v>
      </c>
    </row>
    <row r="78" customFormat="false" ht="17.15" hidden="false" customHeight="false" outlineLevel="0" collapsed="false">
      <c r="A78" s="6" t="s">
        <v>261</v>
      </c>
    </row>
    <row r="79" customFormat="false" ht="17.15" hidden="false" customHeight="false" outlineLevel="0" collapsed="false">
      <c r="A79" s="0" t="s">
        <v>262</v>
      </c>
      <c r="B79" s="0" t="s">
        <v>263</v>
      </c>
      <c r="C79" s="0" t="s">
        <v>239</v>
      </c>
      <c r="E79" s="0" t="n">
        <f aca="false">33.475818-21.33356</f>
        <v>12.142258</v>
      </c>
      <c r="G79" s="0" t="s">
        <v>264</v>
      </c>
      <c r="H79" s="0" t="s">
        <v>265</v>
      </c>
      <c r="I79" s="0" t="s">
        <v>266</v>
      </c>
    </row>
    <row r="80" customFormat="false" ht="17.15" hidden="false" customHeight="false" outlineLevel="0" collapsed="false">
      <c r="A80" s="0" t="s">
        <v>267</v>
      </c>
      <c r="B80" s="0" t="s">
        <v>268</v>
      </c>
      <c r="C80" s="0" t="s">
        <v>41</v>
      </c>
      <c r="D80" s="7" t="n">
        <v>0.08</v>
      </c>
      <c r="E80" s="7" t="n">
        <v>0.15</v>
      </c>
      <c r="F80" s="7" t="n">
        <v>0.22</v>
      </c>
      <c r="G80" s="8" t="s">
        <v>42</v>
      </c>
      <c r="H80" s="4" t="s">
        <v>269</v>
      </c>
      <c r="I80" s="8" t="s">
        <v>270</v>
      </c>
    </row>
    <row r="81" customFormat="false" ht="17.15" hidden="false" customHeight="false" outlineLevel="0" collapsed="false">
      <c r="A81" s="0" t="s">
        <v>271</v>
      </c>
      <c r="B81" s="0" t="s">
        <v>272</v>
      </c>
      <c r="C81" s="0" t="s">
        <v>41</v>
      </c>
      <c r="D81" s="7" t="n">
        <v>0.37</v>
      </c>
      <c r="E81" s="7" t="n">
        <v>0.385</v>
      </c>
      <c r="F81" s="7" t="n">
        <v>0.4</v>
      </c>
      <c r="G81" s="8" t="s">
        <v>42</v>
      </c>
      <c r="H81" s="4" t="s">
        <v>273</v>
      </c>
      <c r="I81" s="4" t="s">
        <v>274</v>
      </c>
    </row>
    <row r="82" customFormat="false" ht="17.15" hidden="false" customHeight="false" outlineLevel="0" collapsed="false">
      <c r="A82" s="0" t="s">
        <v>275</v>
      </c>
      <c r="B82" s="0" t="s">
        <v>276</v>
      </c>
      <c r="C82" s="0" t="s">
        <v>41</v>
      </c>
      <c r="D82" s="7" t="n">
        <v>0.375</v>
      </c>
      <c r="E82" s="7" t="n">
        <v>0.395</v>
      </c>
      <c r="F82" s="7" t="n">
        <v>0.41</v>
      </c>
      <c r="G82" s="8" t="s">
        <v>42</v>
      </c>
      <c r="H82" s="8" t="s">
        <v>277</v>
      </c>
      <c r="I82" s="8" t="s">
        <v>190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239</v>
      </c>
      <c r="D83" s="7" t="n">
        <v>2.8</v>
      </c>
      <c r="E83" s="7" t="n">
        <v>2.95</v>
      </c>
      <c r="F83" s="7" t="n">
        <v>3.1</v>
      </c>
      <c r="G83" s="8" t="s">
        <v>42</v>
      </c>
      <c r="H83" s="8" t="s">
        <v>280</v>
      </c>
      <c r="I83" s="4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239</v>
      </c>
      <c r="D84" s="7" t="n">
        <v>2.9</v>
      </c>
      <c r="E84" s="7" t="n">
        <v>3.15</v>
      </c>
      <c r="F84" s="7" t="n">
        <v>3.4</v>
      </c>
      <c r="G84" s="8" t="s">
        <v>42</v>
      </c>
      <c r="H84" s="4" t="s">
        <v>35</v>
      </c>
      <c r="I84" s="8" t="s">
        <v>190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41</v>
      </c>
      <c r="D85" s="7" t="n">
        <v>0.115</v>
      </c>
      <c r="E85" s="7" t="n">
        <v>0.125</v>
      </c>
      <c r="F85" s="7" t="n">
        <v>0.14</v>
      </c>
      <c r="G85" s="8" t="s">
        <v>42</v>
      </c>
      <c r="H85" s="8" t="s">
        <v>286</v>
      </c>
      <c r="I85" s="8" t="s">
        <v>287</v>
      </c>
    </row>
    <row r="86" customFormat="false" ht="17.15" hidden="false" customHeight="false" outlineLevel="0" collapsed="false">
      <c r="A86" s="0" t="s">
        <v>288</v>
      </c>
      <c r="B86" s="0" t="s">
        <v>289</v>
      </c>
      <c r="C86" s="0" t="s">
        <v>41</v>
      </c>
      <c r="D86" s="7" t="n">
        <v>0.8</v>
      </c>
      <c r="E86" s="7" t="n">
        <v>0.85</v>
      </c>
      <c r="F86" s="7" t="n">
        <v>0.9</v>
      </c>
      <c r="G86" s="8" t="s">
        <v>29</v>
      </c>
      <c r="H86" s="8" t="s">
        <v>290</v>
      </c>
      <c r="I86" s="8" t="s">
        <v>291</v>
      </c>
    </row>
    <row r="87" customFormat="false" ht="17.15" hidden="false" customHeight="false" outlineLevel="0" collapsed="false">
      <c r="A87" s="0" t="s">
        <v>292</v>
      </c>
      <c r="B87" s="4" t="s">
        <v>293</v>
      </c>
      <c r="C87" s="4" t="s">
        <v>294</v>
      </c>
      <c r="E87" s="0" t="n">
        <f aca="false">2.492/2.04*1.05</f>
        <v>1.28264705882353</v>
      </c>
      <c r="G87" s="0" t="s">
        <v>29</v>
      </c>
      <c r="H87" s="0" t="s">
        <v>295</v>
      </c>
      <c r="I87" s="4" t="s">
        <v>296</v>
      </c>
    </row>
    <row r="88" customFormat="false" ht="17.15" hidden="false" customHeight="false" outlineLevel="0" collapsed="false">
      <c r="A88" s="6" t="s">
        <v>297</v>
      </c>
    </row>
    <row r="89" customFormat="false" ht="17.15" hidden="false" customHeight="false" outlineLevel="0" collapsed="false">
      <c r="A89" s="0" t="s">
        <v>298</v>
      </c>
      <c r="B89" s="4" t="s">
        <v>299</v>
      </c>
      <c r="C89" s="0" t="s">
        <v>131</v>
      </c>
      <c r="D89" s="7" t="n">
        <v>0.4</v>
      </c>
      <c r="E89" s="7" t="n">
        <v>0.6</v>
      </c>
      <c r="F89" s="7" t="n">
        <v>1</v>
      </c>
      <c r="G89" s="8" t="s">
        <v>42</v>
      </c>
      <c r="H89" s="8" t="s">
        <v>300</v>
      </c>
      <c r="I89" s="8" t="s">
        <v>190</v>
      </c>
    </row>
    <row r="90" customFormat="false" ht="17.15" hidden="false" customHeight="false" outlineLevel="0" collapsed="false">
      <c r="A90" s="0" t="s">
        <v>301</v>
      </c>
      <c r="B90" s="4" t="s">
        <v>302</v>
      </c>
      <c r="C90" s="0" t="s">
        <v>303</v>
      </c>
      <c r="D90" s="7" t="n">
        <v>-0.01</v>
      </c>
      <c r="E90" s="7" t="n">
        <v>0</v>
      </c>
      <c r="F90" s="7" t="n">
        <v>0.01</v>
      </c>
      <c r="G90" s="8" t="s">
        <v>42</v>
      </c>
      <c r="H90" s="4" t="s">
        <v>216</v>
      </c>
      <c r="I90" s="8" t="s">
        <v>190</v>
      </c>
    </row>
    <row r="91" customFormat="false" ht="17.15" hidden="false" customHeight="false" outlineLevel="0" collapsed="false">
      <c r="A91" s="0" t="s">
        <v>304</v>
      </c>
      <c r="B91" s="4" t="s">
        <v>305</v>
      </c>
      <c r="C91" s="0" t="s">
        <v>41</v>
      </c>
      <c r="D91" s="7" t="n">
        <v>0.78</v>
      </c>
      <c r="E91" s="7" t="n">
        <v>0.84</v>
      </c>
      <c r="F91" s="7" t="n">
        <v>0.9</v>
      </c>
      <c r="G91" s="8" t="s">
        <v>42</v>
      </c>
      <c r="H91" s="8" t="s">
        <v>306</v>
      </c>
      <c r="I91" s="8" t="s">
        <v>307</v>
      </c>
    </row>
    <row r="92" customFormat="false" ht="17.15" hidden="false" customHeight="false" outlineLevel="0" collapsed="false">
      <c r="A92" s="0" t="s">
        <v>308</v>
      </c>
      <c r="B92" s="4" t="s">
        <v>309</v>
      </c>
      <c r="C92" s="0" t="s">
        <v>41</v>
      </c>
      <c r="D92" s="7" t="n">
        <v>0</v>
      </c>
      <c r="E92" s="7" t="n">
        <v>0</v>
      </c>
      <c r="F92" s="7" t="n">
        <v>0.05</v>
      </c>
      <c r="G92" s="8" t="s">
        <v>42</v>
      </c>
      <c r="H92" s="8" t="s">
        <v>310</v>
      </c>
      <c r="I92" s="4" t="s">
        <v>311</v>
      </c>
    </row>
    <row r="93" customFormat="false" ht="17.15" hidden="false" customHeight="false" outlineLevel="0" collapsed="false">
      <c r="A93" s="6" t="s">
        <v>312</v>
      </c>
    </row>
    <row r="94" customFormat="false" ht="17.15" hidden="false" customHeight="false" outlineLevel="0" collapsed="false">
      <c r="A94" s="0" t="s">
        <v>313</v>
      </c>
      <c r="B94" s="0" t="s">
        <v>314</v>
      </c>
      <c r="C94" s="0" t="s">
        <v>315</v>
      </c>
      <c r="E94" s="7" t="n">
        <v>9.9</v>
      </c>
      <c r="G94" s="8" t="s">
        <v>221</v>
      </c>
      <c r="H94" s="8" t="s">
        <v>316</v>
      </c>
      <c r="I94" s="4" t="s">
        <v>317</v>
      </c>
    </row>
    <row r="95" customFormat="false" ht="17.15" hidden="false" customHeight="false" outlineLevel="0" collapsed="false">
      <c r="A95" s="0" t="s">
        <v>318</v>
      </c>
      <c r="B95" s="0" t="s">
        <v>319</v>
      </c>
      <c r="C95" s="0" t="s">
        <v>315</v>
      </c>
      <c r="E95" s="7" t="n">
        <v>14.4</v>
      </c>
      <c r="G95" s="8" t="s">
        <v>221</v>
      </c>
      <c r="H95" s="8" t="s">
        <v>316</v>
      </c>
      <c r="I95" s="4" t="s">
        <v>320</v>
      </c>
    </row>
    <row r="96" customFormat="false" ht="17.15" hidden="false" customHeight="false" outlineLevel="0" collapsed="false">
      <c r="A96" s="0" t="s">
        <v>321</v>
      </c>
      <c r="B96" s="0" t="s">
        <v>322</v>
      </c>
      <c r="C96" s="0" t="s">
        <v>315</v>
      </c>
      <c r="E96" s="7" t="n">
        <v>17.72</v>
      </c>
      <c r="G96" s="8" t="s">
        <v>221</v>
      </c>
      <c r="H96" s="8" t="s">
        <v>316</v>
      </c>
      <c r="I96" s="4" t="s">
        <v>323</v>
      </c>
    </row>
    <row r="97" customFormat="false" ht="17.15" hidden="false" customHeight="false" outlineLevel="0" collapsed="false">
      <c r="A97" s="0" t="s">
        <v>324</v>
      </c>
      <c r="B97" s="4" t="s">
        <v>325</v>
      </c>
      <c r="C97" s="0" t="s">
        <v>315</v>
      </c>
      <c r="E97" s="0" t="n">
        <f aca="false">(9.09+9.79)/2</f>
        <v>9.44</v>
      </c>
      <c r="G97" s="0" t="s">
        <v>221</v>
      </c>
      <c r="H97" s="0" t="s">
        <v>326</v>
      </c>
      <c r="I97" s="4" t="s">
        <v>327</v>
      </c>
    </row>
    <row r="98" customFormat="false" ht="17.15" hidden="false" customHeight="false" outlineLevel="0" collapsed="false">
      <c r="A98" s="0" t="s">
        <v>328</v>
      </c>
      <c r="B98" s="4" t="s">
        <v>329</v>
      </c>
      <c r="C98" s="0" t="s">
        <v>239</v>
      </c>
      <c r="E98" s="7" t="n">
        <v>49.25</v>
      </c>
      <c r="G98" s="8" t="s">
        <v>221</v>
      </c>
      <c r="H98" s="8" t="s">
        <v>326</v>
      </c>
      <c r="I98" s="4" t="s">
        <v>330</v>
      </c>
    </row>
    <row r="99" customFormat="false" ht="17.15" hidden="false" customHeight="false" outlineLevel="0" collapsed="false">
      <c r="A99" s="0" t="s">
        <v>331</v>
      </c>
      <c r="B99" s="4" t="s">
        <v>332</v>
      </c>
      <c r="C99" s="0" t="s">
        <v>239</v>
      </c>
      <c r="E99" s="7" t="n">
        <v>14.559</v>
      </c>
      <c r="G99" s="8" t="s">
        <v>221</v>
      </c>
      <c r="H99" s="8" t="s">
        <v>333</v>
      </c>
      <c r="I99" s="4" t="s">
        <v>334</v>
      </c>
    </row>
    <row r="100" customFormat="false" ht="17.15" hidden="false" customHeight="false" outlineLevel="0" collapsed="false">
      <c r="A100" s="0" t="s">
        <v>335</v>
      </c>
      <c r="B100" s="0" t="s">
        <v>336</v>
      </c>
      <c r="C100" s="0" t="s">
        <v>315</v>
      </c>
      <c r="E100" s="7" t="n">
        <v>388</v>
      </c>
      <c r="G100" s="8" t="s">
        <v>221</v>
      </c>
      <c r="H100" s="8" t="s">
        <v>337</v>
      </c>
      <c r="I100" s="4" t="s">
        <v>338</v>
      </c>
    </row>
    <row r="101" customFormat="false" ht="17.15" hidden="false" customHeight="false" outlineLevel="0" collapsed="false">
      <c r="A101" s="0" t="s">
        <v>339</v>
      </c>
      <c r="B101" s="0" t="s">
        <v>340</v>
      </c>
      <c r="C101" s="0" t="s">
        <v>41</v>
      </c>
      <c r="E101" s="7" t="n">
        <v>0.1</v>
      </c>
      <c r="G101" s="8" t="s">
        <v>221</v>
      </c>
      <c r="H101" s="8" t="s">
        <v>337</v>
      </c>
      <c r="I101" s="4" t="s">
        <v>341</v>
      </c>
    </row>
    <row r="102" customFormat="false" ht="17.15" hidden="false" customHeight="false" outlineLevel="0" collapsed="false">
      <c r="A102" s="0" t="s">
        <v>342</v>
      </c>
      <c r="B102" s="4" t="s">
        <v>343</v>
      </c>
      <c r="C102" s="0" t="s">
        <v>41</v>
      </c>
      <c r="E102" s="7" t="n">
        <v>0.363</v>
      </c>
      <c r="G102" s="8" t="s">
        <v>221</v>
      </c>
      <c r="H102" s="8" t="s">
        <v>344</v>
      </c>
      <c r="I102" s="8" t="s">
        <v>345</v>
      </c>
    </row>
    <row r="103" customFormat="false" ht="17.15" hidden="false" customHeight="false" outlineLevel="0" collapsed="false">
      <c r="A103" s="0" t="s">
        <v>346</v>
      </c>
      <c r="B103" s="0" t="s">
        <v>347</v>
      </c>
      <c r="C103" s="0" t="s">
        <v>41</v>
      </c>
      <c r="E103" s="7" t="n">
        <v>0.09</v>
      </c>
      <c r="G103" s="8" t="s">
        <v>221</v>
      </c>
      <c r="H103" s="8" t="s">
        <v>348</v>
      </c>
      <c r="I103" s="4" t="s">
        <v>349</v>
      </c>
    </row>
    <row r="104" customFormat="false" ht="17.15" hidden="false" customHeight="false" outlineLevel="0" collapsed="false">
      <c r="A104" s="6" t="s">
        <v>350</v>
      </c>
    </row>
    <row r="105" customFormat="false" ht="17.15" hidden="false" customHeight="false" outlineLevel="0" collapsed="false">
      <c r="A105" s="0" t="s">
        <v>351</v>
      </c>
      <c r="B105" s="4" t="s">
        <v>352</v>
      </c>
      <c r="C105" s="0" t="s">
        <v>315</v>
      </c>
      <c r="E105" s="7" t="n">
        <v>262.5</v>
      </c>
      <c r="G105" s="8" t="s">
        <v>221</v>
      </c>
      <c r="H105" s="4" t="s">
        <v>353</v>
      </c>
      <c r="I105" s="4" t="s">
        <v>354</v>
      </c>
    </row>
    <row r="106" customFormat="false" ht="17.15" hidden="false" customHeight="false" outlineLevel="0" collapsed="false">
      <c r="A106" s="0" t="s">
        <v>355</v>
      </c>
      <c r="B106" s="4" t="s">
        <v>356</v>
      </c>
      <c r="C106" s="0" t="s">
        <v>131</v>
      </c>
      <c r="E106" s="7" t="n">
        <v>36.13</v>
      </c>
      <c r="G106" s="8" t="s">
        <v>221</v>
      </c>
      <c r="H106" s="8" t="s">
        <v>357</v>
      </c>
      <c r="I106" s="8" t="s">
        <v>358</v>
      </c>
    </row>
    <row r="107" customFormat="false" ht="17.15" hidden="false" customHeight="false" outlineLevel="0" collapsed="false">
      <c r="A107" s="6" t="s">
        <v>359</v>
      </c>
    </row>
    <row r="108" customFormat="false" ht="17.15" hidden="false" customHeight="false" outlineLevel="0" collapsed="false">
      <c r="A108" s="9" t="s">
        <v>360</v>
      </c>
      <c r="B108" s="10" t="s">
        <v>361</v>
      </c>
      <c r="C108" s="9" t="s">
        <v>41</v>
      </c>
      <c r="D108" s="9"/>
      <c r="E108" s="11" t="n">
        <v>0.3</v>
      </c>
      <c r="F108" s="9"/>
      <c r="G108" s="9" t="s">
        <v>42</v>
      </c>
      <c r="H108" s="9" t="s">
        <v>362</v>
      </c>
      <c r="I108" s="10" t="s">
        <v>363</v>
      </c>
    </row>
    <row r="109" customFormat="false" ht="17.15" hidden="false" customHeight="false" outlineLevel="0" collapsed="false">
      <c r="A109" s="9" t="s">
        <v>364</v>
      </c>
      <c r="B109" s="10" t="s">
        <v>365</v>
      </c>
      <c r="C109" s="9" t="s">
        <v>41</v>
      </c>
      <c r="D109" s="9"/>
      <c r="E109" s="11" t="n">
        <v>0.5</v>
      </c>
      <c r="F109" s="9"/>
      <c r="G109" s="9" t="s">
        <v>42</v>
      </c>
      <c r="H109" s="9" t="s">
        <v>362</v>
      </c>
      <c r="I109" s="10" t="s">
        <v>363</v>
      </c>
    </row>
    <row r="110" customFormat="false" ht="17.15" hidden="false" customHeight="false" outlineLevel="0" collapsed="false">
      <c r="A110" s="9" t="s">
        <v>366</v>
      </c>
      <c r="B110" s="10" t="s">
        <v>367</v>
      </c>
      <c r="C110" s="9" t="s">
        <v>41</v>
      </c>
      <c r="D110" s="9"/>
      <c r="E110" s="11" t="n">
        <v>0.2</v>
      </c>
      <c r="F110" s="9"/>
      <c r="G110" s="9" t="s">
        <v>42</v>
      </c>
      <c r="H110" s="9" t="s">
        <v>362</v>
      </c>
      <c r="I110" s="10" t="s">
        <v>363</v>
      </c>
    </row>
    <row r="111" customFormat="false" ht="17.15" hidden="false" customHeight="false" outlineLevel="0" collapsed="false">
      <c r="A111" s="9" t="s">
        <v>368</v>
      </c>
      <c r="B111" s="10" t="s">
        <v>369</v>
      </c>
      <c r="C111" s="9" t="s">
        <v>41</v>
      </c>
      <c r="D111" s="9"/>
      <c r="E111" s="11" t="n">
        <v>0.1</v>
      </c>
      <c r="F111" s="9"/>
      <c r="G111" s="9" t="s">
        <v>42</v>
      </c>
      <c r="H111" s="9" t="s">
        <v>370</v>
      </c>
      <c r="I111" s="9" t="s">
        <v>371</v>
      </c>
    </row>
    <row r="112" customFormat="false" ht="17.15" hidden="false" customHeight="false" outlineLevel="0" collapsed="false">
      <c r="A112" s="9" t="s">
        <v>372</v>
      </c>
      <c r="B112" s="10" t="s">
        <v>373</v>
      </c>
      <c r="C112" s="9" t="s">
        <v>41</v>
      </c>
      <c r="D112" s="9"/>
      <c r="E112" s="11" t="n">
        <v>0.04</v>
      </c>
      <c r="F112" s="9"/>
      <c r="G112" s="9" t="s">
        <v>42</v>
      </c>
      <c r="H112" s="9" t="s">
        <v>374</v>
      </c>
      <c r="I112" s="9" t="s">
        <v>190</v>
      </c>
    </row>
    <row r="113" customFormat="false" ht="17.15" hidden="false" customHeight="false" outlineLevel="0" collapsed="false">
      <c r="A113" s="9" t="s">
        <v>375</v>
      </c>
      <c r="B113" s="10" t="s">
        <v>376</v>
      </c>
      <c r="C113" s="9" t="s">
        <v>41</v>
      </c>
      <c r="D113" s="9"/>
      <c r="E113" s="9" t="n">
        <f aca="false">(0.1584+0.1584+0.2377)/3</f>
        <v>0.184833333333333</v>
      </c>
      <c r="F113" s="9"/>
      <c r="G113" s="9" t="s">
        <v>29</v>
      </c>
      <c r="H113" s="10" t="s">
        <v>377</v>
      </c>
      <c r="I113" s="9" t="s">
        <v>378</v>
      </c>
    </row>
    <row r="114" customFormat="false" ht="17.15" hidden="false" customHeight="false" outlineLevel="0" collapsed="false">
      <c r="A114" s="9" t="s">
        <v>379</v>
      </c>
      <c r="B114" s="10" t="s">
        <v>380</v>
      </c>
      <c r="C114" s="9" t="s">
        <v>41</v>
      </c>
      <c r="D114" s="9"/>
      <c r="E114" s="11" t="n">
        <v>0.5</v>
      </c>
      <c r="F114" s="9"/>
      <c r="G114" s="9" t="s">
        <v>42</v>
      </c>
      <c r="H114" s="9" t="s">
        <v>381</v>
      </c>
      <c r="I114" s="9" t="s">
        <v>190</v>
      </c>
    </row>
    <row r="115" customFormat="false" ht="17.15" hidden="false" customHeight="false" outlineLevel="0" collapsed="false">
      <c r="A115" s="9" t="s">
        <v>382</v>
      </c>
      <c r="B115" s="10" t="s">
        <v>383</v>
      </c>
      <c r="C115" s="9" t="s">
        <v>41</v>
      </c>
      <c r="D115" s="9"/>
      <c r="E115" s="9" t="n">
        <f aca="false">tp_g+0.02</f>
        <v>0.06</v>
      </c>
      <c r="F115" s="9"/>
      <c r="G115" s="9" t="s">
        <v>42</v>
      </c>
      <c r="H115" s="9" t="s">
        <v>384</v>
      </c>
      <c r="I115" s="9" t="s">
        <v>385</v>
      </c>
    </row>
    <row r="116" customFormat="false" ht="17.15" hidden="false" customHeight="false" outlineLevel="0" collapsed="false">
      <c r="A116" s="9" t="s">
        <v>386</v>
      </c>
      <c r="B116" s="10" t="s">
        <v>387</v>
      </c>
      <c r="C116" s="9" t="s">
        <v>41</v>
      </c>
      <c r="D116" s="9"/>
      <c r="E116" s="9" t="n">
        <f aca="false">tp_g-0.02</f>
        <v>0.02</v>
      </c>
      <c r="F116" s="9"/>
      <c r="G116" s="9" t="s">
        <v>42</v>
      </c>
      <c r="H116" s="9" t="s">
        <v>388</v>
      </c>
      <c r="I116" s="9" t="s">
        <v>190</v>
      </c>
    </row>
    <row r="117" customFormat="false" ht="17.15" hidden="false" customHeight="false" outlineLevel="0" collapsed="false">
      <c r="A117" s="9" t="s">
        <v>389</v>
      </c>
      <c r="B117" s="10" t="s">
        <v>390</v>
      </c>
      <c r="C117" s="9" t="s">
        <v>41</v>
      </c>
      <c r="D117" s="9"/>
      <c r="E117" s="9" t="n">
        <f aca="false">PL!G104/PL!G81</f>
        <v>0.225897006327181</v>
      </c>
      <c r="F117" s="9"/>
      <c r="G117" s="9" t="s">
        <v>29</v>
      </c>
      <c r="H117" s="9" t="s">
        <v>391</v>
      </c>
      <c r="I117" s="9" t="s">
        <v>392</v>
      </c>
    </row>
    <row r="118" customFormat="false" ht="17.15" hidden="false" customHeight="false" outlineLevel="0" collapsed="false">
      <c r="A118" s="9" t="s">
        <v>393</v>
      </c>
      <c r="B118" s="10" t="s">
        <v>394</v>
      </c>
      <c r="C118" s="9" t="s">
        <v>41</v>
      </c>
      <c r="D118" s="9"/>
      <c r="E118" s="9" t="n">
        <f aca="false">(PL!G155/PL!G132+PL!G155/PL!G132*0.8)/2</f>
        <v>0.197247207001343</v>
      </c>
      <c r="F118" s="9"/>
      <c r="G118" s="9" t="s">
        <v>42</v>
      </c>
      <c r="H118" s="10" t="s">
        <v>395</v>
      </c>
      <c r="I118" s="9" t="s">
        <v>392</v>
      </c>
    </row>
    <row r="119" customFormat="false" ht="17.15" hidden="false" customHeight="false" outlineLevel="0" collapsed="false">
      <c r="A119" s="9" t="s">
        <v>396</v>
      </c>
      <c r="B119" s="10" t="s">
        <v>397</v>
      </c>
      <c r="C119" s="9" t="s">
        <v>41</v>
      </c>
      <c r="D119" s="9"/>
      <c r="E119" s="9" t="n">
        <f aca="false">PL!G206/PL!G183*0.8</f>
        <v>0.135344189075404</v>
      </c>
      <c r="F119" s="9"/>
      <c r="G119" s="9" t="s">
        <v>42</v>
      </c>
      <c r="H119" s="10" t="s">
        <v>398</v>
      </c>
      <c r="I119" s="9" t="s">
        <v>392</v>
      </c>
    </row>
    <row r="120" customFormat="false" ht="17.15" hidden="false" customHeight="false" outlineLevel="0" collapsed="false">
      <c r="A120" s="9" t="s">
        <v>399</v>
      </c>
      <c r="B120" s="10" t="s">
        <v>400</v>
      </c>
      <c r="C120" s="9" t="s">
        <v>315</v>
      </c>
      <c r="D120" s="9"/>
      <c r="E120" s="11" t="n">
        <v>340.73</v>
      </c>
      <c r="F120" s="9"/>
      <c r="G120" s="9" t="s">
        <v>221</v>
      </c>
      <c r="H120" s="9" t="s">
        <v>401</v>
      </c>
      <c r="I120" s="10" t="s">
        <v>402</v>
      </c>
    </row>
    <row r="121" customFormat="false" ht="17.15" hidden="false" customHeight="false" outlineLevel="0" collapsed="false">
      <c r="A121" s="9" t="s">
        <v>403</v>
      </c>
      <c r="B121" s="10" t="s">
        <v>404</v>
      </c>
      <c r="C121" s="9" t="s">
        <v>315</v>
      </c>
      <c r="D121" s="9"/>
      <c r="E121" s="9" t="n">
        <f aca="false">(2/12*c_eps27+10/12*c_eps28)/1.05</f>
        <v>16.3492063492063</v>
      </c>
      <c r="F121" s="9"/>
      <c r="G121" s="9" t="s">
        <v>29</v>
      </c>
      <c r="H121" s="9" t="s">
        <v>405</v>
      </c>
      <c r="I121" s="10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40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407</v>
      </c>
    </row>
    <row r="2" customFormat="false" ht="17.15" hidden="false" customHeight="false" outlineLevel="0" collapsed="false">
      <c r="A2" s="0" t="s">
        <v>408</v>
      </c>
    </row>
    <row r="3" customFormat="false" ht="17.15" hidden="false" customHeight="false" outlineLevel="0" collapsed="false">
      <c r="A3" s="5" t="s">
        <v>17</v>
      </c>
      <c r="B3" s="12" t="s">
        <v>409</v>
      </c>
      <c r="C3" s="12" t="s">
        <v>410</v>
      </c>
      <c r="D3" s="12" t="s">
        <v>411</v>
      </c>
      <c r="E3" s="12" t="s">
        <v>412</v>
      </c>
      <c r="F3" s="12" t="s">
        <v>413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4" t="s">
        <v>414</v>
      </c>
      <c r="B4" s="13" t="n">
        <f aca="false">SUM(B26:E26)</f>
        <v>34.9336</v>
      </c>
      <c r="C4" s="13" t="n">
        <f aca="false">SUM(F26:G26)</f>
        <v>21.3335</v>
      </c>
      <c r="D4" s="13" t="n">
        <f aca="false">q3_rev</f>
        <v>12.142258</v>
      </c>
      <c r="E4" s="13" t="n">
        <f aca="false">D4*(1+q4g)</f>
        <v>13.9635967</v>
      </c>
      <c r="F4" s="13" t="n">
        <f aca="false">SUM(C4:E4)</f>
        <v>47.4393547</v>
      </c>
      <c r="G4" s="8" t="s">
        <v>415</v>
      </c>
      <c r="H4" s="4" t="s">
        <v>416</v>
      </c>
      <c r="I4" s="8" t="s">
        <v>417</v>
      </c>
    </row>
    <row r="5" customFormat="false" ht="17.15" hidden="false" customHeight="false" outlineLevel="0" collapsed="false">
      <c r="A5" s="4" t="s">
        <v>418</v>
      </c>
      <c r="B5" s="13" t="n">
        <f aca="false">SUM(B31:E31)</f>
        <v>12.5208159</v>
      </c>
      <c r="C5" s="13" t="n">
        <f aca="false">SUM(F31:G31)</f>
        <v>8.45119306</v>
      </c>
      <c r="D5" s="13" t="n">
        <f aca="false">D4*q3_gm</f>
        <v>4.67476933</v>
      </c>
      <c r="E5" s="13" t="n">
        <f aca="false">E4*q4_gm</f>
        <v>5.5156206965</v>
      </c>
      <c r="F5" s="13" t="n">
        <f aca="false">SUM(C5:E5)</f>
        <v>18.6415830865</v>
      </c>
      <c r="G5" s="8" t="s">
        <v>419</v>
      </c>
      <c r="H5" s="4" t="s">
        <v>416</v>
      </c>
      <c r="I5" s="8" t="s">
        <v>420</v>
      </c>
    </row>
    <row r="6" customFormat="false" ht="17.15" hidden="false" customHeight="false" outlineLevel="0" collapsed="false">
      <c r="A6" s="4" t="s">
        <v>421</v>
      </c>
      <c r="B6" s="14" t="n">
        <f aca="false">B5/B4</f>
        <v>0.358417566468958</v>
      </c>
      <c r="C6" s="14" t="n">
        <f aca="false">C5/C4</f>
        <v>0.396146579792345</v>
      </c>
      <c r="D6" s="14" t="n">
        <f aca="false">D5/D4</f>
        <v>0.385</v>
      </c>
      <c r="E6" s="14" t="n">
        <f aca="false">E5/E4</f>
        <v>0.395</v>
      </c>
      <c r="F6" s="14" t="n">
        <f aca="false">F5/F4</f>
        <v>0.392956084760993</v>
      </c>
      <c r="G6" s="8" t="s">
        <v>29</v>
      </c>
      <c r="H6" s="8" t="s">
        <v>190</v>
      </c>
      <c r="I6" s="8" t="s">
        <v>422</v>
      </c>
    </row>
    <row r="7" customFormat="false" ht="17.15" hidden="false" customHeight="false" outlineLevel="0" collapsed="false">
      <c r="A7" s="4" t="s">
        <v>423</v>
      </c>
      <c r="B7" s="13" t="n">
        <f aca="false">SUM(B35:E35)</f>
        <v>7.5143841</v>
      </c>
      <c r="C7" s="13" t="n">
        <f aca="false">SUM(F35:G35)</f>
        <v>5.22770694</v>
      </c>
      <c r="D7" s="13" t="n">
        <f aca="false">q3_da</f>
        <v>2.95</v>
      </c>
      <c r="E7" s="13" t="n">
        <f aca="false">q4_da</f>
        <v>3.15</v>
      </c>
      <c r="F7" s="13" t="n">
        <f aca="false">SUM(C7:E7)</f>
        <v>11.32770694</v>
      </c>
      <c r="G7" s="8" t="s">
        <v>424</v>
      </c>
      <c r="H7" s="4" t="s">
        <v>416</v>
      </c>
      <c r="I7" s="4" t="s">
        <v>425</v>
      </c>
    </row>
    <row r="8" customFormat="false" ht="17.15" hidden="false" customHeight="false" outlineLevel="0" collapsed="false">
      <c r="A8" s="4" t="s">
        <v>426</v>
      </c>
      <c r="B8" s="13" t="n">
        <f aca="false">B4-B5-B7</f>
        <v>14.8984</v>
      </c>
      <c r="C8" s="13" t="n">
        <f aca="false">C4-C5-C7</f>
        <v>7.6546</v>
      </c>
      <c r="D8" s="13" t="n">
        <f aca="false">D4-D5-D7</f>
        <v>4.51748867</v>
      </c>
      <c r="E8" s="13" t="n">
        <f aca="false">E4-E5-E7</f>
        <v>5.2979760035</v>
      </c>
      <c r="F8" s="13" t="n">
        <f aca="false">SUM(C8:E8)</f>
        <v>17.4700646735</v>
      </c>
      <c r="G8" s="8" t="s">
        <v>29</v>
      </c>
      <c r="H8" s="8" t="s">
        <v>190</v>
      </c>
      <c r="I8" s="4" t="s">
        <v>427</v>
      </c>
    </row>
    <row r="9" customFormat="false" ht="17.15" hidden="false" customHeight="false" outlineLevel="0" collapsed="false">
      <c r="A9" s="4" t="s">
        <v>428</v>
      </c>
      <c r="B9" s="13" t="n">
        <f aca="false">SUM(B32:E32)</f>
        <v>3.5197</v>
      </c>
      <c r="C9" s="13" t="n">
        <f aca="false">SUM(F32:G32)</f>
        <v>2.8509</v>
      </c>
      <c r="D9" s="13" t="n">
        <f aca="false">D4*q_opx</f>
        <v>1.51778225</v>
      </c>
      <c r="E9" s="13" t="n">
        <f aca="false">E4*q_opx</f>
        <v>1.7454495875</v>
      </c>
      <c r="F9" s="13" t="n">
        <f aca="false">SUM(C9:E9)</f>
        <v>6.1141318375</v>
      </c>
      <c r="G9" s="8" t="s">
        <v>429</v>
      </c>
      <c r="H9" s="4" t="s">
        <v>416</v>
      </c>
      <c r="I9" s="8" t="s">
        <v>420</v>
      </c>
    </row>
    <row r="10" customFormat="false" ht="17.15" hidden="false" customHeight="false" outlineLevel="0" collapsed="false">
      <c r="A10" s="4" t="s">
        <v>430</v>
      </c>
      <c r="B10" s="13" t="n">
        <f aca="false">B5-B9</f>
        <v>9.0011159</v>
      </c>
      <c r="C10" s="13" t="n">
        <f aca="false">C5-C9</f>
        <v>5.60029306</v>
      </c>
      <c r="D10" s="13" t="n">
        <f aca="false">D5-D9</f>
        <v>3.15698708</v>
      </c>
      <c r="E10" s="13" t="n">
        <f aca="false">E5-E9</f>
        <v>3.770171109</v>
      </c>
      <c r="F10" s="13" t="n">
        <f aca="false">SUM(C10:E10)</f>
        <v>12.527451249</v>
      </c>
      <c r="G10" s="8" t="s">
        <v>29</v>
      </c>
      <c r="H10" s="4" t="s">
        <v>416</v>
      </c>
      <c r="I10" s="8" t="s">
        <v>431</v>
      </c>
    </row>
    <row r="11" customFormat="false" ht="15" hidden="false" customHeight="false" outlineLevel="0" collapsed="false">
      <c r="A11" s="4" t="s">
        <v>432</v>
      </c>
      <c r="B11" s="14" t="n">
        <f aca="false">B10/B4</f>
        <v>0.25766356459111</v>
      </c>
      <c r="C11" s="14" t="n">
        <f aca="false">C10/C4</f>
        <v>0.262511686314951</v>
      </c>
      <c r="D11" s="14" t="n">
        <f aca="false">D10/D4</f>
        <v>0.26</v>
      </c>
      <c r="E11" s="14" t="n">
        <f aca="false">E10/E4</f>
        <v>0.27</v>
      </c>
      <c r="F11" s="14" t="n">
        <f aca="false">F10/F4</f>
        <v>0.264072969124936</v>
      </c>
      <c r="G11" s="8" t="s">
        <v>29</v>
      </c>
      <c r="H11" s="8" t="s">
        <v>190</v>
      </c>
      <c r="I11" s="8" t="s">
        <v>190</v>
      </c>
    </row>
    <row r="12" customFormat="false" ht="17.15" hidden="false" customHeight="false" outlineLevel="0" collapsed="false">
      <c r="A12" s="4" t="s">
        <v>433</v>
      </c>
      <c r="B12" s="15" t="n">
        <v>11.015</v>
      </c>
      <c r="C12" s="13" t="n">
        <f aca="false">2.286+2.492</f>
        <v>4.778</v>
      </c>
      <c r="D12" s="13" t="n">
        <f aca="false">D10*q_nir</f>
        <v>2.683439018</v>
      </c>
      <c r="E12" s="13" t="n">
        <f aca="false">E10*q_nir</f>
        <v>3.20464544265</v>
      </c>
      <c r="F12" s="13" t="n">
        <f aca="false">SUM(C12:E12)</f>
        <v>10.66608446065</v>
      </c>
      <c r="G12" s="8" t="s">
        <v>434</v>
      </c>
      <c r="H12" s="8" t="s">
        <v>435</v>
      </c>
      <c r="I12" s="8" t="s">
        <v>436</v>
      </c>
    </row>
    <row r="13" customFormat="false" ht="17.15" hidden="false" customHeight="false" outlineLevel="0" collapsed="false">
      <c r="A13" s="4" t="s">
        <v>437</v>
      </c>
      <c r="B13" s="14" t="n">
        <f aca="false">B12/B10</f>
        <v>1.22373715907824</v>
      </c>
      <c r="C13" s="14" t="n">
        <f aca="false">C12/C10</f>
        <v>0.853169637518934</v>
      </c>
      <c r="D13" s="14" t="n">
        <f aca="false">D12/D10</f>
        <v>0.85</v>
      </c>
      <c r="E13" s="14" t="n">
        <f aca="false">E12/E10</f>
        <v>0.85</v>
      </c>
      <c r="F13" s="14" t="n">
        <f aca="false">F12/F10</f>
        <v>0.851416960133963</v>
      </c>
      <c r="G13" s="8" t="s">
        <v>29</v>
      </c>
      <c r="H13" s="8" t="s">
        <v>190</v>
      </c>
      <c r="I13" s="8" t="s">
        <v>438</v>
      </c>
    </row>
    <row r="14" customFormat="false" ht="17.15" hidden="false" customHeight="false" outlineLevel="0" collapsed="false">
      <c r="A14" s="4" t="s">
        <v>439</v>
      </c>
      <c r="B14" s="13" t="n">
        <f aca="false">11.015/9.01</f>
        <v>1.22253052164262</v>
      </c>
      <c r="C14" s="13" t="n">
        <f aca="false">4.778/3.91</f>
        <v>1.22199488491049</v>
      </c>
      <c r="D14" s="13" t="n">
        <f aca="false">q_sh</f>
        <v>1.28264705882353</v>
      </c>
      <c r="E14" s="13" t="n">
        <f aca="false">q_sh</f>
        <v>1.28264705882353</v>
      </c>
      <c r="F14" s="13" t="n">
        <f aca="false">q_sh</f>
        <v>1.28264705882353</v>
      </c>
      <c r="G14" s="8" t="s">
        <v>29</v>
      </c>
      <c r="H14" s="4" t="s">
        <v>440</v>
      </c>
      <c r="I14" s="8" t="s">
        <v>441</v>
      </c>
    </row>
    <row r="15" customFormat="false" ht="17.15" hidden="false" customHeight="false" outlineLevel="0" collapsed="false">
      <c r="A15" s="0" t="s">
        <v>442</v>
      </c>
      <c r="B15" s="16" t="n">
        <f aca="false">B12/B14</f>
        <v>9.01</v>
      </c>
      <c r="C15" s="16" t="n">
        <f aca="false">C12/C14</f>
        <v>3.91</v>
      </c>
      <c r="D15" s="16" t="n">
        <f aca="false">D12/D14</f>
        <v>2.09211021811511</v>
      </c>
      <c r="E15" s="16" t="n">
        <f aca="false">E12/E14</f>
        <v>2.49846239509516</v>
      </c>
      <c r="F15" s="16" t="n">
        <f aca="false">F12/F14</f>
        <v>8.31568153318276</v>
      </c>
      <c r="G15" s="8" t="s">
        <v>29</v>
      </c>
      <c r="H15" s="4" t="s">
        <v>443</v>
      </c>
      <c r="I15" s="8" t="s">
        <v>444</v>
      </c>
    </row>
    <row r="16" customFormat="false" ht="17.15" hidden="false" customHeight="false" outlineLevel="0" collapsed="false">
      <c r="A16" s="4" t="s">
        <v>445</v>
      </c>
      <c r="B16" s="17" t="n">
        <v>9.01</v>
      </c>
      <c r="C16" s="17" t="n">
        <v>3.91</v>
      </c>
      <c r="G16" s="8" t="s">
        <v>264</v>
      </c>
      <c r="H16" s="4" t="s">
        <v>446</v>
      </c>
      <c r="I16" s="8" t="s">
        <v>447</v>
      </c>
    </row>
    <row r="17" customFormat="false" ht="17.15" hidden="false" customHeight="false" outlineLevel="0" collapsed="false">
      <c r="A17" s="4" t="s">
        <v>448</v>
      </c>
      <c r="B17" s="15" t="n">
        <v>32.3554</v>
      </c>
      <c r="C17" s="13" t="n">
        <f aca="false">6.7858+7.0978</f>
        <v>13.8836</v>
      </c>
      <c r="F17" s="13" t="n">
        <f aca="false">capex_26</f>
        <v>42</v>
      </c>
      <c r="G17" s="8" t="s">
        <v>449</v>
      </c>
      <c r="H17" s="8" t="s">
        <v>450</v>
      </c>
      <c r="I17" s="4" t="s">
        <v>451</v>
      </c>
    </row>
    <row r="18" customFormat="false" ht="17.15" hidden="false" customHeight="false" outlineLevel="0" collapsed="false">
      <c r="A18" s="0" t="s">
        <v>452</v>
      </c>
      <c r="B18" s="13" t="n">
        <f aca="false">B4*ai_25</f>
        <v>9.60674</v>
      </c>
      <c r="F18" s="13" t="n">
        <f aca="false">F4*ai_26</f>
        <v>16.603774145</v>
      </c>
      <c r="G18" s="8" t="s">
        <v>453</v>
      </c>
      <c r="H18" s="8" t="s">
        <v>454</v>
      </c>
      <c r="I18" s="4" t="s">
        <v>455</v>
      </c>
    </row>
    <row r="19" customFormat="false" ht="17.15" hidden="false" customHeight="false" outlineLevel="0" collapsed="false">
      <c r="A19" s="4" t="s">
        <v>456</v>
      </c>
      <c r="B19" s="13" t="n">
        <f aca="false">B4-B18</f>
        <v>25.32686</v>
      </c>
      <c r="F19" s="13" t="n">
        <f aca="false">F4-F18</f>
        <v>30.835580555</v>
      </c>
      <c r="G19" s="8" t="s">
        <v>29</v>
      </c>
      <c r="H19" s="8" t="s">
        <v>190</v>
      </c>
      <c r="I19" s="4" t="s">
        <v>457</v>
      </c>
    </row>
    <row r="21" customFormat="false" ht="15" hidden="false" customHeight="false" outlineLevel="0" collapsed="false">
      <c r="A21" s="1" t="s">
        <v>458</v>
      </c>
    </row>
    <row r="22" customFormat="false" ht="17.15" hidden="false" customHeight="false" outlineLevel="0" collapsed="false">
      <c r="A22" s="0" t="s">
        <v>459</v>
      </c>
      <c r="B22" s="18" t="n">
        <f aca="false">B10-9.002</f>
        <v>-0.000884100000000387</v>
      </c>
    </row>
    <row r="23" customFormat="false" ht="17.15" hidden="false" customHeight="false" outlineLevel="0" collapsed="false">
      <c r="A23" s="0" t="s">
        <v>460</v>
      </c>
      <c r="B23" s="19" t="n">
        <f aca="false">B6-0.3584</f>
        <v>1.75664689582855E-005</v>
      </c>
    </row>
    <row r="24" customFormat="false" ht="17.15" hidden="false" customHeight="false" outlineLevel="0" collapsed="false">
      <c r="A24" s="0" t="s">
        <v>461</v>
      </c>
      <c r="B24" s="14" t="n">
        <f aca="false">F4/B4-1</f>
        <v>0.357986428538713</v>
      </c>
    </row>
    <row r="25" customFormat="false" ht="17.15" hidden="false" customHeight="false" outlineLevel="0" collapsed="false">
      <c r="A25" s="5" t="s">
        <v>462</v>
      </c>
      <c r="B25" s="12" t="s">
        <v>463</v>
      </c>
      <c r="C25" s="12" t="s">
        <v>464</v>
      </c>
      <c r="D25" s="12" t="s">
        <v>465</v>
      </c>
      <c r="E25" s="12" t="s">
        <v>466</v>
      </c>
      <c r="F25" s="12" t="s">
        <v>467</v>
      </c>
      <c r="G25" s="12" t="s">
        <v>468</v>
      </c>
      <c r="H25" s="5" t="s">
        <v>22</v>
      </c>
      <c r="I25" s="5" t="s">
        <v>469</v>
      </c>
    </row>
    <row r="26" customFormat="false" ht="17.15" hidden="false" customHeight="false" outlineLevel="0" collapsed="false">
      <c r="A26" s="4" t="s">
        <v>414</v>
      </c>
      <c r="B26" s="15" t="n">
        <v>7.3155</v>
      </c>
      <c r="C26" s="15" t="n">
        <v>8.3619</v>
      </c>
      <c r="D26" s="15" t="n">
        <v>9.2905</v>
      </c>
      <c r="E26" s="15" t="n">
        <v>9.9657</v>
      </c>
      <c r="F26" s="15" t="n">
        <v>10.1919</v>
      </c>
      <c r="G26" s="15" t="n">
        <v>11.1416</v>
      </c>
      <c r="H26" s="8" t="s">
        <v>264</v>
      </c>
      <c r="I26" s="4" t="s">
        <v>470</v>
      </c>
    </row>
    <row r="27" customFormat="false" ht="17.15" hidden="false" customHeight="false" outlineLevel="0" collapsed="false">
      <c r="A27" s="4" t="s">
        <v>421</v>
      </c>
      <c r="B27" s="20" t="n">
        <v>0.335</v>
      </c>
      <c r="C27" s="20" t="n">
        <v>0.355</v>
      </c>
      <c r="D27" s="20" t="n">
        <v>0.36</v>
      </c>
      <c r="E27" s="20" t="n">
        <v>0.377</v>
      </c>
      <c r="F27" s="20" t="n">
        <v>0.3974</v>
      </c>
      <c r="G27" s="20" t="n">
        <v>0.395</v>
      </c>
      <c r="H27" s="8" t="s">
        <v>264</v>
      </c>
      <c r="I27" s="4" t="s">
        <v>471</v>
      </c>
    </row>
    <row r="28" customFormat="false" ht="15" hidden="false" customHeight="false" outlineLevel="0" collapsed="false">
      <c r="A28" s="4" t="s">
        <v>472</v>
      </c>
      <c r="B28" s="15" t="n">
        <v>0.6851</v>
      </c>
      <c r="C28" s="15" t="n">
        <v>0.5833</v>
      </c>
      <c r="D28" s="15" t="n">
        <v>0.6369</v>
      </c>
      <c r="E28" s="15" t="n">
        <v>0.6841</v>
      </c>
      <c r="F28" s="15" t="n">
        <v>0.9713</v>
      </c>
      <c r="G28" s="15" t="n">
        <v>1.2573</v>
      </c>
      <c r="H28" s="8" t="s">
        <v>264</v>
      </c>
      <c r="I28" s="4" t="s">
        <v>473</v>
      </c>
    </row>
    <row r="29" customFormat="false" ht="15" hidden="false" customHeight="false" outlineLevel="0" collapsed="false">
      <c r="A29" s="4" t="s">
        <v>474</v>
      </c>
      <c r="B29" s="15" t="n">
        <v>0.2426</v>
      </c>
      <c r="C29" s="15" t="n">
        <v>0.2121</v>
      </c>
      <c r="D29" s="15" t="n">
        <v>0.2178</v>
      </c>
      <c r="E29" s="15" t="n">
        <v>0.2578</v>
      </c>
      <c r="F29" s="15" t="n">
        <v>0.3073</v>
      </c>
      <c r="G29" s="15" t="n">
        <v>0.315</v>
      </c>
      <c r="H29" s="8" t="s">
        <v>264</v>
      </c>
      <c r="I29" s="4" t="s">
        <v>473</v>
      </c>
    </row>
    <row r="30" customFormat="false" ht="15" hidden="false" customHeight="false" outlineLevel="0" collapsed="false">
      <c r="A30" s="0" t="s">
        <v>475</v>
      </c>
      <c r="B30" s="15" t="n">
        <v>3.1729</v>
      </c>
      <c r="C30" s="15" t="n">
        <v>3.9445</v>
      </c>
      <c r="D30" s="15" t="n">
        <v>4.396</v>
      </c>
      <c r="E30" s="15" t="n">
        <v>5.0021</v>
      </c>
      <c r="F30" s="15" t="n">
        <v>5.2584</v>
      </c>
      <c r="G30" s="15" t="n">
        <v>5.5696</v>
      </c>
      <c r="H30" s="8" t="s">
        <v>264</v>
      </c>
      <c r="I30" s="4" t="s">
        <v>476</v>
      </c>
    </row>
    <row r="31" customFormat="false" ht="17.15" hidden="false" customHeight="false" outlineLevel="0" collapsed="false">
      <c r="A31" s="4" t="s">
        <v>477</v>
      </c>
      <c r="B31" s="13" t="n">
        <f aca="false">B26*B27</f>
        <v>2.4506925</v>
      </c>
      <c r="C31" s="13" t="n">
        <f aca="false">C26*C27</f>
        <v>2.9684745</v>
      </c>
      <c r="D31" s="13" t="n">
        <f aca="false">D26*D27</f>
        <v>3.34458</v>
      </c>
      <c r="E31" s="13" t="n">
        <f aca="false">E26*E27</f>
        <v>3.7570689</v>
      </c>
      <c r="F31" s="13" t="n">
        <f aca="false">F26*F27</f>
        <v>4.05026106</v>
      </c>
      <c r="G31" s="13" t="n">
        <f aca="false">G26*G27</f>
        <v>4.400932</v>
      </c>
      <c r="H31" s="8" t="s">
        <v>29</v>
      </c>
    </row>
    <row r="32" customFormat="false" ht="15" hidden="false" customHeight="false" outlineLevel="0" collapsed="false">
      <c r="A32" s="4" t="s">
        <v>428</v>
      </c>
      <c r="B32" s="13" t="n">
        <f aca="false">B28+B29</f>
        <v>0.9277</v>
      </c>
      <c r="C32" s="13" t="n">
        <f aca="false">C28+C29</f>
        <v>0.7954</v>
      </c>
      <c r="D32" s="13" t="n">
        <f aca="false">D28+D29</f>
        <v>0.8547</v>
      </c>
      <c r="E32" s="13" t="n">
        <f aca="false">E28+E29</f>
        <v>0.9419</v>
      </c>
      <c r="F32" s="13" t="n">
        <f aca="false">F28+F29</f>
        <v>1.2786</v>
      </c>
      <c r="G32" s="13" t="n">
        <f aca="false">G28+G29</f>
        <v>1.5723</v>
      </c>
      <c r="H32" s="8" t="s">
        <v>29</v>
      </c>
    </row>
    <row r="33" customFormat="false" ht="15" hidden="false" customHeight="false" outlineLevel="0" collapsed="false">
      <c r="A33" s="4" t="s">
        <v>478</v>
      </c>
      <c r="B33" s="13" t="n">
        <f aca="false">B31-B32</f>
        <v>1.5229925</v>
      </c>
      <c r="C33" s="13" t="n">
        <f aca="false">C31-C32</f>
        <v>2.1730745</v>
      </c>
      <c r="D33" s="13" t="n">
        <f aca="false">D31-D32</f>
        <v>2.48988</v>
      </c>
      <c r="E33" s="13" t="n">
        <f aca="false">E31-E32</f>
        <v>2.8151689</v>
      </c>
      <c r="F33" s="13" t="n">
        <f aca="false">F31-F32</f>
        <v>2.77166106</v>
      </c>
      <c r="G33" s="13" t="n">
        <f aca="false">G31-G32</f>
        <v>2.828632</v>
      </c>
      <c r="H33" s="8" t="s">
        <v>29</v>
      </c>
    </row>
    <row r="34" customFormat="false" ht="15" hidden="false" customHeight="false" outlineLevel="0" collapsed="false">
      <c r="A34" s="4" t="s">
        <v>432</v>
      </c>
      <c r="B34" s="14" t="n">
        <f aca="false">B33/B26</f>
        <v>0.208187068553072</v>
      </c>
      <c r="C34" s="14" t="n">
        <f aca="false">C33/C26</f>
        <v>0.259878077948792</v>
      </c>
      <c r="D34" s="14" t="n">
        <f aca="false">D33/D26</f>
        <v>0.268002798557666</v>
      </c>
      <c r="E34" s="14" t="n">
        <f aca="false">E33/E26</f>
        <v>0.282485816350081</v>
      </c>
      <c r="F34" s="14" t="n">
        <f aca="false">F33/F26</f>
        <v>0.271947434727578</v>
      </c>
      <c r="G34" s="14" t="n">
        <f aca="false">G33/G26</f>
        <v>0.253880232641631</v>
      </c>
      <c r="H34" s="8" t="s">
        <v>29</v>
      </c>
    </row>
    <row r="35" customFormat="false" ht="17.15" hidden="false" customHeight="false" outlineLevel="0" collapsed="false">
      <c r="A35" s="4" t="s">
        <v>423</v>
      </c>
      <c r="B35" s="13" t="n">
        <f aca="false">B30-B33</f>
        <v>1.6499075</v>
      </c>
      <c r="C35" s="13" t="n">
        <f aca="false">C30-C33</f>
        <v>1.7714255</v>
      </c>
      <c r="D35" s="13" t="n">
        <f aca="false">D30-D33</f>
        <v>1.90612</v>
      </c>
      <c r="E35" s="13" t="n">
        <f aca="false">E30-E33</f>
        <v>2.1869311</v>
      </c>
      <c r="F35" s="13" t="n">
        <f aca="false">F30-F33</f>
        <v>2.48673894</v>
      </c>
      <c r="G35" s="13" t="n">
        <f aca="false">G30-G33</f>
        <v>2.740968</v>
      </c>
      <c r="H35" s="8" t="s">
        <v>29</v>
      </c>
    </row>
    <row r="36" customFormat="false" ht="15" hidden="false" customHeight="false" outlineLevel="0" collapsed="false">
      <c r="A36" s="4" t="s">
        <v>426</v>
      </c>
      <c r="B36" s="13" t="n">
        <f aca="false">B26-B31-B35</f>
        <v>3.2149</v>
      </c>
      <c r="C36" s="13" t="n">
        <f aca="false">C26-C31-C35</f>
        <v>3.622</v>
      </c>
      <c r="D36" s="13" t="n">
        <f aca="false">D26-D31-D35</f>
        <v>4.0398</v>
      </c>
      <c r="E36" s="13" t="n">
        <f aca="false">E26-E31-E35</f>
        <v>4.0217</v>
      </c>
      <c r="F36" s="13" t="n">
        <f aca="false">F26-F31-F35</f>
        <v>3.6549</v>
      </c>
      <c r="G36" s="13" t="n">
        <f aca="false">G26-G31-G35</f>
        <v>3.9997</v>
      </c>
      <c r="H36" s="8" t="s">
        <v>29</v>
      </c>
    </row>
    <row r="37" customFormat="false" ht="17.15" hidden="false" customHeight="false" outlineLevel="0" collapsed="false">
      <c r="A37" s="0" t="s">
        <v>479</v>
      </c>
      <c r="B37" s="17" t="n">
        <v>3.51</v>
      </c>
      <c r="C37" s="17" t="n">
        <v>1.78</v>
      </c>
      <c r="D37" s="17" t="n">
        <v>1.88</v>
      </c>
      <c r="E37" s="17" t="n">
        <v>1.84</v>
      </c>
      <c r="F37" s="17" t="n">
        <v>1.87</v>
      </c>
      <c r="G37" s="17" t="n">
        <v>2.04</v>
      </c>
      <c r="H37" s="8" t="s">
        <v>264</v>
      </c>
      <c r="I37" s="4" t="s">
        <v>480</v>
      </c>
    </row>
    <row r="38" customFormat="false" ht="17.15" hidden="false" customHeight="false" outlineLevel="0" collapsed="false">
      <c r="A38" s="4" t="s">
        <v>481</v>
      </c>
      <c r="B38" s="16" t="n">
        <f aca="false">(G36-C36)/(G26-C26)</f>
        <v>0.135877972443069</v>
      </c>
      <c r="H38" s="8" t="s">
        <v>29</v>
      </c>
      <c r="I38" s="4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483</v>
      </c>
    </row>
    <row r="3" customFormat="false" ht="15" hidden="false" customHeight="false" outlineLevel="0" collapsed="false">
      <c r="A3" s="5" t="s">
        <v>17</v>
      </c>
      <c r="B3" s="5" t="s">
        <v>18</v>
      </c>
      <c r="C3" s="12" t="s">
        <v>484</v>
      </c>
      <c r="D3" s="12" t="s">
        <v>485</v>
      </c>
      <c r="E3" s="12" t="s">
        <v>486</v>
      </c>
      <c r="F3" s="12" t="s">
        <v>487</v>
      </c>
      <c r="G3" s="5" t="s">
        <v>488</v>
      </c>
    </row>
    <row r="4" customFormat="false" ht="17.15" hidden="false" customHeight="false" outlineLevel="0" collapsed="false">
      <c r="A4" s="4" t="s">
        <v>489</v>
      </c>
      <c r="B4" s="4" t="s">
        <v>28</v>
      </c>
      <c r="C4" s="16" t="n">
        <f aca="false">PL!D71</f>
        <v>15.2</v>
      </c>
      <c r="D4" s="16" t="n">
        <f aca="false">PL!E71</f>
        <v>23.7</v>
      </c>
      <c r="E4" s="16" t="n">
        <f aca="false">PL!F71</f>
        <v>26.5</v>
      </c>
      <c r="F4" s="16" t="n">
        <f aca="false">PL!G71</f>
        <v>30.15</v>
      </c>
      <c r="G4" s="4" t="s">
        <v>490</v>
      </c>
    </row>
    <row r="5" customFormat="false" ht="17.15" hidden="false" customHeight="false" outlineLevel="0" collapsed="false">
      <c r="A5" s="0" t="s">
        <v>491</v>
      </c>
      <c r="B5" s="4" t="s">
        <v>28</v>
      </c>
      <c r="C5" s="16" t="n">
        <f aca="false">PL!D63</f>
        <v>5.4</v>
      </c>
      <c r="D5" s="16" t="n">
        <f aca="false">PL!E63</f>
        <v>2.4</v>
      </c>
      <c r="E5" s="16" t="n">
        <f aca="false">PL!F63</f>
        <v>0.5</v>
      </c>
      <c r="F5" s="16" t="n">
        <f aca="false">PL!G63</f>
        <v>0.25</v>
      </c>
      <c r="G5" s="4" t="s">
        <v>492</v>
      </c>
    </row>
    <row r="6" customFormat="false" ht="17.15" hidden="false" customHeight="false" outlineLevel="0" collapsed="false">
      <c r="A6" s="0" t="s">
        <v>493</v>
      </c>
      <c r="B6" s="4" t="s">
        <v>28</v>
      </c>
      <c r="C6" s="16" t="n">
        <f aca="false">PL!D64</f>
        <v>2.55</v>
      </c>
      <c r="D6" s="16" t="n">
        <f aca="false">PL!E64</f>
        <v>10.5</v>
      </c>
      <c r="E6" s="16" t="n">
        <f aca="false">PL!F64</f>
        <v>10.5</v>
      </c>
      <c r="F6" s="16" t="n">
        <f aca="false">PL!G64</f>
        <v>12.075</v>
      </c>
      <c r="G6" s="4" t="s">
        <v>492</v>
      </c>
    </row>
    <row r="7" customFormat="false" ht="17.15" hidden="false" customHeight="false" outlineLevel="0" collapsed="false">
      <c r="A7" s="0" t="s">
        <v>494</v>
      </c>
      <c r="B7" s="4" t="s">
        <v>28</v>
      </c>
      <c r="C7" s="16" t="n">
        <f aca="false">PL!D65</f>
        <v>0</v>
      </c>
      <c r="D7" s="16" t="n">
        <f aca="false">PL!E65</f>
        <v>0.6</v>
      </c>
      <c r="E7" s="16" t="n">
        <f aca="false">PL!F65</f>
        <v>4</v>
      </c>
      <c r="F7" s="16" t="n">
        <f aca="false">PL!G65</f>
        <v>4.6</v>
      </c>
      <c r="G7" s="4" t="s">
        <v>492</v>
      </c>
    </row>
    <row r="8" customFormat="false" ht="17.15" hidden="false" customHeight="false" outlineLevel="0" collapsed="false">
      <c r="A8" s="0" t="s">
        <v>495</v>
      </c>
      <c r="B8" s="4" t="s">
        <v>28</v>
      </c>
      <c r="C8" s="16" t="n">
        <f aca="false">PL!D66</f>
        <v>0.3</v>
      </c>
      <c r="D8" s="16" t="n">
        <f aca="false">PL!E66</f>
        <v>0</v>
      </c>
      <c r="E8" s="16" t="n">
        <f aca="false">PL!F66</f>
        <v>0</v>
      </c>
      <c r="F8" s="16" t="n">
        <f aca="false">PL!G66</f>
        <v>0</v>
      </c>
      <c r="G8" s="4" t="s">
        <v>492</v>
      </c>
    </row>
    <row r="9" customFormat="false" ht="17.15" hidden="false" customHeight="false" outlineLevel="0" collapsed="false">
      <c r="A9" s="0" t="s">
        <v>496</v>
      </c>
      <c r="B9" s="4" t="s">
        <v>28</v>
      </c>
      <c r="C9" s="16" t="n">
        <f aca="false">PL!D67</f>
        <v>0.165</v>
      </c>
      <c r="D9" s="16" t="n">
        <f aca="false">PL!E67</f>
        <v>0.33</v>
      </c>
      <c r="E9" s="16" t="n">
        <f aca="false">PL!F67</f>
        <v>0.44</v>
      </c>
      <c r="F9" s="16" t="n">
        <f aca="false">PL!G67</f>
        <v>0.506</v>
      </c>
      <c r="G9" s="4" t="s">
        <v>497</v>
      </c>
    </row>
    <row r="10" customFormat="false" ht="17.15" hidden="false" customHeight="false" outlineLevel="0" collapsed="false">
      <c r="A10" s="0" t="s">
        <v>498</v>
      </c>
      <c r="B10" s="4" t="s">
        <v>28</v>
      </c>
      <c r="C10" s="16" t="n">
        <f aca="false">PL!D68</f>
        <v>1.7325</v>
      </c>
      <c r="D10" s="16" t="n">
        <f aca="false">PL!E68</f>
        <v>2.475</v>
      </c>
      <c r="E10" s="16" t="n">
        <f aca="false">PL!F68</f>
        <v>3.15</v>
      </c>
      <c r="F10" s="16" t="n">
        <f aca="false">PL!G68</f>
        <v>3.6225</v>
      </c>
      <c r="G10" s="4" t="s">
        <v>497</v>
      </c>
    </row>
    <row r="11" customFormat="false" ht="17.15" hidden="false" customHeight="false" outlineLevel="0" collapsed="false">
      <c r="A11" s="0" t="s">
        <v>499</v>
      </c>
      <c r="B11" s="4" t="s">
        <v>28</v>
      </c>
      <c r="C11" s="16" t="n">
        <f aca="false">PL!D69</f>
        <v>0.64</v>
      </c>
      <c r="D11" s="16" t="n">
        <f aca="false">PL!E69</f>
        <v>0.8</v>
      </c>
      <c r="E11" s="16" t="n">
        <f aca="false">PL!F69</f>
        <v>0.96</v>
      </c>
      <c r="F11" s="16" t="n">
        <f aca="false">PL!G69</f>
        <v>1.104</v>
      </c>
      <c r="G11" s="4" t="s">
        <v>497</v>
      </c>
    </row>
    <row r="12" customFormat="false" ht="17.15" hidden="false" customHeight="false" outlineLevel="0" collapsed="false">
      <c r="A12" s="4" t="s">
        <v>500</v>
      </c>
      <c r="B12" s="4" t="s">
        <v>28</v>
      </c>
      <c r="C12" s="16" t="n">
        <f aca="false">PL!D70</f>
        <v>0.28</v>
      </c>
      <c r="D12" s="16" t="n">
        <f aca="false">PL!E70</f>
        <v>1.26</v>
      </c>
      <c r="E12" s="16" t="n">
        <f aca="false">PL!F70</f>
        <v>1.4</v>
      </c>
      <c r="F12" s="16" t="n">
        <f aca="false">PL!G70</f>
        <v>1.61</v>
      </c>
      <c r="G12" s="4" t="s">
        <v>497</v>
      </c>
    </row>
    <row r="13" customFormat="false" ht="17.15" hidden="false" customHeight="false" outlineLevel="0" collapsed="false">
      <c r="A13" s="4" t="s">
        <v>501</v>
      </c>
      <c r="B13" s="4" t="s">
        <v>28</v>
      </c>
      <c r="C13" s="16" t="n">
        <f aca="false">PL!D74</f>
        <v>11.0675</v>
      </c>
      <c r="D13" s="16" t="n">
        <f aca="false">PL!E74</f>
        <v>18.365</v>
      </c>
      <c r="E13" s="16" t="n">
        <f aca="false">PL!F74</f>
        <v>20.95</v>
      </c>
      <c r="F13" s="16" t="n">
        <f aca="false">PL!G74</f>
        <v>23.7675</v>
      </c>
    </row>
    <row r="14" customFormat="false" ht="17.15" hidden="false" customHeight="false" outlineLevel="0" collapsed="false">
      <c r="A14" s="0" t="s">
        <v>502</v>
      </c>
      <c r="B14" s="0" t="s">
        <v>41</v>
      </c>
      <c r="C14" s="14" t="n">
        <f aca="false">PL!D84</f>
        <v>0.745425796250282</v>
      </c>
      <c r="D14" s="14" t="n">
        <f aca="false">PL!E84</f>
        <v>0.735093928668663</v>
      </c>
      <c r="E14" s="14" t="n">
        <f aca="false">PL!F84</f>
        <v>0.715990453460621</v>
      </c>
      <c r="F14" s="14" t="n">
        <f aca="false">PL!G84</f>
        <v>0.71210686862312</v>
      </c>
      <c r="G14" s="4" t="s">
        <v>503</v>
      </c>
    </row>
    <row r="15" customFormat="false" ht="17.15" hidden="false" customHeight="false" outlineLevel="0" collapsed="false">
      <c r="A15" s="4" t="s">
        <v>504</v>
      </c>
      <c r="B15" s="0" t="s">
        <v>505</v>
      </c>
      <c r="C15" s="21" t="n">
        <f aca="false">PL!D79/fx</f>
        <v>0.51886794203125</v>
      </c>
      <c r="D15" s="21" t="n">
        <f aca="false">PL!E79/fx</f>
        <v>0.80158193650608</v>
      </c>
      <c r="E15" s="21" t="n">
        <f aca="false">PL!F79/fx</f>
        <v>0.86746187360487</v>
      </c>
      <c r="F15" s="21" t="n">
        <f aca="false">PL!G79/fx</f>
        <v>0.952701667897421</v>
      </c>
    </row>
    <row r="16" customFormat="false" ht="17.15" hidden="false" customHeight="false" outlineLevel="0" collapsed="false">
      <c r="A16" s="4" t="s">
        <v>506</v>
      </c>
      <c r="B16" s="0" t="s">
        <v>507</v>
      </c>
      <c r="C16" s="22" t="n">
        <f aca="false">PL!D85</f>
        <v>46.8821271318048</v>
      </c>
      <c r="D16" s="22" t="n">
        <f aca="false">PL!E85</f>
        <v>43.6472603597103</v>
      </c>
      <c r="E16" s="22" t="n">
        <f aca="false">PL!F85</f>
        <v>41.40629468281</v>
      </c>
      <c r="F16" s="22" t="n">
        <f aca="false">PL!G85</f>
        <v>40.0842186976931</v>
      </c>
      <c r="G16" s="8" t="s">
        <v>508</v>
      </c>
    </row>
    <row r="17" customFormat="false" ht="17.15" hidden="false" customHeight="false" outlineLevel="0" collapsed="false">
      <c r="A17" s="4" t="s">
        <v>509</v>
      </c>
      <c r="B17" s="0" t="s">
        <v>507</v>
      </c>
      <c r="C17" s="22" t="n">
        <f aca="false">PL!D79/fx/PL!D71*1000</f>
        <v>34.1360488178454</v>
      </c>
      <c r="D17" s="22" t="n">
        <f aca="false">PL!E79/fx/PL!E71*1000</f>
        <v>33.8220226373873</v>
      </c>
      <c r="E17" s="22" t="n">
        <f aca="false">PL!F79/fx/PL!F71*1000</f>
        <v>32.7344103247121</v>
      </c>
      <c r="F17" s="22" t="n">
        <f aca="false">PL!G79/fx/PL!G71*1000</f>
        <v>31.5987286201466</v>
      </c>
      <c r="G17" s="4" t="s">
        <v>510</v>
      </c>
    </row>
    <row r="18" customFormat="false" ht="15" hidden="false" customHeight="false" outlineLevel="0" collapsed="false">
      <c r="A18" s="4" t="s">
        <v>511</v>
      </c>
      <c r="B18" s="0" t="s">
        <v>239</v>
      </c>
      <c r="C18" s="22" t="n">
        <f aca="false">PL!D88</f>
        <v>42</v>
      </c>
      <c r="D18" s="22" t="n">
        <f aca="false">PL!E88</f>
        <v>51.5620930483496</v>
      </c>
      <c r="E18" s="22" t="n">
        <f aca="false">PL!F88</f>
        <v>22.6407121255758</v>
      </c>
      <c r="F18" s="22" t="n">
        <f aca="false">PL!G88</f>
        <v>23.2757233031325</v>
      </c>
    </row>
    <row r="19" customFormat="false" ht="17.15" hidden="false" customHeight="false" outlineLevel="0" collapsed="false">
      <c r="A19" s="4" t="s">
        <v>512</v>
      </c>
      <c r="B19" s="0" t="s">
        <v>513</v>
      </c>
      <c r="C19" s="23" t="str">
        <f aca="false">"—"</f>
        <v>—</v>
      </c>
      <c r="D19" s="23" t="n">
        <f aca="false">IFERROR(PL!E88/(PL!E74-PL!D74)*1000,"—")</f>
        <v>7065.7201847687</v>
      </c>
      <c r="E19" s="23" t="n">
        <f aca="false">IFERROR(PL!F88/(PL!F74-PL!E74)*1000,"—")</f>
        <v>8758.49598668311</v>
      </c>
      <c r="F19" s="23" t="n">
        <f aca="false">IFERROR(PL!G88/(PL!G74-PL!F74)*1000,"—")</f>
        <v>8261.12628327686</v>
      </c>
      <c r="G19" s="4" t="s">
        <v>514</v>
      </c>
    </row>
    <row r="20" customFormat="false" ht="17.15" hidden="false" customHeight="false" outlineLevel="0" collapsed="false">
      <c r="A20" s="4" t="s">
        <v>515</v>
      </c>
      <c r="B20" s="0" t="s">
        <v>41</v>
      </c>
      <c r="C20" s="14" t="n">
        <f aca="false">PL!D91</f>
        <v>0.238782905282647</v>
      </c>
      <c r="D20" s="14" t="n">
        <f aca="false">PL!E91</f>
        <v>0.264299204321142</v>
      </c>
      <c r="E20" s="14" t="n">
        <f aca="false">PL!F91</f>
        <v>0.296590859936071</v>
      </c>
      <c r="F20" s="14" t="n">
        <f aca="false">PL!G91</f>
        <v>0.299603641548454</v>
      </c>
      <c r="G20" s="4" t="s">
        <v>516</v>
      </c>
    </row>
    <row r="22" customFormat="false" ht="17.15" hidden="false" customHeight="false" outlineLevel="0" collapsed="false">
      <c r="A22" s="1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0" t="s">
        <v>518</v>
      </c>
    </row>
    <row r="3" customFormat="false" ht="17.15" hidden="false" customHeight="false" outlineLevel="0" collapsed="false">
      <c r="A3" s="5" t="s">
        <v>519</v>
      </c>
      <c r="B3" s="5" t="s">
        <v>18</v>
      </c>
      <c r="C3" s="12" t="s">
        <v>409</v>
      </c>
      <c r="D3" s="12" t="s">
        <v>520</v>
      </c>
      <c r="E3" s="12" t="s">
        <v>521</v>
      </c>
      <c r="F3" s="12" t="s">
        <v>522</v>
      </c>
      <c r="G3" s="12" t="s">
        <v>523</v>
      </c>
      <c r="H3" s="12" t="s">
        <v>524</v>
      </c>
      <c r="I3" s="12" t="s">
        <v>525</v>
      </c>
      <c r="J3" s="12" t="s">
        <v>526</v>
      </c>
      <c r="K3" s="5" t="s">
        <v>488</v>
      </c>
    </row>
    <row r="4" customFormat="false" ht="17.15" hidden="false" customHeight="false" outlineLevel="0" collapsed="false">
      <c r="A4" s="1" t="s">
        <v>527</v>
      </c>
    </row>
    <row r="5" customFormat="false" ht="15" hidden="false" customHeight="false" outlineLevel="0" collapsed="false">
      <c r="A5" s="4" t="s">
        <v>414</v>
      </c>
      <c r="B5" s="0" t="s">
        <v>239</v>
      </c>
      <c r="C5" s="22" t="n">
        <f aca="false">C81</f>
        <v>34.9336</v>
      </c>
      <c r="D5" s="22" t="n">
        <f aca="false">D81</f>
        <v>47.4393547</v>
      </c>
      <c r="E5" s="22" t="n">
        <f aca="false">E81</f>
        <v>60.1864721897945</v>
      </c>
      <c r="F5" s="22" t="n">
        <f aca="false">F81</f>
        <v>64.7121396924678</v>
      </c>
      <c r="G5" s="22" t="n">
        <f aca="false">G81</f>
        <v>69.2874810966851</v>
      </c>
      <c r="H5" s="24" t="n">
        <f aca="false">H216</f>
        <v>73.9391185160978</v>
      </c>
      <c r="I5" s="24" t="n">
        <f aca="false">I216</f>
        <v>78.6392553714728</v>
      </c>
      <c r="J5" s="24" t="n">
        <f aca="false">J216</f>
        <v>83.3576106937612</v>
      </c>
    </row>
    <row r="6" customFormat="false" ht="15" hidden="false" customHeight="false" outlineLevel="0" collapsed="false">
      <c r="A6" s="4" t="s">
        <v>528</v>
      </c>
      <c r="B6" s="0" t="s">
        <v>41</v>
      </c>
      <c r="D6" s="14" t="n">
        <f aca="false">D82</f>
        <v>0.357986428538713</v>
      </c>
      <c r="E6" s="14" t="n">
        <f aca="false">E82</f>
        <v>0.268703433476395</v>
      </c>
      <c r="F6" s="14" t="n">
        <f aca="false">F82</f>
        <v>0.0751940982419084</v>
      </c>
      <c r="G6" s="14" t="n">
        <f aca="false">G82</f>
        <v>0.070702984416227</v>
      </c>
      <c r="H6" s="25" t="n">
        <f aca="false">H215</f>
        <v>0.0671353229441514</v>
      </c>
      <c r="I6" s="25" t="n">
        <f aca="false">I215</f>
        <v>0.0635676614720757</v>
      </c>
      <c r="J6" s="25" t="n">
        <f aca="false">J215</f>
        <v>0.06</v>
      </c>
    </row>
    <row r="7" customFormat="false" ht="17.15" hidden="false" customHeight="false" outlineLevel="0" collapsed="false">
      <c r="A7" s="0" t="s">
        <v>529</v>
      </c>
      <c r="B7" s="0" t="s">
        <v>239</v>
      </c>
      <c r="C7" s="22" t="n">
        <f aca="false">C79</f>
        <v>9.60674</v>
      </c>
      <c r="D7" s="22" t="n">
        <f aca="false">D79</f>
        <v>16.603774145</v>
      </c>
      <c r="E7" s="22" t="n">
        <f aca="false">E79</f>
        <v>25.6506219681945</v>
      </c>
      <c r="F7" s="22" t="n">
        <f aca="false">F79</f>
        <v>27.7587799553558</v>
      </c>
      <c r="G7" s="22" t="n">
        <f aca="false">G79</f>
        <v>30.4864533727175</v>
      </c>
    </row>
    <row r="8" customFormat="false" ht="17.15" hidden="false" customHeight="false" outlineLevel="0" collapsed="false">
      <c r="A8" s="4" t="s">
        <v>530</v>
      </c>
      <c r="B8" s="0" t="s">
        <v>239</v>
      </c>
      <c r="C8" s="22" t="n">
        <f aca="false">C80</f>
        <v>25.32686</v>
      </c>
      <c r="D8" s="22" t="n">
        <f aca="false">D80</f>
        <v>30.835580555</v>
      </c>
      <c r="E8" s="22" t="n">
        <f aca="false">E80</f>
        <v>34.5358502216</v>
      </c>
      <c r="F8" s="22" t="n">
        <f aca="false">F80</f>
        <v>36.953359737112</v>
      </c>
      <c r="G8" s="22" t="n">
        <f aca="false">G80</f>
        <v>38.8010277239676</v>
      </c>
    </row>
    <row r="9" customFormat="false" ht="15" hidden="false" customHeight="false" outlineLevel="0" collapsed="false">
      <c r="A9" s="4" t="s">
        <v>531</v>
      </c>
      <c r="B9" s="0" t="s">
        <v>239</v>
      </c>
      <c r="C9" s="22" t="n">
        <f aca="false">C88</f>
        <v>32.3554</v>
      </c>
      <c r="D9" s="22" t="n">
        <f aca="false">D88</f>
        <v>42</v>
      </c>
      <c r="E9" s="22" t="n">
        <f aca="false">E88</f>
        <v>51.5620930483496</v>
      </c>
      <c r="F9" s="22" t="n">
        <f aca="false">F88</f>
        <v>22.6407121255758</v>
      </c>
      <c r="G9" s="22" t="n">
        <f aca="false">G88</f>
        <v>23.2757233031325</v>
      </c>
    </row>
    <row r="10" customFormat="false" ht="17.15" hidden="false" customHeight="false" outlineLevel="0" collapsed="false">
      <c r="A10" s="4" t="s">
        <v>532</v>
      </c>
      <c r="B10" s="0" t="s">
        <v>41</v>
      </c>
      <c r="C10" s="14" t="n">
        <f aca="false">C91</f>
        <v>0.215104773055168</v>
      </c>
      <c r="D10" s="14" t="n">
        <f aca="false">D91</f>
        <v>0.238782905282647</v>
      </c>
      <c r="E10" s="14" t="n">
        <f aca="false">E91</f>
        <v>0.264299204321142</v>
      </c>
      <c r="F10" s="14" t="n">
        <f aca="false">F91</f>
        <v>0.296590859936071</v>
      </c>
      <c r="G10" s="14" t="n">
        <f aca="false">G91</f>
        <v>0.299603641548454</v>
      </c>
    </row>
    <row r="11" customFormat="false" ht="15" hidden="false" customHeight="false" outlineLevel="0" collapsed="false">
      <c r="A11" s="4" t="s">
        <v>421</v>
      </c>
      <c r="B11" s="0" t="s">
        <v>41</v>
      </c>
      <c r="C11" s="14" t="n">
        <f aca="false">C97</f>
        <v>0.358417566468958</v>
      </c>
      <c r="D11" s="14" t="n">
        <f aca="false">D97</f>
        <v>0.392956084760993</v>
      </c>
      <c r="E11" s="14" t="n">
        <f aca="false">E97</f>
        <v>0.401336878747572</v>
      </c>
      <c r="F11" s="14" t="n">
        <f aca="false">F97</f>
        <v>0.37648524388575</v>
      </c>
      <c r="G11" s="14" t="n">
        <f aca="false">G97</f>
        <v>0.380560803202886</v>
      </c>
    </row>
    <row r="12" customFormat="false" ht="15" hidden="false" customHeight="false" outlineLevel="0" collapsed="false">
      <c r="A12" s="4" t="s">
        <v>432</v>
      </c>
      <c r="B12" s="0" t="s">
        <v>41</v>
      </c>
      <c r="C12" s="14" t="n">
        <f aca="false">C101</f>
        <v>0.25766356459111</v>
      </c>
      <c r="D12" s="14" t="n">
        <f aca="false">D101</f>
        <v>0.264072969124936</v>
      </c>
      <c r="E12" s="14" t="n">
        <f aca="false">E101</f>
        <v>0.283372417471471</v>
      </c>
      <c r="F12" s="14" t="n">
        <f aca="false">F101</f>
        <v>0.261820737959015</v>
      </c>
      <c r="G12" s="14" t="n">
        <f aca="false">G101</f>
        <v>0.268925007532358</v>
      </c>
    </row>
    <row r="13" customFormat="false" ht="15" hidden="false" customHeight="false" outlineLevel="0" collapsed="false">
      <c r="A13" s="4" t="s">
        <v>533</v>
      </c>
      <c r="B13" s="0" t="s">
        <v>41</v>
      </c>
      <c r="C13" s="14" t="n">
        <f aca="false">C104/C81</f>
        <v>0.315312478530698</v>
      </c>
      <c r="D13" s="14" t="n">
        <f aca="false">D104/D81</f>
        <v>0.224836204625903</v>
      </c>
      <c r="E13" s="14" t="n">
        <f aca="false">E104/E81</f>
        <v>0.238032830676036</v>
      </c>
      <c r="F13" s="14" t="n">
        <f aca="false">F104/F81</f>
        <v>0.219929419885572</v>
      </c>
      <c r="G13" s="14" t="n">
        <f aca="false">G104/G81</f>
        <v>0.225897006327181</v>
      </c>
      <c r="H13" s="25" t="n">
        <f aca="false">H217</f>
        <v>0.225897006327181</v>
      </c>
      <c r="I13" s="25" t="n">
        <f aca="false">I217</f>
        <v>0.225897006327181</v>
      </c>
      <c r="J13" s="25" t="n">
        <f aca="false">J217</f>
        <v>0.225897006327181</v>
      </c>
    </row>
    <row r="14" customFormat="false" ht="15" hidden="false" customHeight="false" outlineLevel="0" collapsed="false">
      <c r="A14" s="4" t="s">
        <v>433</v>
      </c>
      <c r="B14" s="0" t="s">
        <v>239</v>
      </c>
      <c r="C14" s="22" t="n">
        <f aca="false">C104</f>
        <v>11.015</v>
      </c>
      <c r="D14" s="22" t="n">
        <f aca="false">D104</f>
        <v>10.66608446065</v>
      </c>
      <c r="E14" s="22" t="n">
        <f aca="false">E104</f>
        <v>14.3263563437413</v>
      </c>
      <c r="F14" s="22" t="n">
        <f aca="false">F104</f>
        <v>14.2321033421186</v>
      </c>
      <c r="G14" s="22" t="n">
        <f aca="false">G104</f>
        <v>15.6518345556923</v>
      </c>
      <c r="H14" s="24" t="n">
        <f aca="false">H218</f>
        <v>16.7026255232571</v>
      </c>
      <c r="I14" s="24" t="n">
        <f aca="false">I218</f>
        <v>17.7643723682144</v>
      </c>
      <c r="J14" s="24" t="n">
        <f aca="false">J218</f>
        <v>18.8302347103072</v>
      </c>
    </row>
    <row r="15" customFormat="false" ht="15" hidden="false" customHeight="false" outlineLevel="0" collapsed="false">
      <c r="A15" s="0" t="s">
        <v>442</v>
      </c>
      <c r="B15" s="0" t="s">
        <v>315</v>
      </c>
      <c r="C15" s="16" t="n">
        <f aca="false">C107</f>
        <v>9.01</v>
      </c>
      <c r="D15" s="16" t="n">
        <f aca="false">D107</f>
        <v>8.31568153318276</v>
      </c>
      <c r="E15" s="16" t="n">
        <f aca="false">E107</f>
        <v>11.1693674773493</v>
      </c>
      <c r="F15" s="16" t="n">
        <f aca="false">F107</f>
        <v>11.0958842841557</v>
      </c>
      <c r="G15" s="16" t="n">
        <f aca="false">G107</f>
        <v>12.2027602589667</v>
      </c>
      <c r="H15" s="26" t="n">
        <f aca="false">H220</f>
        <v>13.0219965097625</v>
      </c>
      <c r="I15" s="26" t="n">
        <f aca="false">I220</f>
        <v>13.8497743755856</v>
      </c>
      <c r="J15" s="26" t="n">
        <f aca="false">J220</f>
        <v>14.6807608381207</v>
      </c>
    </row>
    <row r="16" customFormat="false" ht="17.15" hidden="false" customHeight="false" outlineLevel="0" collapsed="false">
      <c r="A16" s="0" t="s">
        <v>534</v>
      </c>
      <c r="B16" s="0" t="s">
        <v>41</v>
      </c>
      <c r="D16" s="14" t="n">
        <f aca="false">D108</f>
        <v>-0.0770608731206708</v>
      </c>
      <c r="E16" s="14" t="n">
        <f aca="false">E108</f>
        <v>0.343169219838358</v>
      </c>
      <c r="F16" s="14" t="n">
        <f aca="false">F108</f>
        <v>-0.00657899324582345</v>
      </c>
      <c r="G16" s="14" t="n">
        <f aca="false">G108</f>
        <v>0.0997555441697893</v>
      </c>
      <c r="H16" s="25" t="n">
        <f aca="false">H15/G15-1</f>
        <v>0.0671353229441511</v>
      </c>
      <c r="I16" s="25" t="n">
        <f aca="false">I15/H15-1</f>
        <v>0.0635676614720757</v>
      </c>
      <c r="J16" s="25" t="n">
        <f aca="false">J15/I15-1</f>
        <v>0.0600000000000001</v>
      </c>
    </row>
    <row r="18" customFormat="false" ht="17.15" hidden="false" customHeight="false" outlineLevel="0" collapsed="false">
      <c r="A18" s="1" t="s">
        <v>535</v>
      </c>
    </row>
    <row r="19" customFormat="false" ht="15" hidden="false" customHeight="false" outlineLevel="0" collapsed="false">
      <c r="A19" s="4" t="s">
        <v>414</v>
      </c>
      <c r="B19" s="0" t="s">
        <v>239</v>
      </c>
      <c r="C19" s="22" t="n">
        <f aca="false">C132</f>
        <v>34.9336</v>
      </c>
      <c r="D19" s="22" t="n">
        <f aca="false">D132</f>
        <v>47.4393547</v>
      </c>
      <c r="E19" s="22" t="n">
        <f aca="false">E132</f>
        <v>60.1864721897945</v>
      </c>
      <c r="F19" s="22" t="n">
        <f aca="false">F132</f>
        <v>59.1603837013967</v>
      </c>
      <c r="G19" s="22" t="n">
        <f aca="false">G132</f>
        <v>64.7145130907775</v>
      </c>
      <c r="H19" s="24" t="n">
        <f aca="false">H225</f>
        <v>69.6277501852449</v>
      </c>
      <c r="I19" s="24" t="n">
        <f aca="false">I225</f>
        <v>73.6634344398381</v>
      </c>
      <c r="J19" s="24" t="n">
        <f aca="false">J225</f>
        <v>76.6099718174316</v>
      </c>
    </row>
    <row r="20" customFormat="false" ht="15" hidden="false" customHeight="false" outlineLevel="0" collapsed="false">
      <c r="A20" s="4" t="s">
        <v>528</v>
      </c>
      <c r="B20" s="0" t="s">
        <v>41</v>
      </c>
      <c r="D20" s="14" t="n">
        <f aca="false">D133</f>
        <v>0.357986428538713</v>
      </c>
      <c r="E20" s="14" t="n">
        <f aca="false">E133</f>
        <v>0.268703433476395</v>
      </c>
      <c r="F20" s="14" t="n">
        <f aca="false">F133</f>
        <v>-0.0170484903179265</v>
      </c>
      <c r="G20" s="14" t="n">
        <f aca="false">G133</f>
        <v>0.0938825788793805</v>
      </c>
      <c r="H20" s="25" t="n">
        <f aca="false">H224</f>
        <v>0.0759217192529203</v>
      </c>
      <c r="I20" s="25" t="n">
        <f aca="false">I224</f>
        <v>0.0579608596264602</v>
      </c>
      <c r="J20" s="25" t="n">
        <f aca="false">J224</f>
        <v>0.04</v>
      </c>
    </row>
    <row r="21" customFormat="false" ht="17.15" hidden="false" customHeight="false" outlineLevel="0" collapsed="false">
      <c r="A21" s="0" t="s">
        <v>529</v>
      </c>
      <c r="B21" s="0" t="s">
        <v>239</v>
      </c>
      <c r="C21" s="22" t="n">
        <f aca="false">C130</f>
        <v>9.60674</v>
      </c>
      <c r="D21" s="22" t="n">
        <f aca="false">D130</f>
        <v>16.603774145</v>
      </c>
      <c r="E21" s="22" t="n">
        <f aca="false">E130</f>
        <v>25.6506219681945</v>
      </c>
      <c r="F21" s="22" t="n">
        <f aca="false">F130</f>
        <v>22.2070239642847</v>
      </c>
      <c r="G21" s="22" t="n">
        <f aca="false">G130</f>
        <v>25.9134853668099</v>
      </c>
    </row>
    <row r="22" customFormat="false" ht="17.15" hidden="false" customHeight="false" outlineLevel="0" collapsed="false">
      <c r="A22" s="4" t="s">
        <v>530</v>
      </c>
      <c r="B22" s="0" t="s">
        <v>239</v>
      </c>
      <c r="C22" s="22" t="n">
        <f aca="false">C131</f>
        <v>25.32686</v>
      </c>
      <c r="D22" s="22" t="n">
        <f aca="false">D131</f>
        <v>30.835580555</v>
      </c>
      <c r="E22" s="22" t="n">
        <f aca="false">E131</f>
        <v>34.5358502216</v>
      </c>
      <c r="F22" s="22" t="n">
        <f aca="false">F131</f>
        <v>36.953359737112</v>
      </c>
      <c r="G22" s="22" t="n">
        <f aca="false">G131</f>
        <v>38.8010277239676</v>
      </c>
    </row>
    <row r="23" customFormat="false" ht="15" hidden="false" customHeight="false" outlineLevel="0" collapsed="false">
      <c r="A23" s="4" t="s">
        <v>531</v>
      </c>
      <c r="B23" s="0" t="s">
        <v>239</v>
      </c>
      <c r="C23" s="22" t="n">
        <f aca="false">C139</f>
        <v>32.3554</v>
      </c>
      <c r="D23" s="22" t="n">
        <f aca="false">D139</f>
        <v>42</v>
      </c>
      <c r="E23" s="22" t="n">
        <f aca="false">E139</f>
        <v>51.5620930483496</v>
      </c>
      <c r="F23" s="22" t="n">
        <f aca="false">F139</f>
        <v>5.91603837013967</v>
      </c>
      <c r="G23" s="22" t="n">
        <f aca="false">G139</f>
        <v>26.3154820224601</v>
      </c>
    </row>
    <row r="24" customFormat="false" ht="17.15" hidden="false" customHeight="false" outlineLevel="0" collapsed="false">
      <c r="A24" s="4" t="s">
        <v>532</v>
      </c>
      <c r="B24" s="0" t="s">
        <v>41</v>
      </c>
      <c r="C24" s="14" t="n">
        <f aca="false">C142</f>
        <v>0.215104773055168</v>
      </c>
      <c r="D24" s="14" t="n">
        <f aca="false">D142</f>
        <v>0.238782905282647</v>
      </c>
      <c r="E24" s="14" t="n">
        <f aca="false">E142</f>
        <v>0.264299204321142</v>
      </c>
      <c r="F24" s="14" t="n">
        <f aca="false">F142</f>
        <v>0.308875145154134</v>
      </c>
      <c r="G24" s="14" t="n">
        <f aca="false">G142</f>
        <v>0.295640748972978</v>
      </c>
    </row>
    <row r="25" customFormat="false" ht="15" hidden="false" customHeight="false" outlineLevel="0" collapsed="false">
      <c r="A25" s="4" t="s">
        <v>421</v>
      </c>
      <c r="B25" s="0" t="s">
        <v>41</v>
      </c>
      <c r="C25" s="14" t="n">
        <f aca="false">C148</f>
        <v>0.358417566468958</v>
      </c>
      <c r="D25" s="14" t="n">
        <f aca="false">D148</f>
        <v>0.392956084760993</v>
      </c>
      <c r="E25" s="14" t="n">
        <f aca="false">E148</f>
        <v>0.401336878747572</v>
      </c>
      <c r="F25" s="14" t="n">
        <f aca="false">F148</f>
        <v>0.353072128417337</v>
      </c>
      <c r="G25" s="14" t="n">
        <f aca="false">G148</f>
        <v>0.376799498671359</v>
      </c>
    </row>
    <row r="26" customFormat="false" ht="15" hidden="false" customHeight="false" outlineLevel="0" collapsed="false">
      <c r="A26" s="4" t="s">
        <v>432</v>
      </c>
      <c r="B26" s="0" t="s">
        <v>41</v>
      </c>
      <c r="C26" s="14" t="n">
        <f aca="false">C152</f>
        <v>0.25766356459111</v>
      </c>
      <c r="D26" s="14" t="n">
        <f aca="false">D152</f>
        <v>0.264072969124936</v>
      </c>
      <c r="E26" s="14" t="n">
        <f aca="false">E152</f>
        <v>0.283372417471471</v>
      </c>
      <c r="F26" s="14" t="n">
        <f aca="false">F152</f>
        <v>0.233061670002908</v>
      </c>
      <c r="G26" s="14" t="n">
        <f aca="false">G152</f>
        <v>0.260909003970031</v>
      </c>
    </row>
    <row r="27" customFormat="false" ht="15" hidden="false" customHeight="false" outlineLevel="0" collapsed="false">
      <c r="A27" s="4" t="s">
        <v>533</v>
      </c>
      <c r="B27" s="0" t="s">
        <v>41</v>
      </c>
      <c r="C27" s="14" t="n">
        <f aca="false">C155/C132</f>
        <v>0.315312478530698</v>
      </c>
      <c r="D27" s="14" t="n">
        <f aca="false">D155/D132</f>
        <v>0.224836204625903</v>
      </c>
      <c r="E27" s="14" t="n">
        <f aca="false">E155/E132</f>
        <v>0.238032830676036</v>
      </c>
      <c r="F27" s="14" t="n">
        <f aca="false">F155/F132</f>
        <v>0.195771802802442</v>
      </c>
      <c r="G27" s="14" t="n">
        <f aca="false">G155/G132</f>
        <v>0.219163563334826</v>
      </c>
      <c r="H27" s="25" t="n">
        <f aca="false">H226</f>
        <v>0.211858111223665</v>
      </c>
      <c r="I27" s="25" t="n">
        <f aca="false">I226</f>
        <v>0.204552659112504</v>
      </c>
      <c r="J27" s="25" t="n">
        <f aca="false">J226</f>
        <v>0.197247207001343</v>
      </c>
    </row>
    <row r="28" customFormat="false" ht="15" hidden="false" customHeight="false" outlineLevel="0" collapsed="false">
      <c r="A28" s="4" t="s">
        <v>433</v>
      </c>
      <c r="B28" s="0" t="s">
        <v>239</v>
      </c>
      <c r="C28" s="22" t="n">
        <f aca="false">C155</f>
        <v>11.015</v>
      </c>
      <c r="D28" s="22" t="n">
        <f aca="false">D155</f>
        <v>10.66608446065</v>
      </c>
      <c r="E28" s="22" t="n">
        <f aca="false">E155</f>
        <v>14.3263563437413</v>
      </c>
      <c r="F28" s="22" t="n">
        <f aca="false">F155</f>
        <v>11.5819349717067</v>
      </c>
      <c r="G28" s="22" t="n">
        <f aca="false">G155</f>
        <v>14.183063288453</v>
      </c>
      <c r="H28" s="24" t="n">
        <f aca="false">H227</f>
        <v>14.7512036429992</v>
      </c>
      <c r="I28" s="24" t="n">
        <f aca="false">I227</f>
        <v>15.0680513940285</v>
      </c>
      <c r="J28" s="24" t="n">
        <f aca="false">J227</f>
        <v>15.11110296944</v>
      </c>
    </row>
    <row r="29" customFormat="false" ht="15" hidden="false" customHeight="false" outlineLevel="0" collapsed="false">
      <c r="A29" s="0" t="s">
        <v>442</v>
      </c>
      <c r="B29" s="0" t="s">
        <v>315</v>
      </c>
      <c r="C29" s="16" t="n">
        <f aca="false">C158</f>
        <v>9.01</v>
      </c>
      <c r="D29" s="16" t="n">
        <f aca="false">D158</f>
        <v>8.31568153318276</v>
      </c>
      <c r="E29" s="16" t="n">
        <f aca="false">E158</f>
        <v>11.1693674773493</v>
      </c>
      <c r="F29" s="16" t="n">
        <f aca="false">F158</f>
        <v>9.02971311712971</v>
      </c>
      <c r="G29" s="16" t="n">
        <f aca="false">G158</f>
        <v>11.0576508096171</v>
      </c>
      <c r="H29" s="26" t="n">
        <f aca="false">H229</f>
        <v>11.500594447649</v>
      </c>
      <c r="I29" s="26" t="n">
        <f aca="false">I229</f>
        <v>11.7476208988069</v>
      </c>
      <c r="J29" s="26" t="n">
        <f aca="false">J229</f>
        <v>11.7811855299464</v>
      </c>
    </row>
    <row r="30" customFormat="false" ht="17.15" hidden="false" customHeight="false" outlineLevel="0" collapsed="false">
      <c r="A30" s="0" t="s">
        <v>534</v>
      </c>
      <c r="B30" s="0" t="s">
        <v>41</v>
      </c>
      <c r="D30" s="14" t="n">
        <f aca="false">D159</f>
        <v>-0.0770608731206708</v>
      </c>
      <c r="E30" s="14" t="n">
        <f aca="false">E159</f>
        <v>0.343169219838358</v>
      </c>
      <c r="F30" s="14" t="n">
        <f aca="false">F159</f>
        <v>-0.191564505739352</v>
      </c>
      <c r="G30" s="14" t="n">
        <f aca="false">G159</f>
        <v>0.224584952609442</v>
      </c>
      <c r="H30" s="25" t="n">
        <f aca="false">H29/G29-1</f>
        <v>0.0400576619444895</v>
      </c>
      <c r="I30" s="25" t="n">
        <f aca="false">I29/H29-1</f>
        <v>0.0214794506738236</v>
      </c>
      <c r="J30" s="25" t="n">
        <f aca="false">J29/I29-1</f>
        <v>0.00285714285714311</v>
      </c>
    </row>
    <row r="32" customFormat="false" ht="17.15" hidden="false" customHeight="false" outlineLevel="0" collapsed="false">
      <c r="A32" s="1" t="s">
        <v>536</v>
      </c>
    </row>
    <row r="33" customFormat="false" ht="15" hidden="false" customHeight="false" outlineLevel="0" collapsed="false">
      <c r="A33" s="4" t="s">
        <v>414</v>
      </c>
      <c r="B33" s="0" t="s">
        <v>239</v>
      </c>
      <c r="C33" s="22" t="n">
        <f aca="false">C183</f>
        <v>34.9336</v>
      </c>
      <c r="D33" s="22" t="n">
        <f aca="false">D183</f>
        <v>47.4393547</v>
      </c>
      <c r="E33" s="22" t="n">
        <f aca="false">E183</f>
        <v>60.1864721897945</v>
      </c>
      <c r="F33" s="22" t="n">
        <f aca="false">F183</f>
        <v>53.6086277103255</v>
      </c>
      <c r="G33" s="22" t="n">
        <f aca="false">G183</f>
        <v>57.0928997475981</v>
      </c>
      <c r="H33" s="24" t="n">
        <f aca="false">H234</f>
        <v>59.947339713647</v>
      </c>
      <c r="I33" s="24" t="n">
        <f aca="false">I234</f>
        <v>62.0453889677939</v>
      </c>
      <c r="J33" s="24" t="n">
        <f aca="false">J234</f>
        <v>63.2862967471498</v>
      </c>
    </row>
    <row r="34" customFormat="false" ht="15" hidden="false" customHeight="false" outlineLevel="0" collapsed="false">
      <c r="A34" s="4" t="s">
        <v>528</v>
      </c>
      <c r="B34" s="0" t="s">
        <v>41</v>
      </c>
      <c r="D34" s="14" t="n">
        <f aca="false">D184</f>
        <v>0.357986428538713</v>
      </c>
      <c r="E34" s="14" t="n">
        <f aca="false">E184</f>
        <v>0.268703433476395</v>
      </c>
      <c r="F34" s="14" t="n">
        <f aca="false">F184</f>
        <v>-0.109291078877762</v>
      </c>
      <c r="G34" s="14" t="n">
        <f aca="false">G184</f>
        <v>0.0649946134808723</v>
      </c>
      <c r="H34" s="25" t="n">
        <f aca="false">H233</f>
        <v>0.0499964089872482</v>
      </c>
      <c r="I34" s="25" t="n">
        <f aca="false">I233</f>
        <v>0.0349982044936241</v>
      </c>
      <c r="J34" s="25" t="n">
        <f aca="false">J233</f>
        <v>0.02</v>
      </c>
    </row>
    <row r="35" customFormat="false" ht="17.15" hidden="false" customHeight="false" outlineLevel="0" collapsed="false">
      <c r="A35" s="0" t="s">
        <v>529</v>
      </c>
      <c r="B35" s="0" t="s">
        <v>239</v>
      </c>
      <c r="C35" s="22" t="n">
        <f aca="false">C181</f>
        <v>9.60674</v>
      </c>
      <c r="D35" s="22" t="n">
        <f aca="false">D181</f>
        <v>16.603774145</v>
      </c>
      <c r="E35" s="22" t="n">
        <f aca="false">E181</f>
        <v>25.6506219681945</v>
      </c>
      <c r="F35" s="22" t="n">
        <f aca="false">F181</f>
        <v>16.6552679732135</v>
      </c>
      <c r="G35" s="22" t="n">
        <f aca="false">G181</f>
        <v>18.2918720236305</v>
      </c>
    </row>
    <row r="36" customFormat="false" ht="17.15" hidden="false" customHeight="false" outlineLevel="0" collapsed="false">
      <c r="A36" s="4" t="s">
        <v>530</v>
      </c>
      <c r="B36" s="0" t="s">
        <v>239</v>
      </c>
      <c r="C36" s="22" t="n">
        <f aca="false">C182</f>
        <v>25.32686</v>
      </c>
      <c r="D36" s="22" t="n">
        <f aca="false">D182</f>
        <v>30.835580555</v>
      </c>
      <c r="E36" s="22" t="n">
        <f aca="false">E182</f>
        <v>34.5358502216</v>
      </c>
      <c r="F36" s="22" t="n">
        <f aca="false">F182</f>
        <v>36.953359737112</v>
      </c>
      <c r="G36" s="22" t="n">
        <f aca="false">G182</f>
        <v>38.8010277239676</v>
      </c>
    </row>
    <row r="37" customFormat="false" ht="15" hidden="false" customHeight="false" outlineLevel="0" collapsed="false">
      <c r="A37" s="4" t="s">
        <v>531</v>
      </c>
      <c r="B37" s="0" t="s">
        <v>239</v>
      </c>
      <c r="C37" s="22" t="n">
        <f aca="false">C190</f>
        <v>32.3554</v>
      </c>
      <c r="D37" s="22" t="n">
        <f aca="false">D190</f>
        <v>42</v>
      </c>
      <c r="E37" s="22" t="n">
        <f aca="false">E190</f>
        <v>51.5620930483496</v>
      </c>
      <c r="F37" s="22" t="n">
        <f aca="false">F190</f>
        <v>5.36086277103255</v>
      </c>
      <c r="G37" s="22" t="n">
        <f aca="false">G190</f>
        <v>18.1580459316543</v>
      </c>
    </row>
    <row r="38" customFormat="false" ht="17.15" hidden="false" customHeight="false" outlineLevel="0" collapsed="false">
      <c r="A38" s="4" t="s">
        <v>532</v>
      </c>
      <c r="B38" s="0" t="s">
        <v>41</v>
      </c>
      <c r="C38" s="14" t="n">
        <f aca="false">C193</f>
        <v>0.215104773055168</v>
      </c>
      <c r="D38" s="14" t="n">
        <f aca="false">D193</f>
        <v>0.238782905282647</v>
      </c>
      <c r="E38" s="14" t="n">
        <f aca="false">E193</f>
        <v>0.264299204321142</v>
      </c>
      <c r="F38" s="14" t="n">
        <f aca="false">F193</f>
        <v>0.340292938363699</v>
      </c>
      <c r="G38" s="14" t="n">
        <f aca="false">G193</f>
        <v>0.326205984175186</v>
      </c>
    </row>
    <row r="39" customFormat="false" ht="15" hidden="false" customHeight="false" outlineLevel="0" collapsed="false">
      <c r="A39" s="4" t="s">
        <v>421</v>
      </c>
      <c r="B39" s="0" t="s">
        <v>41</v>
      </c>
      <c r="C39" s="14" t="n">
        <f aca="false">C199</f>
        <v>0.358417566468958</v>
      </c>
      <c r="D39" s="14" t="n">
        <f aca="false">D199</f>
        <v>0.392956084760993</v>
      </c>
      <c r="E39" s="14" t="n">
        <f aca="false">E199</f>
        <v>0.401336878747572</v>
      </c>
      <c r="F39" s="14" t="n">
        <f aca="false">F199</f>
        <v>0.308220482327489</v>
      </c>
      <c r="G39" s="14" t="n">
        <f aca="false">G199</f>
        <v>0.330610891637025</v>
      </c>
    </row>
    <row r="40" customFormat="false" ht="15" hidden="false" customHeight="false" outlineLevel="0" collapsed="false">
      <c r="A40" s="4" t="s">
        <v>432</v>
      </c>
      <c r="B40" s="0" t="s">
        <v>41</v>
      </c>
      <c r="C40" s="14" t="n">
        <f aca="false">C203</f>
        <v>0.25766356459111</v>
      </c>
      <c r="D40" s="14" t="n">
        <f aca="false">D203</f>
        <v>0.264072969124936</v>
      </c>
      <c r="E40" s="14" t="n">
        <f aca="false">E203</f>
        <v>0.283372417471471</v>
      </c>
      <c r="F40" s="14" t="n">
        <f aca="false">F203</f>
        <v>0.175781636730801</v>
      </c>
      <c r="G40" s="14" t="n">
        <f aca="false">G203</f>
        <v>0.20140504326697</v>
      </c>
    </row>
    <row r="41" customFormat="false" ht="15" hidden="false" customHeight="false" outlineLevel="0" collapsed="false">
      <c r="A41" s="4" t="s">
        <v>533</v>
      </c>
      <c r="B41" s="0" t="s">
        <v>41</v>
      </c>
      <c r="C41" s="14" t="n">
        <f aca="false">C206/C183</f>
        <v>0.315312478530698</v>
      </c>
      <c r="D41" s="14" t="n">
        <f aca="false">D206/D183</f>
        <v>0.224836204625903</v>
      </c>
      <c r="E41" s="14" t="n">
        <f aca="false">E206/E183</f>
        <v>0.238032830676036</v>
      </c>
      <c r="F41" s="14" t="n">
        <f aca="false">F206/F183</f>
        <v>0.147656574853873</v>
      </c>
      <c r="G41" s="14" t="n">
        <f aca="false">G206/G183</f>
        <v>0.169180236344255</v>
      </c>
      <c r="H41" s="25" t="n">
        <f aca="false">H235</f>
        <v>0.157901553921305</v>
      </c>
      <c r="I41" s="25" t="n">
        <f aca="false">I235</f>
        <v>0.146622871498354</v>
      </c>
      <c r="J41" s="25" t="n">
        <f aca="false">J235</f>
        <v>0.135344189075404</v>
      </c>
    </row>
    <row r="42" customFormat="false" ht="15" hidden="false" customHeight="false" outlineLevel="0" collapsed="false">
      <c r="A42" s="4" t="s">
        <v>433</v>
      </c>
      <c r="B42" s="0" t="s">
        <v>239</v>
      </c>
      <c r="C42" s="22" t="n">
        <f aca="false">C206</f>
        <v>11.015</v>
      </c>
      <c r="D42" s="22" t="n">
        <f aca="false">D206</f>
        <v>10.66608446065</v>
      </c>
      <c r="E42" s="22" t="n">
        <f aca="false">E206</f>
        <v>14.3263563437413</v>
      </c>
      <c r="F42" s="22" t="n">
        <f aca="false">F206</f>
        <v>7.91566635032308</v>
      </c>
      <c r="G42" s="22" t="n">
        <f aca="false">G206</f>
        <v>9.6589902728775</v>
      </c>
      <c r="H42" s="24" t="n">
        <f aca="false">H236</f>
        <v>9.46577809423319</v>
      </c>
      <c r="I42" s="24" t="n">
        <f aca="false">I236</f>
        <v>9.09727309369026</v>
      </c>
      <c r="J42" s="24" t="n">
        <f aca="false">J236</f>
        <v>8.56543251282837</v>
      </c>
    </row>
    <row r="43" customFormat="false" ht="15" hidden="false" customHeight="false" outlineLevel="0" collapsed="false">
      <c r="A43" s="0" t="s">
        <v>442</v>
      </c>
      <c r="B43" s="0" t="s">
        <v>315</v>
      </c>
      <c r="C43" s="16" t="n">
        <f aca="false">C209</f>
        <v>9.01</v>
      </c>
      <c r="D43" s="16" t="n">
        <f aca="false">D209</f>
        <v>8.31568153318276</v>
      </c>
      <c r="E43" s="16" t="n">
        <f aca="false">E209</f>
        <v>11.1693674773493</v>
      </c>
      <c r="F43" s="16" t="n">
        <f aca="false">F209</f>
        <v>6.17135188972677</v>
      </c>
      <c r="G43" s="16" t="n">
        <f aca="false">G209</f>
        <v>7.53051293918448</v>
      </c>
      <c r="H43" s="26" t="n">
        <f aca="false">H238</f>
        <v>7.379877441044</v>
      </c>
      <c r="I43" s="26" t="n">
        <f aca="false">I238</f>
        <v>7.09257705080186</v>
      </c>
      <c r="J43" s="26" t="n">
        <f aca="false">J238</f>
        <v>6.67793408475498</v>
      </c>
    </row>
    <row r="44" customFormat="false" ht="17.15" hidden="false" customHeight="false" outlineLevel="0" collapsed="false">
      <c r="A44" s="0" t="s">
        <v>534</v>
      </c>
      <c r="B44" s="0" t="s">
        <v>41</v>
      </c>
      <c r="D44" s="14" t="n">
        <f aca="false">D210</f>
        <v>-0.0770608731206708</v>
      </c>
      <c r="E44" s="14" t="n">
        <f aca="false">E210</f>
        <v>0.343169219838358</v>
      </c>
      <c r="F44" s="14" t="n">
        <f aca="false">F210</f>
        <v>-0.447475257462714</v>
      </c>
      <c r="G44" s="14" t="n">
        <f aca="false">G210</f>
        <v>0.220237165817793</v>
      </c>
      <c r="H44" s="25" t="n">
        <f aca="false">H43/G43-1</f>
        <v>-0.0200033516119017</v>
      </c>
      <c r="I44" s="25" t="n">
        <f aca="false">I43/H43-1</f>
        <v>-0.0389302386844918</v>
      </c>
      <c r="J44" s="25" t="n">
        <f aca="false">J43/I43-1</f>
        <v>-0.0584615384615385</v>
      </c>
    </row>
    <row r="46" customFormat="false" ht="17.15" hidden="false" customHeight="false" outlineLevel="0" collapsed="false">
      <c r="A46" s="1" t="s">
        <v>537</v>
      </c>
    </row>
    <row r="47" customFormat="false" ht="17.15" hidden="false" customHeight="false" outlineLevel="0" collapsed="false">
      <c r="A47" s="4" t="s">
        <v>538</v>
      </c>
      <c r="D47" s="27" t="n">
        <f aca="false">D81-a26_rev</f>
        <v>0</v>
      </c>
    </row>
    <row r="48" customFormat="false" ht="17.15" hidden="false" customHeight="false" outlineLevel="0" collapsed="false">
      <c r="A48" s="4" t="s">
        <v>539</v>
      </c>
      <c r="D48" s="27" t="n">
        <f aca="false">D96-a26_gp</f>
        <v>0</v>
      </c>
    </row>
    <row r="49" customFormat="false" ht="17.15" hidden="false" customHeight="false" outlineLevel="0" collapsed="false">
      <c r="A49" s="4" t="s">
        <v>540</v>
      </c>
      <c r="D49" s="27" t="n">
        <f aca="false">D100-a26_oi</f>
        <v>0</v>
      </c>
    </row>
    <row r="50" customFormat="false" ht="17.15" hidden="false" customHeight="false" outlineLevel="0" collapsed="false">
      <c r="A50" s="4" t="s">
        <v>541</v>
      </c>
      <c r="C50" s="27" t="n">
        <f aca="false">C96-a25_gp</f>
        <v>0</v>
      </c>
    </row>
    <row r="60" customFormat="false" ht="17.15" hidden="false" customHeight="false" outlineLevel="0" collapsed="false">
      <c r="A60" s="1" t="s">
        <v>542</v>
      </c>
    </row>
    <row r="61" customFormat="false" ht="17.15" hidden="false" customHeight="false" outlineLevel="0" collapsed="false">
      <c r="A61" s="5" t="s">
        <v>17</v>
      </c>
      <c r="B61" s="5" t="s">
        <v>18</v>
      </c>
      <c r="C61" s="12" t="s">
        <v>409</v>
      </c>
      <c r="D61" s="12" t="s">
        <v>520</v>
      </c>
      <c r="E61" s="12" t="s">
        <v>521</v>
      </c>
      <c r="F61" s="12" t="s">
        <v>522</v>
      </c>
      <c r="G61" s="12" t="s">
        <v>523</v>
      </c>
      <c r="H61" s="5" t="s">
        <v>488</v>
      </c>
    </row>
    <row r="62" customFormat="false" ht="17.15" hidden="false" customHeight="false" outlineLevel="0" collapsed="false">
      <c r="A62" s="6" t="s">
        <v>543</v>
      </c>
    </row>
    <row r="63" customFormat="false" ht="17.15" hidden="false" customHeight="false" outlineLevel="0" collapsed="false">
      <c r="A63" s="0" t="s">
        <v>491</v>
      </c>
      <c r="B63" s="4" t="s">
        <v>28</v>
      </c>
      <c r="D63" s="16" t="n">
        <f aca="false">u_bw_26*tt_bw</f>
        <v>5.4</v>
      </c>
      <c r="E63" s="16" t="n">
        <f aca="false">u_bw_27*1*tt_bw</f>
        <v>2.4</v>
      </c>
      <c r="F63" s="16" t="n">
        <f aca="false">u_bw_28*um28_A*1*tt_bw</f>
        <v>0.5</v>
      </c>
      <c r="G63" s="16" t="n">
        <f aca="false">u_bw_28*(1+g29_bw)*um29_A*1*tt_bw</f>
        <v>0.25</v>
      </c>
    </row>
    <row r="64" customFormat="false" ht="17.15" hidden="false" customHeight="false" outlineLevel="0" collapsed="false">
      <c r="A64" s="0" t="s">
        <v>493</v>
      </c>
      <c r="B64" s="4" t="s">
        <v>28</v>
      </c>
      <c r="D64" s="16" t="n">
        <f aca="false">u_rb_26*tt_rb</f>
        <v>2.55</v>
      </c>
      <c r="E64" s="16" t="n">
        <f aca="false">u_rb_27*1*tt_rb</f>
        <v>10.5</v>
      </c>
      <c r="F64" s="16" t="n">
        <f aca="false">u_rb_28*um28_A*1*tt_rb</f>
        <v>10.5</v>
      </c>
      <c r="G64" s="16" t="n">
        <f aca="false">u_rb_28*(1+g29_rb)*um29_A*1*tt_rb</f>
        <v>12.075</v>
      </c>
    </row>
    <row r="65" customFormat="false" ht="17.15" hidden="false" customHeight="false" outlineLevel="0" collapsed="false">
      <c r="A65" s="0" t="s">
        <v>494</v>
      </c>
      <c r="B65" s="4" t="s">
        <v>28</v>
      </c>
      <c r="D65" s="16" t="n">
        <f aca="false">u_ru_26*tt_ru</f>
        <v>0</v>
      </c>
      <c r="E65" s="16" t="n">
        <f aca="false">u_ru_27*1*tt_ru</f>
        <v>0.6</v>
      </c>
      <c r="F65" s="16" t="n">
        <f aca="false">u_ru_28*um28_A*1*tt_ru</f>
        <v>4</v>
      </c>
      <c r="G65" s="16" t="n">
        <f aca="false">u_ru_28*(1+g29_ru)*um29_A*1*tt_ru</f>
        <v>4.6</v>
      </c>
    </row>
    <row r="66" customFormat="false" ht="17.15" hidden="false" customHeight="false" outlineLevel="0" collapsed="false">
      <c r="A66" s="0" t="s">
        <v>495</v>
      </c>
      <c r="B66" s="4" t="s">
        <v>28</v>
      </c>
      <c r="D66" s="16" t="n">
        <f aca="false">u_hp_26*tt_hp</f>
        <v>0.3</v>
      </c>
      <c r="E66" s="16" t="n">
        <f aca="false">u_hp_27*1*tt_hp</f>
        <v>0</v>
      </c>
      <c r="F66" s="16" t="n">
        <f aca="false">u_hp_28*um28_A*1*tt_hp</f>
        <v>0</v>
      </c>
      <c r="G66" s="16" t="n">
        <f aca="false">u_hp_28*(1+g29_hp)*um29_A*1*tt_hp</f>
        <v>0</v>
      </c>
    </row>
    <row r="67" customFormat="false" ht="17.15" hidden="false" customHeight="false" outlineLevel="0" collapsed="false">
      <c r="A67" s="0" t="s">
        <v>496</v>
      </c>
      <c r="B67" s="4" t="s">
        <v>28</v>
      </c>
      <c r="D67" s="16" t="n">
        <f aca="false">u_amd_26*tt_amd*ex_amd</f>
        <v>0.165</v>
      </c>
      <c r="E67" s="16" t="n">
        <f aca="false">u_amd_27*1*tt_amd*ex_amd</f>
        <v>0.33</v>
      </c>
      <c r="F67" s="16" t="n">
        <f aca="false">u_amd_28*um28_A*1*tt_amd*ex_amd</f>
        <v>0.44</v>
      </c>
      <c r="G67" s="16" t="n">
        <f aca="false">u_amd_28*(1+g29_amd)*um29_A*1*tt_amd*ex_amd</f>
        <v>0.506</v>
      </c>
    </row>
    <row r="68" customFormat="false" ht="17.15" hidden="false" customHeight="false" outlineLevel="0" collapsed="false">
      <c r="A68" s="0" t="s">
        <v>498</v>
      </c>
      <c r="B68" s="4" t="s">
        <v>28</v>
      </c>
      <c r="D68" s="16" t="n">
        <f aca="false">u_tpu_26*tt_tpu*ex_tpu</f>
        <v>1.7325</v>
      </c>
      <c r="E68" s="16" t="n">
        <f aca="false">u_tpu_27*1*tt_tpu*ex_tpu</f>
        <v>2.475</v>
      </c>
      <c r="F68" s="16" t="n">
        <f aca="false">u_tpu_28*um28_A*1*tt_tpu*ex_tpu</f>
        <v>3.15</v>
      </c>
      <c r="G68" s="16" t="n">
        <f aca="false">u_tpu_28*(1+g29_tpu)*um29_A*1*tt_tpu*ex_tpu</f>
        <v>3.6225</v>
      </c>
    </row>
    <row r="69" customFormat="false" ht="17.15" hidden="false" customHeight="false" outlineLevel="0" collapsed="false">
      <c r="A69" s="0" t="s">
        <v>499</v>
      </c>
      <c r="B69" s="4" t="s">
        <v>28</v>
      </c>
      <c r="D69" s="16" t="n">
        <f aca="false">u_trn_26*tt_trn*ex_trn</f>
        <v>0.64</v>
      </c>
      <c r="E69" s="16" t="n">
        <f aca="false">u_trn_27*1*tt_trn*ex_trn</f>
        <v>0.8</v>
      </c>
      <c r="F69" s="16" t="n">
        <f aca="false">u_trn_28*um28_A*1*tt_trn*ex_trn</f>
        <v>0.96</v>
      </c>
      <c r="G69" s="16" t="n">
        <f aca="false">u_trn_28*(1+g29_trn)*um29_A*1*tt_trn*ex_trn</f>
        <v>1.104</v>
      </c>
    </row>
    <row r="70" customFormat="false" ht="17.15" hidden="false" customHeight="false" outlineLevel="0" collapsed="false">
      <c r="A70" s="4" t="s">
        <v>500</v>
      </c>
      <c r="B70" s="4" t="s">
        <v>28</v>
      </c>
      <c r="D70" s="16" t="n">
        <f aca="false">u_oth_26*tt_oth*ex_oth</f>
        <v>0.28</v>
      </c>
      <c r="E70" s="16" t="n">
        <f aca="false">u_oth_27*1*tt_oth*ex_oth</f>
        <v>1.26</v>
      </c>
      <c r="F70" s="16" t="n">
        <f aca="false">u_oth_28*um28_A*1*tt_oth*ex_oth</f>
        <v>1.4</v>
      </c>
      <c r="G70" s="16" t="n">
        <f aca="false">u_oth_28*(1+g29_oth)*um29_A*1*tt_oth*ex_oth</f>
        <v>1.61</v>
      </c>
    </row>
    <row r="71" customFormat="false" ht="15" hidden="false" customHeight="false" outlineLevel="0" collapsed="false">
      <c r="A71" s="4" t="s">
        <v>489</v>
      </c>
      <c r="B71" s="4" t="s">
        <v>28</v>
      </c>
      <c r="D71" s="16" t="n">
        <f aca="false">u_bw_26+u_rb_26+u_ru_26+u_hp_26+u_amd_26+u_tpu_26+u_trn_26+u_oth_26</f>
        <v>15.2</v>
      </c>
      <c r="E71" s="16" t="n">
        <f aca="false">u_bw_27*1+u_rb_27*1+u_ru_27*1+u_hp_27*1+u_amd_27*1+u_tpu_27*1+u_trn_27*1+u_oth_27*1</f>
        <v>23.7</v>
      </c>
      <c r="F71" s="16" t="n">
        <f aca="false">u_bw_28*um28_A*1+u_rb_28*um28_A*1+u_ru_28*um28_A*1+u_hp_28*um28_A*1+u_amd_28*um28_A*1+u_tpu_28*um28_A*1+u_trn_28*um28_A*1+u_oth_28*um28_A*1</f>
        <v>26.5</v>
      </c>
      <c r="G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2" customFormat="false" ht="17.15" hidden="false" customHeight="false" outlineLevel="0" collapsed="false">
      <c r="A72" s="0" t="s">
        <v>544</v>
      </c>
      <c r="B72" s="4" t="s">
        <v>28</v>
      </c>
      <c r="D72" s="16" t="n">
        <f aca="false">D63+D64+D65+D66</f>
        <v>8.25</v>
      </c>
      <c r="E72" s="16" t="n">
        <f aca="false">E63+E64+E65+E66</f>
        <v>13.5</v>
      </c>
      <c r="F72" s="16" t="n">
        <f aca="false">F63+F64+F65+F66</f>
        <v>15</v>
      </c>
      <c r="G72" s="16" t="n">
        <f aca="false">G63+G64+G65+G66</f>
        <v>16.925</v>
      </c>
    </row>
    <row r="73" customFormat="false" ht="17.15" hidden="false" customHeight="false" outlineLevel="0" collapsed="false">
      <c r="A73" s="0" t="s">
        <v>545</v>
      </c>
      <c r="B73" s="4" t="s">
        <v>28</v>
      </c>
      <c r="D73" s="16" t="n">
        <f aca="false">D67+D68+D69+D70</f>
        <v>2.8175</v>
      </c>
      <c r="E73" s="16" t="n">
        <f aca="false">E67+E68+E69+E70</f>
        <v>4.865</v>
      </c>
      <c r="F73" s="16" t="n">
        <f aca="false">F67+F68+F69+F70</f>
        <v>5.95</v>
      </c>
      <c r="G73" s="16" t="n">
        <f aca="false">G67+G68+G69+G70</f>
        <v>6.8425</v>
      </c>
    </row>
    <row r="74" customFormat="false" ht="15" hidden="false" customHeight="false" outlineLevel="0" collapsed="false">
      <c r="A74" s="4" t="s">
        <v>546</v>
      </c>
      <c r="B74" s="4" t="s">
        <v>28</v>
      </c>
      <c r="D74" s="16" t="n">
        <f aca="false">D72+D73</f>
        <v>11.0675</v>
      </c>
      <c r="E74" s="16" t="n">
        <f aca="false">E72+E73</f>
        <v>18.365</v>
      </c>
      <c r="F74" s="16" t="n">
        <f aca="false">F72+F73</f>
        <v>20.95</v>
      </c>
      <c r="G74" s="16" t="n">
        <f aca="false">G72+G73</f>
        <v>23.7675</v>
      </c>
    </row>
    <row r="75" customFormat="false" ht="17.15" hidden="false" customHeight="false" outlineLevel="0" collapsed="false">
      <c r="A75" s="0" t="s">
        <v>547</v>
      </c>
      <c r="B75" s="0" t="s">
        <v>239</v>
      </c>
      <c r="D75" s="21" t="n">
        <f aca="false">a26_rev*ai_26</f>
        <v>16.603774145</v>
      </c>
    </row>
    <row r="76" customFormat="false" ht="17.15" hidden="false" customHeight="false" outlineLevel="0" collapsed="false">
      <c r="A76" s="4" t="s">
        <v>548</v>
      </c>
      <c r="B76" s="0" t="s">
        <v>549</v>
      </c>
      <c r="D76" s="27" t="n">
        <f aca="false">D75/D74</f>
        <v>1.50022806821775</v>
      </c>
      <c r="H76" s="8" t="s">
        <v>550</v>
      </c>
    </row>
    <row r="77" customFormat="false" ht="17.15" hidden="false" customHeight="false" outlineLevel="0" collapsed="false">
      <c r="A77" s="4" t="s">
        <v>551</v>
      </c>
      <c r="B77" s="0" t="s">
        <v>131</v>
      </c>
      <c r="D77" s="16" t="n">
        <f aca="false">1</f>
        <v>1</v>
      </c>
      <c r="E77" s="16" t="n">
        <f aca="false">rel_27</f>
        <v>0.95</v>
      </c>
      <c r="F77" s="16" t="n">
        <f aca="false">rel_28</f>
        <v>0.92</v>
      </c>
      <c r="G77" s="16" t="n">
        <f aca="false">rel_29</f>
        <v>0.9</v>
      </c>
    </row>
    <row r="78" customFormat="false" ht="17.15" hidden="false" customHeight="false" outlineLevel="0" collapsed="false">
      <c r="A78" s="4" t="s">
        <v>552</v>
      </c>
      <c r="B78" s="0" t="s">
        <v>131</v>
      </c>
      <c r="D78" s="16" t="n">
        <f aca="false">1</f>
        <v>1</v>
      </c>
      <c r="E78" s="16" t="n">
        <f aca="false">pp_27</f>
        <v>0.98</v>
      </c>
      <c r="F78" s="16" t="n">
        <f aca="false">pp_28</f>
        <v>0.96</v>
      </c>
      <c r="G78" s="16" t="n">
        <f aca="false">pp_29</f>
        <v>0.95</v>
      </c>
    </row>
    <row r="79" customFormat="false" ht="17.15" hidden="false" customHeight="false" outlineLevel="0" collapsed="false">
      <c r="A79" s="0" t="s">
        <v>553</v>
      </c>
      <c r="B79" s="0" t="s">
        <v>239</v>
      </c>
      <c r="C79" s="21" t="n">
        <f aca="false">a25_rev*ai_25</f>
        <v>9.60674</v>
      </c>
      <c r="D79" s="21" t="n">
        <f aca="false">D75</f>
        <v>16.603774145</v>
      </c>
      <c r="E79" s="21" t="n">
        <f aca="false">$D$76*E74*E77*E78</f>
        <v>25.6506219681945</v>
      </c>
      <c r="F79" s="21" t="n">
        <f aca="false">$D$76*F74*F77*F78</f>
        <v>27.7587799553558</v>
      </c>
      <c r="G79" s="21" t="n">
        <f aca="false">$D$76*G74*G77*G78</f>
        <v>30.4864533727175</v>
      </c>
    </row>
    <row r="80" customFormat="false" ht="17.15" hidden="false" customHeight="false" outlineLevel="0" collapsed="false">
      <c r="A80" s="4" t="s">
        <v>554</v>
      </c>
      <c r="B80" s="0" t="s">
        <v>239</v>
      </c>
      <c r="C80" s="21" t="n">
        <f aca="false">a25_rev-C79</f>
        <v>25.32686</v>
      </c>
      <c r="D80" s="21" t="n">
        <f aca="false">a26_rev-D79</f>
        <v>30.835580555</v>
      </c>
      <c r="E80" s="21" t="n">
        <f aca="false">D80*(1+g_nai27)</f>
        <v>34.5358502216</v>
      </c>
      <c r="F80" s="21" t="n">
        <f aca="false">E80*(1+g_nai28)</f>
        <v>36.953359737112</v>
      </c>
      <c r="G80" s="21" t="n">
        <f aca="false">F80*(1+g_nai29)</f>
        <v>38.8010277239676</v>
      </c>
    </row>
    <row r="81" customFormat="false" ht="15" hidden="false" customHeight="false" outlineLevel="0" collapsed="false">
      <c r="A81" s="4" t="s">
        <v>414</v>
      </c>
      <c r="B81" s="0" t="s">
        <v>239</v>
      </c>
      <c r="C81" s="21" t="n">
        <f aca="false">C79+C80</f>
        <v>34.9336</v>
      </c>
      <c r="D81" s="21" t="n">
        <f aca="false">D79+D80</f>
        <v>47.4393547</v>
      </c>
      <c r="E81" s="21" t="n">
        <f aca="false">E79+E80</f>
        <v>60.1864721897945</v>
      </c>
      <c r="F81" s="21" t="n">
        <f aca="false">F79+F80</f>
        <v>64.7121396924678</v>
      </c>
      <c r="G81" s="21" t="n">
        <f aca="false">G79+G80</f>
        <v>69.2874810966851</v>
      </c>
    </row>
    <row r="82" customFormat="false" ht="15" hidden="false" customHeight="false" outlineLevel="0" collapsed="false">
      <c r="A82" s="4" t="s">
        <v>555</v>
      </c>
      <c r="B82" s="0" t="s">
        <v>41</v>
      </c>
      <c r="D82" s="14" t="n">
        <f aca="false">D81/C81-1</f>
        <v>0.357986428538713</v>
      </c>
      <c r="E82" s="14" t="n">
        <f aca="false">E81/D81-1</f>
        <v>0.268703433476395</v>
      </c>
      <c r="F82" s="14" t="n">
        <f aca="false">F81/E81-1</f>
        <v>0.0751940982419084</v>
      </c>
      <c r="G82" s="14" t="n">
        <f aca="false">G81/F81-1</f>
        <v>0.070702984416227</v>
      </c>
    </row>
    <row r="83" customFormat="false" ht="17.15" hidden="false" customHeight="false" outlineLevel="0" collapsed="false">
      <c r="A83" s="0" t="s">
        <v>556</v>
      </c>
      <c r="B83" s="0" t="s">
        <v>41</v>
      </c>
      <c r="C83" s="14" t="n">
        <f aca="false">C79/C81</f>
        <v>0.275</v>
      </c>
      <c r="D83" s="14" t="n">
        <f aca="false">D79/D81</f>
        <v>0.35</v>
      </c>
      <c r="E83" s="14" t="n">
        <f aca="false">E79/E81</f>
        <v>0.426185836034829</v>
      </c>
      <c r="F83" s="14" t="n">
        <f aca="false">F79/F81</f>
        <v>0.42895784449833</v>
      </c>
      <c r="G83" s="14" t="n">
        <f aca="false">G79/G81</f>
        <v>0.439999447088805</v>
      </c>
    </row>
    <row r="84" customFormat="false" ht="17.15" hidden="false" customHeight="false" outlineLevel="0" collapsed="false">
      <c r="A84" s="0" t="s">
        <v>502</v>
      </c>
      <c r="B84" s="0" t="s">
        <v>41</v>
      </c>
      <c r="D84" s="14" t="n">
        <f aca="false">D72/D74</f>
        <v>0.745425796250282</v>
      </c>
      <c r="E84" s="14" t="n">
        <f aca="false">E72/E74</f>
        <v>0.735093928668663</v>
      </c>
      <c r="F84" s="14" t="n">
        <f aca="false">F72/F74</f>
        <v>0.715990453460621</v>
      </c>
      <c r="G84" s="14" t="n">
        <f aca="false">G72/G74</f>
        <v>0.71210686862312</v>
      </c>
    </row>
    <row r="85" customFormat="false" ht="17.15" hidden="false" customHeight="false" outlineLevel="0" collapsed="false">
      <c r="A85" s="4" t="s">
        <v>506</v>
      </c>
      <c r="B85" s="0" t="s">
        <v>507</v>
      </c>
      <c r="D85" s="22" t="n">
        <f aca="false">D79/D74/fx*1000</f>
        <v>46.8821271318048</v>
      </c>
      <c r="E85" s="22" t="n">
        <f aca="false">E79/E74/fx*1000</f>
        <v>43.6472603597103</v>
      </c>
      <c r="F85" s="22" t="n">
        <f aca="false">F79/F74/fx*1000</f>
        <v>41.40629468281</v>
      </c>
      <c r="G85" s="22" t="n">
        <f aca="false">G79/G74/fx*1000</f>
        <v>40.0842186976931</v>
      </c>
      <c r="H85" s="4" t="s">
        <v>557</v>
      </c>
    </row>
    <row r="86" customFormat="false" ht="17.15" hidden="false" customHeight="false" outlineLevel="0" collapsed="false">
      <c r="A86" s="6" t="s">
        <v>558</v>
      </c>
    </row>
    <row r="87" customFormat="false" ht="17.15" hidden="false" customHeight="false" outlineLevel="0" collapsed="false">
      <c r="A87" s="0" t="s">
        <v>559</v>
      </c>
      <c r="B87" s="0" t="s">
        <v>131</v>
      </c>
      <c r="C87" s="16" t="n">
        <f aca="false">(a25_capex-m_cx*a25_rev)/(a25_rev-rev24)</f>
        <v>3.57284271254522</v>
      </c>
      <c r="H87" s="8" t="s">
        <v>560</v>
      </c>
    </row>
    <row r="88" customFormat="false" ht="17.15" hidden="false" customHeight="false" outlineLevel="0" collapsed="false">
      <c r="A88" s="4" t="s">
        <v>511</v>
      </c>
      <c r="B88" s="0" t="s">
        <v>239</v>
      </c>
      <c r="C88" s="21" t="n">
        <f aca="false">a25_capex</f>
        <v>32.3554</v>
      </c>
      <c r="D88" s="21" t="n">
        <f aca="false">capex_26</f>
        <v>42</v>
      </c>
      <c r="E88" s="21" t="n">
        <f aca="false">m_cx*E81+$C$87*MAX(0,E81-D81)</f>
        <v>51.5620930483496</v>
      </c>
      <c r="F88" s="21" t="n">
        <f aca="false">m_cx*F81+$C$87*MAX(0,F81-E81)</f>
        <v>22.6407121255758</v>
      </c>
      <c r="G88" s="21" t="n">
        <f aca="false">m_cx*G81+$C$87*MAX(0,G81-F81)</f>
        <v>23.2757233031325</v>
      </c>
      <c r="H88" s="8" t="s">
        <v>561</v>
      </c>
    </row>
    <row r="89" customFormat="false" ht="17.15" hidden="false" customHeight="false" outlineLevel="0" collapsed="false">
      <c r="A89" s="4" t="s">
        <v>562</v>
      </c>
      <c r="B89" s="0" t="s">
        <v>41</v>
      </c>
      <c r="C89" s="14" t="n">
        <f aca="false">C88/C81</f>
        <v>0.926197128266197</v>
      </c>
      <c r="D89" s="14" t="n">
        <f aca="false">D88/D81</f>
        <v>0.885340879225746</v>
      </c>
      <c r="E89" s="14" t="n">
        <f aca="false">E88/E81</f>
        <v>0.85670568771254</v>
      </c>
      <c r="F89" s="14" t="n">
        <f aca="false">F88/F81</f>
        <v>0.34986808090679</v>
      </c>
      <c r="G89" s="14" t="n">
        <f aca="false">G88/G81</f>
        <v>0.335929708148188</v>
      </c>
    </row>
    <row r="90" customFormat="false" ht="15" hidden="false" customHeight="false" outlineLevel="0" collapsed="false">
      <c r="A90" s="4" t="s">
        <v>563</v>
      </c>
      <c r="B90" s="0" t="s">
        <v>239</v>
      </c>
      <c r="C90" s="21" t="n">
        <f aca="false">a25_da</f>
        <v>7.5143841</v>
      </c>
      <c r="D90" s="21" t="n">
        <f aca="false">a26_da</f>
        <v>11.32770694</v>
      </c>
      <c r="E90" s="21" t="n">
        <f aca="false">D90*(1-ret)+dr*(D88+E88)/2</f>
        <v>15.9072367106592</v>
      </c>
      <c r="F90" s="21" t="n">
        <f aca="false">E90*(1-ret)+dr*(E88+F88)/2</f>
        <v>19.1930291596922</v>
      </c>
      <c r="G90" s="21" t="n">
        <f aca="false">F90*(1-ret)+dr*(F88+G88)/2</f>
        <v>20.7587816502865</v>
      </c>
    </row>
    <row r="91" customFormat="false" ht="17.15" hidden="false" customHeight="false" outlineLevel="0" collapsed="false">
      <c r="A91" s="4" t="s">
        <v>515</v>
      </c>
      <c r="B91" s="0" t="s">
        <v>41</v>
      </c>
      <c r="C91" s="14" t="n">
        <f aca="false">C90/C81</f>
        <v>0.215104773055168</v>
      </c>
      <c r="D91" s="14" t="n">
        <f aca="false">D90/D81</f>
        <v>0.238782905282647</v>
      </c>
      <c r="E91" s="14" t="n">
        <f aca="false">E90/E81</f>
        <v>0.264299204321142</v>
      </c>
      <c r="F91" s="14" t="n">
        <f aca="false">F90/F81</f>
        <v>0.296590859936071</v>
      </c>
      <c r="G91" s="14" t="n">
        <f aca="false">G90/G81</f>
        <v>0.299603641548454</v>
      </c>
    </row>
    <row r="92" customFormat="false" ht="17.15" hidden="false" customHeight="false" outlineLevel="0" collapsed="false">
      <c r="A92" s="4" t="s">
        <v>564</v>
      </c>
      <c r="B92" s="0" t="s">
        <v>239</v>
      </c>
      <c r="D92" s="16" t="n">
        <f aca="false">C90*(1-ret)+dr*(C88+D88)/2-D90</f>
        <v>-0.0994950449999994</v>
      </c>
      <c r="H92" s="4" t="s">
        <v>565</v>
      </c>
    </row>
    <row r="93" customFormat="false" ht="17.15" hidden="false" customHeight="false" outlineLevel="0" collapsed="false">
      <c r="A93" s="6" t="s">
        <v>566</v>
      </c>
    </row>
    <row r="94" customFormat="false" ht="17.15" hidden="false" customHeight="false" outlineLevel="0" collapsed="false">
      <c r="A94" s="4" t="s">
        <v>567</v>
      </c>
      <c r="B94" s="0" t="s">
        <v>239</v>
      </c>
      <c r="D94" s="21" t="n">
        <f aca="false">a26_cc-v_cc*a26_rev</f>
        <v>7.9821937335</v>
      </c>
      <c r="H94" s="8" t="s">
        <v>568</v>
      </c>
    </row>
    <row r="95" customFormat="false" ht="17.15" hidden="false" customHeight="false" outlineLevel="0" collapsed="false">
      <c r="A95" s="4" t="s">
        <v>569</v>
      </c>
      <c r="B95" s="0" t="s">
        <v>239</v>
      </c>
      <c r="C95" s="21" t="n">
        <f aca="false">a25_cc</f>
        <v>14.8984</v>
      </c>
      <c r="D95" s="21" t="n">
        <f aca="false">a26_cc</f>
        <v>17.4700646735</v>
      </c>
      <c r="E95" s="21" t="n">
        <f aca="false">$D$94+v_cc*(E79/E78+E80)</f>
        <v>20.1241845876556</v>
      </c>
      <c r="F95" s="21" t="n">
        <f aca="false">$D$94+v_cc*(F79/F78+F80)</f>
        <v>21.1559448382882</v>
      </c>
      <c r="G95" s="21" t="n">
        <f aca="false">$D$94+v_cc*(G79/G78+G80)</f>
        <v>22.1605999883393</v>
      </c>
      <c r="H95" s="4" t="s">
        <v>570</v>
      </c>
    </row>
    <row r="96" customFormat="false" ht="15" hidden="false" customHeight="false" outlineLevel="0" collapsed="false">
      <c r="A96" s="4" t="s">
        <v>571</v>
      </c>
      <c r="B96" s="0" t="s">
        <v>239</v>
      </c>
      <c r="C96" s="21" t="n">
        <f aca="false">C81-C95-C90</f>
        <v>12.5208159</v>
      </c>
      <c r="D96" s="21" t="n">
        <f aca="false">D81-D95-D90</f>
        <v>18.6415830865</v>
      </c>
      <c r="E96" s="21" t="n">
        <f aca="false">E81-E95-E90</f>
        <v>24.1550508914797</v>
      </c>
      <c r="F96" s="21" t="n">
        <f aca="false">F81-F95-F90</f>
        <v>24.3631656944875</v>
      </c>
      <c r="G96" s="21" t="n">
        <f aca="false">G81-G95-G90</f>
        <v>26.3680994580593</v>
      </c>
    </row>
    <row r="97" customFormat="false" ht="15" hidden="false" customHeight="false" outlineLevel="0" collapsed="false">
      <c r="A97" s="4" t="s">
        <v>421</v>
      </c>
      <c r="B97" s="0" t="s">
        <v>41</v>
      </c>
      <c r="C97" s="14" t="n">
        <f aca="false">C96/C81</f>
        <v>0.358417566468958</v>
      </c>
      <c r="D97" s="14" t="n">
        <f aca="false">D96/D81</f>
        <v>0.392956084760993</v>
      </c>
      <c r="E97" s="14" t="n">
        <f aca="false">E96/E81</f>
        <v>0.401336878747572</v>
      </c>
      <c r="F97" s="14" t="n">
        <f aca="false">F96/F81</f>
        <v>0.37648524388575</v>
      </c>
      <c r="G97" s="14" t="n">
        <f aca="false">G96/G81</f>
        <v>0.380560803202886</v>
      </c>
    </row>
    <row r="98" customFormat="false" ht="15" hidden="false" customHeight="false" outlineLevel="0" collapsed="false">
      <c r="A98" s="4" t="s">
        <v>572</v>
      </c>
      <c r="B98" s="0" t="s">
        <v>239</v>
      </c>
      <c r="C98" s="21" t="n">
        <f aca="false">a25_opx</f>
        <v>3.5197</v>
      </c>
      <c r="D98" s="21" t="n">
        <f aca="false">a26_opx</f>
        <v>6.1141318375</v>
      </c>
      <c r="E98" s="21" t="n">
        <f aca="false">D98*(1+MAX(0,phi*E82))</f>
        <v>7.09986476797815</v>
      </c>
      <c r="F98" s="21" t="n">
        <f aca="false">E98*(1+MAX(0,phi*F82))</f>
        <v>7.42018552529872</v>
      </c>
      <c r="G98" s="21" t="n">
        <f aca="false">F98*(1+MAX(0,phi*G82))</f>
        <v>7.73496308223515</v>
      </c>
    </row>
    <row r="99" customFormat="false" ht="15" hidden="false" customHeight="false" outlineLevel="0" collapsed="false">
      <c r="A99" s="4" t="s">
        <v>573</v>
      </c>
      <c r="B99" s="0" t="s">
        <v>239</v>
      </c>
      <c r="C99" s="21" t="n">
        <f aca="false">C98</f>
        <v>3.5197</v>
      </c>
      <c r="D99" s="21" t="n">
        <f aca="false">D98</f>
        <v>6.1141318375</v>
      </c>
      <c r="E99" s="21" t="n">
        <f aca="false">E98+0*E81</f>
        <v>7.09986476797815</v>
      </c>
      <c r="F99" s="21" t="n">
        <f aca="false">F98+0*F81</f>
        <v>7.42018552529872</v>
      </c>
      <c r="G99" s="21" t="n">
        <f aca="false">G98+0*G81</f>
        <v>7.73496308223515</v>
      </c>
    </row>
    <row r="100" customFormat="false" ht="15" hidden="false" customHeight="false" outlineLevel="0" collapsed="false">
      <c r="A100" s="4" t="s">
        <v>430</v>
      </c>
      <c r="B100" s="0" t="s">
        <v>239</v>
      </c>
      <c r="C100" s="21" t="n">
        <f aca="false">C96-C99</f>
        <v>9.0011159</v>
      </c>
      <c r="D100" s="21" t="n">
        <f aca="false">D96-D99</f>
        <v>12.527451249</v>
      </c>
      <c r="E100" s="21" t="n">
        <f aca="false">E96-E99</f>
        <v>17.0551861235015</v>
      </c>
      <c r="F100" s="21" t="n">
        <f aca="false">F96-F99</f>
        <v>16.9429801691888</v>
      </c>
      <c r="G100" s="21" t="n">
        <f aca="false">G96-G99</f>
        <v>18.6331363758241</v>
      </c>
    </row>
    <row r="101" customFormat="false" ht="15" hidden="false" customHeight="false" outlineLevel="0" collapsed="false">
      <c r="A101" s="4" t="s">
        <v>432</v>
      </c>
      <c r="B101" s="0" t="s">
        <v>41</v>
      </c>
      <c r="C101" s="14" t="n">
        <f aca="false">C100/C81</f>
        <v>0.25766356459111</v>
      </c>
      <c r="D101" s="14" t="n">
        <f aca="false">D100/D81</f>
        <v>0.264072969124936</v>
      </c>
      <c r="E101" s="14" t="n">
        <f aca="false">E100/E81</f>
        <v>0.283372417471471</v>
      </c>
      <c r="F101" s="14" t="n">
        <f aca="false">F100/F81</f>
        <v>0.261820737959015</v>
      </c>
      <c r="G101" s="14" t="n">
        <f aca="false">G100/G81</f>
        <v>0.268925007532358</v>
      </c>
    </row>
    <row r="102" customFormat="false" ht="17.15" hidden="false" customHeight="false" outlineLevel="0" collapsed="false">
      <c r="A102" s="0" t="s">
        <v>574</v>
      </c>
      <c r="B102" s="0" t="s">
        <v>239</v>
      </c>
      <c r="C102" s="21" t="n">
        <f aca="false">C100+C90</f>
        <v>16.5155</v>
      </c>
      <c r="D102" s="21" t="n">
        <f aca="false">D100+D90</f>
        <v>23.855158189</v>
      </c>
      <c r="E102" s="21" t="n">
        <f aca="false">E100+E90</f>
        <v>32.9624228341608</v>
      </c>
      <c r="F102" s="21" t="n">
        <f aca="false">F100+F90</f>
        <v>36.1360093288809</v>
      </c>
      <c r="G102" s="21" t="n">
        <f aca="false">G100+G90</f>
        <v>39.3919180261106</v>
      </c>
    </row>
    <row r="103" customFormat="false" ht="17.15" hidden="false" customHeight="false" outlineLevel="0" collapsed="false">
      <c r="A103" s="0" t="s">
        <v>575</v>
      </c>
      <c r="B103" s="0" t="s">
        <v>239</v>
      </c>
      <c r="C103" s="21" t="n">
        <f aca="false">C102-C88</f>
        <v>-15.8399</v>
      </c>
      <c r="D103" s="21" t="n">
        <f aca="false">D102-D88</f>
        <v>-18.144841811</v>
      </c>
      <c r="E103" s="21" t="n">
        <f aca="false">E102-E88</f>
        <v>-18.5996702141888</v>
      </c>
      <c r="F103" s="21" t="n">
        <f aca="false">F102-F88</f>
        <v>13.4952972033051</v>
      </c>
      <c r="G103" s="21" t="n">
        <f aca="false">G102-G88</f>
        <v>16.1161947229781</v>
      </c>
    </row>
    <row r="104" customFormat="false" ht="17.15" hidden="false" customHeight="false" outlineLevel="0" collapsed="false">
      <c r="A104" s="4" t="s">
        <v>433</v>
      </c>
      <c r="B104" s="0" t="s">
        <v>239</v>
      </c>
      <c r="C104" s="21" t="n">
        <f aca="false">a25_ni</f>
        <v>11.015</v>
      </c>
      <c r="D104" s="21" t="n">
        <f aca="false">a26_ni</f>
        <v>10.66608446065</v>
      </c>
      <c r="E104" s="21" t="n">
        <f aca="false">E100*nir_f</f>
        <v>14.3263563437413</v>
      </c>
      <c r="F104" s="21" t="n">
        <f aca="false">F100*nir_f</f>
        <v>14.2321033421186</v>
      </c>
      <c r="G104" s="21" t="n">
        <f aca="false">G100*nir_f</f>
        <v>15.6518345556923</v>
      </c>
      <c r="H104" s="8" t="s">
        <v>438</v>
      </c>
    </row>
    <row r="105" customFormat="false" ht="17.15" hidden="false" customHeight="false" outlineLevel="0" collapsed="false">
      <c r="A105" s="4" t="s">
        <v>437</v>
      </c>
      <c r="B105" s="0" t="s">
        <v>41</v>
      </c>
      <c r="C105" s="14" t="n">
        <f aca="false">C104/C100</f>
        <v>1.22373715907824</v>
      </c>
      <c r="D105" s="14" t="n">
        <f aca="false">D104/D100</f>
        <v>0.851416960133963</v>
      </c>
      <c r="E105" s="14" t="n">
        <f aca="false">E104/E100</f>
        <v>0.84</v>
      </c>
      <c r="F105" s="14" t="n">
        <f aca="false">F104/F100</f>
        <v>0.84</v>
      </c>
      <c r="G105" s="14" t="n">
        <f aca="false">G104/G100</f>
        <v>0.84</v>
      </c>
    </row>
    <row r="106" customFormat="false" ht="15" hidden="false" customHeight="false" outlineLevel="0" collapsed="false">
      <c r="A106" s="4" t="s">
        <v>576</v>
      </c>
      <c r="B106" s="4" t="s">
        <v>294</v>
      </c>
      <c r="C106" s="27" t="n">
        <f aca="false">a25_sh</f>
        <v>1.22253052164262</v>
      </c>
      <c r="D106" s="27" t="n">
        <f aca="false">a26_sh</f>
        <v>1.28264705882353</v>
      </c>
      <c r="E106" s="27" t="n">
        <f aca="false">D106*(1+sh_g)</f>
        <v>1.28264705882353</v>
      </c>
      <c r="F106" s="27" t="n">
        <f aca="false">E106*(1+sh_g)</f>
        <v>1.28264705882353</v>
      </c>
      <c r="G106" s="27" t="n">
        <f aca="false">F106*(1+sh_g)</f>
        <v>1.28264705882353</v>
      </c>
    </row>
    <row r="107" customFormat="false" ht="15" hidden="false" customHeight="false" outlineLevel="0" collapsed="false">
      <c r="A107" s="0" t="s">
        <v>442</v>
      </c>
      <c r="B107" s="0" t="s">
        <v>315</v>
      </c>
      <c r="C107" s="21" t="n">
        <f aca="false">C104/C106</f>
        <v>9.01</v>
      </c>
      <c r="D107" s="21" t="n">
        <f aca="false">D104/D106</f>
        <v>8.31568153318276</v>
      </c>
      <c r="E107" s="21" t="n">
        <f aca="false">E104/E106</f>
        <v>11.1693674773493</v>
      </c>
      <c r="F107" s="21" t="n">
        <f aca="false">F104/F106</f>
        <v>11.0958842841557</v>
      </c>
      <c r="G107" s="21" t="n">
        <f aca="false">G104/G106</f>
        <v>12.2027602589667</v>
      </c>
    </row>
    <row r="108" customFormat="false" ht="17.15" hidden="false" customHeight="false" outlineLevel="0" collapsed="false">
      <c r="A108" s="0" t="s">
        <v>577</v>
      </c>
      <c r="B108" s="0" t="s">
        <v>41</v>
      </c>
      <c r="D108" s="14" t="n">
        <f aca="false">D107/C107-1</f>
        <v>-0.0770608731206708</v>
      </c>
      <c r="E108" s="14" t="n">
        <f aca="false">E107/D107-1</f>
        <v>0.343169219838358</v>
      </c>
      <c r="F108" s="14" t="n">
        <f aca="false">F107/E107-1</f>
        <v>-0.00657899324582345</v>
      </c>
      <c r="G108" s="14" t="n">
        <f aca="false">G107/F107-1</f>
        <v>0.0997555441697893</v>
      </c>
      <c r="H108" s="8" t="s">
        <v>578</v>
      </c>
    </row>
    <row r="111" customFormat="false" ht="17.15" hidden="false" customHeight="false" outlineLevel="0" collapsed="false">
      <c r="A111" s="1" t="s">
        <v>579</v>
      </c>
    </row>
    <row r="112" customFormat="false" ht="17.15" hidden="false" customHeight="false" outlineLevel="0" collapsed="false">
      <c r="A112" s="5" t="s">
        <v>17</v>
      </c>
      <c r="B112" s="5" t="s">
        <v>18</v>
      </c>
      <c r="C112" s="12" t="s">
        <v>409</v>
      </c>
      <c r="D112" s="12" t="s">
        <v>520</v>
      </c>
      <c r="E112" s="12" t="s">
        <v>521</v>
      </c>
      <c r="F112" s="12" t="s">
        <v>522</v>
      </c>
      <c r="G112" s="12" t="s">
        <v>523</v>
      </c>
      <c r="H112" s="5" t="s">
        <v>488</v>
      </c>
    </row>
    <row r="113" customFormat="false" ht="17.15" hidden="false" customHeight="false" outlineLevel="0" collapsed="false">
      <c r="A113" s="6" t="s">
        <v>543</v>
      </c>
    </row>
    <row r="114" customFormat="false" ht="17.15" hidden="false" customHeight="false" outlineLevel="0" collapsed="false">
      <c r="A114" s="0" t="s">
        <v>491</v>
      </c>
      <c r="B114" s="4" t="s">
        <v>28</v>
      </c>
      <c r="D114" s="16" t="n">
        <f aca="false">u_bw_26*tt_bw</f>
        <v>5.4</v>
      </c>
      <c r="E114" s="16" t="n">
        <f aca="false">u_bw_27*1*tt_bw</f>
        <v>2.4</v>
      </c>
      <c r="F114" s="16" t="n">
        <f aca="false">u_bw_28*um28_B*1*tt_bw</f>
        <v>0.4</v>
      </c>
      <c r="G114" s="16" t="n">
        <f aca="false">u_bw_28*(1+g29_bw)*um29_B*1*tt_bw</f>
        <v>0.2125</v>
      </c>
    </row>
    <row r="115" customFormat="false" ht="17.15" hidden="false" customHeight="false" outlineLevel="0" collapsed="false">
      <c r="A115" s="0" t="s">
        <v>493</v>
      </c>
      <c r="B115" s="4" t="s">
        <v>28</v>
      </c>
      <c r="D115" s="16" t="n">
        <f aca="false">u_rb_26*tt_rb</f>
        <v>2.55</v>
      </c>
      <c r="E115" s="16" t="n">
        <f aca="false">u_rb_27*1*tt_rb</f>
        <v>10.5</v>
      </c>
      <c r="F115" s="16" t="n">
        <f aca="false">u_rb_28*um28_B*1*tt_rb</f>
        <v>8.4</v>
      </c>
      <c r="G115" s="16" t="n">
        <f aca="false">u_rb_28*(1+g29_rb)*um29_B*1*tt_rb</f>
        <v>10.26375</v>
      </c>
    </row>
    <row r="116" customFormat="false" ht="17.15" hidden="false" customHeight="false" outlineLevel="0" collapsed="false">
      <c r="A116" s="0" t="s">
        <v>494</v>
      </c>
      <c r="B116" s="4" t="s">
        <v>28</v>
      </c>
      <c r="D116" s="16" t="n">
        <f aca="false">u_ru_26*tt_ru</f>
        <v>0</v>
      </c>
      <c r="E116" s="16" t="n">
        <f aca="false">u_ru_27*1*tt_ru</f>
        <v>0.6</v>
      </c>
      <c r="F116" s="16" t="n">
        <f aca="false">u_ru_28*um28_B*1*tt_ru</f>
        <v>3.2</v>
      </c>
      <c r="G116" s="16" t="n">
        <f aca="false">u_ru_28*(1+g29_ru)*um29_B*1*tt_ru</f>
        <v>3.91</v>
      </c>
    </row>
    <row r="117" customFormat="false" ht="17.15" hidden="false" customHeight="false" outlineLevel="0" collapsed="false">
      <c r="A117" s="0" t="s">
        <v>495</v>
      </c>
      <c r="B117" s="4" t="s">
        <v>28</v>
      </c>
      <c r="D117" s="16" t="n">
        <f aca="false">u_hp_26*tt_hp</f>
        <v>0.3</v>
      </c>
      <c r="E117" s="16" t="n">
        <f aca="false">u_hp_27*1*tt_hp</f>
        <v>0</v>
      </c>
      <c r="F117" s="16" t="n">
        <f aca="false">u_hp_28*um28_B*1*tt_hp</f>
        <v>0</v>
      </c>
      <c r="G117" s="16" t="n">
        <f aca="false">u_hp_28*(1+g29_hp)*um29_B*1*tt_hp</f>
        <v>0</v>
      </c>
    </row>
    <row r="118" customFormat="false" ht="17.15" hidden="false" customHeight="false" outlineLevel="0" collapsed="false">
      <c r="A118" s="0" t="s">
        <v>496</v>
      </c>
      <c r="B118" s="4" t="s">
        <v>28</v>
      </c>
      <c r="D118" s="16" t="n">
        <f aca="false">u_amd_26*tt_amd*ex_amd</f>
        <v>0.165</v>
      </c>
      <c r="E118" s="16" t="n">
        <f aca="false">u_amd_27*1*tt_amd*ex_amd</f>
        <v>0.33</v>
      </c>
      <c r="F118" s="16" t="n">
        <f aca="false">u_amd_28*um28_B*1*tt_amd*ex_amd</f>
        <v>0.352</v>
      </c>
      <c r="G118" s="16" t="n">
        <f aca="false">u_amd_28*(1+g29_amd)*um29_B*1*tt_amd*ex_amd</f>
        <v>0.4301</v>
      </c>
    </row>
    <row r="119" customFormat="false" ht="17.15" hidden="false" customHeight="false" outlineLevel="0" collapsed="false">
      <c r="A119" s="0" t="s">
        <v>498</v>
      </c>
      <c r="B119" s="4" t="s">
        <v>28</v>
      </c>
      <c r="D119" s="16" t="n">
        <f aca="false">u_tpu_26*tt_tpu*ex_tpu</f>
        <v>1.7325</v>
      </c>
      <c r="E119" s="16" t="n">
        <f aca="false">u_tpu_27*1*tt_tpu*ex_tpu</f>
        <v>2.475</v>
      </c>
      <c r="F119" s="16" t="n">
        <f aca="false">u_tpu_28*um28_B*1*tt_tpu*ex_tpu</f>
        <v>2.52</v>
      </c>
      <c r="G119" s="16" t="n">
        <f aca="false">u_tpu_28*(1+g29_tpu)*um29_B*1*tt_tpu*ex_tpu</f>
        <v>3.079125</v>
      </c>
    </row>
    <row r="120" customFormat="false" ht="17.15" hidden="false" customHeight="false" outlineLevel="0" collapsed="false">
      <c r="A120" s="0" t="s">
        <v>499</v>
      </c>
      <c r="B120" s="4" t="s">
        <v>28</v>
      </c>
      <c r="D120" s="16" t="n">
        <f aca="false">u_trn_26*tt_trn*ex_trn</f>
        <v>0.64</v>
      </c>
      <c r="E120" s="16" t="n">
        <f aca="false">u_trn_27*1*tt_trn*ex_trn</f>
        <v>0.8</v>
      </c>
      <c r="F120" s="16" t="n">
        <f aca="false">u_trn_28*um28_B*1*tt_trn*ex_trn</f>
        <v>0.768</v>
      </c>
      <c r="G120" s="16" t="n">
        <f aca="false">u_trn_28*(1+g29_trn)*um29_B*1*tt_trn*ex_trn</f>
        <v>0.9384</v>
      </c>
    </row>
    <row r="121" customFormat="false" ht="17.15" hidden="false" customHeight="false" outlineLevel="0" collapsed="false">
      <c r="A121" s="4" t="s">
        <v>500</v>
      </c>
      <c r="B121" s="4" t="s">
        <v>28</v>
      </c>
      <c r="D121" s="16" t="n">
        <f aca="false">u_oth_26*tt_oth*ex_oth</f>
        <v>0.28</v>
      </c>
      <c r="E121" s="16" t="n">
        <f aca="false">u_oth_27*1*tt_oth*ex_oth</f>
        <v>1.26</v>
      </c>
      <c r="F121" s="16" t="n">
        <f aca="false">u_oth_28*um28_B*1*tt_oth*ex_oth</f>
        <v>1.12</v>
      </c>
      <c r="G121" s="16" t="n">
        <f aca="false">u_oth_28*(1+g29_oth)*um29_B*1*tt_oth*ex_oth</f>
        <v>1.3685</v>
      </c>
    </row>
    <row r="122" customFormat="false" ht="15" hidden="false" customHeight="false" outlineLevel="0" collapsed="false">
      <c r="A122" s="4" t="s">
        <v>489</v>
      </c>
      <c r="B122" s="4" t="s">
        <v>28</v>
      </c>
      <c r="D122" s="16" t="n">
        <f aca="false">u_bw_26+u_rb_26+u_ru_26+u_hp_26+u_amd_26+u_tpu_26+u_trn_26+u_oth_26</f>
        <v>15.2</v>
      </c>
      <c r="E122" s="16" t="n">
        <f aca="false">u_bw_27*1+u_rb_27*1+u_ru_27*1+u_hp_27*1+u_amd_27*1+u_tpu_27*1+u_trn_27*1+u_oth_27*1</f>
        <v>23.7</v>
      </c>
      <c r="F122" s="16" t="n">
        <f aca="false">u_bw_28*um28_B*1+u_rb_28*um28_B*1+u_ru_28*um28_B*1+u_hp_28*um28_B*1+u_amd_28*um28_B*1+u_tpu_28*um28_B*1+u_trn_28*um28_B*1+u_oth_28*um28_B*1</f>
        <v>21.2</v>
      </c>
      <c r="G122" s="16" t="n">
        <f aca="false">u_bw_28*(1+g29_bw)*um29_B*1+u_rb_28*(1+g29_rb)*um29_B*1+u_ru_28*(1+g29_ru)*um29_B*1+u_hp_28*(1+g29_hp)*um29_B*1+u_amd_28*(1+g29_amd)*um29_B*1+u_tpu_28*(1+g29_tpu)*um29_B*1+u_trn_28*(1+g29_trn)*um29_B*1+u_oth_28*(1+g29_oth)*um29_B*1</f>
        <v>25.6275</v>
      </c>
    </row>
    <row r="123" customFormat="false" ht="17.15" hidden="false" customHeight="false" outlineLevel="0" collapsed="false">
      <c r="A123" s="0" t="s">
        <v>544</v>
      </c>
      <c r="B123" s="4" t="s">
        <v>28</v>
      </c>
      <c r="D123" s="16" t="n">
        <f aca="false">D114+D115+D116+D117</f>
        <v>8.25</v>
      </c>
      <c r="E123" s="16" t="n">
        <f aca="false">E114+E115+E116+E117</f>
        <v>13.5</v>
      </c>
      <c r="F123" s="16" t="n">
        <f aca="false">F114+F115+F116+F117</f>
        <v>12</v>
      </c>
      <c r="G123" s="16" t="n">
        <f aca="false">G114+G115+G116+G117</f>
        <v>14.38625</v>
      </c>
    </row>
    <row r="124" customFormat="false" ht="17.15" hidden="false" customHeight="false" outlineLevel="0" collapsed="false">
      <c r="A124" s="0" t="s">
        <v>545</v>
      </c>
      <c r="B124" s="4" t="s">
        <v>28</v>
      </c>
      <c r="D124" s="16" t="n">
        <f aca="false">D118+D119+D120+D121</f>
        <v>2.8175</v>
      </c>
      <c r="E124" s="16" t="n">
        <f aca="false">E118+E119+E120+E121</f>
        <v>4.865</v>
      </c>
      <c r="F124" s="16" t="n">
        <f aca="false">F118+F119+F120+F121</f>
        <v>4.76</v>
      </c>
      <c r="G124" s="16" t="n">
        <f aca="false">G118+G119+G120+G121</f>
        <v>5.816125</v>
      </c>
    </row>
    <row r="125" customFormat="false" ht="15" hidden="false" customHeight="false" outlineLevel="0" collapsed="false">
      <c r="A125" s="4" t="s">
        <v>546</v>
      </c>
      <c r="B125" s="4" t="s">
        <v>28</v>
      </c>
      <c r="D125" s="16" t="n">
        <f aca="false">D123+D124</f>
        <v>11.0675</v>
      </c>
      <c r="E125" s="16" t="n">
        <f aca="false">E123+E124</f>
        <v>18.365</v>
      </c>
      <c r="F125" s="16" t="n">
        <f aca="false">F123+F124</f>
        <v>16.76</v>
      </c>
      <c r="G125" s="16" t="n">
        <f aca="false">G123+G124</f>
        <v>20.202375</v>
      </c>
    </row>
    <row r="126" customFormat="false" ht="17.15" hidden="false" customHeight="false" outlineLevel="0" collapsed="false">
      <c r="A126" s="0" t="s">
        <v>547</v>
      </c>
      <c r="B126" s="0" t="s">
        <v>239</v>
      </c>
      <c r="D126" s="21" t="n">
        <f aca="false">a26_rev*ai_26</f>
        <v>16.603774145</v>
      </c>
    </row>
    <row r="127" customFormat="false" ht="17.15" hidden="false" customHeight="false" outlineLevel="0" collapsed="false">
      <c r="A127" s="4" t="s">
        <v>548</v>
      </c>
      <c r="B127" s="0" t="s">
        <v>549</v>
      </c>
      <c r="D127" s="27" t="n">
        <f aca="false">D126/D125</f>
        <v>1.50022806821775</v>
      </c>
      <c r="H127" s="8" t="s">
        <v>550</v>
      </c>
    </row>
    <row r="128" customFormat="false" ht="17.15" hidden="false" customHeight="false" outlineLevel="0" collapsed="false">
      <c r="A128" s="4" t="s">
        <v>551</v>
      </c>
      <c r="B128" s="0" t="s">
        <v>131</v>
      </c>
      <c r="D128" s="16" t="n">
        <f aca="false">1</f>
        <v>1</v>
      </c>
      <c r="E128" s="16" t="n">
        <f aca="false">rel_27</f>
        <v>0.95</v>
      </c>
      <c r="F128" s="16" t="n">
        <f aca="false">rel_28</f>
        <v>0.92</v>
      </c>
      <c r="G128" s="16" t="n">
        <f aca="false">rel_29</f>
        <v>0.9</v>
      </c>
    </row>
    <row r="129" customFormat="false" ht="17.15" hidden="false" customHeight="false" outlineLevel="0" collapsed="false">
      <c r="A129" s="4" t="s">
        <v>552</v>
      </c>
      <c r="B129" s="0" t="s">
        <v>131</v>
      </c>
      <c r="D129" s="16" t="n">
        <f aca="false">1</f>
        <v>1</v>
      </c>
      <c r="E129" s="16" t="n">
        <f aca="false">pp_27</f>
        <v>0.98</v>
      </c>
      <c r="F129" s="16" t="n">
        <f aca="false">pp_28</f>
        <v>0.96</v>
      </c>
      <c r="G129" s="16" t="n">
        <f aca="false">pp_29</f>
        <v>0.95</v>
      </c>
    </row>
    <row r="130" customFormat="false" ht="17.15" hidden="false" customHeight="false" outlineLevel="0" collapsed="false">
      <c r="A130" s="0" t="s">
        <v>553</v>
      </c>
      <c r="B130" s="0" t="s">
        <v>239</v>
      </c>
      <c r="C130" s="21" t="n">
        <f aca="false">a25_rev*ai_25</f>
        <v>9.60674</v>
      </c>
      <c r="D130" s="21" t="n">
        <f aca="false">D126</f>
        <v>16.603774145</v>
      </c>
      <c r="E130" s="21" t="n">
        <f aca="false">$D$127*E125*E128*E129</f>
        <v>25.6506219681945</v>
      </c>
      <c r="F130" s="21" t="n">
        <f aca="false">$D$127*F125*F128*F129</f>
        <v>22.2070239642847</v>
      </c>
      <c r="G130" s="21" t="n">
        <f aca="false">$D$127*G125*G128*G129</f>
        <v>25.9134853668099</v>
      </c>
    </row>
    <row r="131" customFormat="false" ht="17.15" hidden="false" customHeight="false" outlineLevel="0" collapsed="false">
      <c r="A131" s="4" t="s">
        <v>554</v>
      </c>
      <c r="B131" s="0" t="s">
        <v>239</v>
      </c>
      <c r="C131" s="21" t="n">
        <f aca="false">a25_rev-C130</f>
        <v>25.32686</v>
      </c>
      <c r="D131" s="21" t="n">
        <f aca="false">a26_rev-D130</f>
        <v>30.835580555</v>
      </c>
      <c r="E131" s="21" t="n">
        <f aca="false">D131*(1+g_nai27)</f>
        <v>34.5358502216</v>
      </c>
      <c r="F131" s="21" t="n">
        <f aca="false">E131*(1+g_nai28)</f>
        <v>36.953359737112</v>
      </c>
      <c r="G131" s="21" t="n">
        <f aca="false">F131*(1+g_nai29)</f>
        <v>38.8010277239676</v>
      </c>
    </row>
    <row r="132" customFormat="false" ht="15" hidden="false" customHeight="false" outlineLevel="0" collapsed="false">
      <c r="A132" s="4" t="s">
        <v>414</v>
      </c>
      <c r="B132" s="0" t="s">
        <v>239</v>
      </c>
      <c r="C132" s="21" t="n">
        <f aca="false">C130+C131</f>
        <v>34.9336</v>
      </c>
      <c r="D132" s="21" t="n">
        <f aca="false">D130+D131</f>
        <v>47.4393547</v>
      </c>
      <c r="E132" s="21" t="n">
        <f aca="false">E130+E131</f>
        <v>60.1864721897945</v>
      </c>
      <c r="F132" s="21" t="n">
        <f aca="false">F130+F131</f>
        <v>59.1603837013967</v>
      </c>
      <c r="G132" s="21" t="n">
        <f aca="false">G130+G131</f>
        <v>64.7145130907775</v>
      </c>
    </row>
    <row r="133" customFormat="false" ht="15" hidden="false" customHeight="false" outlineLevel="0" collapsed="false">
      <c r="A133" s="4" t="s">
        <v>555</v>
      </c>
      <c r="B133" s="0" t="s">
        <v>41</v>
      </c>
      <c r="D133" s="14" t="n">
        <f aca="false">D132/C132-1</f>
        <v>0.357986428538713</v>
      </c>
      <c r="E133" s="14" t="n">
        <f aca="false">E132/D132-1</f>
        <v>0.268703433476395</v>
      </c>
      <c r="F133" s="14" t="n">
        <f aca="false">F132/E132-1</f>
        <v>-0.0170484903179265</v>
      </c>
      <c r="G133" s="14" t="n">
        <f aca="false">G132/F132-1</f>
        <v>0.0938825788793805</v>
      </c>
    </row>
    <row r="134" customFormat="false" ht="17.15" hidden="false" customHeight="false" outlineLevel="0" collapsed="false">
      <c r="A134" s="0" t="s">
        <v>556</v>
      </c>
      <c r="B134" s="0" t="s">
        <v>41</v>
      </c>
      <c r="C134" s="14" t="n">
        <f aca="false">C130/C132</f>
        <v>0.275</v>
      </c>
      <c r="D134" s="14" t="n">
        <f aca="false">D130/D132</f>
        <v>0.35</v>
      </c>
      <c r="E134" s="14" t="n">
        <f aca="false">E130/E132</f>
        <v>0.426185836034829</v>
      </c>
      <c r="F134" s="14" t="n">
        <f aca="false">F130/F132</f>
        <v>0.375369843379843</v>
      </c>
      <c r="G134" s="14" t="n">
        <f aca="false">G130/G132</f>
        <v>0.400427726783018</v>
      </c>
    </row>
    <row r="135" customFormat="false" ht="17.15" hidden="false" customHeight="false" outlineLevel="0" collapsed="false">
      <c r="A135" s="0" t="s">
        <v>502</v>
      </c>
      <c r="B135" s="0" t="s">
        <v>41</v>
      </c>
      <c r="D135" s="14" t="n">
        <f aca="false">D123/D125</f>
        <v>0.745425796250282</v>
      </c>
      <c r="E135" s="14" t="n">
        <f aca="false">E123/E125</f>
        <v>0.735093928668663</v>
      </c>
      <c r="F135" s="14" t="n">
        <f aca="false">F123/F125</f>
        <v>0.715990453460621</v>
      </c>
      <c r="G135" s="14" t="n">
        <f aca="false">G123/G125</f>
        <v>0.71210686862312</v>
      </c>
    </row>
    <row r="136" customFormat="false" ht="17.15" hidden="false" customHeight="false" outlineLevel="0" collapsed="false">
      <c r="A136" s="4" t="s">
        <v>506</v>
      </c>
      <c r="B136" s="0" t="s">
        <v>507</v>
      </c>
      <c r="D136" s="22" t="n">
        <f aca="false">D130/D125/fx*1000</f>
        <v>46.8821271318048</v>
      </c>
      <c r="E136" s="22" t="n">
        <f aca="false">E130/E125/fx*1000</f>
        <v>43.6472603597103</v>
      </c>
      <c r="F136" s="22" t="n">
        <f aca="false">F130/F125/fx*1000</f>
        <v>41.40629468281</v>
      </c>
      <c r="G136" s="22" t="n">
        <f aca="false">G130/G125/fx*1000</f>
        <v>40.0842186976931</v>
      </c>
      <c r="H136" s="4" t="s">
        <v>557</v>
      </c>
    </row>
    <row r="137" customFormat="false" ht="17.15" hidden="false" customHeight="false" outlineLevel="0" collapsed="false">
      <c r="A137" s="6" t="s">
        <v>558</v>
      </c>
    </row>
    <row r="138" customFormat="false" ht="17.15" hidden="false" customHeight="false" outlineLevel="0" collapsed="false">
      <c r="A138" s="0" t="s">
        <v>559</v>
      </c>
      <c r="B138" s="0" t="s">
        <v>131</v>
      </c>
      <c r="C138" s="16" t="n">
        <f aca="false">(a25_capex-m_cx*a25_rev)/(a25_rev-rev24)</f>
        <v>3.57284271254522</v>
      </c>
      <c r="H138" s="8" t="s">
        <v>560</v>
      </c>
    </row>
    <row r="139" customFormat="false" ht="17.15" hidden="false" customHeight="false" outlineLevel="0" collapsed="false">
      <c r="A139" s="4" t="s">
        <v>511</v>
      </c>
      <c r="B139" s="0" t="s">
        <v>239</v>
      </c>
      <c r="C139" s="21" t="n">
        <f aca="false">a25_capex</f>
        <v>32.3554</v>
      </c>
      <c r="D139" s="21" t="n">
        <f aca="false">capex_26</f>
        <v>42</v>
      </c>
      <c r="E139" s="21" t="n">
        <f aca="false">m_cx*E132+$C$138*MAX(0,E132-D132)</f>
        <v>51.5620930483496</v>
      </c>
      <c r="F139" s="21" t="n">
        <f aca="false">m_cx*F132+$C$138*MAX(0,F132-E132)</f>
        <v>5.91603837013967</v>
      </c>
      <c r="G139" s="21" t="n">
        <f aca="false">m_cx*G132+$C$138*MAX(0,G132-F132)</f>
        <v>26.3154820224601</v>
      </c>
      <c r="H139" s="8" t="s">
        <v>561</v>
      </c>
    </row>
    <row r="140" customFormat="false" ht="17.15" hidden="false" customHeight="false" outlineLevel="0" collapsed="false">
      <c r="A140" s="4" t="s">
        <v>562</v>
      </c>
      <c r="B140" s="0" t="s">
        <v>41</v>
      </c>
      <c r="C140" s="14" t="n">
        <f aca="false">C139/C132</f>
        <v>0.926197128266197</v>
      </c>
      <c r="D140" s="14" t="n">
        <f aca="false">D139/D132</f>
        <v>0.885340879225746</v>
      </c>
      <c r="E140" s="14" t="n">
        <f aca="false">E139/E132</f>
        <v>0.85670568771254</v>
      </c>
      <c r="F140" s="14" t="n">
        <f aca="false">F139/F132</f>
        <v>0.1</v>
      </c>
      <c r="G140" s="14" t="n">
        <f aca="false">G139/G132</f>
        <v>0.406639573808527</v>
      </c>
    </row>
    <row r="141" customFormat="false" ht="15" hidden="false" customHeight="false" outlineLevel="0" collapsed="false">
      <c r="A141" s="4" t="s">
        <v>563</v>
      </c>
      <c r="B141" s="0" t="s">
        <v>239</v>
      </c>
      <c r="C141" s="21" t="n">
        <f aca="false">a25_da</f>
        <v>7.5143841</v>
      </c>
      <c r="D141" s="21" t="n">
        <f aca="false">a26_da</f>
        <v>11.32770694</v>
      </c>
      <c r="E141" s="21" t="n">
        <f aca="false">D141*(1-ret)+dr*(D139+E139)/2</f>
        <v>15.9072367106592</v>
      </c>
      <c r="F141" s="21" t="n">
        <f aca="false">E141*(1-ret)+dr*(E139+F139)/2</f>
        <v>18.2731721031432</v>
      </c>
      <c r="G141" s="21" t="n">
        <f aca="false">F141*(1-ret)+dr*(F139+G139)/2</f>
        <v>19.132247119579</v>
      </c>
    </row>
    <row r="142" customFormat="false" ht="17.15" hidden="false" customHeight="false" outlineLevel="0" collapsed="false">
      <c r="A142" s="4" t="s">
        <v>515</v>
      </c>
      <c r="B142" s="0" t="s">
        <v>41</v>
      </c>
      <c r="C142" s="14" t="n">
        <f aca="false">C141/C132</f>
        <v>0.215104773055168</v>
      </c>
      <c r="D142" s="14" t="n">
        <f aca="false">D141/D132</f>
        <v>0.238782905282647</v>
      </c>
      <c r="E142" s="14" t="n">
        <f aca="false">E141/E132</f>
        <v>0.264299204321142</v>
      </c>
      <c r="F142" s="14" t="n">
        <f aca="false">F141/F132</f>
        <v>0.308875145154134</v>
      </c>
      <c r="G142" s="14" t="n">
        <f aca="false">G141/G132</f>
        <v>0.295640748972978</v>
      </c>
    </row>
    <row r="143" customFormat="false" ht="17.15" hidden="false" customHeight="false" outlineLevel="0" collapsed="false">
      <c r="A143" s="4" t="s">
        <v>564</v>
      </c>
      <c r="B143" s="0" t="s">
        <v>239</v>
      </c>
      <c r="D143" s="16" t="n">
        <f aca="false">C141*(1-ret)+dr*(C139+D139)/2-D141</f>
        <v>-0.0994950449999994</v>
      </c>
      <c r="H143" s="4" t="s">
        <v>565</v>
      </c>
    </row>
    <row r="144" customFormat="false" ht="17.15" hidden="false" customHeight="false" outlineLevel="0" collapsed="false">
      <c r="A144" s="6" t="s">
        <v>566</v>
      </c>
    </row>
    <row r="145" customFormat="false" ht="17.15" hidden="false" customHeight="false" outlineLevel="0" collapsed="false">
      <c r="A145" s="4" t="s">
        <v>567</v>
      </c>
      <c r="B145" s="0" t="s">
        <v>239</v>
      </c>
      <c r="D145" s="21" t="n">
        <f aca="false">a26_cc-v_cc*a26_rev</f>
        <v>7.9821937335</v>
      </c>
      <c r="H145" s="8" t="s">
        <v>568</v>
      </c>
    </row>
    <row r="146" customFormat="false" ht="17.15" hidden="false" customHeight="false" outlineLevel="0" collapsed="false">
      <c r="A146" s="4" t="s">
        <v>569</v>
      </c>
      <c r="B146" s="0" t="s">
        <v>239</v>
      </c>
      <c r="C146" s="21" t="n">
        <f aca="false">a25_cc</f>
        <v>14.8984</v>
      </c>
      <c r="D146" s="21" t="n">
        <f aca="false">a26_cc</f>
        <v>17.4700646735</v>
      </c>
      <c r="E146" s="21" t="n">
        <f aca="false">$D$145+v_cc*(E130/E129+E131)</f>
        <v>20.1241845876556</v>
      </c>
      <c r="F146" s="21" t="n">
        <f aca="false">$D$145+v_cc*(F130/F129+F131)</f>
        <v>19.999329006815</v>
      </c>
      <c r="G146" s="21" t="n">
        <f aca="false">$D$145+v_cc*(G130/G129+G131)</f>
        <v>21.1978698818324</v>
      </c>
      <c r="H146" s="4" t="s">
        <v>570</v>
      </c>
    </row>
    <row r="147" customFormat="false" ht="15" hidden="false" customHeight="false" outlineLevel="0" collapsed="false">
      <c r="A147" s="4" t="s">
        <v>571</v>
      </c>
      <c r="B147" s="0" t="s">
        <v>239</v>
      </c>
      <c r="C147" s="21" t="n">
        <f aca="false">C132-C146-C141</f>
        <v>12.5208159</v>
      </c>
      <c r="D147" s="21" t="n">
        <f aca="false">D132-D146-D141</f>
        <v>18.6415830865</v>
      </c>
      <c r="E147" s="21" t="n">
        <f aca="false">E132-E146-E141</f>
        <v>24.1550508914797</v>
      </c>
      <c r="F147" s="21" t="n">
        <f aca="false">F132-F146-F141</f>
        <v>20.8878825914385</v>
      </c>
      <c r="G147" s="21" t="n">
        <f aca="false">G132-G146-G141</f>
        <v>24.384396089366</v>
      </c>
    </row>
    <row r="148" customFormat="false" ht="15" hidden="false" customHeight="false" outlineLevel="0" collapsed="false">
      <c r="A148" s="4" t="s">
        <v>421</v>
      </c>
      <c r="B148" s="0" t="s">
        <v>41</v>
      </c>
      <c r="C148" s="14" t="n">
        <f aca="false">C147/C132</f>
        <v>0.358417566468958</v>
      </c>
      <c r="D148" s="14" t="n">
        <f aca="false">D147/D132</f>
        <v>0.392956084760993</v>
      </c>
      <c r="E148" s="14" t="n">
        <f aca="false">E147/E132</f>
        <v>0.401336878747572</v>
      </c>
      <c r="F148" s="14" t="n">
        <f aca="false">F147/F132</f>
        <v>0.353072128417337</v>
      </c>
      <c r="G148" s="14" t="n">
        <f aca="false">G147/G132</f>
        <v>0.376799498671359</v>
      </c>
    </row>
    <row r="149" customFormat="false" ht="15" hidden="false" customHeight="false" outlineLevel="0" collapsed="false">
      <c r="A149" s="4" t="s">
        <v>572</v>
      </c>
      <c r="B149" s="0" t="s">
        <v>239</v>
      </c>
      <c r="C149" s="21" t="n">
        <f aca="false">a25_opx</f>
        <v>3.5197</v>
      </c>
      <c r="D149" s="21" t="n">
        <f aca="false">a26_opx</f>
        <v>6.1141318375</v>
      </c>
      <c r="E149" s="21" t="n">
        <f aca="false">D149*(1+MAX(0,phi*E133))</f>
        <v>7.09986476797815</v>
      </c>
      <c r="F149" s="21" t="n">
        <f aca="false">E149*(1+MAX(0,phi*F133))</f>
        <v>7.09986476797815</v>
      </c>
      <c r="G149" s="21" t="n">
        <f aca="false">F149*(1+MAX(0,phi*G133))</f>
        <v>7.49979693644574</v>
      </c>
    </row>
    <row r="150" customFormat="false" ht="15" hidden="false" customHeight="false" outlineLevel="0" collapsed="false">
      <c r="A150" s="4" t="s">
        <v>573</v>
      </c>
      <c r="B150" s="0" t="s">
        <v>239</v>
      </c>
      <c r="C150" s="21" t="n">
        <f aca="false">C149</f>
        <v>3.5197</v>
      </c>
      <c r="D150" s="21" t="n">
        <f aca="false">D149</f>
        <v>6.1141318375</v>
      </c>
      <c r="E150" s="21" t="n">
        <f aca="false">E149+0*E132</f>
        <v>7.09986476797815</v>
      </c>
      <c r="F150" s="21" t="n">
        <f aca="false">F149+0*F132</f>
        <v>7.09986476797815</v>
      </c>
      <c r="G150" s="21" t="n">
        <f aca="false">G149+0*G132</f>
        <v>7.49979693644574</v>
      </c>
    </row>
    <row r="151" customFormat="false" ht="15" hidden="false" customHeight="false" outlineLevel="0" collapsed="false">
      <c r="A151" s="4" t="s">
        <v>430</v>
      </c>
      <c r="B151" s="0" t="s">
        <v>239</v>
      </c>
      <c r="C151" s="21" t="n">
        <f aca="false">C147-C150</f>
        <v>9.0011159</v>
      </c>
      <c r="D151" s="21" t="n">
        <f aca="false">D147-D150</f>
        <v>12.527451249</v>
      </c>
      <c r="E151" s="21" t="n">
        <f aca="false">E147-E150</f>
        <v>17.0551861235015</v>
      </c>
      <c r="F151" s="21" t="n">
        <f aca="false">F147-F150</f>
        <v>13.7880178234603</v>
      </c>
      <c r="G151" s="21" t="n">
        <f aca="false">G147-G150</f>
        <v>16.8845991529203</v>
      </c>
    </row>
    <row r="152" customFormat="false" ht="15" hidden="false" customHeight="false" outlineLevel="0" collapsed="false">
      <c r="A152" s="4" t="s">
        <v>432</v>
      </c>
      <c r="B152" s="0" t="s">
        <v>41</v>
      </c>
      <c r="C152" s="14" t="n">
        <f aca="false">C151/C132</f>
        <v>0.25766356459111</v>
      </c>
      <c r="D152" s="14" t="n">
        <f aca="false">D151/D132</f>
        <v>0.264072969124936</v>
      </c>
      <c r="E152" s="14" t="n">
        <f aca="false">E151/E132</f>
        <v>0.283372417471471</v>
      </c>
      <c r="F152" s="14" t="n">
        <f aca="false">F151/F132</f>
        <v>0.233061670002908</v>
      </c>
      <c r="G152" s="14" t="n">
        <f aca="false">G151/G132</f>
        <v>0.260909003970031</v>
      </c>
    </row>
    <row r="153" customFormat="false" ht="17.15" hidden="false" customHeight="false" outlineLevel="0" collapsed="false">
      <c r="A153" s="0" t="s">
        <v>574</v>
      </c>
      <c r="B153" s="0" t="s">
        <v>239</v>
      </c>
      <c r="C153" s="21" t="n">
        <f aca="false">C151+C141</f>
        <v>16.5155</v>
      </c>
      <c r="D153" s="21" t="n">
        <f aca="false">D151+D141</f>
        <v>23.855158189</v>
      </c>
      <c r="E153" s="21" t="n">
        <f aca="false">E151+E141</f>
        <v>32.9624228341608</v>
      </c>
      <c r="F153" s="21" t="n">
        <f aca="false">F151+F141</f>
        <v>32.0611899266035</v>
      </c>
      <c r="G153" s="21" t="n">
        <f aca="false">G151+G141</f>
        <v>36.0168462724993</v>
      </c>
    </row>
    <row r="154" customFormat="false" ht="17.15" hidden="false" customHeight="false" outlineLevel="0" collapsed="false">
      <c r="A154" s="0" t="s">
        <v>575</v>
      </c>
      <c r="B154" s="0" t="s">
        <v>239</v>
      </c>
      <c r="C154" s="21" t="n">
        <f aca="false">C153-C139</f>
        <v>-15.8399</v>
      </c>
      <c r="D154" s="21" t="n">
        <f aca="false">D153-D139</f>
        <v>-18.144841811</v>
      </c>
      <c r="E154" s="21" t="n">
        <f aca="false">E153-E139</f>
        <v>-18.5996702141888</v>
      </c>
      <c r="F154" s="21" t="n">
        <f aca="false">F153-F139</f>
        <v>26.1451515564638</v>
      </c>
      <c r="G154" s="21" t="n">
        <f aca="false">G153-G139</f>
        <v>9.70136425003918</v>
      </c>
    </row>
    <row r="155" customFormat="false" ht="17.15" hidden="false" customHeight="false" outlineLevel="0" collapsed="false">
      <c r="A155" s="4" t="s">
        <v>433</v>
      </c>
      <c r="B155" s="0" t="s">
        <v>239</v>
      </c>
      <c r="C155" s="21" t="n">
        <f aca="false">a25_ni</f>
        <v>11.015</v>
      </c>
      <c r="D155" s="21" t="n">
        <f aca="false">a26_ni</f>
        <v>10.66608446065</v>
      </c>
      <c r="E155" s="21" t="n">
        <f aca="false">E151*nir_f</f>
        <v>14.3263563437413</v>
      </c>
      <c r="F155" s="21" t="n">
        <f aca="false">F151*nir_f</f>
        <v>11.5819349717067</v>
      </c>
      <c r="G155" s="21" t="n">
        <f aca="false">G151*nir_f</f>
        <v>14.183063288453</v>
      </c>
      <c r="H155" s="8" t="s">
        <v>438</v>
      </c>
    </row>
    <row r="156" customFormat="false" ht="17.15" hidden="false" customHeight="false" outlineLevel="0" collapsed="false">
      <c r="A156" s="4" t="s">
        <v>437</v>
      </c>
      <c r="B156" s="0" t="s">
        <v>41</v>
      </c>
      <c r="C156" s="14" t="n">
        <f aca="false">C155/C151</f>
        <v>1.22373715907824</v>
      </c>
      <c r="D156" s="14" t="n">
        <f aca="false">D155/D151</f>
        <v>0.851416960133963</v>
      </c>
      <c r="E156" s="14" t="n">
        <f aca="false">E155/E151</f>
        <v>0.84</v>
      </c>
      <c r="F156" s="14" t="n">
        <f aca="false">F155/F151</f>
        <v>0.84</v>
      </c>
      <c r="G156" s="14" t="n">
        <f aca="false">G155/G151</f>
        <v>0.84</v>
      </c>
    </row>
    <row r="157" customFormat="false" ht="15" hidden="false" customHeight="false" outlineLevel="0" collapsed="false">
      <c r="A157" s="4" t="s">
        <v>576</v>
      </c>
      <c r="B157" s="4" t="s">
        <v>294</v>
      </c>
      <c r="C157" s="27" t="n">
        <f aca="false">a25_sh</f>
        <v>1.22253052164262</v>
      </c>
      <c r="D157" s="27" t="n">
        <f aca="false">a26_sh</f>
        <v>1.28264705882353</v>
      </c>
      <c r="E157" s="27" t="n">
        <f aca="false">D157*(1+sh_g)</f>
        <v>1.28264705882353</v>
      </c>
      <c r="F157" s="27" t="n">
        <f aca="false">E157*(1+sh_g)</f>
        <v>1.28264705882353</v>
      </c>
      <c r="G157" s="27" t="n">
        <f aca="false">F157*(1+sh_g)</f>
        <v>1.28264705882353</v>
      </c>
    </row>
    <row r="158" customFormat="false" ht="15" hidden="false" customHeight="false" outlineLevel="0" collapsed="false">
      <c r="A158" s="0" t="s">
        <v>442</v>
      </c>
      <c r="B158" s="0" t="s">
        <v>315</v>
      </c>
      <c r="C158" s="21" t="n">
        <f aca="false">C155/C157</f>
        <v>9.01</v>
      </c>
      <c r="D158" s="21" t="n">
        <f aca="false">D155/D157</f>
        <v>8.31568153318276</v>
      </c>
      <c r="E158" s="21" t="n">
        <f aca="false">E155/E157</f>
        <v>11.1693674773493</v>
      </c>
      <c r="F158" s="21" t="n">
        <f aca="false">F155/F157</f>
        <v>9.02971311712971</v>
      </c>
      <c r="G158" s="21" t="n">
        <f aca="false">G155/G157</f>
        <v>11.0576508096171</v>
      </c>
    </row>
    <row r="159" customFormat="false" ht="17.15" hidden="false" customHeight="false" outlineLevel="0" collapsed="false">
      <c r="A159" s="0" t="s">
        <v>577</v>
      </c>
      <c r="B159" s="0" t="s">
        <v>41</v>
      </c>
      <c r="D159" s="14" t="n">
        <f aca="false">D158/C158-1</f>
        <v>-0.0770608731206708</v>
      </c>
      <c r="E159" s="14" t="n">
        <f aca="false">E158/D158-1</f>
        <v>0.343169219838358</v>
      </c>
      <c r="F159" s="14" t="n">
        <f aca="false">F158/E158-1</f>
        <v>-0.191564505739352</v>
      </c>
      <c r="G159" s="14" t="n">
        <f aca="false">G158/F158-1</f>
        <v>0.224584952609442</v>
      </c>
      <c r="H159" s="8" t="s">
        <v>578</v>
      </c>
    </row>
    <row r="162" customFormat="false" ht="17.15" hidden="false" customHeight="false" outlineLevel="0" collapsed="false">
      <c r="A162" s="1" t="s">
        <v>580</v>
      </c>
    </row>
    <row r="163" customFormat="false" ht="17.15" hidden="false" customHeight="false" outlineLevel="0" collapsed="false">
      <c r="A163" s="5" t="s">
        <v>17</v>
      </c>
      <c r="B163" s="5" t="s">
        <v>18</v>
      </c>
      <c r="C163" s="12" t="s">
        <v>409</v>
      </c>
      <c r="D163" s="12" t="s">
        <v>520</v>
      </c>
      <c r="E163" s="12" t="s">
        <v>521</v>
      </c>
      <c r="F163" s="12" t="s">
        <v>522</v>
      </c>
      <c r="G163" s="12" t="s">
        <v>523</v>
      </c>
      <c r="H163" s="5" t="s">
        <v>488</v>
      </c>
    </row>
    <row r="164" customFormat="false" ht="17.15" hidden="false" customHeight="false" outlineLevel="0" collapsed="false">
      <c r="A164" s="6" t="s">
        <v>543</v>
      </c>
    </row>
    <row r="165" customFormat="false" ht="17.15" hidden="false" customHeight="false" outlineLevel="0" collapsed="false">
      <c r="A165" s="0" t="s">
        <v>491</v>
      </c>
      <c r="B165" s="4" t="s">
        <v>28</v>
      </c>
      <c r="D165" s="16" t="n">
        <f aca="false">u_bw_26*tt_bw</f>
        <v>5.4</v>
      </c>
      <c r="E165" s="16" t="n">
        <f aca="false">u_bw_27*1*tt_bw</f>
        <v>2.4</v>
      </c>
      <c r="F165" s="16" t="n">
        <f aca="false">u_bw_28*um28_C*1*tt_bw</f>
        <v>0.3</v>
      </c>
      <c r="G165" s="16" t="n">
        <f aca="false">u_bw_28*(1+g29_bw)*um29_C*1*tt_bw</f>
        <v>0.15</v>
      </c>
    </row>
    <row r="166" customFormat="false" ht="17.15" hidden="false" customHeight="false" outlineLevel="0" collapsed="false">
      <c r="A166" s="0" t="s">
        <v>493</v>
      </c>
      <c r="B166" s="4" t="s">
        <v>28</v>
      </c>
      <c r="D166" s="16" t="n">
        <f aca="false">u_rb_26*tt_rb</f>
        <v>2.55</v>
      </c>
      <c r="E166" s="16" t="n">
        <f aca="false">u_rb_27*1*tt_rb</f>
        <v>10.5</v>
      </c>
      <c r="F166" s="16" t="n">
        <f aca="false">u_rb_28*um28_C*1*tt_rb</f>
        <v>6.3</v>
      </c>
      <c r="G166" s="16" t="n">
        <f aca="false">u_rb_28*(1+g29_rb)*um29_C*1*tt_rb</f>
        <v>7.245</v>
      </c>
    </row>
    <row r="167" customFormat="false" ht="17.15" hidden="false" customHeight="false" outlineLevel="0" collapsed="false">
      <c r="A167" s="0" t="s">
        <v>494</v>
      </c>
      <c r="B167" s="4" t="s">
        <v>28</v>
      </c>
      <c r="D167" s="16" t="n">
        <f aca="false">u_ru_26*tt_ru</f>
        <v>0</v>
      </c>
      <c r="E167" s="16" t="n">
        <f aca="false">u_ru_27*1*tt_ru</f>
        <v>0.6</v>
      </c>
      <c r="F167" s="16" t="n">
        <f aca="false">u_ru_28*um28_C*1*tt_ru</f>
        <v>2.4</v>
      </c>
      <c r="G167" s="16" t="n">
        <f aca="false">u_ru_28*(1+g29_ru)*um29_C*1*tt_ru</f>
        <v>2.76</v>
      </c>
    </row>
    <row r="168" customFormat="false" ht="17.15" hidden="false" customHeight="false" outlineLevel="0" collapsed="false">
      <c r="A168" s="0" t="s">
        <v>495</v>
      </c>
      <c r="B168" s="4" t="s">
        <v>28</v>
      </c>
      <c r="D168" s="16" t="n">
        <f aca="false">u_hp_26*tt_hp</f>
        <v>0.3</v>
      </c>
      <c r="E168" s="16" t="n">
        <f aca="false">u_hp_27*1*tt_hp</f>
        <v>0</v>
      </c>
      <c r="F168" s="16" t="n">
        <f aca="false">u_hp_28*um28_C*1*tt_hp</f>
        <v>0</v>
      </c>
      <c r="G168" s="16" t="n">
        <f aca="false">u_hp_28*(1+g29_hp)*um29_C*1*tt_hp</f>
        <v>0</v>
      </c>
    </row>
    <row r="169" customFormat="false" ht="17.15" hidden="false" customHeight="false" outlineLevel="0" collapsed="false">
      <c r="A169" s="0" t="s">
        <v>496</v>
      </c>
      <c r="B169" s="4" t="s">
        <v>28</v>
      </c>
      <c r="D169" s="16" t="n">
        <f aca="false">u_amd_26*tt_amd*ex_amd</f>
        <v>0.165</v>
      </c>
      <c r="E169" s="16" t="n">
        <f aca="false">u_amd_27*1*tt_amd*ex_amd</f>
        <v>0.33</v>
      </c>
      <c r="F169" s="16" t="n">
        <f aca="false">u_amd_28*um28_C*1*tt_amd*ex_amd</f>
        <v>0.264</v>
      </c>
      <c r="G169" s="16" t="n">
        <f aca="false">u_amd_28*(1+g29_amd)*um29_C*1*tt_amd*ex_amd</f>
        <v>0.3036</v>
      </c>
    </row>
    <row r="170" customFormat="false" ht="17.15" hidden="false" customHeight="false" outlineLevel="0" collapsed="false">
      <c r="A170" s="0" t="s">
        <v>498</v>
      </c>
      <c r="B170" s="4" t="s">
        <v>28</v>
      </c>
      <c r="D170" s="16" t="n">
        <f aca="false">u_tpu_26*tt_tpu*ex_tpu</f>
        <v>1.7325</v>
      </c>
      <c r="E170" s="16" t="n">
        <f aca="false">u_tpu_27*1*tt_tpu*ex_tpu</f>
        <v>2.475</v>
      </c>
      <c r="F170" s="16" t="n">
        <f aca="false">u_tpu_28*um28_C*1*tt_tpu*ex_tpu</f>
        <v>1.89</v>
      </c>
      <c r="G170" s="16" t="n">
        <f aca="false">u_tpu_28*(1+g29_tpu)*um29_C*1*tt_tpu*ex_tpu</f>
        <v>2.1735</v>
      </c>
    </row>
    <row r="171" customFormat="false" ht="17.15" hidden="false" customHeight="false" outlineLevel="0" collapsed="false">
      <c r="A171" s="0" t="s">
        <v>499</v>
      </c>
      <c r="B171" s="4" t="s">
        <v>28</v>
      </c>
      <c r="D171" s="16" t="n">
        <f aca="false">u_trn_26*tt_trn*ex_trn</f>
        <v>0.64</v>
      </c>
      <c r="E171" s="16" t="n">
        <f aca="false">u_trn_27*1*tt_trn*ex_trn</f>
        <v>0.8</v>
      </c>
      <c r="F171" s="16" t="n">
        <f aca="false">u_trn_28*um28_C*1*tt_trn*ex_trn</f>
        <v>0.576</v>
      </c>
      <c r="G171" s="16" t="n">
        <f aca="false">u_trn_28*(1+g29_trn)*um29_C*1*tt_trn*ex_trn</f>
        <v>0.6624</v>
      </c>
    </row>
    <row r="172" customFormat="false" ht="17.15" hidden="false" customHeight="false" outlineLevel="0" collapsed="false">
      <c r="A172" s="4" t="s">
        <v>500</v>
      </c>
      <c r="B172" s="4" t="s">
        <v>28</v>
      </c>
      <c r="D172" s="16" t="n">
        <f aca="false">u_oth_26*tt_oth*ex_oth</f>
        <v>0.28</v>
      </c>
      <c r="E172" s="16" t="n">
        <f aca="false">u_oth_27*1*tt_oth*ex_oth</f>
        <v>1.26</v>
      </c>
      <c r="F172" s="16" t="n">
        <f aca="false">u_oth_28*um28_C*1*tt_oth*ex_oth</f>
        <v>0.84</v>
      </c>
      <c r="G172" s="16" t="n">
        <f aca="false">u_oth_28*(1+g29_oth)*um29_C*1*tt_oth*ex_oth</f>
        <v>0.966</v>
      </c>
    </row>
    <row r="173" customFormat="false" ht="15" hidden="false" customHeight="false" outlineLevel="0" collapsed="false">
      <c r="A173" s="4" t="s">
        <v>489</v>
      </c>
      <c r="B173" s="4" t="s">
        <v>28</v>
      </c>
      <c r="D173" s="16" t="n">
        <f aca="false">u_bw_26+u_rb_26+u_ru_26+u_hp_26+u_amd_26+u_tpu_26+u_trn_26+u_oth_26</f>
        <v>15.2</v>
      </c>
      <c r="E173" s="16" t="n">
        <f aca="false">u_bw_27*1+u_rb_27*1+u_ru_27*1+u_hp_27*1+u_amd_27*1+u_tpu_27*1+u_trn_27*1+u_oth_27*1</f>
        <v>23.7</v>
      </c>
      <c r="F173" s="16" t="n">
        <f aca="false">u_bw_28*um28_C*1+u_rb_28*um28_C*1+u_ru_28*um28_C*1+u_hp_28*um28_C*1+u_amd_28*um28_C*1+u_tpu_28*um28_C*1+u_trn_28*um28_C*1+u_oth_28*um28_C*1</f>
        <v>15.9</v>
      </c>
      <c r="G173" s="16" t="n">
        <f aca="false">u_bw_28*(1+g29_bw)*um29_C*1+u_rb_28*(1+g29_rb)*um29_C*1+u_ru_28*(1+g29_ru)*um29_C*1+u_hp_28*(1+g29_hp)*um29_C*1+u_amd_28*(1+g29_amd)*um29_C*1+u_tpu_28*(1+g29_tpu)*um29_C*1+u_trn_28*(1+g29_trn)*um29_C*1+u_oth_28*(1+g29_oth)*um29_C*1</f>
        <v>18.09</v>
      </c>
    </row>
    <row r="174" customFormat="false" ht="17.15" hidden="false" customHeight="false" outlineLevel="0" collapsed="false">
      <c r="A174" s="0" t="s">
        <v>544</v>
      </c>
      <c r="B174" s="4" t="s">
        <v>28</v>
      </c>
      <c r="D174" s="16" t="n">
        <f aca="false">D165+D166+D167+D168</f>
        <v>8.25</v>
      </c>
      <c r="E174" s="16" t="n">
        <f aca="false">E165+E166+E167+E168</f>
        <v>13.5</v>
      </c>
      <c r="F174" s="16" t="n">
        <f aca="false">F165+F166+F167+F168</f>
        <v>9</v>
      </c>
      <c r="G174" s="16" t="n">
        <f aca="false">G165+G166+G167+G168</f>
        <v>10.155</v>
      </c>
    </row>
    <row r="175" customFormat="false" ht="17.15" hidden="false" customHeight="false" outlineLevel="0" collapsed="false">
      <c r="A175" s="0" t="s">
        <v>545</v>
      </c>
      <c r="B175" s="4" t="s">
        <v>28</v>
      </c>
      <c r="D175" s="16" t="n">
        <f aca="false">D169+D170+D171+D172</f>
        <v>2.8175</v>
      </c>
      <c r="E175" s="16" t="n">
        <f aca="false">E169+E170+E171+E172</f>
        <v>4.865</v>
      </c>
      <c r="F175" s="16" t="n">
        <f aca="false">F169+F170+F171+F172</f>
        <v>3.57</v>
      </c>
      <c r="G175" s="16" t="n">
        <f aca="false">G169+G170+G171+G172</f>
        <v>4.1055</v>
      </c>
    </row>
    <row r="176" customFormat="false" ht="15" hidden="false" customHeight="false" outlineLevel="0" collapsed="false">
      <c r="A176" s="4" t="s">
        <v>546</v>
      </c>
      <c r="B176" s="4" t="s">
        <v>28</v>
      </c>
      <c r="D176" s="16" t="n">
        <f aca="false">D174+D175</f>
        <v>11.0675</v>
      </c>
      <c r="E176" s="16" t="n">
        <f aca="false">E174+E175</f>
        <v>18.365</v>
      </c>
      <c r="F176" s="16" t="n">
        <f aca="false">F174+F175</f>
        <v>12.57</v>
      </c>
      <c r="G176" s="16" t="n">
        <f aca="false">G174+G175</f>
        <v>14.2605</v>
      </c>
    </row>
    <row r="177" customFormat="false" ht="17.15" hidden="false" customHeight="false" outlineLevel="0" collapsed="false">
      <c r="A177" s="0" t="s">
        <v>547</v>
      </c>
      <c r="B177" s="0" t="s">
        <v>239</v>
      </c>
      <c r="D177" s="21" t="n">
        <f aca="false">a26_rev*ai_26</f>
        <v>16.603774145</v>
      </c>
    </row>
    <row r="178" customFormat="false" ht="17.15" hidden="false" customHeight="false" outlineLevel="0" collapsed="false">
      <c r="A178" s="4" t="s">
        <v>548</v>
      </c>
      <c r="B178" s="0" t="s">
        <v>549</v>
      </c>
      <c r="D178" s="27" t="n">
        <f aca="false">D177/D176</f>
        <v>1.50022806821775</v>
      </c>
      <c r="H178" s="8" t="s">
        <v>550</v>
      </c>
    </row>
    <row r="179" customFormat="false" ht="17.15" hidden="false" customHeight="false" outlineLevel="0" collapsed="false">
      <c r="A179" s="4" t="s">
        <v>551</v>
      </c>
      <c r="B179" s="0" t="s">
        <v>131</v>
      </c>
      <c r="D179" s="16" t="n">
        <f aca="false">1</f>
        <v>1</v>
      </c>
      <c r="E179" s="16" t="n">
        <f aca="false">rel_27</f>
        <v>0.95</v>
      </c>
      <c r="F179" s="16" t="n">
        <f aca="false">rel_28</f>
        <v>0.92</v>
      </c>
      <c r="G179" s="16" t="n">
        <f aca="false">rel_29</f>
        <v>0.9</v>
      </c>
    </row>
    <row r="180" customFormat="false" ht="17.15" hidden="false" customHeight="false" outlineLevel="0" collapsed="false">
      <c r="A180" s="4" t="s">
        <v>552</v>
      </c>
      <c r="B180" s="0" t="s">
        <v>131</v>
      </c>
      <c r="D180" s="16" t="n">
        <f aca="false">1</f>
        <v>1</v>
      </c>
      <c r="E180" s="16" t="n">
        <f aca="false">pp_27</f>
        <v>0.98</v>
      </c>
      <c r="F180" s="16" t="n">
        <f aca="false">pp_28</f>
        <v>0.96</v>
      </c>
      <c r="G180" s="16" t="n">
        <f aca="false">pp_29</f>
        <v>0.95</v>
      </c>
    </row>
    <row r="181" customFormat="false" ht="17.15" hidden="false" customHeight="false" outlineLevel="0" collapsed="false">
      <c r="A181" s="0" t="s">
        <v>553</v>
      </c>
      <c r="B181" s="0" t="s">
        <v>239</v>
      </c>
      <c r="C181" s="21" t="n">
        <f aca="false">a25_rev*ai_25</f>
        <v>9.60674</v>
      </c>
      <c r="D181" s="21" t="n">
        <f aca="false">D177</f>
        <v>16.603774145</v>
      </c>
      <c r="E181" s="21" t="n">
        <f aca="false">$D$178*E176*E179*E180</f>
        <v>25.6506219681945</v>
      </c>
      <c r="F181" s="21" t="n">
        <f aca="false">$D$178*F176*F179*F180</f>
        <v>16.6552679732135</v>
      </c>
      <c r="G181" s="21" t="n">
        <f aca="false">$D$178*G176*G179*G180</f>
        <v>18.2918720236305</v>
      </c>
    </row>
    <row r="182" customFormat="false" ht="17.15" hidden="false" customHeight="false" outlineLevel="0" collapsed="false">
      <c r="A182" s="4" t="s">
        <v>554</v>
      </c>
      <c r="B182" s="0" t="s">
        <v>239</v>
      </c>
      <c r="C182" s="21" t="n">
        <f aca="false">a25_rev-C181</f>
        <v>25.32686</v>
      </c>
      <c r="D182" s="21" t="n">
        <f aca="false">a26_rev-D181</f>
        <v>30.835580555</v>
      </c>
      <c r="E182" s="21" t="n">
        <f aca="false">D182*(1+g_nai27)</f>
        <v>34.5358502216</v>
      </c>
      <c r="F182" s="21" t="n">
        <f aca="false">E182*(1+g_nai28)</f>
        <v>36.953359737112</v>
      </c>
      <c r="G182" s="21" t="n">
        <f aca="false">F182*(1+g_nai29)</f>
        <v>38.8010277239676</v>
      </c>
    </row>
    <row r="183" customFormat="false" ht="15" hidden="false" customHeight="false" outlineLevel="0" collapsed="false">
      <c r="A183" s="4" t="s">
        <v>414</v>
      </c>
      <c r="B183" s="0" t="s">
        <v>239</v>
      </c>
      <c r="C183" s="21" t="n">
        <f aca="false">C181+C182</f>
        <v>34.9336</v>
      </c>
      <c r="D183" s="21" t="n">
        <f aca="false">D181+D182</f>
        <v>47.4393547</v>
      </c>
      <c r="E183" s="21" t="n">
        <f aca="false">E181+E182</f>
        <v>60.1864721897945</v>
      </c>
      <c r="F183" s="21" t="n">
        <f aca="false">F181+F182</f>
        <v>53.6086277103255</v>
      </c>
      <c r="G183" s="21" t="n">
        <f aca="false">G181+G182</f>
        <v>57.0928997475981</v>
      </c>
    </row>
    <row r="184" customFormat="false" ht="15" hidden="false" customHeight="false" outlineLevel="0" collapsed="false">
      <c r="A184" s="4" t="s">
        <v>555</v>
      </c>
      <c r="B184" s="0" t="s">
        <v>41</v>
      </c>
      <c r="D184" s="14" t="n">
        <f aca="false">D183/C183-1</f>
        <v>0.357986428538713</v>
      </c>
      <c r="E184" s="14" t="n">
        <f aca="false">E183/D183-1</f>
        <v>0.268703433476395</v>
      </c>
      <c r="F184" s="14" t="n">
        <f aca="false">F183/E183-1</f>
        <v>-0.109291078877762</v>
      </c>
      <c r="G184" s="14" t="n">
        <f aca="false">G183/F183-1</f>
        <v>0.0649946134808723</v>
      </c>
    </row>
    <row r="185" customFormat="false" ht="17.15" hidden="false" customHeight="false" outlineLevel="0" collapsed="false">
      <c r="A185" s="0" t="s">
        <v>556</v>
      </c>
      <c r="B185" s="0" t="s">
        <v>41</v>
      </c>
      <c r="C185" s="14" t="n">
        <f aca="false">C181/C183</f>
        <v>0.275</v>
      </c>
      <c r="D185" s="14" t="n">
        <f aca="false">D181/D183</f>
        <v>0.35</v>
      </c>
      <c r="E185" s="14" t="n">
        <f aca="false">E181/E183</f>
        <v>0.426185836034829</v>
      </c>
      <c r="F185" s="14" t="n">
        <f aca="false">F181/F183</f>
        <v>0.310682602494702</v>
      </c>
      <c r="G185" s="14" t="n">
        <f aca="false">G181/G183</f>
        <v>0.320387860916103</v>
      </c>
    </row>
    <row r="186" customFormat="false" ht="17.15" hidden="false" customHeight="false" outlineLevel="0" collapsed="false">
      <c r="A186" s="0" t="s">
        <v>502</v>
      </c>
      <c r="B186" s="0" t="s">
        <v>41</v>
      </c>
      <c r="D186" s="14" t="n">
        <f aca="false">D174/D176</f>
        <v>0.745425796250282</v>
      </c>
      <c r="E186" s="14" t="n">
        <f aca="false">E174/E176</f>
        <v>0.735093928668663</v>
      </c>
      <c r="F186" s="14" t="n">
        <f aca="false">F174/F176</f>
        <v>0.715990453460621</v>
      </c>
      <c r="G186" s="14" t="n">
        <f aca="false">G174/G176</f>
        <v>0.71210686862312</v>
      </c>
    </row>
    <row r="187" customFormat="false" ht="17.15" hidden="false" customHeight="false" outlineLevel="0" collapsed="false">
      <c r="A187" s="4" t="s">
        <v>506</v>
      </c>
      <c r="B187" s="0" t="s">
        <v>507</v>
      </c>
      <c r="D187" s="22" t="n">
        <f aca="false">D181/D176/fx*1000</f>
        <v>46.8821271318048</v>
      </c>
      <c r="E187" s="22" t="n">
        <f aca="false">E181/E176/fx*1000</f>
        <v>43.6472603597103</v>
      </c>
      <c r="F187" s="22" t="n">
        <f aca="false">F181/F176/fx*1000</f>
        <v>41.40629468281</v>
      </c>
      <c r="G187" s="22" t="n">
        <f aca="false">G181/G176/fx*1000</f>
        <v>40.0842186976931</v>
      </c>
      <c r="H187" s="4" t="s">
        <v>557</v>
      </c>
    </row>
    <row r="188" customFormat="false" ht="17.15" hidden="false" customHeight="false" outlineLevel="0" collapsed="false">
      <c r="A188" s="6" t="s">
        <v>558</v>
      </c>
    </row>
    <row r="189" customFormat="false" ht="17.15" hidden="false" customHeight="false" outlineLevel="0" collapsed="false">
      <c r="A189" s="0" t="s">
        <v>559</v>
      </c>
      <c r="B189" s="0" t="s">
        <v>131</v>
      </c>
      <c r="C189" s="16" t="n">
        <f aca="false">(a25_capex-m_cx*a25_rev)/(a25_rev-rev24)</f>
        <v>3.57284271254522</v>
      </c>
      <c r="H189" s="8" t="s">
        <v>560</v>
      </c>
    </row>
    <row r="190" customFormat="false" ht="17.15" hidden="false" customHeight="false" outlineLevel="0" collapsed="false">
      <c r="A190" s="4" t="s">
        <v>511</v>
      </c>
      <c r="B190" s="0" t="s">
        <v>239</v>
      </c>
      <c r="C190" s="21" t="n">
        <f aca="false">a25_capex</f>
        <v>32.3554</v>
      </c>
      <c r="D190" s="21" t="n">
        <f aca="false">capex_26</f>
        <v>42</v>
      </c>
      <c r="E190" s="21" t="n">
        <f aca="false">m_cx*E183+$C$189*MAX(0,E183-D183)</f>
        <v>51.5620930483496</v>
      </c>
      <c r="F190" s="21" t="n">
        <f aca="false">m_cx*F183+$C$189*MAX(0,F183-E183)</f>
        <v>5.36086277103255</v>
      </c>
      <c r="G190" s="21" t="n">
        <f aca="false">m_cx*G183+$C$189*MAX(0,G183-F183)</f>
        <v>18.1580459316543</v>
      </c>
      <c r="H190" s="8" t="s">
        <v>561</v>
      </c>
    </row>
    <row r="191" customFormat="false" ht="17.15" hidden="false" customHeight="false" outlineLevel="0" collapsed="false">
      <c r="A191" s="4" t="s">
        <v>562</v>
      </c>
      <c r="B191" s="0" t="s">
        <v>41</v>
      </c>
      <c r="C191" s="14" t="n">
        <f aca="false">C190/C183</f>
        <v>0.926197128266197</v>
      </c>
      <c r="D191" s="14" t="n">
        <f aca="false">D190/D183</f>
        <v>0.885340879225746</v>
      </c>
      <c r="E191" s="14" t="n">
        <f aca="false">E190/E183</f>
        <v>0.85670568771254</v>
      </c>
      <c r="F191" s="14" t="n">
        <f aca="false">F190/F183</f>
        <v>0.1</v>
      </c>
      <c r="G191" s="14" t="n">
        <f aca="false">G190/G183</f>
        <v>0.318043855049037</v>
      </c>
    </row>
    <row r="192" customFormat="false" ht="15" hidden="false" customHeight="false" outlineLevel="0" collapsed="false">
      <c r="A192" s="4" t="s">
        <v>563</v>
      </c>
      <c r="B192" s="0" t="s">
        <v>239</v>
      </c>
      <c r="C192" s="21" t="n">
        <f aca="false">a25_da</f>
        <v>7.5143841</v>
      </c>
      <c r="D192" s="21" t="n">
        <f aca="false">a26_da</f>
        <v>11.32770694</v>
      </c>
      <c r="E192" s="21" t="n">
        <f aca="false">D192*(1-ret)+dr*(D190+E190)/2</f>
        <v>15.9072367106592</v>
      </c>
      <c r="F192" s="21" t="n">
        <f aca="false">E192*(1-ret)+dr*(E190+F190)/2</f>
        <v>18.2426374451923</v>
      </c>
      <c r="G192" s="21" t="n">
        <f aca="false">F192*(1-ret)+dr*(F190+G190)/2</f>
        <v>18.6240455515804</v>
      </c>
    </row>
    <row r="193" customFormat="false" ht="17.15" hidden="false" customHeight="false" outlineLevel="0" collapsed="false">
      <c r="A193" s="4" t="s">
        <v>515</v>
      </c>
      <c r="B193" s="0" t="s">
        <v>41</v>
      </c>
      <c r="C193" s="14" t="n">
        <f aca="false">C192/C183</f>
        <v>0.215104773055168</v>
      </c>
      <c r="D193" s="14" t="n">
        <f aca="false">D192/D183</f>
        <v>0.238782905282647</v>
      </c>
      <c r="E193" s="14" t="n">
        <f aca="false">E192/E183</f>
        <v>0.264299204321142</v>
      </c>
      <c r="F193" s="14" t="n">
        <f aca="false">F192/F183</f>
        <v>0.340292938363699</v>
      </c>
      <c r="G193" s="14" t="n">
        <f aca="false">G192/G183</f>
        <v>0.326205984175186</v>
      </c>
    </row>
    <row r="194" customFormat="false" ht="17.15" hidden="false" customHeight="false" outlineLevel="0" collapsed="false">
      <c r="A194" s="4" t="s">
        <v>564</v>
      </c>
      <c r="B194" s="0" t="s">
        <v>239</v>
      </c>
      <c r="D194" s="16" t="n">
        <f aca="false">C192*(1-ret)+dr*(C190+D190)/2-D192</f>
        <v>-0.0994950449999994</v>
      </c>
      <c r="H194" s="4" t="s">
        <v>565</v>
      </c>
    </row>
    <row r="195" customFormat="false" ht="17.15" hidden="false" customHeight="false" outlineLevel="0" collapsed="false">
      <c r="A195" s="6" t="s">
        <v>566</v>
      </c>
    </row>
    <row r="196" customFormat="false" ht="17.15" hidden="false" customHeight="false" outlineLevel="0" collapsed="false">
      <c r="A196" s="4" t="s">
        <v>567</v>
      </c>
      <c r="B196" s="0" t="s">
        <v>239</v>
      </c>
      <c r="D196" s="21" t="n">
        <f aca="false">a26_cc-v_cc*a26_rev</f>
        <v>7.9821937335</v>
      </c>
      <c r="H196" s="8" t="s">
        <v>568</v>
      </c>
    </row>
    <row r="197" customFormat="false" ht="17.15" hidden="false" customHeight="false" outlineLevel="0" collapsed="false">
      <c r="A197" s="4" t="s">
        <v>569</v>
      </c>
      <c r="B197" s="0" t="s">
        <v>239</v>
      </c>
      <c r="C197" s="21" t="n">
        <f aca="false">a25_cc</f>
        <v>14.8984</v>
      </c>
      <c r="D197" s="21" t="n">
        <f aca="false">a26_cc</f>
        <v>17.4700646735</v>
      </c>
      <c r="E197" s="21" t="n">
        <f aca="false">$D$196+v_cc*(E181/E180+E182)</f>
        <v>20.1241845876556</v>
      </c>
      <c r="F197" s="21" t="n">
        <f aca="false">$D$196+v_cc*(F181/F180+F182)</f>
        <v>18.8427131753419</v>
      </c>
      <c r="G197" s="21" t="n">
        <f aca="false">$D$196+v_cc*(G181/G180+G182)</f>
        <v>19.593319704321</v>
      </c>
      <c r="H197" s="4" t="s">
        <v>570</v>
      </c>
    </row>
    <row r="198" customFormat="false" ht="15" hidden="false" customHeight="false" outlineLevel="0" collapsed="false">
      <c r="A198" s="4" t="s">
        <v>571</v>
      </c>
      <c r="B198" s="0" t="s">
        <v>239</v>
      </c>
      <c r="C198" s="21" t="n">
        <f aca="false">C183-C197-C192</f>
        <v>12.5208159</v>
      </c>
      <c r="D198" s="21" t="n">
        <f aca="false">D183-D197-D192</f>
        <v>18.6415830865</v>
      </c>
      <c r="E198" s="21" t="n">
        <f aca="false">E183-E197-E192</f>
        <v>24.1550508914797</v>
      </c>
      <c r="F198" s="21" t="n">
        <f aca="false">F183-F197-F192</f>
        <v>16.5232770897913</v>
      </c>
      <c r="G198" s="21" t="n">
        <f aca="false">G183-G197-G192</f>
        <v>18.8755344916967</v>
      </c>
    </row>
    <row r="199" customFormat="false" ht="15" hidden="false" customHeight="false" outlineLevel="0" collapsed="false">
      <c r="A199" s="4" t="s">
        <v>421</v>
      </c>
      <c r="B199" s="0" t="s">
        <v>41</v>
      </c>
      <c r="C199" s="14" t="n">
        <f aca="false">C198/C183</f>
        <v>0.358417566468958</v>
      </c>
      <c r="D199" s="14" t="n">
        <f aca="false">D198/D183</f>
        <v>0.392956084760993</v>
      </c>
      <c r="E199" s="14" t="n">
        <f aca="false">E198/E183</f>
        <v>0.401336878747572</v>
      </c>
      <c r="F199" s="14" t="n">
        <f aca="false">F198/F183</f>
        <v>0.308220482327489</v>
      </c>
      <c r="G199" s="14" t="n">
        <f aca="false">G198/G183</f>
        <v>0.330610891637025</v>
      </c>
    </row>
    <row r="200" customFormat="false" ht="15" hidden="false" customHeight="false" outlineLevel="0" collapsed="false">
      <c r="A200" s="4" t="s">
        <v>572</v>
      </c>
      <c r="B200" s="0" t="s">
        <v>239</v>
      </c>
      <c r="C200" s="21" t="n">
        <f aca="false">a25_opx</f>
        <v>3.5197</v>
      </c>
      <c r="D200" s="21" t="n">
        <f aca="false">a26_opx</f>
        <v>6.1141318375</v>
      </c>
      <c r="E200" s="21" t="n">
        <f aca="false">D200*(1+MAX(0,phi*E184))</f>
        <v>7.09986476797815</v>
      </c>
      <c r="F200" s="21" t="n">
        <f aca="false">E200*(1+MAX(0,phi*F184))</f>
        <v>7.09986476797815</v>
      </c>
      <c r="G200" s="21" t="n">
        <f aca="false">F200*(1+MAX(0,phi*G184))</f>
        <v>7.37673654779488</v>
      </c>
    </row>
    <row r="201" customFormat="false" ht="15" hidden="false" customHeight="false" outlineLevel="0" collapsed="false">
      <c r="A201" s="4" t="s">
        <v>573</v>
      </c>
      <c r="B201" s="0" t="s">
        <v>239</v>
      </c>
      <c r="C201" s="21" t="n">
        <f aca="false">C200</f>
        <v>3.5197</v>
      </c>
      <c r="D201" s="21" t="n">
        <f aca="false">D200</f>
        <v>6.1141318375</v>
      </c>
      <c r="E201" s="21" t="n">
        <f aca="false">E200+0*E183</f>
        <v>7.09986476797815</v>
      </c>
      <c r="F201" s="21" t="n">
        <f aca="false">F200+0*F183</f>
        <v>7.09986476797815</v>
      </c>
      <c r="G201" s="21" t="n">
        <f aca="false">G200+0*G183</f>
        <v>7.37673654779488</v>
      </c>
    </row>
    <row r="202" customFormat="false" ht="15" hidden="false" customHeight="false" outlineLevel="0" collapsed="false">
      <c r="A202" s="4" t="s">
        <v>430</v>
      </c>
      <c r="B202" s="0" t="s">
        <v>239</v>
      </c>
      <c r="C202" s="21" t="n">
        <f aca="false">C198-C201</f>
        <v>9.0011159</v>
      </c>
      <c r="D202" s="21" t="n">
        <f aca="false">D198-D201</f>
        <v>12.527451249</v>
      </c>
      <c r="E202" s="21" t="n">
        <f aca="false">E198-E201</f>
        <v>17.0551861235015</v>
      </c>
      <c r="F202" s="21" t="n">
        <f aca="false">F198-F201</f>
        <v>9.42341232181319</v>
      </c>
      <c r="G202" s="21" t="n">
        <f aca="false">G198-G201</f>
        <v>11.4987979439018</v>
      </c>
    </row>
    <row r="203" customFormat="false" ht="15" hidden="false" customHeight="false" outlineLevel="0" collapsed="false">
      <c r="A203" s="4" t="s">
        <v>432</v>
      </c>
      <c r="B203" s="0" t="s">
        <v>41</v>
      </c>
      <c r="C203" s="14" t="n">
        <f aca="false">C202/C183</f>
        <v>0.25766356459111</v>
      </c>
      <c r="D203" s="14" t="n">
        <f aca="false">D202/D183</f>
        <v>0.264072969124936</v>
      </c>
      <c r="E203" s="14" t="n">
        <f aca="false">E202/E183</f>
        <v>0.283372417471471</v>
      </c>
      <c r="F203" s="14" t="n">
        <f aca="false">F202/F183</f>
        <v>0.175781636730801</v>
      </c>
      <c r="G203" s="14" t="n">
        <f aca="false">G202/G183</f>
        <v>0.20140504326697</v>
      </c>
    </row>
    <row r="204" customFormat="false" ht="17.15" hidden="false" customHeight="false" outlineLevel="0" collapsed="false">
      <c r="A204" s="0" t="s">
        <v>574</v>
      </c>
      <c r="B204" s="0" t="s">
        <v>239</v>
      </c>
      <c r="C204" s="21" t="n">
        <f aca="false">C202+C192</f>
        <v>16.5155</v>
      </c>
      <c r="D204" s="21" t="n">
        <f aca="false">D202+D192</f>
        <v>23.855158189</v>
      </c>
      <c r="E204" s="21" t="n">
        <f aca="false">E202+E192</f>
        <v>32.9624228341608</v>
      </c>
      <c r="F204" s="21" t="n">
        <f aca="false">F202+F192</f>
        <v>27.6660497670055</v>
      </c>
      <c r="G204" s="21" t="n">
        <f aca="false">G202+G192</f>
        <v>30.1228434954822</v>
      </c>
    </row>
    <row r="205" customFormat="false" ht="17.15" hidden="false" customHeight="false" outlineLevel="0" collapsed="false">
      <c r="A205" s="0" t="s">
        <v>575</v>
      </c>
      <c r="B205" s="0" t="s">
        <v>239</v>
      </c>
      <c r="C205" s="21" t="n">
        <f aca="false">C204-C190</f>
        <v>-15.8399</v>
      </c>
      <c r="D205" s="21" t="n">
        <f aca="false">D204-D190</f>
        <v>-18.144841811</v>
      </c>
      <c r="E205" s="21" t="n">
        <f aca="false">E204-E190</f>
        <v>-18.5996702141888</v>
      </c>
      <c r="F205" s="21" t="n">
        <f aca="false">F204-F190</f>
        <v>22.3051869959729</v>
      </c>
      <c r="G205" s="21" t="n">
        <f aca="false">G204-G190</f>
        <v>11.964797563828</v>
      </c>
    </row>
    <row r="206" customFormat="false" ht="17.15" hidden="false" customHeight="false" outlineLevel="0" collapsed="false">
      <c r="A206" s="4" t="s">
        <v>433</v>
      </c>
      <c r="B206" s="0" t="s">
        <v>239</v>
      </c>
      <c r="C206" s="21" t="n">
        <f aca="false">a25_ni</f>
        <v>11.015</v>
      </c>
      <c r="D206" s="21" t="n">
        <f aca="false">a26_ni</f>
        <v>10.66608446065</v>
      </c>
      <c r="E206" s="21" t="n">
        <f aca="false">E202*nir_f</f>
        <v>14.3263563437413</v>
      </c>
      <c r="F206" s="21" t="n">
        <f aca="false">F202*nir_f</f>
        <v>7.91566635032308</v>
      </c>
      <c r="G206" s="21" t="n">
        <f aca="false">G202*nir_f</f>
        <v>9.6589902728775</v>
      </c>
      <c r="H206" s="8" t="s">
        <v>438</v>
      </c>
    </row>
    <row r="207" customFormat="false" ht="17.15" hidden="false" customHeight="false" outlineLevel="0" collapsed="false">
      <c r="A207" s="4" t="s">
        <v>437</v>
      </c>
      <c r="B207" s="0" t="s">
        <v>41</v>
      </c>
      <c r="C207" s="14" t="n">
        <f aca="false">C206/C202</f>
        <v>1.22373715907824</v>
      </c>
      <c r="D207" s="14" t="n">
        <f aca="false">D206/D202</f>
        <v>0.851416960133963</v>
      </c>
      <c r="E207" s="14" t="n">
        <f aca="false">E206/E202</f>
        <v>0.84</v>
      </c>
      <c r="F207" s="14" t="n">
        <f aca="false">F206/F202</f>
        <v>0.84</v>
      </c>
      <c r="G207" s="14" t="n">
        <f aca="false">G206/G202</f>
        <v>0.84</v>
      </c>
    </row>
    <row r="208" customFormat="false" ht="15" hidden="false" customHeight="false" outlineLevel="0" collapsed="false">
      <c r="A208" s="4" t="s">
        <v>576</v>
      </c>
      <c r="B208" s="4" t="s">
        <v>294</v>
      </c>
      <c r="C208" s="27" t="n">
        <f aca="false">a25_sh</f>
        <v>1.22253052164262</v>
      </c>
      <c r="D208" s="27" t="n">
        <f aca="false">a26_sh</f>
        <v>1.28264705882353</v>
      </c>
      <c r="E208" s="27" t="n">
        <f aca="false">D208*(1+sh_g)</f>
        <v>1.28264705882353</v>
      </c>
      <c r="F208" s="27" t="n">
        <f aca="false">E208*(1+sh_g)</f>
        <v>1.28264705882353</v>
      </c>
      <c r="G208" s="27" t="n">
        <f aca="false">F208*(1+sh_g)</f>
        <v>1.28264705882353</v>
      </c>
    </row>
    <row r="209" customFormat="false" ht="15" hidden="false" customHeight="false" outlineLevel="0" collapsed="false">
      <c r="A209" s="0" t="s">
        <v>442</v>
      </c>
      <c r="B209" s="0" t="s">
        <v>315</v>
      </c>
      <c r="C209" s="21" t="n">
        <f aca="false">C206/C208</f>
        <v>9.01</v>
      </c>
      <c r="D209" s="21" t="n">
        <f aca="false">D206/D208</f>
        <v>8.31568153318276</v>
      </c>
      <c r="E209" s="21" t="n">
        <f aca="false">E206/E208</f>
        <v>11.1693674773493</v>
      </c>
      <c r="F209" s="21" t="n">
        <f aca="false">F206/F208</f>
        <v>6.17135188972677</v>
      </c>
      <c r="G209" s="21" t="n">
        <f aca="false">G206/G208</f>
        <v>7.53051293918448</v>
      </c>
    </row>
    <row r="210" customFormat="false" ht="17.15" hidden="false" customHeight="false" outlineLevel="0" collapsed="false">
      <c r="A210" s="0" t="s">
        <v>577</v>
      </c>
      <c r="B210" s="0" t="s">
        <v>41</v>
      </c>
      <c r="D210" s="14" t="n">
        <f aca="false">D209/C209-1</f>
        <v>-0.0770608731206708</v>
      </c>
      <c r="E210" s="14" t="n">
        <f aca="false">E209/D209-1</f>
        <v>0.343169219838358</v>
      </c>
      <c r="F210" s="14" t="n">
        <f aca="false">F209/E209-1</f>
        <v>-0.447475257462714</v>
      </c>
      <c r="G210" s="14" t="n">
        <f aca="false">G209/F209-1</f>
        <v>0.220237165817793</v>
      </c>
      <c r="H210" s="8" t="s">
        <v>578</v>
      </c>
    </row>
    <row r="213" customFormat="false" ht="17.15" hidden="false" customHeight="false" outlineLevel="0" collapsed="false">
      <c r="A213" s="1" t="s">
        <v>581</v>
      </c>
    </row>
    <row r="214" customFormat="false" ht="17.15" hidden="false" customHeight="false" outlineLevel="0" collapsed="false">
      <c r="A214" s="5" t="s">
        <v>17</v>
      </c>
      <c r="B214" s="5" t="s">
        <v>18</v>
      </c>
      <c r="C214" s="5"/>
      <c r="D214" s="5"/>
      <c r="E214" s="5"/>
      <c r="F214" s="5"/>
      <c r="G214" s="12" t="s">
        <v>582</v>
      </c>
      <c r="H214" s="12" t="s">
        <v>524</v>
      </c>
      <c r="I214" s="12" t="s">
        <v>525</v>
      </c>
      <c r="J214" s="12" t="s">
        <v>526</v>
      </c>
      <c r="K214" s="5" t="s">
        <v>488</v>
      </c>
    </row>
    <row r="215" customFormat="false" ht="17.15" hidden="false" customHeight="false" outlineLevel="0" collapsed="false">
      <c r="A215" s="4" t="s">
        <v>583</v>
      </c>
      <c r="B215" s="0" t="s">
        <v>41</v>
      </c>
      <c r="G215" s="14" t="n">
        <f aca="false">G82</f>
        <v>0.070702984416227</v>
      </c>
      <c r="H215" s="25" t="n">
        <f aca="false">$G215+(fade_gA-$G215)*1/3</f>
        <v>0.0671353229441514</v>
      </c>
      <c r="I215" s="25" t="n">
        <f aca="false">$G215+(fade_gA-$G215)*2/3</f>
        <v>0.0635676614720757</v>
      </c>
      <c r="J215" s="25" t="n">
        <f aca="false">$G215+(fade_gA-$G215)*3/3</f>
        <v>0.06</v>
      </c>
      <c r="K215" s="4" t="s">
        <v>584</v>
      </c>
    </row>
    <row r="216" customFormat="false" ht="15" hidden="false" customHeight="false" outlineLevel="0" collapsed="false">
      <c r="A216" s="4" t="s">
        <v>414</v>
      </c>
      <c r="B216" s="0" t="s">
        <v>239</v>
      </c>
      <c r="G216" s="21" t="n">
        <f aca="false">G81</f>
        <v>69.2874810966851</v>
      </c>
      <c r="H216" s="28" t="n">
        <f aca="false">G216*(1+H215)</f>
        <v>73.9391185160978</v>
      </c>
      <c r="I216" s="28" t="n">
        <f aca="false">H216*(1+I215)</f>
        <v>78.6392553714728</v>
      </c>
      <c r="J216" s="28" t="n">
        <f aca="false">I216*(1+J215)</f>
        <v>83.3576106937612</v>
      </c>
    </row>
    <row r="217" customFormat="false" ht="17.15" hidden="false" customHeight="false" outlineLevel="0" collapsed="false">
      <c r="A217" s="4" t="s">
        <v>585</v>
      </c>
      <c r="B217" s="0" t="s">
        <v>41</v>
      </c>
      <c r="G217" s="14" t="n">
        <f aca="false">G104/G81</f>
        <v>0.225897006327181</v>
      </c>
      <c r="H217" s="25" t="n">
        <f aca="false">$G217+(fade_mA-$G217)*1/3</f>
        <v>0.225897006327181</v>
      </c>
      <c r="I217" s="25" t="n">
        <f aca="false">$G217+(fade_mA-$G217)*2/3</f>
        <v>0.225897006327181</v>
      </c>
      <c r="J217" s="25" t="n">
        <f aca="false">$G217+(fade_mA-$G217)*3/3</f>
        <v>0.225897006327181</v>
      </c>
      <c r="K217" s="4" t="s">
        <v>586</v>
      </c>
    </row>
    <row r="218" customFormat="false" ht="15" hidden="false" customHeight="false" outlineLevel="0" collapsed="false">
      <c r="A218" s="4" t="s">
        <v>433</v>
      </c>
      <c r="B218" s="0" t="s">
        <v>239</v>
      </c>
      <c r="G218" s="21" t="n">
        <f aca="false">G104</f>
        <v>15.6518345556923</v>
      </c>
      <c r="H218" s="28" t="n">
        <f aca="false">H216*H217</f>
        <v>16.7026255232571</v>
      </c>
      <c r="I218" s="28" t="n">
        <f aca="false">I216*I217</f>
        <v>17.7643723682144</v>
      </c>
      <c r="J218" s="28" t="n">
        <f aca="false">J216*J217</f>
        <v>18.8302347103072</v>
      </c>
    </row>
    <row r="219" customFormat="false" ht="17.15" hidden="false" customHeight="false" outlineLevel="0" collapsed="false">
      <c r="A219" s="4" t="s">
        <v>587</v>
      </c>
      <c r="B219" s="4" t="s">
        <v>294</v>
      </c>
      <c r="G219" s="27" t="n">
        <f aca="false">G106</f>
        <v>1.28264705882353</v>
      </c>
      <c r="H219" s="29" t="n">
        <f aca="false">G219*(1+sh_g)</f>
        <v>1.28264705882353</v>
      </c>
      <c r="I219" s="29" t="n">
        <f aca="false">H219*(1+sh_g)</f>
        <v>1.28264705882353</v>
      </c>
      <c r="J219" s="29" t="n">
        <f aca="false">I219*(1+sh_g)</f>
        <v>1.28264705882353</v>
      </c>
    </row>
    <row r="220" customFormat="false" ht="15" hidden="false" customHeight="false" outlineLevel="0" collapsed="false">
      <c r="A220" s="0" t="s">
        <v>442</v>
      </c>
      <c r="B220" s="0" t="s">
        <v>315</v>
      </c>
      <c r="G220" s="16" t="n">
        <f aca="false">G107</f>
        <v>12.2027602589667</v>
      </c>
      <c r="H220" s="26" t="n">
        <f aca="false">H218/H219</f>
        <v>13.0219965097625</v>
      </c>
      <c r="I220" s="26" t="n">
        <f aca="false">I218/I219</f>
        <v>13.8497743755856</v>
      </c>
      <c r="J220" s="26" t="n">
        <f aca="false">J218/J219</f>
        <v>14.6807608381207</v>
      </c>
    </row>
    <row r="222" customFormat="false" ht="17.15" hidden="false" customHeight="false" outlineLevel="0" collapsed="false">
      <c r="A222" s="1" t="s">
        <v>588</v>
      </c>
    </row>
    <row r="223" customFormat="false" ht="17.15" hidden="false" customHeight="false" outlineLevel="0" collapsed="false">
      <c r="A223" s="5" t="s">
        <v>17</v>
      </c>
      <c r="B223" s="5" t="s">
        <v>18</v>
      </c>
      <c r="C223" s="5"/>
      <c r="D223" s="5"/>
      <c r="E223" s="5"/>
      <c r="F223" s="5"/>
      <c r="G223" s="12" t="s">
        <v>582</v>
      </c>
      <c r="H223" s="12" t="s">
        <v>524</v>
      </c>
      <c r="I223" s="12" t="s">
        <v>525</v>
      </c>
      <c r="J223" s="12" t="s">
        <v>526</v>
      </c>
      <c r="K223" s="5" t="s">
        <v>488</v>
      </c>
    </row>
    <row r="224" customFormat="false" ht="17.15" hidden="false" customHeight="false" outlineLevel="0" collapsed="false">
      <c r="A224" s="4" t="s">
        <v>583</v>
      </c>
      <c r="B224" s="0" t="s">
        <v>41</v>
      </c>
      <c r="G224" s="14" t="n">
        <f aca="false">G133</f>
        <v>0.0938825788793805</v>
      </c>
      <c r="H224" s="25" t="n">
        <f aca="false">$G224+(tp_g-$G224)*1/3</f>
        <v>0.0759217192529203</v>
      </c>
      <c r="I224" s="25" t="n">
        <f aca="false">$G224+(tp_g-$G224)*2/3</f>
        <v>0.0579608596264602</v>
      </c>
      <c r="J224" s="25" t="n">
        <f aca="false">$G224+(tp_g-$G224)*3/3</f>
        <v>0.04</v>
      </c>
      <c r="K224" s="4" t="s">
        <v>589</v>
      </c>
    </row>
    <row r="225" customFormat="false" ht="15" hidden="false" customHeight="false" outlineLevel="0" collapsed="false">
      <c r="A225" s="4" t="s">
        <v>414</v>
      </c>
      <c r="B225" s="0" t="s">
        <v>239</v>
      </c>
      <c r="G225" s="21" t="n">
        <f aca="false">G132</f>
        <v>64.7145130907775</v>
      </c>
      <c r="H225" s="28" t="n">
        <f aca="false">G225*(1+H224)</f>
        <v>69.6277501852449</v>
      </c>
      <c r="I225" s="28" t="n">
        <f aca="false">H225*(1+I224)</f>
        <v>73.6634344398381</v>
      </c>
      <c r="J225" s="28" t="n">
        <f aca="false">I225*(1+J224)</f>
        <v>76.6099718174316</v>
      </c>
    </row>
    <row r="226" customFormat="false" ht="17.15" hidden="false" customHeight="false" outlineLevel="0" collapsed="false">
      <c r="A226" s="4" t="s">
        <v>585</v>
      </c>
      <c r="B226" s="0" t="s">
        <v>41</v>
      </c>
      <c r="G226" s="14" t="n">
        <f aca="false">G155/G132</f>
        <v>0.219163563334826</v>
      </c>
      <c r="H226" s="25" t="n">
        <f aca="false">$G226+(fade_mB-$G226)*1/3</f>
        <v>0.211858111223665</v>
      </c>
      <c r="I226" s="25" t="n">
        <f aca="false">$G226+(fade_mB-$G226)*2/3</f>
        <v>0.204552659112504</v>
      </c>
      <c r="J226" s="25" t="n">
        <f aca="false">$G226+(fade_mB-$G226)*3/3</f>
        <v>0.197247207001343</v>
      </c>
      <c r="K226" s="4" t="s">
        <v>590</v>
      </c>
    </row>
    <row r="227" customFormat="false" ht="15" hidden="false" customHeight="false" outlineLevel="0" collapsed="false">
      <c r="A227" s="4" t="s">
        <v>433</v>
      </c>
      <c r="B227" s="0" t="s">
        <v>239</v>
      </c>
      <c r="G227" s="21" t="n">
        <f aca="false">G155</f>
        <v>14.183063288453</v>
      </c>
      <c r="H227" s="28" t="n">
        <f aca="false">H225*H226</f>
        <v>14.7512036429992</v>
      </c>
      <c r="I227" s="28" t="n">
        <f aca="false">I225*I226</f>
        <v>15.0680513940285</v>
      </c>
      <c r="J227" s="28" t="n">
        <f aca="false">J225*J226</f>
        <v>15.11110296944</v>
      </c>
    </row>
    <row r="228" customFormat="false" ht="17.15" hidden="false" customHeight="false" outlineLevel="0" collapsed="false">
      <c r="A228" s="4" t="s">
        <v>587</v>
      </c>
      <c r="B228" s="4" t="s">
        <v>294</v>
      </c>
      <c r="G228" s="27" t="n">
        <f aca="false">G157</f>
        <v>1.28264705882353</v>
      </c>
      <c r="H228" s="29" t="n">
        <f aca="false">G228*(1+sh_g)</f>
        <v>1.28264705882353</v>
      </c>
      <c r="I228" s="29" t="n">
        <f aca="false">H228*(1+sh_g)</f>
        <v>1.28264705882353</v>
      </c>
      <c r="J228" s="29" t="n">
        <f aca="false">I228*(1+sh_g)</f>
        <v>1.28264705882353</v>
      </c>
    </row>
    <row r="229" customFormat="false" ht="15" hidden="false" customHeight="false" outlineLevel="0" collapsed="false">
      <c r="A229" s="0" t="s">
        <v>442</v>
      </c>
      <c r="B229" s="0" t="s">
        <v>315</v>
      </c>
      <c r="G229" s="16" t="n">
        <f aca="false">G158</f>
        <v>11.0576508096171</v>
      </c>
      <c r="H229" s="26" t="n">
        <f aca="false">H227/H228</f>
        <v>11.500594447649</v>
      </c>
      <c r="I229" s="26" t="n">
        <f aca="false">I227/I228</f>
        <v>11.7476208988069</v>
      </c>
      <c r="J229" s="26" t="n">
        <f aca="false">J227/J228</f>
        <v>11.7811855299464</v>
      </c>
    </row>
    <row r="231" customFormat="false" ht="17.15" hidden="false" customHeight="false" outlineLevel="0" collapsed="false">
      <c r="A231" s="1" t="s">
        <v>591</v>
      </c>
    </row>
    <row r="232" customFormat="false" ht="17.15" hidden="false" customHeight="false" outlineLevel="0" collapsed="false">
      <c r="A232" s="5" t="s">
        <v>17</v>
      </c>
      <c r="B232" s="5" t="s">
        <v>18</v>
      </c>
      <c r="C232" s="5"/>
      <c r="D232" s="5"/>
      <c r="E232" s="5"/>
      <c r="F232" s="5"/>
      <c r="G232" s="12" t="s">
        <v>582</v>
      </c>
      <c r="H232" s="12" t="s">
        <v>524</v>
      </c>
      <c r="I232" s="12" t="s">
        <v>525</v>
      </c>
      <c r="J232" s="12" t="s">
        <v>526</v>
      </c>
      <c r="K232" s="5" t="s">
        <v>488</v>
      </c>
    </row>
    <row r="233" customFormat="false" ht="17.15" hidden="false" customHeight="false" outlineLevel="0" collapsed="false">
      <c r="A233" s="4" t="s">
        <v>583</v>
      </c>
      <c r="B233" s="0" t="s">
        <v>41</v>
      </c>
      <c r="G233" s="14" t="n">
        <f aca="false">G184</f>
        <v>0.0649946134808723</v>
      </c>
      <c r="H233" s="25" t="n">
        <f aca="false">$G233+(fade_gC-$G233)*1/3</f>
        <v>0.0499964089872482</v>
      </c>
      <c r="I233" s="25" t="n">
        <f aca="false">$G233+(fade_gC-$G233)*2/3</f>
        <v>0.0349982044936241</v>
      </c>
      <c r="J233" s="25" t="n">
        <f aca="false">$G233+(fade_gC-$G233)*3/3</f>
        <v>0.02</v>
      </c>
      <c r="K233" s="4" t="s">
        <v>592</v>
      </c>
    </row>
    <row r="234" customFormat="false" ht="15" hidden="false" customHeight="false" outlineLevel="0" collapsed="false">
      <c r="A234" s="4" t="s">
        <v>414</v>
      </c>
      <c r="B234" s="0" t="s">
        <v>239</v>
      </c>
      <c r="G234" s="21" t="n">
        <f aca="false">G183</f>
        <v>57.0928997475981</v>
      </c>
      <c r="H234" s="28" t="n">
        <f aca="false">G234*(1+H233)</f>
        <v>59.947339713647</v>
      </c>
      <c r="I234" s="28" t="n">
        <f aca="false">H234*(1+I233)</f>
        <v>62.0453889677939</v>
      </c>
      <c r="J234" s="28" t="n">
        <f aca="false">I234*(1+J233)</f>
        <v>63.2862967471498</v>
      </c>
    </row>
    <row r="235" customFormat="false" ht="17.15" hidden="false" customHeight="false" outlineLevel="0" collapsed="false">
      <c r="A235" s="4" t="s">
        <v>585</v>
      </c>
      <c r="B235" s="0" t="s">
        <v>41</v>
      </c>
      <c r="G235" s="14" t="n">
        <f aca="false">G206/G183</f>
        <v>0.169180236344255</v>
      </c>
      <c r="H235" s="25" t="n">
        <f aca="false">$G235+(fade_mC-$G235)*1/3</f>
        <v>0.157901553921305</v>
      </c>
      <c r="I235" s="25" t="n">
        <f aca="false">$G235+(fade_mC-$G235)*2/3</f>
        <v>0.146622871498354</v>
      </c>
      <c r="J235" s="25" t="n">
        <f aca="false">$G235+(fade_mC-$G235)*3/3</f>
        <v>0.135344189075404</v>
      </c>
      <c r="K235" s="4" t="s">
        <v>593</v>
      </c>
    </row>
    <row r="236" customFormat="false" ht="15" hidden="false" customHeight="false" outlineLevel="0" collapsed="false">
      <c r="A236" s="4" t="s">
        <v>433</v>
      </c>
      <c r="B236" s="0" t="s">
        <v>239</v>
      </c>
      <c r="G236" s="21" t="n">
        <f aca="false">G206</f>
        <v>9.6589902728775</v>
      </c>
      <c r="H236" s="28" t="n">
        <f aca="false">H234*H235</f>
        <v>9.46577809423319</v>
      </c>
      <c r="I236" s="28" t="n">
        <f aca="false">I234*I235</f>
        <v>9.09727309369026</v>
      </c>
      <c r="J236" s="28" t="n">
        <f aca="false">J234*J235</f>
        <v>8.56543251282837</v>
      </c>
    </row>
    <row r="237" customFormat="false" ht="17.15" hidden="false" customHeight="false" outlineLevel="0" collapsed="false">
      <c r="A237" s="4" t="s">
        <v>587</v>
      </c>
      <c r="B237" s="4" t="s">
        <v>294</v>
      </c>
      <c r="G237" s="27" t="n">
        <f aca="false">G208</f>
        <v>1.28264705882353</v>
      </c>
      <c r="H237" s="29" t="n">
        <f aca="false">G237*(1+sh_g)</f>
        <v>1.28264705882353</v>
      </c>
      <c r="I237" s="29" t="n">
        <f aca="false">H237*(1+sh_g)</f>
        <v>1.28264705882353</v>
      </c>
      <c r="J237" s="29" t="n">
        <f aca="false">I237*(1+sh_g)</f>
        <v>1.28264705882353</v>
      </c>
    </row>
    <row r="238" customFormat="false" ht="15" hidden="false" customHeight="false" outlineLevel="0" collapsed="false">
      <c r="A238" s="0" t="s">
        <v>442</v>
      </c>
      <c r="B238" s="0" t="s">
        <v>315</v>
      </c>
      <c r="G238" s="16" t="n">
        <f aca="false">G209</f>
        <v>7.53051293918448</v>
      </c>
      <c r="H238" s="26" t="n">
        <f aca="false">H236/H237</f>
        <v>7.379877441044</v>
      </c>
      <c r="I238" s="26" t="n">
        <f aca="false">I236/I237</f>
        <v>7.09257705080186</v>
      </c>
      <c r="J238" s="26" t="n">
        <f aca="false">J236/J237</f>
        <v>6.67793408475498</v>
      </c>
    </row>
    <row r="240" customFormat="false" ht="17.15" hidden="false" customHeight="false" outlineLevel="0" collapsed="false">
      <c r="A240" s="0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595</v>
      </c>
    </row>
    <row r="2" customFormat="false" ht="17.15" hidden="false" customHeight="false" outlineLevel="0" collapsed="false">
      <c r="A2" s="4" t="s">
        <v>596</v>
      </c>
    </row>
    <row r="4" customFormat="false" ht="17.15" hidden="false" customHeight="false" outlineLevel="0" collapsed="false">
      <c r="A4" s="6" t="s">
        <v>597</v>
      </c>
    </row>
    <row r="5" customFormat="false" ht="17.15" hidden="false" customHeight="false" outlineLevel="0" collapsed="false">
      <c r="A5" s="6" t="s">
        <v>598</v>
      </c>
    </row>
    <row r="6" customFormat="false" ht="17.15" hidden="false" customHeight="false" outlineLevel="0" collapsed="false">
      <c r="A6" s="5" t="s">
        <v>17</v>
      </c>
      <c r="B6" s="12" t="s">
        <v>599</v>
      </c>
      <c r="C6" s="12" t="s">
        <v>600</v>
      </c>
      <c r="D6" s="12" t="s">
        <v>601</v>
      </c>
      <c r="E6" s="5" t="s">
        <v>488</v>
      </c>
    </row>
    <row r="7" customFormat="false" ht="17.15" hidden="false" customHeight="false" outlineLevel="0" collapsed="false">
      <c r="A7" s="4" t="s">
        <v>602</v>
      </c>
      <c r="E7" s="0" t="s">
        <v>603</v>
      </c>
    </row>
    <row r="8" customFormat="false" ht="15" hidden="false" customHeight="false" outlineLevel="0" collapsed="false">
      <c r="A8" s="0" t="s">
        <v>604</v>
      </c>
      <c r="B8" s="16" t="n">
        <f aca="false">PL!E15</f>
        <v>11.1693674773493</v>
      </c>
      <c r="C8" s="16" t="n">
        <f aca="false">PL!E29</f>
        <v>11.1693674773493</v>
      </c>
      <c r="D8" s="16" t="n">
        <f aca="false">PL!E43</f>
        <v>11.1693674773493</v>
      </c>
    </row>
    <row r="9" customFormat="false" ht="15" hidden="false" customHeight="false" outlineLevel="0" collapsed="false">
      <c r="A9" s="0" t="s">
        <v>605</v>
      </c>
      <c r="B9" s="16" t="n">
        <f aca="false">PL!F15</f>
        <v>11.0958842841557</v>
      </c>
      <c r="C9" s="16" t="n">
        <f aca="false">PL!F29</f>
        <v>9.02971311712971</v>
      </c>
      <c r="D9" s="16" t="n">
        <f aca="false">PL!F43</f>
        <v>6.17135188972677</v>
      </c>
    </row>
    <row r="10" customFormat="false" ht="15" hidden="false" customHeight="false" outlineLevel="0" collapsed="false">
      <c r="A10" s="0" t="s">
        <v>606</v>
      </c>
      <c r="B10" s="16" t="n">
        <f aca="false">PL!G15</f>
        <v>12.2027602589667</v>
      </c>
      <c r="C10" s="16" t="n">
        <f aca="false">PL!G29</f>
        <v>11.0576508096171</v>
      </c>
      <c r="D10" s="16" t="n">
        <f aca="false">PL!G43</f>
        <v>7.53051293918448</v>
      </c>
    </row>
    <row r="11" customFormat="false" ht="15" hidden="false" customHeight="false" outlineLevel="0" collapsed="false">
      <c r="A11" s="0" t="s">
        <v>607</v>
      </c>
      <c r="B11" s="16" t="n">
        <f aca="false">PL!H15</f>
        <v>13.0219965097625</v>
      </c>
      <c r="C11" s="16" t="n">
        <f aca="false">PL!H29</f>
        <v>11.500594447649</v>
      </c>
      <c r="D11" s="16" t="n">
        <f aca="false">PL!H43</f>
        <v>7.379877441044</v>
      </c>
    </row>
    <row r="12" customFormat="false" ht="15" hidden="false" customHeight="false" outlineLevel="0" collapsed="false">
      <c r="A12" s="0" t="s">
        <v>608</v>
      </c>
      <c r="B12" s="16" t="n">
        <f aca="false">PL!I15</f>
        <v>13.8497743755856</v>
      </c>
      <c r="C12" s="16" t="n">
        <f aca="false">PL!I29</f>
        <v>11.7476208988069</v>
      </c>
      <c r="D12" s="16" t="n">
        <f aca="false">PL!I43</f>
        <v>7.09257705080186</v>
      </c>
    </row>
    <row r="13" customFormat="false" ht="15" hidden="false" customHeight="false" outlineLevel="0" collapsed="false">
      <c r="A13" s="0" t="s">
        <v>609</v>
      </c>
      <c r="B13" s="16" t="n">
        <f aca="false">PL!J15</f>
        <v>14.6807608381207</v>
      </c>
      <c r="C13" s="16" t="n">
        <f aca="false">PL!J29</f>
        <v>11.7811855299464</v>
      </c>
      <c r="D13" s="16" t="n">
        <f aca="false">PL!J43</f>
        <v>6.67793408475498</v>
      </c>
    </row>
    <row r="14" customFormat="false" ht="17.15" hidden="false" customHeight="false" outlineLevel="0" collapsed="false">
      <c r="A14" s="4" t="s">
        <v>610</v>
      </c>
    </row>
    <row r="15" customFormat="false" ht="17.15" hidden="false" customHeight="false" outlineLevel="0" collapsed="false">
      <c r="A15" s="4" t="s">
        <v>611</v>
      </c>
      <c r="B15" s="14" t="n">
        <f aca="false">IF(tp_roe&lt;=tp_g,0.8,MIN(tp_g/tp_roe,0.8))</f>
        <v>0.216411181244364</v>
      </c>
      <c r="E15" s="8" t="s">
        <v>612</v>
      </c>
    </row>
    <row r="16" customFormat="false" ht="15" hidden="false" customHeight="false" outlineLevel="0" collapsed="false">
      <c r="A16" s="0" t="s">
        <v>604</v>
      </c>
      <c r="B16" s="16" t="n">
        <f aca="false">B8*(1-$B$15)</f>
        <v>8.75219146782377</v>
      </c>
      <c r="C16" s="16" t="n">
        <f aca="false">C8*(1-$B$15)</f>
        <v>8.75219146782377</v>
      </c>
      <c r="D16" s="16" t="n">
        <f aca="false">D8*(1-$B$15)</f>
        <v>8.75219146782377</v>
      </c>
    </row>
    <row r="17" customFormat="false" ht="15" hidden="false" customHeight="false" outlineLevel="0" collapsed="false">
      <c r="A17" s="0" t="s">
        <v>605</v>
      </c>
      <c r="B17" s="16" t="n">
        <f aca="false">B9*(1-$B$15)</f>
        <v>8.69461085927081</v>
      </c>
      <c r="C17" s="16" t="n">
        <f aca="false">C9*(1-$B$15)</f>
        <v>7.07558223515394</v>
      </c>
      <c r="D17" s="16" t="n">
        <f aca="false">D9*(1-$B$15)</f>
        <v>4.83580233739636</v>
      </c>
    </row>
    <row r="18" customFormat="false" ht="15" hidden="false" customHeight="false" outlineLevel="0" collapsed="false">
      <c r="A18" s="0" t="s">
        <v>606</v>
      </c>
      <c r="B18" s="16" t="n">
        <f aca="false">B10*(1-$B$15)</f>
        <v>9.56194649688193</v>
      </c>
      <c r="C18" s="16" t="n">
        <f aca="false">C10*(1-$B$15)</f>
        <v>8.66465153612019</v>
      </c>
      <c r="D18" s="16" t="n">
        <f aca="false">D10*(1-$B$15)</f>
        <v>5.9008257386396</v>
      </c>
    </row>
    <row r="19" customFormat="false" ht="15" hidden="false" customHeight="false" outlineLevel="0" collapsed="false">
      <c r="A19" s="0" t="s">
        <v>607</v>
      </c>
      <c r="B19" s="16" t="n">
        <f aca="false">B11*(1-$B$15)</f>
        <v>10.2038908629248</v>
      </c>
      <c r="C19" s="16" t="n">
        <f aca="false">C11*(1-$B$15)</f>
        <v>9.01173721822089</v>
      </c>
      <c r="D19" s="16" t="n">
        <f aca="false">D11*(1-$B$15)</f>
        <v>5.78278944658903</v>
      </c>
    </row>
    <row r="20" customFormat="false" ht="15" hidden="false" customHeight="false" outlineLevel="0" collapsed="false">
      <c r="A20" s="0" t="s">
        <v>608</v>
      </c>
      <c r="B20" s="16" t="n">
        <f aca="false">B12*(1-$B$15)</f>
        <v>10.8525283429972</v>
      </c>
      <c r="C20" s="16" t="n">
        <f aca="false">C12*(1-$B$15)</f>
        <v>9.20530438328513</v>
      </c>
      <c r="D20" s="16" t="n">
        <f aca="false">D12*(1-$B$15)</f>
        <v>5.55766407317116</v>
      </c>
    </row>
    <row r="21" customFormat="false" ht="15" hidden="false" customHeight="false" outlineLevel="0" collapsed="false">
      <c r="A21" s="0" t="s">
        <v>609</v>
      </c>
      <c r="B21" s="16" t="n">
        <f aca="false">B13*(1-$B$15)</f>
        <v>11.503680043577</v>
      </c>
      <c r="C21" s="16" t="n">
        <f aca="false">C13*(1-$B$15)</f>
        <v>9.23160525295166</v>
      </c>
      <c r="D21" s="16" t="n">
        <f aca="false">D13*(1-$B$15)</f>
        <v>5.23275448120115</v>
      </c>
    </row>
    <row r="22" customFormat="false" ht="17.15" hidden="false" customHeight="false" outlineLevel="0" collapsed="false">
      <c r="A22" s="0" t="s">
        <v>613</v>
      </c>
      <c r="B22" s="22" t="n">
        <f aca="false">SUMPRODUCT(B16:B21,1/(1+tp_r)^{1;2;3;4;5;6})+B21*(1+tp_g)/(tp_r-tp_g)/(1+tp_r)^6</f>
        <v>155.082163328049</v>
      </c>
      <c r="C22" s="22" t="n">
        <f aca="false">SUMPRODUCT(C16:C21,1/(1+tp_r)^{1;2;3;4;5;6})+C21*(1+tp_g)/(tp_r-tp_g)/(1+tp_r)^6</f>
        <v>127.719923945991</v>
      </c>
      <c r="D22" s="22" t="n">
        <f aca="false">SUMPRODUCT(D16:D21,1/(1+tp_r)^{1;2;3;4;5;6})+D21*(1+tp_g)/(tp_r-tp_g)/(1+tp_r)^6</f>
        <v>77.9391886632024</v>
      </c>
      <c r="E22" s="8" t="s">
        <v>614</v>
      </c>
    </row>
    <row r="23" customFormat="false" ht="17.15" hidden="false" customHeight="false" outlineLevel="0" collapsed="false">
      <c r="A23" s="0" t="s">
        <v>615</v>
      </c>
      <c r="B23" s="22" t="n">
        <f aca="false">B22*(1+tp_r)</f>
        <v>170.590379660853</v>
      </c>
      <c r="C23" s="22" t="n">
        <f aca="false">C22*(1+tp_r)</f>
        <v>140.49191634059</v>
      </c>
      <c r="D23" s="22" t="n">
        <f aca="false">D22*(1+tp_r)</f>
        <v>85.7331075295227</v>
      </c>
    </row>
    <row r="24" customFormat="false" ht="17.15" hidden="false" customHeight="false" outlineLevel="0" collapsed="false">
      <c r="A24" s="0" t="s">
        <v>616</v>
      </c>
      <c r="B24" s="30" t="n">
        <f aca="false">tp_wA*B23+tp_wB*C23+tp_wC*D23</f>
        <v>138.569693574456</v>
      </c>
      <c r="E24" s="8" t="s">
        <v>617</v>
      </c>
    </row>
    <row r="26" customFormat="false" ht="17.15" hidden="false" customHeight="false" outlineLevel="0" collapsed="false">
      <c r="A26" s="6" t="s">
        <v>618</v>
      </c>
    </row>
    <row r="27" customFormat="false" ht="17.15" hidden="false" customHeight="false" outlineLevel="0" collapsed="false">
      <c r="A27" s="5" t="s">
        <v>619</v>
      </c>
      <c r="B27" s="5" t="s">
        <v>620</v>
      </c>
      <c r="C27" s="5" t="s">
        <v>621</v>
      </c>
      <c r="D27" s="5" t="s">
        <v>622</v>
      </c>
      <c r="E27" s="5" t="s">
        <v>469</v>
      </c>
      <c r="F27" s="5" t="s">
        <v>22</v>
      </c>
    </row>
    <row r="28" customFormat="false" ht="17.15" hidden="false" customHeight="false" outlineLevel="0" collapsed="false">
      <c r="A28" s="4" t="s">
        <v>623</v>
      </c>
      <c r="B28" s="0" t="s">
        <v>624</v>
      </c>
      <c r="C28" s="31" t="n">
        <v>27.37</v>
      </c>
      <c r="D28" s="8" t="s">
        <v>625</v>
      </c>
      <c r="E28" s="8" t="s">
        <v>626</v>
      </c>
      <c r="F28" s="8" t="s">
        <v>221</v>
      </c>
    </row>
    <row r="29" customFormat="false" ht="17.15" hidden="false" customHeight="false" outlineLevel="0" collapsed="false">
      <c r="A29" s="0" t="s">
        <v>627</v>
      </c>
      <c r="B29" s="0" t="s">
        <v>628</v>
      </c>
      <c r="C29" s="31" t="n">
        <v>14.02</v>
      </c>
      <c r="D29" s="8" t="s">
        <v>625</v>
      </c>
      <c r="E29" s="8" t="s">
        <v>629</v>
      </c>
      <c r="F29" s="8" t="s">
        <v>221</v>
      </c>
    </row>
    <row r="30" customFormat="false" ht="17.15" hidden="false" customHeight="false" outlineLevel="0" collapsed="false">
      <c r="A30" s="4" t="s">
        <v>630</v>
      </c>
      <c r="B30" s="0" t="s">
        <v>631</v>
      </c>
      <c r="C30" s="31" t="n">
        <v>20.6</v>
      </c>
      <c r="D30" s="8" t="s">
        <v>632</v>
      </c>
      <c r="E30" s="8" t="s">
        <v>633</v>
      </c>
      <c r="F30" s="8" t="s">
        <v>221</v>
      </c>
    </row>
    <row r="31" customFormat="false" ht="17.15" hidden="false" customHeight="false" outlineLevel="0" collapsed="false">
      <c r="A31" s="4" t="s">
        <v>634</v>
      </c>
      <c r="B31" s="0" t="s">
        <v>635</v>
      </c>
      <c r="C31" s="31" t="n">
        <v>23.3</v>
      </c>
      <c r="D31" s="8" t="s">
        <v>632</v>
      </c>
      <c r="E31" s="8" t="s">
        <v>633</v>
      </c>
      <c r="F31" s="8" t="s">
        <v>221</v>
      </c>
    </row>
    <row r="32" customFormat="false" ht="17.15" hidden="false" customHeight="false" outlineLevel="0" collapsed="false">
      <c r="A32" s="4" t="s">
        <v>636</v>
      </c>
      <c r="B32" s="0" t="s">
        <v>637</v>
      </c>
      <c r="C32" s="31" t="n">
        <v>22.08</v>
      </c>
      <c r="D32" s="8" t="s">
        <v>638</v>
      </c>
      <c r="E32" s="8" t="s">
        <v>639</v>
      </c>
      <c r="F32" s="8" t="s">
        <v>221</v>
      </c>
    </row>
    <row r="33" customFormat="false" ht="17.15" hidden="false" customHeight="false" outlineLevel="0" collapsed="false">
      <c r="A33" s="4" t="s">
        <v>640</v>
      </c>
      <c r="B33" s="32" t="n">
        <f aca="false">MEDIAN(C28:C32)</f>
        <v>22.08</v>
      </c>
      <c r="E33" s="4" t="s">
        <v>641</v>
      </c>
    </row>
    <row r="34" customFormat="false" ht="17.15" hidden="false" customHeight="false" outlineLevel="0" collapsed="false">
      <c r="A34" s="0" t="s">
        <v>642</v>
      </c>
      <c r="B34" s="16" t="n">
        <f aca="false">tp_wA*(2/12*B8+10/12*B9)+tp_wB*(2/12*C8+10/12*C9)+tp_wC*(2/12*D8+10/12*D9)</f>
        <v>9.42647143102233</v>
      </c>
      <c r="E34" s="4" t="s">
        <v>643</v>
      </c>
    </row>
    <row r="35" customFormat="false" ht="17.15" hidden="false" customHeight="false" outlineLevel="0" collapsed="false">
      <c r="A35" s="0" t="s">
        <v>644</v>
      </c>
      <c r="B35" s="30" t="n">
        <f aca="false">B33*B34</f>
        <v>208.136489196973</v>
      </c>
      <c r="E35" s="4" t="s">
        <v>645</v>
      </c>
    </row>
    <row r="37" customFormat="false" ht="17.15" hidden="false" customHeight="false" outlineLevel="0" collapsed="false">
      <c r="A37" s="6" t="s">
        <v>646</v>
      </c>
    </row>
    <row r="38" customFormat="false" ht="15" hidden="false" customHeight="false" outlineLevel="0" collapsed="false">
      <c r="A38" s="5" t="s">
        <v>17</v>
      </c>
      <c r="B38" s="5" t="s">
        <v>647</v>
      </c>
      <c r="C38" s="5"/>
      <c r="D38" s="5"/>
      <c r="E38" s="5" t="s">
        <v>488</v>
      </c>
    </row>
    <row r="39" customFormat="false" ht="17.15" hidden="false" customHeight="false" outlineLevel="0" collapsed="false">
      <c r="A39" s="4" t="s">
        <v>648</v>
      </c>
      <c r="B39" s="30" t="n">
        <f aca="false">tp_w_dcf*B24+(1-tp_w_dcf)*B35</f>
        <v>173.353091385714</v>
      </c>
      <c r="E39" s="8" t="s">
        <v>649</v>
      </c>
    </row>
    <row r="40" customFormat="false" ht="17.15" hidden="false" customHeight="false" outlineLevel="0" collapsed="false">
      <c r="A40" s="0" t="s">
        <v>650</v>
      </c>
      <c r="B40" s="22" t="n">
        <f aca="false">B35</f>
        <v>208.136489196973</v>
      </c>
    </row>
    <row r="41" customFormat="false" ht="17.15" hidden="false" customHeight="false" outlineLevel="0" collapsed="false">
      <c r="A41" s="4" t="s">
        <v>651</v>
      </c>
      <c r="B41" s="22" t="n">
        <f aca="false">cons_tp</f>
        <v>340.73</v>
      </c>
      <c r="E41" s="8" t="s">
        <v>652</v>
      </c>
    </row>
    <row r="42" customFormat="false" ht="17.15" hidden="false" customHeight="false" outlineLevel="0" collapsed="false">
      <c r="A42" s="4" t="s">
        <v>653</v>
      </c>
      <c r="B42" s="14" t="n">
        <f aca="false">B39/px-1</f>
        <v>-0.339607270911564</v>
      </c>
      <c r="E42" s="4" t="s">
        <v>654</v>
      </c>
    </row>
    <row r="43" customFormat="false" ht="17.15" hidden="false" customHeight="false" outlineLevel="0" collapsed="false">
      <c r="A43" s="4" t="s">
        <v>655</v>
      </c>
      <c r="B43" s="14" t="n">
        <f aca="false">B40/px-1</f>
        <v>-0.207099088773437</v>
      </c>
    </row>
    <row r="44" customFormat="false" ht="17.15" hidden="false" customHeight="false" outlineLevel="0" collapsed="false">
      <c r="A44" s="4" t="s">
        <v>656</v>
      </c>
      <c r="B44" s="14" t="n">
        <f aca="false">B34/cons_feps-1</f>
        <v>-0.423429417325819</v>
      </c>
      <c r="E44" s="4" t="s">
        <v>657</v>
      </c>
    </row>
    <row r="45" customFormat="false" ht="17.15" hidden="false" customHeight="false" outlineLevel="0" collapsed="false">
      <c r="A45" s="4" t="s">
        <v>658</v>
      </c>
      <c r="B45" s="14" t="n">
        <f aca="false">(cons_tp/cons_feps)/B33-1</f>
        <v>-0.0561246834107216</v>
      </c>
      <c r="E45" s="0" t="str">
        <f aca="false">"共識目標價隱含 "&amp;TEXT(cons_tp/cons_feps,"0.0")&amp;"x，同業中位數 "&amp;TEXT(B33,"0.0")&amp;"x"</f>
        <v>共識目標價隱含 20.8x，同業中位數 22.1x</v>
      </c>
    </row>
    <row r="46" customFormat="false" ht="17.15" hidden="false" customHeight="false" outlineLevel="0" collapsed="false">
      <c r="A46" s="4" t="s">
        <v>659</v>
      </c>
      <c r="B46" s="33" t="str">
        <f aca="false">TEXT(D23,"#,##0.0")&amp;"～"&amp;TEXT(B23,"#,##0.0")</f>
        <v>85.7～170.6</v>
      </c>
      <c r="E46" s="8" t="s">
        <v>660</v>
      </c>
    </row>
    <row r="47" customFormat="false" ht="17.15" hidden="false" customHeight="false" outlineLevel="0" collapsed="false">
      <c r="A47" s="4" t="s">
        <v>661</v>
      </c>
      <c r="B47" s="34" t="n">
        <f aca="false">IF(px/B9&gt;MAX($B$92:$B$101),1,IF(px/B9&lt;MIN($B$92:$B$101),0,PERCENTRANK($B$92:$B$101,px/B9)))</f>
        <v>0.956</v>
      </c>
      <c r="C47" s="34" t="n">
        <f aca="false">IF(px/C9&gt;MAX($B$92:$B$101),1,IF(px/C9&lt;MIN($B$92:$B$101),0,PERCENTRANK($B$92:$B$101,px/C9)))</f>
        <v>1</v>
      </c>
      <c r="D47" s="34" t="n">
        <f aca="false">IF(px/D9&gt;MAX($B$92:$B$101),1,IF(px/D9&lt;MIN($B$92:$B$101),0,PERCENTRANK($B$92:$B$101,px/D9)))</f>
        <v>1</v>
      </c>
      <c r="E47" s="4" t="s">
        <v>662</v>
      </c>
    </row>
    <row r="48" customFormat="false" ht="17.15" hidden="false" customHeight="false" outlineLevel="0" collapsed="false">
      <c r="A48" s="4" t="s">
        <v>663</v>
      </c>
      <c r="B48" s="0" t="s">
        <v>664</v>
      </c>
    </row>
    <row r="51" customFormat="false" ht="17.15" hidden="false" customHeight="false" outlineLevel="0" collapsed="false">
      <c r="A51" s="6" t="s">
        <v>665</v>
      </c>
    </row>
    <row r="52" customFormat="false" ht="15" hidden="false" customHeight="false" outlineLevel="0" collapsed="false">
      <c r="A52" s="5" t="s">
        <v>17</v>
      </c>
      <c r="B52" s="12" t="s">
        <v>666</v>
      </c>
      <c r="C52" s="12" t="s">
        <v>667</v>
      </c>
      <c r="D52" s="12" t="s">
        <v>668</v>
      </c>
      <c r="E52" s="5" t="s">
        <v>488</v>
      </c>
    </row>
    <row r="53" customFormat="false" ht="17.15" hidden="false" customHeight="false" outlineLevel="0" collapsed="false">
      <c r="A53" s="4" t="s">
        <v>669</v>
      </c>
      <c r="B53" s="22" t="n">
        <f aca="false">px</f>
        <v>262.5</v>
      </c>
    </row>
    <row r="54" customFormat="false" ht="17.15" hidden="false" customHeight="false" outlineLevel="0" collapsed="false">
      <c r="A54" s="4" t="s">
        <v>670</v>
      </c>
      <c r="B54" s="32" t="n">
        <f aca="false">px/PL!D15</f>
        <v>31.5668654400153</v>
      </c>
      <c r="C54" s="32" t="n">
        <f aca="false">px/PL!D29</f>
        <v>31.5668654400153</v>
      </c>
      <c r="D54" s="32" t="n">
        <f aca="false">px/PL!D43</f>
        <v>31.5668654400153</v>
      </c>
      <c r="E54" s="8" t="s">
        <v>671</v>
      </c>
    </row>
    <row r="55" customFormat="false" ht="17.15" hidden="false" customHeight="false" outlineLevel="0" collapsed="false">
      <c r="A55" s="4" t="s">
        <v>672</v>
      </c>
      <c r="B55" s="32" t="n">
        <f aca="false">px/PL!E15</f>
        <v>23.5017784608064</v>
      </c>
      <c r="C55" s="32" t="n">
        <f aca="false">px/PL!E29</f>
        <v>23.5017784608064</v>
      </c>
      <c r="D55" s="32" t="n">
        <f aca="false">px/PL!E43</f>
        <v>23.5017784608064</v>
      </c>
      <c r="E55" s="8" t="s">
        <v>673</v>
      </c>
    </row>
    <row r="56" customFormat="false" ht="17.15" hidden="false" customHeight="false" outlineLevel="0" collapsed="false">
      <c r="A56" s="4" t="s">
        <v>674</v>
      </c>
      <c r="B56" s="32" t="n">
        <f aca="false">px/PL!F15</f>
        <v>23.6574204702941</v>
      </c>
      <c r="C56" s="32" t="n">
        <f aca="false">px/PL!F29</f>
        <v>29.0706910169746</v>
      </c>
      <c r="D56" s="32" t="n">
        <f aca="false">px/PL!F43</f>
        <v>42.5352507344419</v>
      </c>
    </row>
    <row r="57" customFormat="false" ht="17.15" hidden="false" customHeight="false" outlineLevel="0" collapsed="false">
      <c r="A57" s="4" t="s">
        <v>675</v>
      </c>
      <c r="B57" s="32" t="n">
        <f aca="false">px/PL!G15</f>
        <v>21.5115264439546</v>
      </c>
      <c r="C57" s="32" t="n">
        <f aca="false">px/PL!G29</f>
        <v>23.7392195249733</v>
      </c>
      <c r="D57" s="32" t="n">
        <f aca="false">px/PL!G43</f>
        <v>34.8581832499218</v>
      </c>
    </row>
    <row r="58" customFormat="false" ht="17.15" hidden="false" customHeight="false" outlineLevel="0" collapsed="false">
      <c r="A58" s="4" t="s">
        <v>676</v>
      </c>
      <c r="B58" s="16" t="n">
        <f aca="false">0.25*PL!D15+0.75*PL!E15</f>
        <v>10.4559459913077</v>
      </c>
    </row>
    <row r="59" customFormat="false" ht="17.15" hidden="false" customHeight="false" outlineLevel="0" collapsed="false">
      <c r="A59" s="4" t="s">
        <v>677</v>
      </c>
      <c r="B59" s="32" t="n">
        <f aca="false">px/B58</f>
        <v>25.1053324317306</v>
      </c>
    </row>
    <row r="60" customFormat="false" ht="17.15" hidden="false" customHeight="false" outlineLevel="0" collapsed="false">
      <c r="A60" s="4" t="s">
        <v>356</v>
      </c>
      <c r="B60" s="32" t="n">
        <f aca="false">pe_ttm</f>
        <v>36.13</v>
      </c>
    </row>
    <row r="62" customFormat="false" ht="17.15" hidden="false" customHeight="false" outlineLevel="0" collapsed="false">
      <c r="A62" s="6" t="s">
        <v>678</v>
      </c>
    </row>
    <row r="63" customFormat="false" ht="17.15" hidden="false" customHeight="false" outlineLevel="0" collapsed="false">
      <c r="A63" s="5" t="s">
        <v>679</v>
      </c>
      <c r="B63" s="5" t="s">
        <v>680</v>
      </c>
      <c r="C63" s="12" t="s">
        <v>681</v>
      </c>
      <c r="D63" s="5" t="s">
        <v>682</v>
      </c>
      <c r="E63" s="5" t="s">
        <v>683</v>
      </c>
      <c r="F63" s="5" t="s">
        <v>488</v>
      </c>
    </row>
    <row r="64" customFormat="false" ht="17.15" hidden="false" customHeight="false" outlineLevel="0" collapsed="false">
      <c r="A64" s="0" t="s">
        <v>666</v>
      </c>
      <c r="B64" s="0" t="n">
        <f aca="false">INDEX({2026,2027,2028,2029},MATCH(MAX(PL!D81:G81),PL!D81:G81,0))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15.45</v>
      </c>
      <c r="E64" s="0" t="str">
        <f aca="false">IF(B64=2029,"是：營收到觀測期末仍在增加","否")</f>
        <v>是：營收到觀測期末仍在增加</v>
      </c>
      <c r="F64" s="8" t="s">
        <v>684</v>
      </c>
    </row>
    <row r="65" customFormat="false" ht="15" hidden="false" customHeight="false" outlineLevel="0" collapsed="false">
      <c r="A65" s="0" t="s">
        <v>667</v>
      </c>
      <c r="B65" s="0" t="n">
        <f aca="false">INDEX({2026,2027,2028,2029},MATCH(MAX(PL!D132:G132),PL!D132:G132,0))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15.45</v>
      </c>
      <c r="E65" s="0" t="str">
        <f aca="false">IF(B65=2029,"是：營收到觀測期末仍在增加","否")</f>
        <v>是：營收到觀測期末仍在增加</v>
      </c>
      <c r="F65" s="4" t="s">
        <v>35</v>
      </c>
    </row>
    <row r="66" customFormat="false" ht="15" hidden="false" customHeight="false" outlineLevel="0" collapsed="false">
      <c r="A66" s="0" t="s">
        <v>668</v>
      </c>
      <c r="B66" s="0" t="n">
        <f aca="false">INDEX({2026,2027,2028,2029},MATCH(MAX(PL!D183:G183),PL!D183:G183,0))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10.87</v>
      </c>
      <c r="E66" s="0" t="str">
        <f aca="false">IF(B66=2029,"是：營收到觀測期末仍在增加","否")</f>
        <v>否</v>
      </c>
      <c r="F66" s="4" t="s">
        <v>35</v>
      </c>
    </row>
    <row r="68" customFormat="false" ht="17.15" hidden="false" customHeight="false" outlineLevel="0" collapsed="false">
      <c r="A68" s="6" t="s">
        <v>685</v>
      </c>
    </row>
    <row r="69" customFormat="false" ht="17.15" hidden="false" customHeight="false" outlineLevel="0" collapsed="false">
      <c r="A69" s="5" t="s">
        <v>679</v>
      </c>
      <c r="B69" s="12" t="s">
        <v>686</v>
      </c>
      <c r="C69" s="5" t="s">
        <v>687</v>
      </c>
      <c r="D69" s="5" t="s">
        <v>688</v>
      </c>
      <c r="E69" s="5" t="s">
        <v>689</v>
      </c>
      <c r="F69" s="5" t="s">
        <v>690</v>
      </c>
      <c r="G69" s="5" t="s">
        <v>691</v>
      </c>
    </row>
    <row r="70" customFormat="false" ht="15" hidden="false" customHeight="false" outlineLevel="0" collapsed="false">
      <c r="A70" s="0" t="s">
        <v>666</v>
      </c>
      <c r="B70" s="16" t="n">
        <f aca="false">PL!E15</f>
        <v>11.1693674773493</v>
      </c>
      <c r="C70" s="16" t="n">
        <f aca="false">B70</f>
        <v>11.1693674773493</v>
      </c>
      <c r="D70" s="32" t="n">
        <f aca="false">D64</f>
        <v>15.45</v>
      </c>
      <c r="E70" s="22" t="n">
        <f aca="false">C70*D70</f>
        <v>172.566727525047</v>
      </c>
      <c r="F70" s="34" t="n">
        <f aca="false">E70/px-1</f>
        <v>-0.342602942761725</v>
      </c>
      <c r="G70" s="32" t="n">
        <f aca="false">px/C70</f>
        <v>23.5017784608064</v>
      </c>
    </row>
    <row r="71" customFormat="false" ht="15" hidden="false" customHeight="false" outlineLevel="0" collapsed="false">
      <c r="A71" s="0" t="s">
        <v>667</v>
      </c>
      <c r="B71" s="16" t="n">
        <f aca="false">PL!E29</f>
        <v>11.1693674773493</v>
      </c>
      <c r="C71" s="16" t="n">
        <f aca="false">B71</f>
        <v>11.1693674773493</v>
      </c>
      <c r="D71" s="32" t="n">
        <f aca="false">D65</f>
        <v>15.45</v>
      </c>
      <c r="E71" s="22" t="n">
        <f aca="false">C71*D71</f>
        <v>172.566727525047</v>
      </c>
      <c r="F71" s="34" t="n">
        <f aca="false">E71/px-1</f>
        <v>-0.342602942761725</v>
      </c>
      <c r="G71" s="32" t="n">
        <f aca="false">px/C71</f>
        <v>23.5017784608064</v>
      </c>
    </row>
    <row r="72" customFormat="false" ht="15" hidden="false" customHeight="false" outlineLevel="0" collapsed="false">
      <c r="A72" s="0" t="s">
        <v>668</v>
      </c>
      <c r="B72" s="16" t="n">
        <f aca="false">PL!E43</f>
        <v>11.1693674773493</v>
      </c>
      <c r="C72" s="16" t="n">
        <f aca="false">B72</f>
        <v>11.1693674773493</v>
      </c>
      <c r="D72" s="32" t="n">
        <f aca="false">D66</f>
        <v>10.87</v>
      </c>
      <c r="E72" s="22" t="n">
        <f aca="false">C72*D72</f>
        <v>121.411024478787</v>
      </c>
      <c r="F72" s="34" t="n">
        <f aca="false">E72/px-1</f>
        <v>-0.537481811509382</v>
      </c>
      <c r="G72" s="32" t="n">
        <f aca="false">px/C72</f>
        <v>23.5017784608064</v>
      </c>
    </row>
    <row r="74" customFormat="false" ht="17.15" hidden="false" customHeight="false" outlineLevel="0" collapsed="false">
      <c r="A74" s="6" t="s">
        <v>692</v>
      </c>
    </row>
    <row r="75" customFormat="false" ht="17.15" hidden="false" customHeight="false" outlineLevel="0" collapsed="false">
      <c r="A75" s="12" t="s">
        <v>693</v>
      </c>
      <c r="B75" s="5" t="s">
        <v>694</v>
      </c>
      <c r="C75" s="5" t="s">
        <v>695</v>
      </c>
      <c r="D75" s="5" t="s">
        <v>696</v>
      </c>
      <c r="E75" s="5" t="s">
        <v>697</v>
      </c>
    </row>
    <row r="76" customFormat="false" ht="15" hidden="false" customHeight="false" outlineLevel="0" collapsed="false">
      <c r="A76" s="17" t="n">
        <v>0.5</v>
      </c>
      <c r="B76" s="32" t="n">
        <f aca="false">px*A76/PL!F15</f>
        <v>11.828710235147</v>
      </c>
      <c r="C76" s="32" t="n">
        <f aca="false">px*A76/PL!F43</f>
        <v>21.2676253672209</v>
      </c>
      <c r="D76" s="32" t="n">
        <f aca="false">pe_mid</f>
        <v>15.45</v>
      </c>
      <c r="E76" s="32" t="n">
        <f aca="false">pe_trough</f>
        <v>17.17</v>
      </c>
    </row>
    <row r="77" customFormat="false" ht="15" hidden="false" customHeight="false" outlineLevel="0" collapsed="false">
      <c r="A77" s="17" t="n">
        <v>0.75</v>
      </c>
      <c r="B77" s="32" t="n">
        <f aca="false">px*A77/PL!F15</f>
        <v>17.7430653527206</v>
      </c>
      <c r="C77" s="32" t="n">
        <f aca="false">px*A77/PL!F43</f>
        <v>31.9014380508314</v>
      </c>
      <c r="D77" s="32" t="n">
        <f aca="false">pe_mid</f>
        <v>15.45</v>
      </c>
      <c r="E77" s="32" t="n">
        <f aca="false">pe_trough</f>
        <v>17.17</v>
      </c>
    </row>
    <row r="78" customFormat="false" ht="15" hidden="false" customHeight="false" outlineLevel="0" collapsed="false">
      <c r="A78" s="17" t="n">
        <v>1</v>
      </c>
      <c r="B78" s="32" t="n">
        <f aca="false">px*A78/PL!F15</f>
        <v>23.6574204702941</v>
      </c>
      <c r="C78" s="32" t="n">
        <f aca="false">px*A78/PL!F43</f>
        <v>42.5352507344419</v>
      </c>
      <c r="D78" s="32" t="n">
        <f aca="false">pe_mid</f>
        <v>15.45</v>
      </c>
      <c r="E78" s="32" t="n">
        <f aca="false">pe_trough</f>
        <v>17.17</v>
      </c>
    </row>
    <row r="79" customFormat="false" ht="15" hidden="false" customHeight="false" outlineLevel="0" collapsed="false">
      <c r="A79" s="17" t="n">
        <v>1.21</v>
      </c>
      <c r="B79" s="32" t="n">
        <f aca="false">px*A79/PL!F15</f>
        <v>28.6254787690558</v>
      </c>
      <c r="C79" s="32" t="n">
        <f aca="false">px*A79/PL!F43</f>
        <v>51.4676533886747</v>
      </c>
      <c r="D79" s="32" t="n">
        <f aca="false">pe_mid</f>
        <v>15.45</v>
      </c>
      <c r="E79" s="32" t="n">
        <f aca="false">pe_trough</f>
        <v>17.17</v>
      </c>
    </row>
    <row r="80" customFormat="false" ht="15" hidden="false" customHeight="false" outlineLevel="0" collapsed="false">
      <c r="A80" s="17" t="n">
        <v>1.5</v>
      </c>
      <c r="B80" s="32" t="n">
        <f aca="false">px*A80/PL!F15</f>
        <v>35.4861307054411</v>
      </c>
      <c r="C80" s="32" t="n">
        <f aca="false">px*A80/PL!F43</f>
        <v>63.8028761016628</v>
      </c>
      <c r="D80" s="32" t="n">
        <f aca="false">pe_mid</f>
        <v>15.45</v>
      </c>
      <c r="E80" s="32" t="n">
        <f aca="false">pe_trough</f>
        <v>17.17</v>
      </c>
    </row>
    <row r="81" customFormat="false" ht="17.15" hidden="false" customHeight="false" outlineLevel="0" collapsed="false">
      <c r="A81" s="4" t="s">
        <v>698</v>
      </c>
    </row>
    <row r="87" customFormat="false" ht="17.15" hidden="false" customHeight="false" outlineLevel="0" collapsed="false">
      <c r="A87" s="6" t="s">
        <v>699</v>
      </c>
    </row>
    <row r="88" customFormat="false" ht="17.15" hidden="false" customHeight="false" outlineLevel="0" collapsed="false">
      <c r="A88" s="4" t="s">
        <v>700</v>
      </c>
    </row>
    <row r="90" customFormat="false" ht="17.15" hidden="false" customHeight="false" outlineLevel="0" collapsed="false">
      <c r="A90" s="6" t="s">
        <v>701</v>
      </c>
    </row>
    <row r="91" customFormat="false" ht="17.15" hidden="false" customHeight="false" outlineLevel="0" collapsed="false">
      <c r="A91" s="5" t="s">
        <v>702</v>
      </c>
      <c r="B91" s="5" t="s">
        <v>703</v>
      </c>
      <c r="C91" s="12" t="s">
        <v>704</v>
      </c>
      <c r="D91" s="12" t="s">
        <v>705</v>
      </c>
      <c r="E91" s="5" t="s">
        <v>706</v>
      </c>
    </row>
    <row r="92" customFormat="false" ht="17.15" hidden="false" customHeight="false" outlineLevel="0" collapsed="false">
      <c r="A92" s="0" t="s">
        <v>707</v>
      </c>
      <c r="B92" s="16" t="n">
        <f aca="false">24*1.05/2.56</f>
        <v>9.84375</v>
      </c>
      <c r="E92" s="4" t="s">
        <v>708</v>
      </c>
    </row>
    <row r="93" customFormat="false" ht="15" hidden="false" customHeight="false" outlineLevel="0" collapsed="false">
      <c r="A93" s="0" t="s">
        <v>709</v>
      </c>
      <c r="B93" s="16" t="n">
        <f aca="false">28.81*1.05/1.88</f>
        <v>16.0906914893617</v>
      </c>
    </row>
    <row r="94" customFormat="false" ht="15" hidden="false" customHeight="false" outlineLevel="0" collapsed="false">
      <c r="A94" s="0" t="s">
        <v>710</v>
      </c>
      <c r="B94" s="16" t="n">
        <f aca="false">22.14*1.05/1.47</f>
        <v>15.8142857142857</v>
      </c>
    </row>
    <row r="95" customFormat="false" ht="15" hidden="false" customHeight="false" outlineLevel="0" collapsed="false">
      <c r="A95" s="0" t="s">
        <v>711</v>
      </c>
      <c r="B95" s="16" t="n">
        <f aca="false">35.76*1.05/2.49</f>
        <v>15.0795180722892</v>
      </c>
    </row>
    <row r="96" customFormat="false" ht="15" hidden="false" customHeight="false" outlineLevel="0" collapsed="false">
      <c r="A96" s="0" t="s">
        <v>712</v>
      </c>
      <c r="B96" s="16" t="n">
        <f aca="false">33.1*1.05/2.97</f>
        <v>11.7020202020202</v>
      </c>
    </row>
    <row r="97" customFormat="false" ht="15" hidden="false" customHeight="false" outlineLevel="0" collapsed="false">
      <c r="A97" s="0" t="s">
        <v>713</v>
      </c>
      <c r="B97" s="16" t="n">
        <f aca="false">42.67*1.05/4.23</f>
        <v>10.5918439716312</v>
      </c>
      <c r="C97" s="17" t="n">
        <v>10.59</v>
      </c>
      <c r="D97" s="17" t="n">
        <v>12.95</v>
      </c>
    </row>
    <row r="98" customFormat="false" ht="15" hidden="false" customHeight="false" outlineLevel="0" collapsed="false">
      <c r="A98" s="0" t="s">
        <v>714</v>
      </c>
      <c r="B98" s="16" t="n">
        <f aca="false">34.48*1.05/5.59</f>
        <v>6.47656529516995</v>
      </c>
      <c r="C98" s="17" t="n">
        <v>6.47</v>
      </c>
      <c r="D98" s="17" t="n">
        <v>6.35</v>
      </c>
    </row>
    <row r="99" customFormat="false" ht="15" hidden="false" customHeight="false" outlineLevel="0" collapsed="false">
      <c r="A99" s="0" t="s">
        <v>715</v>
      </c>
      <c r="B99" s="16" t="n">
        <f aca="false">80.86*1.05/4.78</f>
        <v>17.7621338912134</v>
      </c>
      <c r="C99" s="17" t="n">
        <v>17.77</v>
      </c>
      <c r="D99" s="17" t="n">
        <v>17.99</v>
      </c>
    </row>
    <row r="100" customFormat="false" ht="15" hidden="false" customHeight="false" outlineLevel="0" collapsed="false">
      <c r="A100" s="0" t="s">
        <v>716</v>
      </c>
      <c r="B100" s="16" t="n">
        <f aca="false">106.19*1.05/6.36</f>
        <v>17.5313679245283</v>
      </c>
      <c r="C100" s="17" t="n">
        <v>17.52</v>
      </c>
      <c r="D100" s="17" t="n">
        <v>18.65</v>
      </c>
    </row>
    <row r="101" customFormat="false" ht="15" hidden="false" customHeight="false" outlineLevel="0" collapsed="false">
      <c r="A101" s="0" t="s">
        <v>717</v>
      </c>
      <c r="B101" s="16" t="n">
        <f aca="false">235.71*1.05/9.01</f>
        <v>27.4689789123197</v>
      </c>
      <c r="C101" s="17" t="n">
        <v>27.47</v>
      </c>
      <c r="D101" s="17" t="n">
        <v>28.03</v>
      </c>
    </row>
    <row r="102" customFormat="false" ht="17.15" hidden="false" customHeight="false" outlineLevel="0" collapsed="false">
      <c r="A102" s="0" t="s">
        <v>718</v>
      </c>
      <c r="B102" s="16" t="n">
        <f aca="false">PERCENTILE(B92:B101,0.25)</f>
        <v>10.8693880292285</v>
      </c>
      <c r="C102" s="16" t="n">
        <f aca="false">PERCENTILE(C92:C101,0.25)</f>
        <v>10.59</v>
      </c>
      <c r="D102" s="16" t="n">
        <f aca="false">PERCENTILE(D92:D101,0.25)</f>
        <v>12.95</v>
      </c>
    </row>
    <row r="103" customFormat="false" ht="15" hidden="false" customHeight="false" outlineLevel="0" collapsed="false">
      <c r="A103" s="4" t="s">
        <v>719</v>
      </c>
      <c r="B103" s="16" t="n">
        <f aca="false">MEDIAN(B92:B101)</f>
        <v>15.4469018932874</v>
      </c>
      <c r="C103" s="16" t="n">
        <f aca="false">MEDIAN(C92:C101)</f>
        <v>17.52</v>
      </c>
      <c r="D103" s="16" t="n">
        <f aca="false">MEDIAN(D92:D101)</f>
        <v>17.99</v>
      </c>
    </row>
    <row r="104" customFormat="false" ht="17.15" hidden="false" customHeight="false" outlineLevel="0" collapsed="false">
      <c r="A104" s="0" t="s">
        <v>720</v>
      </c>
      <c r="B104" s="16" t="n">
        <f aca="false">PERCENTILE(B92:B101,0.75)</f>
        <v>17.1711988157367</v>
      </c>
      <c r="C104" s="16" t="n">
        <f aca="false">PERCENTILE(C92:C101,0.75)</f>
        <v>17.77</v>
      </c>
      <c r="D104" s="16" t="n">
        <f aca="false">PERCENTILE(D92:D101,0.75)</f>
        <v>18.65</v>
      </c>
    </row>
    <row r="105" customFormat="false" ht="15" hidden="false" customHeight="false" outlineLevel="0" collapsed="false">
      <c r="A105" s="4" t="s">
        <v>721</v>
      </c>
      <c r="B105" s="16" t="n">
        <f aca="false">MIN(B92:B101)</f>
        <v>6.47656529516995</v>
      </c>
      <c r="C105" s="16" t="n">
        <f aca="false">MIN(C92:C101)</f>
        <v>6.47</v>
      </c>
      <c r="D105" s="16" t="n">
        <f aca="false">MIN(D92:D101)</f>
        <v>6.35</v>
      </c>
    </row>
    <row r="106" customFormat="false" ht="15" hidden="false" customHeight="false" outlineLevel="0" collapsed="false">
      <c r="A106" s="4" t="s">
        <v>722</v>
      </c>
      <c r="B106" s="16" t="n">
        <f aca="false">MAX(B92:B101)</f>
        <v>27.4689789123197</v>
      </c>
      <c r="C106" s="16" t="n">
        <f aca="false">MAX(C92:C101)</f>
        <v>27.47</v>
      </c>
      <c r="D106" s="16" t="n">
        <f aca="false">MAX(D92:D101)</f>
        <v>28.03</v>
      </c>
    </row>
    <row r="107" customFormat="false" ht="17.15" hidden="false" customHeight="false" outlineLevel="0" collapsed="false">
      <c r="A107" s="1" t="s">
        <v>723</v>
      </c>
      <c r="B107" s="16" t="n">
        <f aca="false">ROUND(AVERAGE(B102),2)</f>
        <v>10.87</v>
      </c>
    </row>
    <row r="108" customFormat="false" ht="17.15" hidden="false" customHeight="false" outlineLevel="0" collapsed="false">
      <c r="A108" s="1" t="s">
        <v>724</v>
      </c>
      <c r="B108" s="16" t="n">
        <f aca="false">ROUND(AVERAGE(B103),2)</f>
        <v>15.45</v>
      </c>
    </row>
    <row r="109" customFormat="false" ht="17.15" hidden="false" customHeight="false" outlineLevel="0" collapsed="false">
      <c r="A109" s="1" t="s">
        <v>725</v>
      </c>
      <c r="B109" s="16" t="n">
        <f aca="false">ROUND(AVERAGE(B104),2)</f>
        <v>17.17</v>
      </c>
    </row>
    <row r="110" customFormat="false" ht="17.15" hidden="false" customHeight="false" outlineLevel="0" collapsed="false">
      <c r="A110" s="1" t="s">
        <v>726</v>
      </c>
      <c r="B110" s="16" t="n">
        <f aca="false">ROUND(MIN(B105),2)</f>
        <v>6.48</v>
      </c>
    </row>
    <row r="111" customFormat="false" ht="17.15" hidden="false" customHeight="false" outlineLevel="0" collapsed="false">
      <c r="A111" s="1" t="s">
        <v>727</v>
      </c>
      <c r="B111" s="16" t="n">
        <f aca="false">ROUND(MAX(B106),2)</f>
        <v>27.47</v>
      </c>
    </row>
    <row r="113" customFormat="false" ht="17.15" hidden="false" customHeight="false" outlineLevel="0" collapsed="false">
      <c r="A113" s="6" t="s">
        <v>728</v>
      </c>
    </row>
    <row r="114" customFormat="false" ht="17.15" hidden="false" customHeight="false" outlineLevel="0" collapsed="false">
      <c r="A114" s="5" t="s">
        <v>729</v>
      </c>
      <c r="B114" s="5" t="s">
        <v>730</v>
      </c>
      <c r="C114" s="5" t="s">
        <v>731</v>
      </c>
      <c r="D114" s="5" t="s">
        <v>20</v>
      </c>
      <c r="E114" s="5" t="s">
        <v>732</v>
      </c>
      <c r="F114" s="5" t="s">
        <v>689</v>
      </c>
      <c r="G114" s="5" t="s">
        <v>733</v>
      </c>
      <c r="H114" s="5" t="s">
        <v>734</v>
      </c>
    </row>
    <row r="115" customFormat="false" ht="17.15" hidden="false" customHeight="false" outlineLevel="0" collapsed="false">
      <c r="A115" s="4" t="s">
        <v>735</v>
      </c>
      <c r="B115" s="0" t="s">
        <v>736</v>
      </c>
      <c r="C115" s="16" t="n">
        <f aca="false">B107</f>
        <v>10.87</v>
      </c>
      <c r="D115" s="8" t="s">
        <v>737</v>
      </c>
      <c r="E115" s="21" t="n">
        <f aca="false">C70</f>
        <v>11.1693674773493</v>
      </c>
      <c r="F115" s="22" t="n">
        <f aca="false">C115*E115</f>
        <v>121.411024478787</v>
      </c>
      <c r="G115" s="14" t="n">
        <f aca="false">F115/px-1</f>
        <v>-0.537481811509382</v>
      </c>
      <c r="H115" s="16" t="n">
        <f aca="false">px/E115</f>
        <v>23.5017784608064</v>
      </c>
    </row>
    <row r="116" customFormat="false" ht="17.15" hidden="false" customHeight="false" outlineLevel="0" collapsed="false">
      <c r="A116" s="4" t="s">
        <v>738</v>
      </c>
      <c r="B116" s="4" t="s">
        <v>739</v>
      </c>
      <c r="C116" s="16" t="n">
        <f aca="false">B108</f>
        <v>15.45</v>
      </c>
      <c r="D116" s="8" t="s">
        <v>737</v>
      </c>
      <c r="E116" s="21" t="n">
        <f aca="false">C70</f>
        <v>11.1693674773493</v>
      </c>
      <c r="F116" s="22" t="n">
        <f aca="false">C116*E116</f>
        <v>172.566727525047</v>
      </c>
      <c r="G116" s="14" t="n">
        <f aca="false">F116/px-1</f>
        <v>-0.342602942761725</v>
      </c>
      <c r="H116" s="16" t="n">
        <f aca="false">px/E116</f>
        <v>23.5017784608064</v>
      </c>
    </row>
    <row r="117" customFormat="false" ht="17.15" hidden="false" customHeight="false" outlineLevel="0" collapsed="false">
      <c r="A117" s="4" t="s">
        <v>740</v>
      </c>
      <c r="B117" s="0" t="s">
        <v>741</v>
      </c>
      <c r="C117" s="16" t="n">
        <f aca="false">B109</f>
        <v>17.17</v>
      </c>
      <c r="D117" s="8" t="s">
        <v>737</v>
      </c>
      <c r="E117" s="21" t="n">
        <f aca="false">C70</f>
        <v>11.1693674773493</v>
      </c>
      <c r="F117" s="22" t="n">
        <f aca="false">C117*E117</f>
        <v>191.778039586088</v>
      </c>
      <c r="G117" s="14" t="n">
        <f aca="false">F117/px-1</f>
        <v>-0.269416992052998</v>
      </c>
      <c r="H117" s="16" t="n">
        <f aca="false">px/E117</f>
        <v>23.5017784608064</v>
      </c>
    </row>
    <row r="120" customFormat="false" ht="17.15" hidden="false" customHeight="false" outlineLevel="0" collapsed="false">
      <c r="A120" s="4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743</v>
      </c>
    </row>
    <row r="3" customFormat="false" ht="17.15" hidden="false" customHeight="false" outlineLevel="0" collapsed="false">
      <c r="A3" s="5" t="s">
        <v>17</v>
      </c>
      <c r="B3" s="5" t="s">
        <v>744</v>
      </c>
      <c r="C3" s="5" t="s">
        <v>745</v>
      </c>
      <c r="D3" s="5" t="s">
        <v>746</v>
      </c>
      <c r="E3" s="5" t="s">
        <v>747</v>
      </c>
      <c r="F3" s="5" t="s">
        <v>748</v>
      </c>
      <c r="G3" s="5" t="s">
        <v>749</v>
      </c>
      <c r="H3" s="5" t="s">
        <v>750</v>
      </c>
      <c r="I3" s="5" t="s">
        <v>751</v>
      </c>
      <c r="J3" s="5" t="s">
        <v>488</v>
      </c>
    </row>
    <row r="4" customFormat="false" ht="17.15" hidden="false" customHeight="false" outlineLevel="0" collapsed="false">
      <c r="A4" s="6" t="s">
        <v>752</v>
      </c>
    </row>
    <row r="5" customFormat="false" ht="17.15" hidden="false" customHeight="false" outlineLevel="0" collapsed="false">
      <c r="A5" s="0" t="s">
        <v>753</v>
      </c>
      <c r="B5" s="22" t="n">
        <f aca="false">c_rev26</f>
        <v>49.25</v>
      </c>
      <c r="C5" s="22" t="n">
        <f aca="false">PL!D81</f>
        <v>47.4393547</v>
      </c>
      <c r="D5" s="14" t="n">
        <f aca="false">C5/B5-1</f>
        <v>-0.0367643715736041</v>
      </c>
      <c r="E5" s="22" t="n">
        <f aca="false">PL!D132</f>
        <v>47.4393547</v>
      </c>
      <c r="F5" s="14" t="n">
        <f aca="false">E5/B5-1</f>
        <v>-0.0367643715736041</v>
      </c>
      <c r="G5" s="22" t="n">
        <f aca="false">PL!D183</f>
        <v>47.4393547</v>
      </c>
      <c r="H5" s="14" t="n">
        <f aca="false">G5/B5-1</f>
        <v>-0.0367643715736041</v>
      </c>
      <c r="I5" s="4" t="s">
        <v>754</v>
      </c>
      <c r="J5" s="4" t="s">
        <v>755</v>
      </c>
    </row>
    <row r="6" customFormat="false" ht="17.15" hidden="false" customHeight="false" outlineLevel="0" collapsed="false">
      <c r="A6" s="0" t="s">
        <v>756</v>
      </c>
      <c r="B6" s="21" t="n">
        <f aca="false">c_q4rev</f>
        <v>14.559</v>
      </c>
      <c r="C6" s="21" t="n">
        <f aca="false">Q!E4</f>
        <v>13.9635967</v>
      </c>
      <c r="D6" s="14" t="n">
        <f aca="false">C6/B6-1</f>
        <v>-0.0408958925750397</v>
      </c>
      <c r="E6" s="21" t="n">
        <f aca="false">Q!E4</f>
        <v>13.9635967</v>
      </c>
      <c r="F6" s="14" t="n">
        <f aca="false">E6/B6-1</f>
        <v>-0.0408958925750397</v>
      </c>
      <c r="G6" s="21" t="n">
        <f aca="false">Q!E4</f>
        <v>13.9635967</v>
      </c>
      <c r="H6" s="14" t="n">
        <f aca="false">G6/B6-1</f>
        <v>-0.0408958925750397</v>
      </c>
      <c r="I6" s="4" t="s">
        <v>757</v>
      </c>
    </row>
    <row r="7" customFormat="false" ht="17.15" hidden="false" customHeight="false" outlineLevel="0" collapsed="false">
      <c r="A7" s="0" t="s">
        <v>758</v>
      </c>
      <c r="B7" s="21" t="n">
        <f aca="false">c_eps26</f>
        <v>9.9</v>
      </c>
      <c r="C7" s="21" t="n">
        <f aca="false">PL!D107</f>
        <v>8.31568153318276</v>
      </c>
      <c r="D7" s="14" t="n">
        <f aca="false">C7/B7-1</f>
        <v>-0.160032168365378</v>
      </c>
      <c r="E7" s="21" t="n">
        <f aca="false">PL!D158</f>
        <v>8.31568153318276</v>
      </c>
      <c r="F7" s="14" t="n">
        <f aca="false">E7/B7-1</f>
        <v>-0.160032168365378</v>
      </c>
      <c r="G7" s="21" t="n">
        <f aca="false">PL!D209</f>
        <v>8.31568153318276</v>
      </c>
      <c r="H7" s="14" t="n">
        <f aca="false">G7/B7-1</f>
        <v>-0.160032168365378</v>
      </c>
      <c r="I7" s="8" t="s">
        <v>759</v>
      </c>
      <c r="J7" s="4" t="s">
        <v>760</v>
      </c>
    </row>
    <row r="8" customFormat="false" ht="17.15" hidden="false" customHeight="false" outlineLevel="0" collapsed="false">
      <c r="A8" s="0" t="s">
        <v>761</v>
      </c>
      <c r="B8" s="21" t="n">
        <f aca="false">c_eps26</f>
        <v>9.9</v>
      </c>
      <c r="C8" s="21" t="n">
        <f aca="false">PL!D107*1.05</f>
        <v>8.73146560984189</v>
      </c>
      <c r="D8" s="14" t="n">
        <f aca="false">C8/B8-1</f>
        <v>-0.118033776783647</v>
      </c>
      <c r="E8" s="21" t="n">
        <f aca="false">PL!D158*1.05</f>
        <v>8.73146560984189</v>
      </c>
      <c r="F8" s="14" t="n">
        <f aca="false">E8/B8-1</f>
        <v>-0.118033776783647</v>
      </c>
      <c r="G8" s="21" t="n">
        <f aca="false">PL!D209*1.05</f>
        <v>8.73146560984189</v>
      </c>
      <c r="H8" s="14" t="n">
        <f aca="false">G8/B8-1</f>
        <v>-0.118033776783647</v>
      </c>
      <c r="I8" s="4" t="s">
        <v>35</v>
      </c>
      <c r="J8" s="4" t="s">
        <v>762</v>
      </c>
    </row>
    <row r="9" customFormat="false" ht="17.15" hidden="false" customHeight="false" outlineLevel="0" collapsed="false">
      <c r="A9" s="0" t="s">
        <v>763</v>
      </c>
      <c r="B9" s="21" t="n">
        <f aca="false">c_eps26b</f>
        <v>9.44</v>
      </c>
      <c r="C9" s="21" t="n">
        <f aca="false">PL!D107*1.05</f>
        <v>8.73146560984189</v>
      </c>
      <c r="D9" s="14" t="n">
        <f aca="false">C9/B9-1</f>
        <v>-0.0750566091269179</v>
      </c>
      <c r="E9" s="21" t="n">
        <f aca="false">PL!D158*1.05</f>
        <v>8.73146560984189</v>
      </c>
      <c r="F9" s="14" t="n">
        <f aca="false">E9/B9-1</f>
        <v>-0.0750566091269179</v>
      </c>
      <c r="G9" s="21" t="n">
        <f aca="false">PL!D209*1.05</f>
        <v>8.73146560984189</v>
      </c>
      <c r="H9" s="14" t="n">
        <f aca="false">G9/B9-1</f>
        <v>-0.0750566091269179</v>
      </c>
      <c r="I9" s="4" t="s">
        <v>754</v>
      </c>
      <c r="J9" s="8" t="s">
        <v>764</v>
      </c>
    </row>
    <row r="10" customFormat="false" ht="17.15" hidden="false" customHeight="false" outlineLevel="0" collapsed="false">
      <c r="A10" s="0" t="s">
        <v>765</v>
      </c>
      <c r="B10" s="21" t="n">
        <f aca="false">c_eps27</f>
        <v>14.4</v>
      </c>
      <c r="C10" s="21" t="n">
        <f aca="false">PL!E107</f>
        <v>11.1693674773493</v>
      </c>
      <c r="D10" s="14" t="n">
        <f aca="false">C10/B10-1</f>
        <v>-0.22434948073963</v>
      </c>
      <c r="E10" s="21" t="n">
        <f aca="false">PL!E158</f>
        <v>11.1693674773493</v>
      </c>
      <c r="F10" s="14" t="n">
        <f aca="false">E10/B10-1</f>
        <v>-0.22434948073963</v>
      </c>
      <c r="G10" s="21" t="n">
        <f aca="false">PL!E209</f>
        <v>11.1693674773493</v>
      </c>
      <c r="H10" s="14" t="n">
        <f aca="false">G10/B10-1</f>
        <v>-0.22434948073963</v>
      </c>
      <c r="I10" s="8" t="s">
        <v>759</v>
      </c>
    </row>
    <row r="11" customFormat="false" ht="17.15" hidden="false" customHeight="false" outlineLevel="0" collapsed="false">
      <c r="A11" s="0" t="s">
        <v>766</v>
      </c>
      <c r="B11" s="21" t="n">
        <f aca="false">c_eps27</f>
        <v>14.4</v>
      </c>
      <c r="C11" s="21" t="n">
        <f aca="false">PL!E107*1.05</f>
        <v>11.7278358512168</v>
      </c>
      <c r="D11" s="14" t="n">
        <f aca="false">C11/B11-1</f>
        <v>-0.185566954776612</v>
      </c>
      <c r="E11" s="21" t="n">
        <f aca="false">PL!E158*1.05</f>
        <v>11.7278358512168</v>
      </c>
      <c r="F11" s="14" t="n">
        <f aca="false">E11/B11-1</f>
        <v>-0.185566954776612</v>
      </c>
      <c r="G11" s="21" t="n">
        <f aca="false">PL!E209*1.05</f>
        <v>11.7278358512168</v>
      </c>
      <c r="H11" s="14" t="n">
        <f aca="false">G11/B11-1</f>
        <v>-0.185566954776612</v>
      </c>
      <c r="I11" s="4" t="s">
        <v>35</v>
      </c>
      <c r="J11" s="4" t="s">
        <v>320</v>
      </c>
    </row>
    <row r="12" customFormat="false" ht="17.15" hidden="false" customHeight="false" outlineLevel="0" collapsed="false">
      <c r="A12" s="0" t="s">
        <v>767</v>
      </c>
      <c r="B12" s="21" t="n">
        <f aca="false">c_eps28</f>
        <v>17.72</v>
      </c>
      <c r="C12" s="21" t="n">
        <f aca="false">PL!F107*1.05</f>
        <v>11.6506784983635</v>
      </c>
      <c r="D12" s="14" t="n">
        <f aca="false">C12/B12-1</f>
        <v>-0.342512500092353</v>
      </c>
      <c r="E12" s="21" t="n">
        <f aca="false">PL!F158*1.05</f>
        <v>9.48119877298619</v>
      </c>
      <c r="F12" s="14" t="n">
        <f aca="false">E12/B12-1</f>
        <v>-0.464943635835994</v>
      </c>
      <c r="G12" s="21" t="n">
        <f aca="false">PL!F209*1.05</f>
        <v>6.47991948421311</v>
      </c>
      <c r="H12" s="14" t="n">
        <f aca="false">G12/B12-1</f>
        <v>-0.634316056195648</v>
      </c>
      <c r="I12" s="4" t="s">
        <v>35</v>
      </c>
      <c r="J12" s="4" t="s">
        <v>323</v>
      </c>
    </row>
    <row r="13" customFormat="false" ht="17.15" hidden="false" customHeight="false" outlineLevel="0" collapsed="false">
      <c r="A13" s="4" t="s">
        <v>768</v>
      </c>
      <c r="B13" s="22" t="n">
        <f aca="false">ms_tp</f>
        <v>388</v>
      </c>
      <c r="C13" s="22" t="n">
        <f aca="false">tp_final</f>
        <v>173.353091385714</v>
      </c>
      <c r="D13" s="14" t="n">
        <f aca="false">C13/B13-1</f>
        <v>-0.553213681995582</v>
      </c>
      <c r="E13" s="22" t="n">
        <f aca="false">tp_final</f>
        <v>173.353091385714</v>
      </c>
      <c r="F13" s="14" t="n">
        <f aca="false">E13/B13-1</f>
        <v>-0.553213681995582</v>
      </c>
      <c r="G13" s="22" t="n">
        <f aca="false">tp_final</f>
        <v>173.353091385714</v>
      </c>
      <c r="H13" s="14" t="n">
        <f aca="false">G13/B13-1</f>
        <v>-0.553213681995582</v>
      </c>
      <c r="I13" s="8" t="s">
        <v>769</v>
      </c>
      <c r="J13" s="4" t="s">
        <v>770</v>
      </c>
    </row>
    <row r="14" customFormat="false" ht="17.15" hidden="false" customHeight="false" outlineLevel="0" collapsed="false">
      <c r="A14" s="6" t="s">
        <v>771</v>
      </c>
    </row>
    <row r="15" customFormat="false" ht="17.15" hidden="false" customHeight="false" outlineLevel="0" collapsed="false">
      <c r="A15" s="0" t="s">
        <v>772</v>
      </c>
      <c r="B15" s="14" t="n">
        <f aca="false">ms_goog</f>
        <v>0.1</v>
      </c>
      <c r="C15" s="14" t="n">
        <f aca="false">PL!D68/PL!D74*PL!D79/PL!D81</f>
        <v>0.0547887960243958</v>
      </c>
      <c r="D15" s="14" t="n">
        <f aca="false">C15-B15</f>
        <v>-0.0452112039756043</v>
      </c>
      <c r="E15" s="14" t="n">
        <f aca="false">PL!D119/PL!D125*PL!D130/PL!D132</f>
        <v>0.0547887960243958</v>
      </c>
      <c r="F15" s="14" t="n">
        <f aca="false">E15-B15</f>
        <v>-0.0452112039756043</v>
      </c>
      <c r="G15" s="14" t="n">
        <f aca="false">PL!D170/PL!D176*PL!D181/PL!D183</f>
        <v>0.0547887960243958</v>
      </c>
      <c r="H15" s="14" t="n">
        <f aca="false">G15-B15</f>
        <v>-0.0452112039756043</v>
      </c>
      <c r="I15" s="8" t="s">
        <v>769</v>
      </c>
      <c r="J15" s="4" t="s">
        <v>773</v>
      </c>
    </row>
    <row r="16" customFormat="false" ht="17.15" hidden="false" customHeight="false" outlineLevel="0" collapsed="false">
      <c r="A16" s="0" t="s">
        <v>774</v>
      </c>
      <c r="B16" s="14" t="n">
        <f aca="false">dp_26</f>
        <v>0.363</v>
      </c>
      <c r="C16" s="14" t="n">
        <f aca="false">PL!D83</f>
        <v>0.35</v>
      </c>
      <c r="D16" s="14" t="n">
        <f aca="false">C16-B16</f>
        <v>-0.013</v>
      </c>
      <c r="E16" s="14" t="n">
        <f aca="false">PL!D134</f>
        <v>0.35</v>
      </c>
      <c r="F16" s="14" t="n">
        <f aca="false">E16-B16</f>
        <v>-0.013</v>
      </c>
      <c r="G16" s="14" t="n">
        <f aca="false">PL!D185</f>
        <v>0.35</v>
      </c>
      <c r="H16" s="14" t="n">
        <f aca="false">G16-B16</f>
        <v>-0.013</v>
      </c>
      <c r="I16" s="8" t="s">
        <v>775</v>
      </c>
      <c r="J16" s="4" t="s">
        <v>776</v>
      </c>
    </row>
    <row r="17" customFormat="false" ht="17.15" hidden="false" customHeight="false" outlineLevel="0" collapsed="false">
      <c r="A17" s="0" t="s">
        <v>777</v>
      </c>
      <c r="C17" s="16" t="n">
        <f aca="false">PL!D92</f>
        <v>-0.0994950449999994</v>
      </c>
      <c r="E17" s="16" t="n">
        <f aca="false">PL!D143</f>
        <v>-0.0994950449999994</v>
      </c>
      <c r="G17" s="16" t="n">
        <f aca="false">PL!D194</f>
        <v>-0.0994950449999994</v>
      </c>
      <c r="I17" s="8" t="s">
        <v>778</v>
      </c>
      <c r="J17" s="4" t="s">
        <v>779</v>
      </c>
    </row>
    <row r="18" customFormat="false" ht="17.15" hidden="false" customHeight="false" outlineLevel="0" collapsed="false">
      <c r="A18" s="0" t="s">
        <v>780</v>
      </c>
      <c r="B18" s="22" t="n">
        <f aca="false">capex_26</f>
        <v>42</v>
      </c>
      <c r="C18" s="22" t="n">
        <f aca="false">m_cx*PL!D81+PL!C87*MAX(0,PL!D81-PL!C81)</f>
        <v>49.4250300147731</v>
      </c>
      <c r="D18" s="14" t="n">
        <f aca="false">C18/B18-1</f>
        <v>0.176786428923169</v>
      </c>
      <c r="E18" s="22" t="n">
        <f aca="false">m_cx*PL!D132+PL!C138*MAX(0,PL!D132-PL!C132)</f>
        <v>49.4250300147731</v>
      </c>
      <c r="F18" s="14" t="n">
        <f aca="false">E18/B18-1</f>
        <v>0.176786428923169</v>
      </c>
      <c r="G18" s="22" t="n">
        <f aca="false">m_cx*PL!D183+PL!C189*MAX(0,PL!D183-PL!C183)</f>
        <v>49.4250300147731</v>
      </c>
      <c r="H18" s="14" t="n">
        <f aca="false">G18/B18-1</f>
        <v>0.176786428923169</v>
      </c>
      <c r="I18" s="8" t="s">
        <v>781</v>
      </c>
      <c r="J18" s="4" t="s">
        <v>782</v>
      </c>
    </row>
    <row r="19" customFormat="false" ht="17.15" hidden="false" customHeight="false" outlineLevel="0" collapsed="false">
      <c r="A19" s="0" t="s">
        <v>783</v>
      </c>
      <c r="C19" s="22" t="n">
        <f aca="false">PL!E85</f>
        <v>43.6472603597103</v>
      </c>
      <c r="E19" s="22" t="n">
        <f aca="false">PL!E136</f>
        <v>43.6472603597103</v>
      </c>
      <c r="G19" s="22" t="n">
        <f aca="false">PL!E187</f>
        <v>43.6472603597103</v>
      </c>
      <c r="I19" s="8" t="s">
        <v>190</v>
      </c>
    </row>
    <row r="20" customFormat="false" ht="17.15" hidden="false" customHeight="false" outlineLevel="0" collapsed="false">
      <c r="A20" s="0" t="s">
        <v>784</v>
      </c>
      <c r="C20" s="14" t="n">
        <f aca="false">PL!E89</f>
        <v>0.85670568771254</v>
      </c>
      <c r="E20" s="14" t="n">
        <f aca="false">PL!E140</f>
        <v>0.85670568771254</v>
      </c>
      <c r="G20" s="14" t="n">
        <f aca="false">PL!E191</f>
        <v>0.85670568771254</v>
      </c>
      <c r="I20" s="8" t="s">
        <v>190</v>
      </c>
      <c r="J20" s="8" t="s">
        <v>785</v>
      </c>
    </row>
    <row r="21" customFormat="false" ht="17.15" hidden="false" customHeight="false" outlineLevel="0" collapsed="false">
      <c r="A21" s="0" t="s">
        <v>786</v>
      </c>
      <c r="C21" s="14" t="n">
        <f aca="false">PL!F91</f>
        <v>0.296590859936071</v>
      </c>
      <c r="E21" s="14" t="n">
        <f aca="false">PL!F142</f>
        <v>0.308875145154134</v>
      </c>
      <c r="G21" s="14" t="n">
        <f aca="false">PL!F193</f>
        <v>0.340292938363699</v>
      </c>
      <c r="I21" s="8" t="s">
        <v>190</v>
      </c>
      <c r="J21" s="8" t="s">
        <v>787</v>
      </c>
    </row>
    <row r="22" customFormat="false" ht="17.15" hidden="false" customHeight="false" outlineLevel="0" collapsed="false">
      <c r="A22" s="0" t="s">
        <v>788</v>
      </c>
      <c r="C22" s="22" t="n">
        <f aca="false">PL!F103</f>
        <v>13.4952972033051</v>
      </c>
      <c r="E22" s="22" t="n">
        <f aca="false">PL!F154</f>
        <v>26.1451515564638</v>
      </c>
      <c r="G22" s="22" t="n">
        <f aca="false">PL!F205</f>
        <v>22.3051869959729</v>
      </c>
      <c r="I22" s="8" t="s">
        <v>190</v>
      </c>
      <c r="J22" s="4" t="s">
        <v>789</v>
      </c>
    </row>
    <row r="23" customFormat="false" ht="17.15" hidden="false" customHeight="false" outlineLevel="0" collapsed="false">
      <c r="A23" s="0" t="s">
        <v>790</v>
      </c>
      <c r="B23" s="14" t="n">
        <f aca="false">bi_25</f>
        <v>0.09</v>
      </c>
      <c r="C23" s="14" t="n">
        <f aca="false">bi_25</f>
        <v>0.09</v>
      </c>
      <c r="E23" s="14" t="n">
        <f aca="false">bi_25</f>
        <v>0.09</v>
      </c>
      <c r="G23" s="14" t="n">
        <f aca="false">bi_25</f>
        <v>0.09</v>
      </c>
      <c r="I23" s="4" t="s">
        <v>791</v>
      </c>
      <c r="J23" s="4" t="s">
        <v>792</v>
      </c>
    </row>
    <row r="24" customFormat="false" ht="17.15" hidden="false" customHeight="false" outlineLevel="0" collapsed="false">
      <c r="A24" s="6" t="s">
        <v>793</v>
      </c>
    </row>
    <row r="25" customFormat="false" ht="17.15" hidden="false" customHeight="false" outlineLevel="0" collapsed="false">
      <c r="A25" s="0" t="s">
        <v>794</v>
      </c>
      <c r="J25" s="4" t="s">
        <v>795</v>
      </c>
    </row>
    <row r="26" customFormat="false" ht="17.15" hidden="false" customHeight="false" outlineLevel="0" collapsed="false">
      <c r="A26" s="0" t="s">
        <v>796</v>
      </c>
      <c r="J26" s="4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797</v>
      </c>
    </row>
    <row r="3" customFormat="false" ht="17.15" hidden="false" customHeight="false" outlineLevel="0" collapsed="false">
      <c r="A3" s="5" t="s">
        <v>798</v>
      </c>
      <c r="B3" s="5" t="s">
        <v>799</v>
      </c>
      <c r="C3" s="12" t="s">
        <v>800</v>
      </c>
      <c r="D3" s="12" t="s">
        <v>801</v>
      </c>
      <c r="E3" s="12" t="s">
        <v>802</v>
      </c>
      <c r="F3" s="12" t="s">
        <v>686</v>
      </c>
      <c r="G3" s="12" t="s">
        <v>803</v>
      </c>
      <c r="H3" s="12" t="s">
        <v>804</v>
      </c>
      <c r="I3" s="12" t="s">
        <v>805</v>
      </c>
      <c r="J3" s="12" t="s">
        <v>806</v>
      </c>
      <c r="K3" s="12" t="s">
        <v>807</v>
      </c>
      <c r="L3" s="12" t="s">
        <v>808</v>
      </c>
    </row>
    <row r="4" customFormat="false" ht="17.15" hidden="false" customHeight="false" outlineLevel="0" collapsed="false">
      <c r="A4" s="4" t="s">
        <v>809</v>
      </c>
      <c r="B4" s="0" t="s">
        <v>810</v>
      </c>
      <c r="C4" s="22" t="n">
        <f aca="false">PL!E81</f>
        <v>60.1864721897945</v>
      </c>
      <c r="D4" s="22" t="n">
        <f aca="false">PL!E79</f>
        <v>25.6506219681945</v>
      </c>
      <c r="E4" s="14" t="n">
        <f aca="false">PL!E97</f>
        <v>0.401336878747572</v>
      </c>
      <c r="F4" s="16" t="n">
        <f aca="false">PL!E107</f>
        <v>11.1693674773493</v>
      </c>
      <c r="G4" s="14" t="n">
        <f aca="false">F4/F$4-1</f>
        <v>0</v>
      </c>
      <c r="H4" s="22" t="n">
        <f aca="false">PL!F81</f>
        <v>64.7121396924678</v>
      </c>
      <c r="I4" s="22" t="n">
        <f aca="false">PL!F79</f>
        <v>27.7587799553558</v>
      </c>
      <c r="J4" s="14" t="n">
        <f aca="false">PL!F97</f>
        <v>0.37648524388575</v>
      </c>
      <c r="K4" s="16" t="n">
        <f aca="false">PL!F107</f>
        <v>11.0958842841557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811</v>
      </c>
      <c r="B5" s="4" t="s">
        <v>812</v>
      </c>
      <c r="C5" s="22" t="n">
        <f aca="false">E61</f>
        <v>57.9838593238411</v>
      </c>
      <c r="D5" s="22" t="n">
        <f aca="false">E59</f>
        <v>23.4480091022411</v>
      </c>
      <c r="E5" s="14" t="n">
        <f aca="false">E77</f>
        <v>0.394021593344493</v>
      </c>
      <c r="F5" s="16" t="n">
        <f aca="false">E87</f>
        <v>10.4242072224802</v>
      </c>
      <c r="G5" s="14" t="n">
        <f aca="false">F5/F$4-1</f>
        <v>-0.0667146332485052</v>
      </c>
      <c r="H5" s="22" t="n">
        <f aca="false">F61</f>
        <v>61.4077589380778</v>
      </c>
      <c r="I5" s="22" t="n">
        <f aca="false">F59</f>
        <v>24.4543992009658</v>
      </c>
      <c r="J5" s="14" t="n">
        <f aca="false">F77</f>
        <v>0.372094877752131</v>
      </c>
      <c r="K5" s="16" t="n">
        <f aca="false">F87</f>
        <v>10.2651394898123</v>
      </c>
      <c r="L5" s="14" t="n">
        <f aca="false">K5/K$4-1</f>
        <v>-0.0748696339172992</v>
      </c>
    </row>
    <row r="6" customFormat="false" ht="17.15" hidden="false" customHeight="false" outlineLevel="0" collapsed="false">
      <c r="A6" s="4" t="s">
        <v>813</v>
      </c>
      <c r="B6" s="4" t="s">
        <v>814</v>
      </c>
      <c r="C6" s="22" t="n">
        <f aca="false">E112</f>
        <v>61.8866991575785</v>
      </c>
      <c r="D6" s="22" t="n">
        <f aca="false">E110</f>
        <v>27.3508489359785</v>
      </c>
      <c r="E6" s="14" t="n">
        <f aca="false">E128</f>
        <v>0.406627538126818</v>
      </c>
      <c r="F6" s="16" t="n">
        <f aca="false">E138</f>
        <v>11.7445668599702</v>
      </c>
      <c r="G6" s="14" t="n">
        <f aca="false">F6/F$4-1</f>
        <v>0.0514979369948534</v>
      </c>
      <c r="H6" s="22" t="n">
        <f aca="false">F112</f>
        <v>67.5100958121446</v>
      </c>
      <c r="I6" s="22" t="n">
        <f aca="false">F110</f>
        <v>30.5567360750326</v>
      </c>
      <c r="J6" s="14" t="n">
        <f aca="false">F128</f>
        <v>0.380348657791881</v>
      </c>
      <c r="K6" s="16" t="n">
        <f aca="false">F138</f>
        <v>11.8220333456774</v>
      </c>
      <c r="L6" s="14" t="n">
        <f aca="false">K6/K$4-1</f>
        <v>0.0654430997048654</v>
      </c>
    </row>
    <row r="7" customFormat="false" ht="17.15" hidden="false" customHeight="false" outlineLevel="0" collapsed="false">
      <c r="A7" s="0" t="s">
        <v>815</v>
      </c>
      <c r="B7" s="0" t="s">
        <v>816</v>
      </c>
      <c r="C7" s="22" t="n">
        <f aca="false">E163</f>
        <v>59.9744466551984</v>
      </c>
      <c r="D7" s="22" t="n">
        <f aca="false">E161</f>
        <v>25.4385964335984</v>
      </c>
      <c r="E7" s="14" t="n">
        <f aca="false">E179</f>
        <v>0.400656074685836</v>
      </c>
      <c r="F7" s="16" t="n">
        <f aca="false">E189</f>
        <v>11.0976376677942</v>
      </c>
      <c r="G7" s="14" t="n">
        <f aca="false">F7/F$4-1</f>
        <v>-0.00642201178361868</v>
      </c>
      <c r="H7" s="22" t="n">
        <f aca="false">F163</f>
        <v>64.2329418477469</v>
      </c>
      <c r="I7" s="22" t="n">
        <f aca="false">F161</f>
        <v>27.2795821106349</v>
      </c>
      <c r="J7" s="14" t="n">
        <f aca="false">F179</f>
        <v>0.375546505682761</v>
      </c>
      <c r="K7" s="16" t="n">
        <f aca="false">F189</f>
        <v>10.9611264852106</v>
      </c>
      <c r="L7" s="14" t="n">
        <f aca="false">K7/K$4-1</f>
        <v>-0.012144845376362</v>
      </c>
    </row>
    <row r="8" customFormat="false" ht="17.15" hidden="false" customHeight="false" outlineLevel="0" collapsed="false">
      <c r="A8" s="0" t="s">
        <v>817</v>
      </c>
      <c r="B8" s="0" t="s">
        <v>818</v>
      </c>
      <c r="C8" s="22" t="n">
        <f aca="false">E214</f>
        <v>60.3898590138273</v>
      </c>
      <c r="D8" s="22" t="n">
        <f aca="false">E212</f>
        <v>25.8540087922273</v>
      </c>
      <c r="E8" s="14" t="n">
        <f aca="false">E230</f>
        <v>0.401985451978769</v>
      </c>
      <c r="F8" s="16" t="n">
        <f aca="false">E240</f>
        <v>11.2381747471042</v>
      </c>
      <c r="G8" s="14" t="n">
        <f aca="false">F8/F$4-1</f>
        <v>0.00616035508675328</v>
      </c>
      <c r="H8" s="22" t="n">
        <f aca="false">F214</f>
        <v>65.1681207666634</v>
      </c>
      <c r="I8" s="22" t="n">
        <f aca="false">F212</f>
        <v>28.2147610295514</v>
      </c>
      <c r="J8" s="14" t="n">
        <f aca="false">F230</f>
        <v>0.377360733504569</v>
      </c>
      <c r="K8" s="16" t="n">
        <f aca="false">F240</f>
        <v>11.2239231636331</v>
      </c>
      <c r="L8" s="14" t="n">
        <f aca="false">K8/K$4-1</f>
        <v>0.0115393127936785</v>
      </c>
    </row>
    <row r="9" customFormat="false" ht="17.15" hidden="false" customHeight="false" outlineLevel="0" collapsed="false">
      <c r="A9" s="4" t="s">
        <v>819</v>
      </c>
      <c r="B9" s="4" t="s">
        <v>820</v>
      </c>
      <c r="C9" s="22" t="n">
        <f aca="false">E265</f>
        <v>58.2964263605592</v>
      </c>
      <c r="D9" s="22" t="n">
        <f aca="false">E263</f>
        <v>23.7605761389592</v>
      </c>
      <c r="E9" s="14" t="n">
        <f aca="false">E281</f>
        <v>0.395093342706375</v>
      </c>
      <c r="F9" s="16" t="n">
        <f aca="false">E291</f>
        <v>10.5299509672593</v>
      </c>
      <c r="G9" s="14" t="n">
        <f aca="false">F9/F$4-1</f>
        <v>-0.0572473339593074</v>
      </c>
      <c r="H9" s="22" t="n">
        <f aca="false">F265</f>
        <v>61.0914292635084</v>
      </c>
      <c r="I9" s="22" t="n">
        <f aca="false">F263</f>
        <v>24.1380695263964</v>
      </c>
      <c r="J9" s="14" t="n">
        <f aca="false">F281</f>
        <v>0.369958325625467</v>
      </c>
      <c r="K9" s="16" t="n">
        <f aca="false">F291</f>
        <v>10.1165264590324</v>
      </c>
      <c r="L9" s="14" t="n">
        <f aca="false">K9/K$4-1</f>
        <v>-0.0882631613707267</v>
      </c>
    </row>
    <row r="10" customFormat="false" ht="17.15" hidden="false" customHeight="false" outlineLevel="0" collapsed="false">
      <c r="A10" s="4" t="s">
        <v>821</v>
      </c>
      <c r="B10" s="4" t="s">
        <v>822</v>
      </c>
      <c r="C10" s="22" t="n">
        <f aca="false">E316</f>
        <v>61.5365049249627</v>
      </c>
      <c r="D10" s="22" t="n">
        <f aca="false">E314</f>
        <v>27.0006547033627</v>
      </c>
      <c r="E10" s="14" t="n">
        <f aca="false">E332</f>
        <v>0.405561732637133</v>
      </c>
      <c r="F10" s="16" t="n">
        <f aca="false">E342</f>
        <v>11.6260935559851</v>
      </c>
      <c r="G10" s="14" t="n">
        <f aca="false">F10/F$4-1</f>
        <v>0.0408909528280772</v>
      </c>
      <c r="H10" s="22" t="n">
        <f aca="false">F316</f>
        <v>67.1259466451075</v>
      </c>
      <c r="I10" s="22" t="n">
        <f aca="false">F314</f>
        <v>30.1725869079955</v>
      </c>
      <c r="J10" s="14" t="n">
        <f aca="false">F332</f>
        <v>0.380180668415387</v>
      </c>
      <c r="K10" s="16" t="n">
        <f aca="false">F342</f>
        <v>11.7377611998979</v>
      </c>
      <c r="L10" s="14" t="n">
        <f aca="false">K10/K$4-1</f>
        <v>0.0578481984224335</v>
      </c>
    </row>
    <row r="11" customFormat="false" ht="17.15" hidden="false" customHeight="false" outlineLevel="0" collapsed="false">
      <c r="A11" s="4" t="s">
        <v>823</v>
      </c>
      <c r="B11" s="4" t="s">
        <v>824</v>
      </c>
      <c r="C11" s="22" t="n">
        <f aca="false">E367</f>
        <v>59.4012490683192</v>
      </c>
      <c r="D11" s="22" t="n">
        <f aca="false">E365</f>
        <v>24.8653988467192</v>
      </c>
      <c r="E11" s="14" t="n">
        <f aca="false">E383</f>
        <v>0.396093486165794</v>
      </c>
      <c r="F11" s="16" t="n">
        <f aca="false">E393</f>
        <v>10.7987738970815</v>
      </c>
      <c r="G11" s="14" t="n">
        <f aca="false">F11/F$4-1</f>
        <v>-0.0331794598950547</v>
      </c>
      <c r="H11" s="22" t="n">
        <f aca="false">F367</f>
        <v>62.9772159452581</v>
      </c>
      <c r="I11" s="22" t="n">
        <f aca="false">F365</f>
        <v>26.0238562081461</v>
      </c>
      <c r="J11" s="14" t="n">
        <f aca="false">F383</f>
        <v>0.367334677990794</v>
      </c>
      <c r="K11" s="16" t="n">
        <f aca="false">F393</f>
        <v>10.3737550039766</v>
      </c>
      <c r="L11" s="14" t="n">
        <f aca="false">K11/K$4-1</f>
        <v>-0.0650808229147011</v>
      </c>
    </row>
    <row r="12" customFormat="false" ht="17.15" hidden="false" customHeight="false" outlineLevel="0" collapsed="false">
      <c r="A12" s="4" t="s">
        <v>825</v>
      </c>
      <c r="B12" s="4" t="s">
        <v>826</v>
      </c>
      <c r="C12" s="22" t="n">
        <f aca="false">E418</f>
        <v>61.2334363517617</v>
      </c>
      <c r="D12" s="22" t="n">
        <f aca="false">E416</f>
        <v>26.6975861301617</v>
      </c>
      <c r="E12" s="14" t="n">
        <f aca="false">E434</f>
        <v>0.408118882987303</v>
      </c>
      <c r="F12" s="16" t="n">
        <f aca="false">E444</f>
        <v>11.6634922510398</v>
      </c>
      <c r="G12" s="14" t="n">
        <f aca="false">F12/F$4-1</f>
        <v>0.0442392798600735</v>
      </c>
      <c r="H12" s="22" t="n">
        <f aca="false">F418</f>
        <v>65.868755523941</v>
      </c>
      <c r="I12" s="22" t="n">
        <f aca="false">F416</f>
        <v>28.915395786829</v>
      </c>
      <c r="J12" s="14" t="n">
        <f aca="false">F434</f>
        <v>0.380748968829932</v>
      </c>
      <c r="K12" s="16" t="n">
        <f aca="false">F444</f>
        <v>11.5081442017089</v>
      </c>
      <c r="L12" s="14" t="n">
        <f aca="false">K12/K$4-1</f>
        <v>0.0371543093813516</v>
      </c>
    </row>
    <row r="13" customFormat="false" ht="17.15" hidden="false" customHeight="false" outlineLevel="0" collapsed="false">
      <c r="A13" s="0" t="s">
        <v>827</v>
      </c>
      <c r="B13" s="0" t="s">
        <v>828</v>
      </c>
      <c r="C13" s="22" t="n">
        <f aca="false">E469</f>
        <v>55.0563477961556</v>
      </c>
      <c r="D13" s="22" t="n">
        <f aca="false">E467</f>
        <v>20.5204975745556</v>
      </c>
      <c r="E13" s="14" t="n">
        <f aca="false">E485</f>
        <v>0.383392818528571</v>
      </c>
      <c r="F13" s="16" t="n">
        <f aca="false">E495</f>
        <v>9.43380837853349</v>
      </c>
      <c r="G13" s="14" t="n">
        <f aca="false">F13/F$4-1</f>
        <v>-0.155385620746692</v>
      </c>
      <c r="H13" s="22" t="n">
        <f aca="false">F469</f>
        <v>59.1603837013967</v>
      </c>
      <c r="I13" s="22" t="n">
        <f aca="false">F467</f>
        <v>22.2070239642847</v>
      </c>
      <c r="J13" s="14" t="n">
        <f aca="false">F485</f>
        <v>0.373598540277041</v>
      </c>
      <c r="K13" s="16" t="n">
        <f aca="false">F495</f>
        <v>9.88845195137557</v>
      </c>
      <c r="L13" s="14" t="n">
        <f aca="false">K13/K$4-1</f>
        <v>-0.108818035756221</v>
      </c>
    </row>
    <row r="14" customFormat="false" ht="17.15" hidden="false" customHeight="false" outlineLevel="0" collapsed="false">
      <c r="A14" s="0" t="s">
        <v>829</v>
      </c>
      <c r="B14" s="0" t="s">
        <v>830</v>
      </c>
      <c r="C14" s="22" t="n">
        <f aca="false">E520</f>
        <v>65.3165965834335</v>
      </c>
      <c r="D14" s="22" t="n">
        <f aca="false">E518</f>
        <v>30.7807463618334</v>
      </c>
      <c r="E14" s="14" t="n">
        <f aca="false">E536</f>
        <v>0.416462198681083</v>
      </c>
      <c r="F14" s="16" t="n">
        <f aca="false">E546</f>
        <v>12.9049265761652</v>
      </c>
      <c r="G14" s="14" t="n">
        <f aca="false">F14/F$4-1</f>
        <v>0.155385620746692</v>
      </c>
      <c r="H14" s="22" t="n">
        <f aca="false">F520</f>
        <v>70.263895683539</v>
      </c>
      <c r="I14" s="22" t="n">
        <f aca="false">F518</f>
        <v>33.310535946427</v>
      </c>
      <c r="J14" s="14" t="n">
        <f aca="false">F536</f>
        <v>0.378915773697143</v>
      </c>
      <c r="K14" s="16" t="n">
        <f aca="false">F546</f>
        <v>12.3034149852912</v>
      </c>
      <c r="L14" s="14" t="n">
        <f aca="false">K14/K$4-1</f>
        <v>0.10882690105734</v>
      </c>
    </row>
    <row r="15" customFormat="false" ht="17.15" hidden="false" customHeight="false" outlineLevel="0" collapsed="false">
      <c r="A15" s="0" t="s">
        <v>831</v>
      </c>
      <c r="B15" s="4" t="s">
        <v>832</v>
      </c>
      <c r="C15" s="22" t="n">
        <f aca="false">E571</f>
        <v>58.7755932046356</v>
      </c>
      <c r="D15" s="22" t="n">
        <f aca="false">E569</f>
        <v>20.5204975745556</v>
      </c>
      <c r="E15" s="14" t="n">
        <f aca="false">E587</f>
        <v>0.39697248853445</v>
      </c>
      <c r="F15" s="16" t="n">
        <f aca="false">E597</f>
        <v>10.7019983663397</v>
      </c>
      <c r="G15" s="14" t="n">
        <f aca="false">F15/F$4-1</f>
        <v>-0.0418438297385647</v>
      </c>
      <c r="H15" s="22" t="n">
        <f aca="false">F571</f>
        <v>63.1399762884703</v>
      </c>
      <c r="I15" s="22" t="n">
        <f aca="false">F569</f>
        <v>22.2070239642847</v>
      </c>
      <c r="J15" s="14" t="n">
        <f aca="false">F587</f>
        <v>0.376113581470708</v>
      </c>
      <c r="K15" s="16" t="n">
        <f aca="false">F597</f>
        <v>10.7701400053199</v>
      </c>
      <c r="L15" s="14" t="n">
        <f aca="false">K15/K$4-1</f>
        <v>-0.0293572166484253</v>
      </c>
    </row>
    <row r="16" customFormat="false" ht="17.15" hidden="false" customHeight="false" outlineLevel="0" collapsed="false">
      <c r="A16" s="0" t="s">
        <v>833</v>
      </c>
      <c r="B16" s="4" t="s">
        <v>834</v>
      </c>
      <c r="C16" s="22" t="n">
        <f aca="false">E622</f>
        <v>62.2020135971644</v>
      </c>
      <c r="D16" s="22" t="n">
        <f aca="false">E620</f>
        <v>32.9793711019644</v>
      </c>
      <c r="E16" s="14" t="n">
        <f aca="false">E638</f>
        <v>0.407228273320975</v>
      </c>
      <c r="F16" s="16" t="n">
        <f aca="false">E648</f>
        <v>11.8370376359346</v>
      </c>
      <c r="G16" s="14" t="n">
        <f aca="false">F16/F$4-1</f>
        <v>0.0597768996265211</v>
      </c>
      <c r="H16" s="22" t="n">
        <f aca="false">F622</f>
        <v>66.9580874124644</v>
      </c>
      <c r="I16" s="22" t="n">
        <f aca="false">F620</f>
        <v>35.6898599426004</v>
      </c>
      <c r="J16" s="14" t="n">
        <f aca="false">F638</f>
        <v>0.376985914358022</v>
      </c>
      <c r="K16" s="16" t="n">
        <f aca="false">F648</f>
        <v>11.5613042699281</v>
      </c>
      <c r="L16" s="14" t="n">
        <f aca="false">K16/K$4-1</f>
        <v>0.0419452811378878</v>
      </c>
    </row>
    <row r="17" customFormat="false" ht="17.15" hidden="false" customHeight="false" outlineLevel="0" collapsed="false">
      <c r="A17" s="4" t="s">
        <v>835</v>
      </c>
      <c r="B17" s="0" t="s">
        <v>836</v>
      </c>
      <c r="C17" s="22" t="n">
        <f aca="false">E673</f>
        <v>60.1864721897945</v>
      </c>
      <c r="D17" s="22" t="n">
        <f aca="false">E671</f>
        <v>25.6506219681945</v>
      </c>
      <c r="E17" s="14" t="n">
        <f aca="false">E689</f>
        <v>0.423386018841595</v>
      </c>
      <c r="F17" s="16" t="n">
        <f aca="false">E699</f>
        <v>12.0384532919364</v>
      </c>
      <c r="G17" s="14" t="n">
        <f aca="false">F17/F$4-1</f>
        <v>0.0778097610584947</v>
      </c>
      <c r="H17" s="22" t="n">
        <f aca="false">F673</f>
        <v>64.7121396924678</v>
      </c>
      <c r="I17" s="22" t="n">
        <f aca="false">F671</f>
        <v>27.7587799553558</v>
      </c>
      <c r="J17" s="14" t="n">
        <f aca="false">F689</f>
        <v>0.404964291111701</v>
      </c>
      <c r="K17" s="16" t="n">
        <f aca="false">F699</f>
        <v>12.3028177570559</v>
      </c>
      <c r="L17" s="14" t="n">
        <f aca="false">K17/K$4-1</f>
        <v>0.108773076754557</v>
      </c>
    </row>
    <row r="18" customFormat="false" ht="17.15" hidden="false" customHeight="false" outlineLevel="0" collapsed="false">
      <c r="A18" s="4" t="s">
        <v>837</v>
      </c>
      <c r="B18" s="0" t="s">
        <v>838</v>
      </c>
      <c r="C18" s="22" t="n">
        <f aca="false">E724</f>
        <v>60.1864721897945</v>
      </c>
      <c r="D18" s="22" t="n">
        <f aca="false">E722</f>
        <v>25.6506219681945</v>
      </c>
      <c r="E18" s="14" t="n">
        <f aca="false">E740</f>
        <v>0.379287738653549</v>
      </c>
      <c r="F18" s="16" t="n">
        <f aca="false">E750</f>
        <v>10.3002816627623</v>
      </c>
      <c r="G18" s="14" t="n">
        <f aca="false">F18/F$4-1</f>
        <v>-0.0778097610584949</v>
      </c>
      <c r="H18" s="22" t="n">
        <f aca="false">F724</f>
        <v>64.7121396924678</v>
      </c>
      <c r="I18" s="22" t="n">
        <f aca="false">F722</f>
        <v>27.7587799553558</v>
      </c>
      <c r="J18" s="14" t="n">
        <f aca="false">F740</f>
        <v>0.3480061966598</v>
      </c>
      <c r="K18" s="16" t="n">
        <f aca="false">F750</f>
        <v>9.88895081125558</v>
      </c>
      <c r="L18" s="14" t="n">
        <f aca="false">K18/K$4-1</f>
        <v>-0.108773076754557</v>
      </c>
    </row>
    <row r="19" customFormat="false" ht="17.15" hidden="false" customHeight="false" outlineLevel="0" collapsed="false">
      <c r="A19" s="4" t="s">
        <v>839</v>
      </c>
      <c r="B19" s="4" t="s">
        <v>840</v>
      </c>
      <c r="C19" s="22" t="n">
        <f aca="false">E775</f>
        <v>60.1864721897945</v>
      </c>
      <c r="D19" s="22" t="n">
        <f aca="false">E773</f>
        <v>25.6506219681945</v>
      </c>
      <c r="E19" s="14" t="n">
        <f aca="false">E791</f>
        <v>0.416882247938394</v>
      </c>
      <c r="F19" s="16" t="n">
        <f aca="false">E801</f>
        <v>11.782101569865</v>
      </c>
      <c r="G19" s="14" t="n">
        <f aca="false">F19/F$4-1</f>
        <v>0.0548584415149969</v>
      </c>
      <c r="H19" s="22" t="n">
        <f aca="false">F775</f>
        <v>64.7121396924678</v>
      </c>
      <c r="I19" s="22" t="n">
        <f aca="false">F773</f>
        <v>27.7587799553558</v>
      </c>
      <c r="J19" s="14" t="n">
        <f aca="false">F791</f>
        <v>0.401687129396706</v>
      </c>
      <c r="K19" s="16" t="n">
        <f aca="false">F801</f>
        <v>12.1639326272777</v>
      </c>
      <c r="L19" s="14" t="n">
        <f aca="false">K19/K$4-1</f>
        <v>0.0962562618508134</v>
      </c>
    </row>
    <row r="20" customFormat="false" ht="17.15" hidden="false" customHeight="false" outlineLevel="0" collapsed="false">
      <c r="A20" s="4" t="s">
        <v>841</v>
      </c>
      <c r="B20" s="4" t="s">
        <v>842</v>
      </c>
      <c r="C20" s="22" t="n">
        <f aca="false">E826</f>
        <v>60.1864721897945</v>
      </c>
      <c r="D20" s="22" t="n">
        <f aca="false">E824</f>
        <v>25.6506219681945</v>
      </c>
      <c r="E20" s="14" t="n">
        <f aca="false">E842</f>
        <v>0.378018824961339</v>
      </c>
      <c r="F20" s="16" t="n">
        <f aca="false">E852</f>
        <v>10.2502663385758</v>
      </c>
      <c r="G20" s="14" t="n">
        <f aca="false">F20/F$4-1</f>
        <v>-0.0822876622724955</v>
      </c>
      <c r="H20" s="22" t="n">
        <f aca="false">F826</f>
        <v>64.7121396924678</v>
      </c>
      <c r="I20" s="22" t="n">
        <f aca="false">F824</f>
        <v>27.7587799553558</v>
      </c>
      <c r="J20" s="14" t="n">
        <f aca="false">F842</f>
        <v>0.338682415619316</v>
      </c>
      <c r="K20" s="16" t="n">
        <f aca="false">F852</f>
        <v>9.49381176947269</v>
      </c>
      <c r="L20" s="14" t="n">
        <f aca="false">K20/K$4-1</f>
        <v>-0.144384392776221</v>
      </c>
    </row>
    <row r="21" customFormat="false" ht="17.15" hidden="false" customHeight="false" outlineLevel="0" collapsed="false">
      <c r="A21" s="4" t="s">
        <v>843</v>
      </c>
      <c r="B21" s="4" t="s">
        <v>844</v>
      </c>
      <c r="C21" s="22" t="n">
        <f aca="false">E877</f>
        <v>60.1864721897945</v>
      </c>
      <c r="D21" s="22" t="n">
        <f aca="false">E875</f>
        <v>25.6506219681945</v>
      </c>
      <c r="E21" s="14" t="n">
        <f aca="false">E893</f>
        <v>0.401521920747826</v>
      </c>
      <c r="F21" s="16" t="n">
        <f aca="false">E903</f>
        <v>11.1766610668878</v>
      </c>
      <c r="G21" s="14" t="n">
        <f aca="false">F21/F$4-1</f>
        <v>0.000652999335307936</v>
      </c>
      <c r="H21" s="22" t="n">
        <f aca="false">F877</f>
        <v>64.7121396924678</v>
      </c>
      <c r="I21" s="22" t="n">
        <f aca="false">F875</f>
        <v>27.7587799553558</v>
      </c>
      <c r="J21" s="14" t="n">
        <f aca="false">F893</f>
        <v>0.378355491455931</v>
      </c>
      <c r="K21" s="16" t="n">
        <f aca="false">F903</f>
        <v>11.1751448147891</v>
      </c>
      <c r="L21" s="14" t="n">
        <f aca="false">K21/K$4-1</f>
        <v>0.00714323695197128</v>
      </c>
    </row>
    <row r="22" customFormat="false" ht="17.15" hidden="false" customHeight="false" outlineLevel="0" collapsed="false">
      <c r="A22" s="4" t="s">
        <v>845</v>
      </c>
      <c r="B22" s="4" t="s">
        <v>846</v>
      </c>
      <c r="C22" s="22" t="n">
        <f aca="false">E928</f>
        <v>60.1864721897945</v>
      </c>
      <c r="D22" s="22" t="n">
        <f aca="false">E926</f>
        <v>25.6506219681945</v>
      </c>
      <c r="E22" s="14" t="n">
        <f aca="false">E944</f>
        <v>0.401105576247255</v>
      </c>
      <c r="F22" s="16" t="n">
        <f aca="false">E954</f>
        <v>11.1602504904262</v>
      </c>
      <c r="G22" s="14" t="n">
        <f aca="false">F22/F$4-1</f>
        <v>-0.000816249169134808</v>
      </c>
      <c r="H22" s="22" t="n">
        <f aca="false">F928</f>
        <v>64.7121396924678</v>
      </c>
      <c r="I22" s="22" t="n">
        <f aca="false">F926</f>
        <v>27.7587799553558</v>
      </c>
      <c r="J22" s="14" t="n">
        <f aca="false">F944</f>
        <v>0.374147434423024</v>
      </c>
      <c r="K22" s="16" t="n">
        <f aca="false">F954</f>
        <v>10.996808620864</v>
      </c>
      <c r="L22" s="14" t="n">
        <f aca="false">K22/K$4-1</f>
        <v>-0.00892904618996426</v>
      </c>
    </row>
    <row r="23" customFormat="false" ht="17.15" hidden="false" customHeight="false" outlineLevel="0" collapsed="false">
      <c r="A23" s="4" t="s">
        <v>847</v>
      </c>
      <c r="C23" s="22" t="n">
        <f aca="false">E979</f>
        <v>60.1864721897945</v>
      </c>
      <c r="D23" s="22" t="n">
        <f aca="false">E977</f>
        <v>25.6506219681945</v>
      </c>
      <c r="E23" s="14" t="n">
        <f aca="false">E995</f>
        <v>0.401336878747572</v>
      </c>
      <c r="F23" s="16" t="n">
        <f aca="false">E1005</f>
        <v>11.3845515520604</v>
      </c>
      <c r="G23" s="14" t="n">
        <f aca="false">F23/F$4-1</f>
        <v>0.0192655560082071</v>
      </c>
      <c r="H23" s="22" t="n">
        <f aca="false">F979</f>
        <v>64.7121396924678</v>
      </c>
      <c r="I23" s="22" t="n">
        <f aca="false">F977</f>
        <v>27.7587799553558</v>
      </c>
      <c r="J23" s="14" t="n">
        <f aca="false">F995</f>
        <v>0.37648524388575</v>
      </c>
      <c r="K23" s="16" t="n">
        <f aca="false">F1005</f>
        <v>11.3874661464288</v>
      </c>
      <c r="L23" s="14" t="n">
        <f aca="false">K23/K$4-1</f>
        <v>0.026278379875452</v>
      </c>
    </row>
    <row r="24" customFormat="false" ht="17.15" hidden="false" customHeight="false" outlineLevel="0" collapsed="false">
      <c r="A24" s="4" t="s">
        <v>848</v>
      </c>
      <c r="B24" s="4" t="s">
        <v>849</v>
      </c>
      <c r="C24" s="22" t="n">
        <f aca="false">E1030</f>
        <v>60.1864721897945</v>
      </c>
      <c r="D24" s="22" t="n">
        <f aca="false">E1028</f>
        <v>25.6506219681945</v>
      </c>
      <c r="E24" s="14" t="n">
        <f aca="false">E1046</f>
        <v>0.401336878747572</v>
      </c>
      <c r="F24" s="16" t="n">
        <f aca="false">E1056</f>
        <v>10.7389993279271</v>
      </c>
      <c r="G24" s="14" t="n">
        <f aca="false">F24/F$4-1</f>
        <v>-0.0385311120164145</v>
      </c>
      <c r="H24" s="22" t="n">
        <f aca="false">F1030</f>
        <v>64.7121396924678</v>
      </c>
      <c r="I24" s="22" t="n">
        <f aca="false">F1028</f>
        <v>27.7587799553558</v>
      </c>
      <c r="J24" s="14" t="n">
        <f aca="false">F1046</f>
        <v>0.37648524388575</v>
      </c>
      <c r="K24" s="16" t="n">
        <f aca="false">F1056</f>
        <v>10.4933038726648</v>
      </c>
      <c r="L24" s="14" t="n">
        <f aca="false">K24/K$4-1</f>
        <v>-0.054306659664013</v>
      </c>
    </row>
    <row r="25" customFormat="false" ht="17.15" hidden="false" customHeight="false" outlineLevel="0" collapsed="false">
      <c r="A25" s="4" t="s">
        <v>850</v>
      </c>
      <c r="B25" s="4" t="s">
        <v>851</v>
      </c>
      <c r="C25" s="22" t="n">
        <f aca="false">E1081</f>
        <v>60.1864721897945</v>
      </c>
      <c r="D25" s="22" t="n">
        <f aca="false">E1079</f>
        <v>25.6506219681945</v>
      </c>
      <c r="E25" s="14" t="n">
        <f aca="false">E1097</f>
        <v>0.401336878747572</v>
      </c>
      <c r="F25" s="16" t="n">
        <f aca="false">E1107</f>
        <v>10.3715555146815</v>
      </c>
      <c r="G25" s="14" t="n">
        <f aca="false">F25/F$4-1</f>
        <v>-0.0714285714285713</v>
      </c>
      <c r="H25" s="22" t="n">
        <f aca="false">F1081</f>
        <v>64.7121396924678</v>
      </c>
      <c r="I25" s="22" t="n">
        <f aca="false">F1079</f>
        <v>27.7587799553558</v>
      </c>
      <c r="J25" s="14" t="n">
        <f aca="false">F1097</f>
        <v>0.37648524388575</v>
      </c>
      <c r="K25" s="16" t="n">
        <f aca="false">F1107</f>
        <v>10.3033211210017</v>
      </c>
      <c r="L25" s="14" t="n">
        <f aca="false">K25/K$4-1</f>
        <v>-0.0714285714285713</v>
      </c>
    </row>
    <row r="26" customFormat="false" ht="17.15" hidden="false" customHeight="false" outlineLevel="0" collapsed="false">
      <c r="A26" s="4" t="s">
        <v>852</v>
      </c>
      <c r="B26" s="4" t="s">
        <v>853</v>
      </c>
      <c r="C26" s="22" t="n">
        <f aca="false">E1132</f>
        <v>60.1864721897945</v>
      </c>
      <c r="D26" s="22" t="n">
        <f aca="false">E1130</f>
        <v>25.6506219681945</v>
      </c>
      <c r="E26" s="14" t="n">
        <f aca="false">E1148</f>
        <v>0.401336878747572</v>
      </c>
      <c r="F26" s="16" t="n">
        <f aca="false">E1158</f>
        <v>11.9671794400171</v>
      </c>
      <c r="G26" s="14" t="n">
        <f aca="false">F26/F$4-1</f>
        <v>0.0714285714285714</v>
      </c>
      <c r="H26" s="22" t="n">
        <f aca="false">F1132</f>
        <v>64.7121396924678</v>
      </c>
      <c r="I26" s="22" t="n">
        <f aca="false">F1130</f>
        <v>27.7587799553558</v>
      </c>
      <c r="J26" s="14" t="n">
        <f aca="false">F1148</f>
        <v>0.37648524388575</v>
      </c>
      <c r="K26" s="16" t="n">
        <f aca="false">F1158</f>
        <v>11.8884474473097</v>
      </c>
      <c r="L26" s="14" t="n">
        <f aca="false">K26/K$4-1</f>
        <v>0.0714285714285714</v>
      </c>
    </row>
    <row r="27" customFormat="false" ht="17.15" hidden="false" customHeight="false" outlineLevel="0" collapsed="false">
      <c r="A27" s="4" t="s">
        <v>854</v>
      </c>
      <c r="B27" s="0" t="s">
        <v>855</v>
      </c>
      <c r="C27" s="22" t="n">
        <f aca="false">E1183</f>
        <v>57.7196257453945</v>
      </c>
      <c r="D27" s="22" t="n">
        <f aca="false">E1181</f>
        <v>25.6506219681945</v>
      </c>
      <c r="E27" s="14" t="n">
        <f aca="false">E1199</f>
        <v>0.392932076175405</v>
      </c>
      <c r="F27" s="16" t="n">
        <f aca="false">E1209</f>
        <v>10.3282210568656</v>
      </c>
      <c r="G27" s="14" t="n">
        <f aca="false">F27/F$4-1</f>
        <v>-0.0753083307706973</v>
      </c>
      <c r="H27" s="22" t="n">
        <f aca="false">F1183</f>
        <v>59.8277837325558</v>
      </c>
      <c r="I27" s="22" t="n">
        <f aca="false">F1181</f>
        <v>27.7587799553558</v>
      </c>
      <c r="J27" s="14" t="n">
        <f aca="false">F1199</f>
        <v>0.366540774896003</v>
      </c>
      <c r="K27" s="16" t="n">
        <f aca="false">F1209</f>
        <v>9.73751859528188</v>
      </c>
      <c r="L27" s="14" t="n">
        <f aca="false">K27/K$4-1</f>
        <v>-0.122420679063273</v>
      </c>
    </row>
    <row r="28" customFormat="false" ht="17.15" hidden="false" customHeight="false" outlineLevel="0" collapsed="false">
      <c r="A28" s="4" t="s">
        <v>856</v>
      </c>
      <c r="B28" s="0" t="s">
        <v>857</v>
      </c>
      <c r="C28" s="22" t="n">
        <f aca="false">E1234</f>
        <v>62.6533186341945</v>
      </c>
      <c r="D28" s="22" t="n">
        <f aca="false">E1232</f>
        <v>25.6506219681945</v>
      </c>
      <c r="E28" s="14" t="n">
        <f aca="false">E1250</f>
        <v>0.40907983745279</v>
      </c>
      <c r="F28" s="16" t="n">
        <f aca="false">E1260</f>
        <v>12.010513897833</v>
      </c>
      <c r="G28" s="14" t="n">
        <f aca="false">F28/F$4-1</f>
        <v>0.0753083307706963</v>
      </c>
      <c r="H28" s="22" t="n">
        <f aca="false">F1234</f>
        <v>69.2018002212758</v>
      </c>
      <c r="I28" s="22" t="n">
        <f aca="false">F1232</f>
        <v>27.7587799553558</v>
      </c>
      <c r="J28" s="14" t="n">
        <f aca="false">F1250</f>
        <v>0.383819260952744</v>
      </c>
      <c r="K28" s="16" t="n">
        <f aca="false">F1260</f>
        <v>12.3206513443405</v>
      </c>
      <c r="L28" s="14" t="n">
        <f aca="false">K28/K$4-1</f>
        <v>0.110380302175076</v>
      </c>
    </row>
    <row r="29" customFormat="false" ht="17.15" hidden="false" customHeight="false" outlineLevel="0" collapsed="false">
      <c r="A29" s="4" t="s">
        <v>858</v>
      </c>
      <c r="B29" s="0" t="s">
        <v>859</v>
      </c>
      <c r="C29" s="22" t="n">
        <f aca="false">PL!E132</f>
        <v>60.1864721897945</v>
      </c>
      <c r="D29" s="22" t="n">
        <f aca="false">PL!E130</f>
        <v>25.6506219681945</v>
      </c>
      <c r="E29" s="14" t="n">
        <f aca="false">PL!E148</f>
        <v>0.401336878747572</v>
      </c>
      <c r="F29" s="16" t="n">
        <f aca="false">PL!E158</f>
        <v>11.1693674773493</v>
      </c>
      <c r="G29" s="14" t="n">
        <f aca="false">F29/F$4-1</f>
        <v>0</v>
      </c>
      <c r="H29" s="22" t="n">
        <f aca="false">PL!F132</f>
        <v>59.1603837013967</v>
      </c>
      <c r="I29" s="22" t="n">
        <f aca="false">PL!F130</f>
        <v>22.2070239642847</v>
      </c>
      <c r="J29" s="14" t="n">
        <f aca="false">PL!F148</f>
        <v>0.353072128417337</v>
      </c>
      <c r="K29" s="16" t="n">
        <f aca="false">PL!F158</f>
        <v>9.02971311712971</v>
      </c>
      <c r="L29" s="14" t="n">
        <f aca="false">K29/K$4-1</f>
        <v>-0.186210590712125</v>
      </c>
    </row>
    <row r="30" customFormat="false" ht="17.15" hidden="false" customHeight="false" outlineLevel="0" collapsed="false">
      <c r="A30" s="4" t="s">
        <v>860</v>
      </c>
      <c r="B30" s="0" t="s">
        <v>861</v>
      </c>
      <c r="C30" s="22" t="n">
        <f aca="false">PL!E183</f>
        <v>60.1864721897945</v>
      </c>
      <c r="D30" s="22" t="n">
        <f aca="false">PL!E181</f>
        <v>25.6506219681945</v>
      </c>
      <c r="E30" s="14" t="n">
        <f aca="false">PL!E199</f>
        <v>0.401336878747572</v>
      </c>
      <c r="F30" s="16" t="n">
        <f aca="false">PL!E209</f>
        <v>11.1693674773493</v>
      </c>
      <c r="G30" s="14" t="n">
        <f aca="false">F30/F$4-1</f>
        <v>0</v>
      </c>
      <c r="H30" s="22" t="n">
        <f aca="false">PL!F183</f>
        <v>53.6086277103255</v>
      </c>
      <c r="I30" s="22" t="n">
        <f aca="false">PL!F181</f>
        <v>16.6552679732135</v>
      </c>
      <c r="J30" s="14" t="n">
        <f aca="false">PL!F199</f>
        <v>0.308220482327489</v>
      </c>
      <c r="K30" s="16" t="n">
        <f aca="false">PL!F209</f>
        <v>6.17135188972677</v>
      </c>
      <c r="L30" s="14" t="n">
        <f aca="false">K30/K$4-1</f>
        <v>-0.443816127522247</v>
      </c>
    </row>
    <row r="32" customFormat="false" ht="17.15" hidden="false" customHeight="false" outlineLevel="0" collapsed="false">
      <c r="A32" s="4" t="s">
        <v>862</v>
      </c>
    </row>
    <row r="40" customFormat="false" ht="17.15" hidden="false" customHeight="false" outlineLevel="0" collapsed="false">
      <c r="A40" s="1" t="s">
        <v>863</v>
      </c>
    </row>
    <row r="41" customFormat="false" ht="17.15" hidden="false" customHeight="false" outlineLevel="0" collapsed="false">
      <c r="A41" s="5" t="s">
        <v>17</v>
      </c>
      <c r="B41" s="5" t="s">
        <v>18</v>
      </c>
      <c r="C41" s="12" t="s">
        <v>409</v>
      </c>
      <c r="D41" s="12" t="s">
        <v>520</v>
      </c>
      <c r="E41" s="12" t="s">
        <v>521</v>
      </c>
      <c r="F41" s="12" t="s">
        <v>522</v>
      </c>
      <c r="G41" s="12" t="s">
        <v>523</v>
      </c>
      <c r="H41" s="5" t="s">
        <v>488</v>
      </c>
    </row>
    <row r="42" customFormat="false" ht="17.15" hidden="false" customHeight="false" outlineLevel="0" collapsed="false">
      <c r="A42" s="6" t="s">
        <v>543</v>
      </c>
    </row>
    <row r="43" customFormat="false" ht="17.15" hidden="false" customHeight="false" outlineLevel="0" collapsed="false">
      <c r="A43" s="0" t="s">
        <v>491</v>
      </c>
      <c r="B43" s="4" t="s">
        <v>28</v>
      </c>
      <c r="D43" s="16" t="n">
        <f aca="false">u_bw_26*tt_bw_lo</f>
        <v>5.4</v>
      </c>
      <c r="E43" s="16" t="n">
        <f aca="false">u_bw_27*1*tt_bw_lo</f>
        <v>2.4</v>
      </c>
      <c r="F43" s="16" t="n">
        <f aca="false">u_bw_28*um28_A*1*tt_bw_lo</f>
        <v>0.5</v>
      </c>
      <c r="G43" s="16" t="n">
        <f aca="false">u_bw_28*(1+g29_bw)*um29_A*1*tt_bw_lo</f>
        <v>0.25</v>
      </c>
    </row>
    <row r="44" customFormat="false" ht="17.15" hidden="false" customHeight="false" outlineLevel="0" collapsed="false">
      <c r="A44" s="0" t="s">
        <v>493</v>
      </c>
      <c r="B44" s="4" t="s">
        <v>28</v>
      </c>
      <c r="D44" s="16" t="n">
        <f aca="false">u_rb_26*tt_rb_lo</f>
        <v>2.04</v>
      </c>
      <c r="E44" s="16" t="n">
        <f aca="false">u_rb_27*1*tt_rb_lo</f>
        <v>8.4</v>
      </c>
      <c r="F44" s="16" t="n">
        <f aca="false">u_rb_28*um28_A*1*tt_rb_lo</f>
        <v>8.4</v>
      </c>
      <c r="G44" s="16" t="n">
        <f aca="false">u_rb_28*(1+g29_rb)*um29_A*1*tt_rb_lo</f>
        <v>9.66</v>
      </c>
    </row>
    <row r="45" customFormat="false" ht="17.15" hidden="false" customHeight="false" outlineLevel="0" collapsed="false">
      <c r="A45" s="0" t="s">
        <v>494</v>
      </c>
      <c r="B45" s="4" t="s">
        <v>28</v>
      </c>
      <c r="D45" s="16" t="n">
        <f aca="false">u_ru_26*tt_ru_lo</f>
        <v>0</v>
      </c>
      <c r="E45" s="16" t="n">
        <f aca="false">u_ru_27*1*tt_ru_lo</f>
        <v>0.45</v>
      </c>
      <c r="F45" s="16" t="n">
        <f aca="false">u_ru_28*um28_A*1*tt_ru_lo</f>
        <v>3</v>
      </c>
      <c r="G45" s="16" t="n">
        <f aca="false">u_ru_28*(1+g29_ru)*um29_A*1*tt_ru_lo</f>
        <v>3.45</v>
      </c>
    </row>
    <row r="46" customFormat="false" ht="17.15" hidden="false" customHeight="false" outlineLevel="0" collapsed="false">
      <c r="A46" s="0" t="s">
        <v>495</v>
      </c>
      <c r="B46" s="4" t="s">
        <v>28</v>
      </c>
      <c r="D46" s="16" t="n">
        <f aca="false">u_hp_26*tt_hp_lo</f>
        <v>0.25</v>
      </c>
      <c r="E46" s="16" t="n">
        <f aca="false">u_hp_27*1*tt_hp_lo</f>
        <v>0</v>
      </c>
      <c r="F46" s="16" t="n">
        <f aca="false">u_hp_28*um28_A*1*tt_hp_lo</f>
        <v>0</v>
      </c>
      <c r="G46" s="16" t="n">
        <f aca="false">u_hp_28*(1+g29_hp)*um29_A*1*tt_hp_lo</f>
        <v>0</v>
      </c>
    </row>
    <row r="47" customFormat="false" ht="17.15" hidden="false" customHeight="false" outlineLevel="0" collapsed="false">
      <c r="A47" s="0" t="s">
        <v>496</v>
      </c>
      <c r="B47" s="4" t="s">
        <v>28</v>
      </c>
      <c r="D47" s="16" t="n">
        <f aca="false">u_amd_26*tt_amd_lo*ex_amd</f>
        <v>0.135</v>
      </c>
      <c r="E47" s="16" t="n">
        <f aca="false">u_amd_27*1*tt_amd_lo*ex_amd</f>
        <v>0.27</v>
      </c>
      <c r="F47" s="16" t="n">
        <f aca="false">u_amd_28*um28_A*1*tt_amd_lo*ex_amd</f>
        <v>0.36</v>
      </c>
      <c r="G47" s="16" t="n">
        <f aca="false">u_amd_28*(1+g29_amd)*um29_A*1*tt_amd_lo*ex_amd</f>
        <v>0.414</v>
      </c>
    </row>
    <row r="48" customFormat="false" ht="17.15" hidden="false" customHeight="false" outlineLevel="0" collapsed="false">
      <c r="A48" s="0" t="s">
        <v>498</v>
      </c>
      <c r="B48" s="4" t="s">
        <v>28</v>
      </c>
      <c r="D48" s="16" t="n">
        <f aca="false">u_tpu_26*tt_tpu_lo*ex_tpu</f>
        <v>1.3475</v>
      </c>
      <c r="E48" s="16" t="n">
        <f aca="false">u_tpu_27*1*tt_tpu_lo*ex_tpu</f>
        <v>1.925</v>
      </c>
      <c r="F48" s="16" t="n">
        <f aca="false">u_tpu_28*um28_A*1*tt_tpu_lo*ex_tpu</f>
        <v>2.45</v>
      </c>
      <c r="G48" s="16" t="n">
        <f aca="false">u_tpu_28*(1+g29_tpu)*um29_A*1*tt_tpu_lo*ex_tpu</f>
        <v>2.8175</v>
      </c>
    </row>
    <row r="49" customFormat="false" ht="17.15" hidden="false" customHeight="false" outlineLevel="0" collapsed="false">
      <c r="A49" s="0" t="s">
        <v>499</v>
      </c>
      <c r="B49" s="4" t="s">
        <v>28</v>
      </c>
      <c r="D49" s="16" t="n">
        <f aca="false">u_trn_26*tt_trn_lo*ex_trn</f>
        <v>0.48</v>
      </c>
      <c r="E49" s="16" t="n">
        <f aca="false">u_trn_27*1*tt_trn_lo*ex_trn</f>
        <v>0.6</v>
      </c>
      <c r="F49" s="16" t="n">
        <f aca="false">u_trn_28*um28_A*1*tt_trn_lo*ex_trn</f>
        <v>0.72</v>
      </c>
      <c r="G49" s="16" t="n">
        <f aca="false">u_trn_28*(1+g29_trn)*um29_A*1*tt_trn_lo*ex_trn</f>
        <v>0.828</v>
      </c>
    </row>
    <row r="50" customFormat="false" ht="17.15" hidden="false" customHeight="false" outlineLevel="0" collapsed="false">
      <c r="A50" s="4" t="s">
        <v>500</v>
      </c>
      <c r="B50" s="4" t="s">
        <v>28</v>
      </c>
      <c r="D50" s="16" t="n">
        <f aca="false">u_oth_26*tt_oth_lo*ex_oth</f>
        <v>0.2</v>
      </c>
      <c r="E50" s="16" t="n">
        <f aca="false">u_oth_27*1*tt_oth_lo*ex_oth</f>
        <v>0.9</v>
      </c>
      <c r="F50" s="16" t="n">
        <f aca="false">u_oth_28*um28_A*1*tt_oth_lo*ex_oth</f>
        <v>1</v>
      </c>
      <c r="G50" s="16" t="n">
        <f aca="false">u_oth_28*(1+g29_oth)*um29_A*1*tt_oth_lo*ex_oth</f>
        <v>1.15</v>
      </c>
    </row>
    <row r="51" customFormat="false" ht="15" hidden="false" customHeight="false" outlineLevel="0" collapsed="false">
      <c r="A51" s="4" t="s">
        <v>489</v>
      </c>
      <c r="B51" s="4" t="s">
        <v>28</v>
      </c>
      <c r="D51" s="16" t="n">
        <f aca="false">u_bw_26+u_rb_26+u_ru_26+u_hp_26+u_amd_26+u_tpu_26+u_trn_26+u_oth_26</f>
        <v>15.2</v>
      </c>
      <c r="E51" s="16" t="n">
        <f aca="false">u_bw_27*1+u_rb_27*1+u_ru_27*1+u_hp_27*1+u_amd_27*1+u_tpu_27*1+u_trn_27*1+u_oth_27*1</f>
        <v>23.7</v>
      </c>
      <c r="F51" s="16" t="n">
        <f aca="false">u_bw_28*um28_A*1+u_rb_28*um28_A*1+u_ru_28*um28_A*1+u_hp_28*um28_A*1+u_amd_28*um28_A*1+u_tpu_28*um28_A*1+u_trn_28*um28_A*1+u_oth_28*um28_A*1</f>
        <v>26.5</v>
      </c>
      <c r="G5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2" customFormat="false" ht="17.15" hidden="false" customHeight="false" outlineLevel="0" collapsed="false">
      <c r="A52" s="0" t="s">
        <v>544</v>
      </c>
      <c r="B52" s="4" t="s">
        <v>28</v>
      </c>
      <c r="D52" s="16" t="n">
        <f aca="false">D43+D44+D45+D46</f>
        <v>7.69</v>
      </c>
      <c r="E52" s="16" t="n">
        <f aca="false">E43+E44+E45+E46</f>
        <v>11.25</v>
      </c>
      <c r="F52" s="16" t="n">
        <f aca="false">F43+F44+F45+F46</f>
        <v>11.9</v>
      </c>
      <c r="G52" s="16" t="n">
        <f aca="false">G43+G44+G45+G46</f>
        <v>13.36</v>
      </c>
    </row>
    <row r="53" customFormat="false" ht="17.15" hidden="false" customHeight="false" outlineLevel="0" collapsed="false">
      <c r="A53" s="0" t="s">
        <v>545</v>
      </c>
      <c r="B53" s="4" t="s">
        <v>28</v>
      </c>
      <c r="D53" s="16" t="n">
        <f aca="false">D47+D48+D49+D50</f>
        <v>2.1625</v>
      </c>
      <c r="E53" s="16" t="n">
        <f aca="false">E47+E48+E49+E50</f>
        <v>3.695</v>
      </c>
      <c r="F53" s="16" t="n">
        <f aca="false">F47+F48+F49+F50</f>
        <v>4.53</v>
      </c>
      <c r="G53" s="16" t="n">
        <f aca="false">G47+G48+G49+G50</f>
        <v>5.2095</v>
      </c>
    </row>
    <row r="54" customFormat="false" ht="15" hidden="false" customHeight="false" outlineLevel="0" collapsed="false">
      <c r="A54" s="4" t="s">
        <v>546</v>
      </c>
      <c r="B54" s="4" t="s">
        <v>28</v>
      </c>
      <c r="D54" s="16" t="n">
        <f aca="false">D52+D53</f>
        <v>9.8525</v>
      </c>
      <c r="E54" s="16" t="n">
        <f aca="false">E52+E53</f>
        <v>14.945</v>
      </c>
      <c r="F54" s="16" t="n">
        <f aca="false">F52+F53</f>
        <v>16.43</v>
      </c>
      <c r="G54" s="16" t="n">
        <f aca="false">G52+G53</f>
        <v>18.5695</v>
      </c>
    </row>
    <row r="55" customFormat="false" ht="17.15" hidden="false" customHeight="false" outlineLevel="0" collapsed="false">
      <c r="A55" s="0" t="s">
        <v>547</v>
      </c>
      <c r="B55" s="0" t="s">
        <v>239</v>
      </c>
      <c r="D55" s="21" t="n">
        <f aca="false">a26_rev*ai_26</f>
        <v>16.603774145</v>
      </c>
    </row>
    <row r="56" customFormat="false" ht="17.15" hidden="false" customHeight="false" outlineLevel="0" collapsed="false">
      <c r="A56" s="4" t="s">
        <v>548</v>
      </c>
      <c r="B56" s="0" t="s">
        <v>549</v>
      </c>
      <c r="D56" s="27" t="n">
        <f aca="false">D55/D54</f>
        <v>1.68523462522202</v>
      </c>
      <c r="H56" s="8" t="s">
        <v>550</v>
      </c>
    </row>
    <row r="57" customFormat="false" ht="17.15" hidden="false" customHeight="false" outlineLevel="0" collapsed="false">
      <c r="A57" s="4" t="s">
        <v>551</v>
      </c>
      <c r="B57" s="0" t="s">
        <v>131</v>
      </c>
      <c r="D57" s="16" t="n">
        <f aca="false">1</f>
        <v>1</v>
      </c>
      <c r="E57" s="16" t="n">
        <f aca="false">rel_27</f>
        <v>0.95</v>
      </c>
      <c r="F57" s="16" t="n">
        <f aca="false">rel_28</f>
        <v>0.92</v>
      </c>
      <c r="G57" s="16" t="n">
        <f aca="false">rel_29</f>
        <v>0.9</v>
      </c>
    </row>
    <row r="58" customFormat="false" ht="17.15" hidden="false" customHeight="false" outlineLevel="0" collapsed="false">
      <c r="A58" s="4" t="s">
        <v>552</v>
      </c>
      <c r="B58" s="0" t="s">
        <v>131</v>
      </c>
      <c r="D58" s="16" t="n">
        <f aca="false">1</f>
        <v>1</v>
      </c>
      <c r="E58" s="16" t="n">
        <f aca="false">pp_27</f>
        <v>0.98</v>
      </c>
      <c r="F58" s="16" t="n">
        <f aca="false">pp_28</f>
        <v>0.96</v>
      </c>
      <c r="G58" s="16" t="n">
        <f aca="false">pp_29</f>
        <v>0.95</v>
      </c>
    </row>
    <row r="59" customFormat="false" ht="17.15" hidden="false" customHeight="false" outlineLevel="0" collapsed="false">
      <c r="A59" s="0" t="s">
        <v>553</v>
      </c>
      <c r="B59" s="0" t="s">
        <v>239</v>
      </c>
      <c r="C59" s="21" t="n">
        <f aca="false">a25_rev*ai_25</f>
        <v>9.60674</v>
      </c>
      <c r="D59" s="21" t="n">
        <f aca="false">D55</f>
        <v>16.603774145</v>
      </c>
      <c r="E59" s="21" t="n">
        <f aca="false">$D$56*E54*E57*E58</f>
        <v>23.4480091022411</v>
      </c>
      <c r="F59" s="21" t="n">
        <f aca="false">$D$56*F54*F57*F58</f>
        <v>24.4543992009658</v>
      </c>
      <c r="G59" s="21" t="n">
        <f aca="false">$D$56*G54*G57*G58</f>
        <v>26.7563395389666</v>
      </c>
    </row>
    <row r="60" customFormat="false" ht="17.15" hidden="false" customHeight="false" outlineLevel="0" collapsed="false">
      <c r="A60" s="4" t="s">
        <v>554</v>
      </c>
      <c r="B60" s="0" t="s">
        <v>239</v>
      </c>
      <c r="C60" s="21" t="n">
        <f aca="false">a25_rev-C59</f>
        <v>25.32686</v>
      </c>
      <c r="D60" s="21" t="n">
        <f aca="false">a26_rev-D59</f>
        <v>30.835580555</v>
      </c>
      <c r="E60" s="21" t="n">
        <f aca="false">D60*(1+g_nai27)</f>
        <v>34.5358502216</v>
      </c>
      <c r="F60" s="21" t="n">
        <f aca="false">E60*(1+g_nai28)</f>
        <v>36.953359737112</v>
      </c>
      <c r="G60" s="21" t="n">
        <f aca="false">F60*(1+g_nai29)</f>
        <v>38.8010277239676</v>
      </c>
    </row>
    <row r="61" customFormat="false" ht="15" hidden="false" customHeight="false" outlineLevel="0" collapsed="false">
      <c r="A61" s="4" t="s">
        <v>414</v>
      </c>
      <c r="B61" s="0" t="s">
        <v>239</v>
      </c>
      <c r="C61" s="21" t="n">
        <f aca="false">C59+C60</f>
        <v>34.9336</v>
      </c>
      <c r="D61" s="21" t="n">
        <f aca="false">D59+D60</f>
        <v>47.4393547</v>
      </c>
      <c r="E61" s="21" t="n">
        <f aca="false">E59+E60</f>
        <v>57.9838593238411</v>
      </c>
      <c r="F61" s="21" t="n">
        <f aca="false">F59+F60</f>
        <v>61.4077589380778</v>
      </c>
      <c r="G61" s="21" t="n">
        <f aca="false">G59+G60</f>
        <v>65.5573672629342</v>
      </c>
    </row>
    <row r="62" customFormat="false" ht="15" hidden="false" customHeight="false" outlineLevel="0" collapsed="false">
      <c r="A62" s="4" t="s">
        <v>555</v>
      </c>
      <c r="B62" s="0" t="s">
        <v>41</v>
      </c>
      <c r="D62" s="14" t="n">
        <f aca="false">D61/C61-1</f>
        <v>0.357986428538713</v>
      </c>
      <c r="E62" s="14" t="n">
        <f aca="false">E61/D61-1</f>
        <v>0.222273357015986</v>
      </c>
      <c r="F62" s="14" t="n">
        <f aca="false">F61/E61-1</f>
        <v>0.0590491846207435</v>
      </c>
      <c r="G62" s="14" t="n">
        <f aca="false">G61/F61-1</f>
        <v>0.0675746582616834</v>
      </c>
    </row>
    <row r="63" customFormat="false" ht="17.15" hidden="false" customHeight="false" outlineLevel="0" collapsed="false">
      <c r="A63" s="0" t="s">
        <v>556</v>
      </c>
      <c r="B63" s="0" t="s">
        <v>41</v>
      </c>
      <c r="C63" s="14" t="n">
        <f aca="false">C59/C61</f>
        <v>0.275</v>
      </c>
      <c r="D63" s="14" t="n">
        <f aca="false">D59/D61</f>
        <v>0.35</v>
      </c>
      <c r="E63" s="14" t="n">
        <f aca="false">E59/E61</f>
        <v>0.404388555292318</v>
      </c>
      <c r="F63" s="14" t="n">
        <f aca="false">F59/F61</f>
        <v>0.398229794147431</v>
      </c>
      <c r="G63" s="14" t="n">
        <f aca="false">G59/G61</f>
        <v>0.408136272947839</v>
      </c>
    </row>
    <row r="64" customFormat="false" ht="17.15" hidden="false" customHeight="false" outlineLevel="0" collapsed="false">
      <c r="A64" s="0" t="s">
        <v>502</v>
      </c>
      <c r="B64" s="0" t="s">
        <v>41</v>
      </c>
      <c r="D64" s="14" t="n">
        <f aca="false">D52/D54</f>
        <v>0.780512560263892</v>
      </c>
      <c r="E64" s="14" t="n">
        <f aca="false">E52/E54</f>
        <v>0.752760120441619</v>
      </c>
      <c r="F64" s="14" t="n">
        <f aca="false">F52/F54</f>
        <v>0.724284844796105</v>
      </c>
      <c r="G64" s="14" t="n">
        <f aca="false">G52/G54</f>
        <v>0.719459328468726</v>
      </c>
    </row>
    <row r="65" customFormat="false" ht="17.15" hidden="false" customHeight="false" outlineLevel="0" collapsed="false">
      <c r="A65" s="4" t="s">
        <v>506</v>
      </c>
      <c r="B65" s="0" t="s">
        <v>507</v>
      </c>
      <c r="D65" s="22" t="n">
        <f aca="false">D59/D54/fx*1000</f>
        <v>52.6635820381883</v>
      </c>
      <c r="E65" s="22" t="n">
        <f aca="false">E59/E54/fx*1000</f>
        <v>49.0297948775533</v>
      </c>
      <c r="F65" s="22" t="n">
        <f aca="false">F59/F54/fx*1000</f>
        <v>46.5124756561279</v>
      </c>
      <c r="G65" s="22" t="n">
        <f aca="false">G59/G54/fx*1000</f>
        <v>45.027362642651</v>
      </c>
      <c r="H65" s="4" t="s">
        <v>557</v>
      </c>
    </row>
    <row r="66" customFormat="false" ht="17.15" hidden="false" customHeight="false" outlineLevel="0" collapsed="false">
      <c r="A66" s="6" t="s">
        <v>558</v>
      </c>
    </row>
    <row r="67" customFormat="false" ht="17.15" hidden="false" customHeight="false" outlineLevel="0" collapsed="false">
      <c r="A67" s="0" t="s">
        <v>559</v>
      </c>
      <c r="B67" s="0" t="s">
        <v>131</v>
      </c>
      <c r="C67" s="16" t="n">
        <f aca="false">(a25_capex-m_cx*a25_rev)/(a25_rev-rev24)</f>
        <v>3.57284271254522</v>
      </c>
      <c r="H67" s="8" t="s">
        <v>560</v>
      </c>
    </row>
    <row r="68" customFormat="false" ht="17.15" hidden="false" customHeight="false" outlineLevel="0" collapsed="false">
      <c r="A68" s="4" t="s">
        <v>511</v>
      </c>
      <c r="B68" s="0" t="s">
        <v>239</v>
      </c>
      <c r="C68" s="21" t="n">
        <f aca="false">a25_capex</f>
        <v>32.3554</v>
      </c>
      <c r="D68" s="21" t="n">
        <f aca="false">capex_26</f>
        <v>42</v>
      </c>
      <c r="E68" s="21" t="n">
        <f aca="false">m_cx*E61+$C$67*MAX(0,E61-D61)</f>
        <v>43.4722424350741</v>
      </c>
      <c r="F68" s="21" t="n">
        <f aca="false">m_cx*F61+$C$67*MAX(0,F61-E61)</f>
        <v>18.3738306790198</v>
      </c>
      <c r="G68" s="21" t="n">
        <f aca="false">m_cx*G61+$C$67*MAX(0,G61-F61)</f>
        <v>21.3816345896737</v>
      </c>
      <c r="H68" s="8" t="s">
        <v>561</v>
      </c>
    </row>
    <row r="69" customFormat="false" ht="17.15" hidden="false" customHeight="false" outlineLevel="0" collapsed="false">
      <c r="A69" s="4" t="s">
        <v>562</v>
      </c>
      <c r="B69" s="0" t="s">
        <v>41</v>
      </c>
      <c r="C69" s="14" t="n">
        <f aca="false">C68/C61</f>
        <v>0.926197128266197</v>
      </c>
      <c r="D69" s="14" t="n">
        <f aca="false">D68/D61</f>
        <v>0.885340879225746</v>
      </c>
      <c r="E69" s="14" t="n">
        <f aca="false">E68/E61</f>
        <v>0.749730061813938</v>
      </c>
      <c r="F69" s="14" t="n">
        <f aca="false">F68/F61</f>
        <v>0.299210246339515</v>
      </c>
      <c r="G69" s="14" t="n">
        <f aca="false">G68/G61</f>
        <v>0.32615151404597</v>
      </c>
    </row>
    <row r="70" customFormat="false" ht="15" hidden="false" customHeight="false" outlineLevel="0" collapsed="false">
      <c r="A70" s="4" t="s">
        <v>563</v>
      </c>
      <c r="B70" s="0" t="s">
        <v>239</v>
      </c>
      <c r="C70" s="21" t="n">
        <f aca="false">a25_da</f>
        <v>7.5143841</v>
      </c>
      <c r="D70" s="21" t="n">
        <f aca="false">a26_da</f>
        <v>11.32770694</v>
      </c>
      <c r="E70" s="21" t="n">
        <f aca="false">D70*(1-ret)+dr*(D68+E68)/2</f>
        <v>15.4622949269291</v>
      </c>
      <c r="F70" s="21" t="n">
        <f aca="false">E70*(1-ret)+dr*(E68+F68)/2</f>
        <v>18.0907142018578</v>
      </c>
      <c r="G70" s="21" t="n">
        <f aca="false">F70*(1-ret)+dr*(F68+G68)/2</f>
        <v>19.372729081543</v>
      </c>
    </row>
    <row r="71" customFormat="false" ht="17.15" hidden="false" customHeight="false" outlineLevel="0" collapsed="false">
      <c r="A71" s="4" t="s">
        <v>515</v>
      </c>
      <c r="B71" s="0" t="s">
        <v>41</v>
      </c>
      <c r="C71" s="14" t="n">
        <f aca="false">C70/C61</f>
        <v>0.215104773055168</v>
      </c>
      <c r="D71" s="14" t="n">
        <f aca="false">D70/D61</f>
        <v>0.238782905282647</v>
      </c>
      <c r="E71" s="14" t="n">
        <f aca="false">E70/E61</f>
        <v>0.266665501524689</v>
      </c>
      <c r="F71" s="14" t="n">
        <f aca="false">F70/F61</f>
        <v>0.294599811403312</v>
      </c>
      <c r="G71" s="14" t="n">
        <f aca="false">G70/G61</f>
        <v>0.295508039605127</v>
      </c>
    </row>
    <row r="72" customFormat="false" ht="17.15" hidden="false" customHeight="false" outlineLevel="0" collapsed="false">
      <c r="A72" s="4" t="s">
        <v>564</v>
      </c>
      <c r="B72" s="0" t="s">
        <v>239</v>
      </c>
      <c r="D72" s="16" t="n">
        <f aca="false">C70*(1-ret)+dr*(C68+D68)/2-D70</f>
        <v>-0.0994950449999994</v>
      </c>
      <c r="H72" s="4" t="s">
        <v>565</v>
      </c>
    </row>
    <row r="73" customFormat="false" ht="17.15" hidden="false" customHeight="false" outlineLevel="0" collapsed="false">
      <c r="A73" s="6" t="s">
        <v>566</v>
      </c>
    </row>
    <row r="74" customFormat="false" ht="17.15" hidden="false" customHeight="false" outlineLevel="0" collapsed="false">
      <c r="A74" s="4" t="s">
        <v>567</v>
      </c>
      <c r="B74" s="0" t="s">
        <v>239</v>
      </c>
      <c r="D74" s="21" t="n">
        <f aca="false">a26_cc-v_cc*a26_rev</f>
        <v>7.9821937335</v>
      </c>
      <c r="H74" s="8" t="s">
        <v>568</v>
      </c>
    </row>
    <row r="75" customFormat="false" ht="17.15" hidden="false" customHeight="false" outlineLevel="0" collapsed="false">
      <c r="A75" s="4" t="s">
        <v>569</v>
      </c>
      <c r="B75" s="0" t="s">
        <v>239</v>
      </c>
      <c r="C75" s="21" t="n">
        <f aca="false">a25_cc</f>
        <v>14.8984</v>
      </c>
      <c r="D75" s="21" t="n">
        <f aca="false">a26_cc</f>
        <v>17.4700646735</v>
      </c>
      <c r="E75" s="21" t="n">
        <f aca="false">$D$74+v_cc*(E59/E58+E60)</f>
        <v>19.6746717578692</v>
      </c>
      <c r="F75" s="21" t="n">
        <f aca="false">$D$74+v_cc*(F59/F58+F60)</f>
        <v>20.4675321811236</v>
      </c>
      <c r="G75" s="21" t="n">
        <f aca="false">$D$74+v_cc*(G59/G58+G60)</f>
        <v>21.3753128654444</v>
      </c>
      <c r="H75" s="4" t="s">
        <v>570</v>
      </c>
    </row>
    <row r="76" customFormat="false" ht="15" hidden="false" customHeight="false" outlineLevel="0" collapsed="false">
      <c r="A76" s="4" t="s">
        <v>571</v>
      </c>
      <c r="B76" s="0" t="s">
        <v>239</v>
      </c>
      <c r="C76" s="21" t="n">
        <f aca="false">C61-C75-C70</f>
        <v>12.5208159</v>
      </c>
      <c r="D76" s="21" t="n">
        <f aca="false">D61-D75-D70</f>
        <v>18.6415830865</v>
      </c>
      <c r="E76" s="21" t="n">
        <f aca="false">E61-E75-E70</f>
        <v>22.8468926390428</v>
      </c>
      <c r="F76" s="21" t="n">
        <f aca="false">F61-F75-F70</f>
        <v>22.8495125550964</v>
      </c>
      <c r="G76" s="21" t="n">
        <f aca="false">G61-G75-G70</f>
        <v>24.8093253159468</v>
      </c>
    </row>
    <row r="77" customFormat="false" ht="15" hidden="false" customHeight="false" outlineLevel="0" collapsed="false">
      <c r="A77" s="4" t="s">
        <v>421</v>
      </c>
      <c r="B77" s="0" t="s">
        <v>41</v>
      </c>
      <c r="C77" s="14" t="n">
        <f aca="false">C76/C61</f>
        <v>0.358417566468958</v>
      </c>
      <c r="D77" s="14" t="n">
        <f aca="false">D76/D61</f>
        <v>0.392956084760993</v>
      </c>
      <c r="E77" s="14" t="n">
        <f aca="false">E76/E61</f>
        <v>0.394021593344493</v>
      </c>
      <c r="F77" s="14" t="n">
        <f aca="false">F76/F61</f>
        <v>0.372094877752131</v>
      </c>
      <c r="G77" s="14" t="n">
        <f aca="false">G76/G61</f>
        <v>0.378436876765395</v>
      </c>
    </row>
    <row r="78" customFormat="false" ht="15" hidden="false" customHeight="false" outlineLevel="0" collapsed="false">
      <c r="A78" s="4" t="s">
        <v>572</v>
      </c>
      <c r="B78" s="0" t="s">
        <v>239</v>
      </c>
      <c r="C78" s="21" t="n">
        <f aca="false">a25_opx</f>
        <v>3.5197</v>
      </c>
      <c r="D78" s="21" t="n">
        <f aca="false">a26_opx</f>
        <v>6.1141318375</v>
      </c>
      <c r="E78" s="21" t="n">
        <f aca="false">D78*(1+MAX(0,phi*E62))</f>
        <v>6.92953700275567</v>
      </c>
      <c r="F78" s="21" t="n">
        <f aca="false">E78*(1+MAX(0,phi*F62))</f>
        <v>7.17504710864286</v>
      </c>
      <c r="G78" s="21" t="n">
        <f aca="false">F78*(1+MAX(0,phi*G62))</f>
        <v>7.46595792246967</v>
      </c>
    </row>
    <row r="79" customFormat="false" ht="15" hidden="false" customHeight="false" outlineLevel="0" collapsed="false">
      <c r="A79" s="4" t="s">
        <v>573</v>
      </c>
      <c r="B79" s="0" t="s">
        <v>239</v>
      </c>
      <c r="C79" s="21" t="n">
        <f aca="false">C78</f>
        <v>3.5197</v>
      </c>
      <c r="D79" s="21" t="n">
        <f aca="false">D78</f>
        <v>6.1141318375</v>
      </c>
      <c r="E79" s="21" t="n">
        <f aca="false">E78+0*E61</f>
        <v>6.92953700275567</v>
      </c>
      <c r="F79" s="21" t="n">
        <f aca="false">F78+0*F61</f>
        <v>7.17504710864286</v>
      </c>
      <c r="G79" s="21" t="n">
        <f aca="false">G78+0*G61</f>
        <v>7.46595792246967</v>
      </c>
    </row>
    <row r="80" customFormat="false" ht="15" hidden="false" customHeight="false" outlineLevel="0" collapsed="false">
      <c r="A80" s="4" t="s">
        <v>430</v>
      </c>
      <c r="B80" s="0" t="s">
        <v>239</v>
      </c>
      <c r="C80" s="21" t="n">
        <f aca="false">C76-C79</f>
        <v>9.0011159</v>
      </c>
      <c r="D80" s="21" t="n">
        <f aca="false">D76-D79</f>
        <v>12.527451249</v>
      </c>
      <c r="E80" s="21" t="n">
        <f aca="false">E76-E79</f>
        <v>15.9173556362871</v>
      </c>
      <c r="F80" s="21" t="n">
        <f aca="false">F76-F79</f>
        <v>15.6744654464535</v>
      </c>
      <c r="G80" s="21" t="n">
        <f aca="false">G76-G79</f>
        <v>17.3433673934771</v>
      </c>
    </row>
    <row r="81" customFormat="false" ht="15" hidden="false" customHeight="false" outlineLevel="0" collapsed="false">
      <c r="A81" s="4" t="s">
        <v>432</v>
      </c>
      <c r="B81" s="0" t="s">
        <v>41</v>
      </c>
      <c r="C81" s="14" t="n">
        <f aca="false">C80/C61</f>
        <v>0.25766356459111</v>
      </c>
      <c r="D81" s="14" t="n">
        <f aca="false">D80/D61</f>
        <v>0.264072969124936</v>
      </c>
      <c r="E81" s="14" t="n">
        <f aca="false">E80/E61</f>
        <v>0.274513559840651</v>
      </c>
      <c r="F81" s="14" t="n">
        <f aca="false">F80/F61</f>
        <v>0.255252198053007</v>
      </c>
      <c r="G81" s="14" t="n">
        <f aca="false">G80/G61</f>
        <v>0.264552530365004</v>
      </c>
    </row>
    <row r="82" customFormat="false" ht="17.15" hidden="false" customHeight="false" outlineLevel="0" collapsed="false">
      <c r="A82" s="0" t="s">
        <v>574</v>
      </c>
      <c r="B82" s="0" t="s">
        <v>239</v>
      </c>
      <c r="C82" s="21" t="n">
        <f aca="false">C80+C70</f>
        <v>16.5155</v>
      </c>
      <c r="D82" s="21" t="n">
        <f aca="false">D80+D70</f>
        <v>23.855158189</v>
      </c>
      <c r="E82" s="21" t="n">
        <f aca="false">E80+E70</f>
        <v>31.3796505632162</v>
      </c>
      <c r="F82" s="21" t="n">
        <f aca="false">F80+F70</f>
        <v>33.7651796483113</v>
      </c>
      <c r="G82" s="21" t="n">
        <f aca="false">G80+G70</f>
        <v>36.7160964750202</v>
      </c>
    </row>
    <row r="83" customFormat="false" ht="17.15" hidden="false" customHeight="false" outlineLevel="0" collapsed="false">
      <c r="A83" s="0" t="s">
        <v>575</v>
      </c>
      <c r="B83" s="0" t="s">
        <v>239</v>
      </c>
      <c r="C83" s="21" t="n">
        <f aca="false">C82-C68</f>
        <v>-15.8399</v>
      </c>
      <c r="D83" s="21" t="n">
        <f aca="false">D82-D68</f>
        <v>-18.144841811</v>
      </c>
      <c r="E83" s="21" t="n">
        <f aca="false">E82-E68</f>
        <v>-12.0925918718579</v>
      </c>
      <c r="F83" s="21" t="n">
        <f aca="false">F82-F68</f>
        <v>15.3913489692915</v>
      </c>
      <c r="G83" s="21" t="n">
        <f aca="false">G82-G68</f>
        <v>15.3344618853465</v>
      </c>
    </row>
    <row r="84" customFormat="false" ht="17.15" hidden="false" customHeight="false" outlineLevel="0" collapsed="false">
      <c r="A84" s="4" t="s">
        <v>433</v>
      </c>
      <c r="B84" s="0" t="s">
        <v>239</v>
      </c>
      <c r="C84" s="21" t="n">
        <f aca="false">a25_ni</f>
        <v>11.015</v>
      </c>
      <c r="D84" s="21" t="n">
        <f aca="false">a26_ni</f>
        <v>10.66608446065</v>
      </c>
      <c r="E84" s="21" t="n">
        <f aca="false">E80*nir_f</f>
        <v>13.3705787344812</v>
      </c>
      <c r="F84" s="21" t="n">
        <f aca="false">F80*nir_f</f>
        <v>13.166550975021</v>
      </c>
      <c r="G84" s="21" t="n">
        <f aca="false">G80*nir_f</f>
        <v>14.5684286105208</v>
      </c>
      <c r="H84" s="8" t="s">
        <v>438</v>
      </c>
    </row>
    <row r="85" customFormat="false" ht="17.15" hidden="false" customHeight="false" outlineLevel="0" collapsed="false">
      <c r="A85" s="4" t="s">
        <v>437</v>
      </c>
      <c r="B85" s="0" t="s">
        <v>41</v>
      </c>
      <c r="C85" s="14" t="n">
        <f aca="false">C84/C80</f>
        <v>1.22373715907824</v>
      </c>
      <c r="D85" s="14" t="n">
        <f aca="false">D84/D80</f>
        <v>0.851416960133963</v>
      </c>
      <c r="E85" s="14" t="n">
        <f aca="false">E84/E80</f>
        <v>0.84</v>
      </c>
      <c r="F85" s="14" t="n">
        <f aca="false">F84/F80</f>
        <v>0.84</v>
      </c>
      <c r="G85" s="14" t="n">
        <f aca="false">G84/G80</f>
        <v>0.84</v>
      </c>
    </row>
    <row r="86" customFormat="false" ht="15" hidden="false" customHeight="false" outlineLevel="0" collapsed="false">
      <c r="A86" s="4" t="s">
        <v>576</v>
      </c>
      <c r="B86" s="4" t="s">
        <v>294</v>
      </c>
      <c r="C86" s="27" t="n">
        <f aca="false">a25_sh</f>
        <v>1.22253052164262</v>
      </c>
      <c r="D86" s="27" t="n">
        <f aca="false">a26_sh</f>
        <v>1.28264705882353</v>
      </c>
      <c r="E86" s="27" t="n">
        <f aca="false">D86*(1+sh_g)</f>
        <v>1.28264705882353</v>
      </c>
      <c r="F86" s="27" t="n">
        <f aca="false">E86*(1+sh_g)</f>
        <v>1.28264705882353</v>
      </c>
      <c r="G86" s="27" t="n">
        <f aca="false">F86*(1+sh_g)</f>
        <v>1.28264705882353</v>
      </c>
    </row>
    <row r="87" customFormat="false" ht="15" hidden="false" customHeight="false" outlineLevel="0" collapsed="false">
      <c r="A87" s="0" t="s">
        <v>442</v>
      </c>
      <c r="B87" s="0" t="s">
        <v>315</v>
      </c>
      <c r="C87" s="21" t="n">
        <f aca="false">C84/C86</f>
        <v>9.01</v>
      </c>
      <c r="D87" s="21" t="n">
        <f aca="false">D84/D86</f>
        <v>8.31568153318276</v>
      </c>
      <c r="E87" s="21" t="n">
        <f aca="false">E84/E86</f>
        <v>10.4242072224802</v>
      </c>
      <c r="F87" s="21" t="n">
        <f aca="false">F84/F86</f>
        <v>10.2651394898123</v>
      </c>
      <c r="G87" s="21" t="n">
        <f aca="false">G84/G86</f>
        <v>11.3580961421167</v>
      </c>
    </row>
    <row r="88" customFormat="false" ht="17.15" hidden="false" customHeight="false" outlineLevel="0" collapsed="false">
      <c r="A88" s="0" t="s">
        <v>577</v>
      </c>
      <c r="B88" s="0" t="s">
        <v>41</v>
      </c>
      <c r="D88" s="14" t="n">
        <f aca="false">D87/C87-1</f>
        <v>-0.0770608731206708</v>
      </c>
      <c r="E88" s="14" t="n">
        <f aca="false">E87/D87-1</f>
        <v>0.253560177946161</v>
      </c>
      <c r="F88" s="14" t="n">
        <f aca="false">F87/E87-1</f>
        <v>-0.015259456117188</v>
      </c>
      <c r="G88" s="14" t="n">
        <f aca="false">G87/F87-1</f>
        <v>0.106472654695934</v>
      </c>
      <c r="H88" s="8" t="s">
        <v>578</v>
      </c>
    </row>
    <row r="91" customFormat="false" ht="17.15" hidden="false" customHeight="false" outlineLevel="0" collapsed="false">
      <c r="A91" s="1" t="s">
        <v>864</v>
      </c>
    </row>
    <row r="92" customFormat="false" ht="17.15" hidden="false" customHeight="false" outlineLevel="0" collapsed="false">
      <c r="A92" s="5" t="s">
        <v>17</v>
      </c>
      <c r="B92" s="5" t="s">
        <v>18</v>
      </c>
      <c r="C92" s="12" t="s">
        <v>409</v>
      </c>
      <c r="D92" s="12" t="s">
        <v>520</v>
      </c>
      <c r="E92" s="12" t="s">
        <v>521</v>
      </c>
      <c r="F92" s="12" t="s">
        <v>522</v>
      </c>
      <c r="G92" s="12" t="s">
        <v>523</v>
      </c>
      <c r="H92" s="5" t="s">
        <v>488</v>
      </c>
    </row>
    <row r="93" customFormat="false" ht="17.15" hidden="false" customHeight="false" outlineLevel="0" collapsed="false">
      <c r="A93" s="6" t="s">
        <v>543</v>
      </c>
    </row>
    <row r="94" customFormat="false" ht="17.15" hidden="false" customHeight="false" outlineLevel="0" collapsed="false">
      <c r="A94" s="0" t="s">
        <v>491</v>
      </c>
      <c r="B94" s="4" t="s">
        <v>28</v>
      </c>
      <c r="D94" s="16" t="n">
        <f aca="false">u_bw_26*tt_bw_hi</f>
        <v>5.4</v>
      </c>
      <c r="E94" s="16" t="n">
        <f aca="false">u_bw_27*1*tt_bw_hi</f>
        <v>2.4</v>
      </c>
      <c r="F94" s="16" t="n">
        <f aca="false">u_bw_28*um28_A*1*tt_bw_hi</f>
        <v>0.5</v>
      </c>
      <c r="G94" s="16" t="n">
        <f aca="false">u_bw_28*(1+g29_bw)*um29_A*1*tt_bw_hi</f>
        <v>0.25</v>
      </c>
    </row>
    <row r="95" customFormat="false" ht="17.15" hidden="false" customHeight="false" outlineLevel="0" collapsed="false">
      <c r="A95" s="0" t="s">
        <v>493</v>
      </c>
      <c r="B95" s="4" t="s">
        <v>28</v>
      </c>
      <c r="D95" s="16" t="n">
        <f aca="false">u_rb_26*tt_rb_hi</f>
        <v>3.06</v>
      </c>
      <c r="E95" s="16" t="n">
        <f aca="false">u_rb_27*1*tt_rb_hi</f>
        <v>12.6</v>
      </c>
      <c r="F95" s="16" t="n">
        <f aca="false">u_rb_28*um28_A*1*tt_rb_hi</f>
        <v>12.6</v>
      </c>
      <c r="G95" s="16" t="n">
        <f aca="false">u_rb_28*(1+g29_rb)*um29_A*1*tt_rb_hi</f>
        <v>14.49</v>
      </c>
    </row>
    <row r="96" customFormat="false" ht="17.15" hidden="false" customHeight="false" outlineLevel="0" collapsed="false">
      <c r="A96" s="0" t="s">
        <v>494</v>
      </c>
      <c r="B96" s="4" t="s">
        <v>28</v>
      </c>
      <c r="D96" s="16" t="n">
        <f aca="false">u_ru_26*tt_ru_hi</f>
        <v>0</v>
      </c>
      <c r="E96" s="16" t="n">
        <f aca="false">u_ru_27*1*tt_ru_hi</f>
        <v>0.78</v>
      </c>
      <c r="F96" s="16" t="n">
        <f aca="false">u_ru_28*um28_A*1*tt_ru_hi</f>
        <v>5.2</v>
      </c>
      <c r="G96" s="16" t="n">
        <f aca="false">u_ru_28*(1+g29_ru)*um29_A*1*tt_ru_hi</f>
        <v>5.98</v>
      </c>
    </row>
    <row r="97" customFormat="false" ht="17.15" hidden="false" customHeight="false" outlineLevel="0" collapsed="false">
      <c r="A97" s="0" t="s">
        <v>495</v>
      </c>
      <c r="B97" s="4" t="s">
        <v>28</v>
      </c>
      <c r="D97" s="16" t="n">
        <f aca="false">u_hp_26*tt_hp_hi</f>
        <v>0.4</v>
      </c>
      <c r="E97" s="16" t="n">
        <f aca="false">u_hp_27*1*tt_hp_hi</f>
        <v>0</v>
      </c>
      <c r="F97" s="16" t="n">
        <f aca="false">u_hp_28*um28_A*1*tt_hp_hi</f>
        <v>0</v>
      </c>
      <c r="G97" s="16" t="n">
        <f aca="false">u_hp_28*(1+g29_hp)*um29_A*1*tt_hp_hi</f>
        <v>0</v>
      </c>
    </row>
    <row r="98" customFormat="false" ht="17.15" hidden="false" customHeight="false" outlineLevel="0" collapsed="false">
      <c r="A98" s="0" t="s">
        <v>496</v>
      </c>
      <c r="B98" s="4" t="s">
        <v>28</v>
      </c>
      <c r="D98" s="16" t="n">
        <f aca="false">u_amd_26*tt_amd_hi*ex_amd</f>
        <v>0.21</v>
      </c>
      <c r="E98" s="16" t="n">
        <f aca="false">u_amd_27*1*tt_amd_hi*ex_amd</f>
        <v>0.42</v>
      </c>
      <c r="F98" s="16" t="n">
        <f aca="false">u_amd_28*um28_A*1*tt_amd_hi*ex_amd</f>
        <v>0.56</v>
      </c>
      <c r="G98" s="16" t="n">
        <f aca="false">u_amd_28*(1+g29_amd)*um29_A*1*tt_amd_hi*ex_amd</f>
        <v>0.644</v>
      </c>
    </row>
    <row r="99" customFormat="false" ht="17.15" hidden="false" customHeight="false" outlineLevel="0" collapsed="false">
      <c r="A99" s="0" t="s">
        <v>498</v>
      </c>
      <c r="B99" s="4" t="s">
        <v>28</v>
      </c>
      <c r="D99" s="16" t="n">
        <f aca="false">u_tpu_26*tt_tpu_hi*ex_tpu</f>
        <v>2.31</v>
      </c>
      <c r="E99" s="16" t="n">
        <f aca="false">u_tpu_27*1*tt_tpu_hi*ex_tpu</f>
        <v>3.3</v>
      </c>
      <c r="F99" s="16" t="n">
        <f aca="false">u_tpu_28*um28_A*1*tt_tpu_hi*ex_tpu</f>
        <v>4.2</v>
      </c>
      <c r="G99" s="16" t="n">
        <f aca="false">u_tpu_28*(1+g29_tpu)*um29_A*1*tt_tpu_hi*ex_tpu</f>
        <v>4.83</v>
      </c>
    </row>
    <row r="100" customFormat="false" ht="17.15" hidden="false" customHeight="false" outlineLevel="0" collapsed="false">
      <c r="A100" s="0" t="s">
        <v>499</v>
      </c>
      <c r="B100" s="4" t="s">
        <v>28</v>
      </c>
      <c r="D100" s="16" t="n">
        <f aca="false">u_trn_26*tt_trn_hi*ex_trn</f>
        <v>0.88</v>
      </c>
      <c r="E100" s="16" t="n">
        <f aca="false">u_trn_27*1*tt_trn_hi*ex_trn</f>
        <v>1.1</v>
      </c>
      <c r="F100" s="16" t="n">
        <f aca="false">u_trn_28*um28_A*1*tt_trn_hi*ex_trn</f>
        <v>1.32</v>
      </c>
      <c r="G100" s="16" t="n">
        <f aca="false">u_trn_28*(1+g29_trn)*um29_A*1*tt_trn_hi*ex_trn</f>
        <v>1.518</v>
      </c>
    </row>
    <row r="101" customFormat="false" ht="17.15" hidden="false" customHeight="false" outlineLevel="0" collapsed="false">
      <c r="A101" s="4" t="s">
        <v>500</v>
      </c>
      <c r="B101" s="4" t="s">
        <v>28</v>
      </c>
      <c r="D101" s="16" t="n">
        <f aca="false">u_oth_26*tt_oth_hi*ex_oth</f>
        <v>0.4</v>
      </c>
      <c r="E101" s="16" t="n">
        <f aca="false">u_oth_27*1*tt_oth_hi*ex_oth</f>
        <v>1.8</v>
      </c>
      <c r="F101" s="16" t="n">
        <f aca="false">u_oth_28*um28_A*1*tt_oth_hi*ex_oth</f>
        <v>2</v>
      </c>
      <c r="G101" s="16" t="n">
        <f aca="false">u_oth_28*(1+g29_oth)*um29_A*1*tt_oth_hi*ex_oth</f>
        <v>2.3</v>
      </c>
    </row>
    <row r="102" customFormat="false" ht="15" hidden="false" customHeight="false" outlineLevel="0" collapsed="false">
      <c r="A102" s="4" t="s">
        <v>489</v>
      </c>
      <c r="B102" s="4" t="s">
        <v>28</v>
      </c>
      <c r="D102" s="16" t="n">
        <f aca="false">u_bw_26+u_rb_26+u_ru_26+u_hp_26+u_amd_26+u_tpu_26+u_trn_26+u_oth_26</f>
        <v>15.2</v>
      </c>
      <c r="E102" s="16" t="n">
        <f aca="false">u_bw_27*1+u_rb_27*1+u_ru_27*1+u_hp_27*1+u_amd_27*1+u_tpu_27*1+u_trn_27*1+u_oth_27*1</f>
        <v>23.7</v>
      </c>
      <c r="F102" s="16" t="n">
        <f aca="false">u_bw_28*um28_A*1+u_rb_28*um28_A*1+u_ru_28*um28_A*1+u_hp_28*um28_A*1+u_amd_28*um28_A*1+u_tpu_28*um28_A*1+u_trn_28*um28_A*1+u_oth_28*um28_A*1</f>
        <v>26.5</v>
      </c>
      <c r="G10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3" customFormat="false" ht="17.15" hidden="false" customHeight="false" outlineLevel="0" collapsed="false">
      <c r="A103" s="0" t="s">
        <v>544</v>
      </c>
      <c r="B103" s="4" t="s">
        <v>28</v>
      </c>
      <c r="D103" s="16" t="n">
        <f aca="false">D94+D95+D96+D97</f>
        <v>8.86</v>
      </c>
      <c r="E103" s="16" t="n">
        <f aca="false">E94+E95+E96+E97</f>
        <v>15.78</v>
      </c>
      <c r="F103" s="16" t="n">
        <f aca="false">F94+F95+F96+F97</f>
        <v>18.3</v>
      </c>
      <c r="G103" s="16" t="n">
        <f aca="false">G94+G95+G96+G97</f>
        <v>20.72</v>
      </c>
    </row>
    <row r="104" customFormat="false" ht="17.15" hidden="false" customHeight="false" outlineLevel="0" collapsed="false">
      <c r="A104" s="0" t="s">
        <v>545</v>
      </c>
      <c r="B104" s="4" t="s">
        <v>28</v>
      </c>
      <c r="D104" s="16" t="n">
        <f aca="false">D98+D99+D100+D101</f>
        <v>3.8</v>
      </c>
      <c r="E104" s="16" t="n">
        <f aca="false">E98+E99+E100+E101</f>
        <v>6.62</v>
      </c>
      <c r="F104" s="16" t="n">
        <f aca="false">F98+F99+F100+F101</f>
        <v>8.08</v>
      </c>
      <c r="G104" s="16" t="n">
        <f aca="false">G98+G99+G100+G101</f>
        <v>9.292</v>
      </c>
    </row>
    <row r="105" customFormat="false" ht="15" hidden="false" customHeight="false" outlineLevel="0" collapsed="false">
      <c r="A105" s="4" t="s">
        <v>546</v>
      </c>
      <c r="B105" s="4" t="s">
        <v>28</v>
      </c>
      <c r="D105" s="16" t="n">
        <f aca="false">D103+D104</f>
        <v>12.66</v>
      </c>
      <c r="E105" s="16" t="n">
        <f aca="false">E103+E104</f>
        <v>22.4</v>
      </c>
      <c r="F105" s="16" t="n">
        <f aca="false">F103+F104</f>
        <v>26.38</v>
      </c>
      <c r="G105" s="16" t="n">
        <f aca="false">G103+G104</f>
        <v>30.012</v>
      </c>
    </row>
    <row r="106" customFormat="false" ht="17.15" hidden="false" customHeight="false" outlineLevel="0" collapsed="false">
      <c r="A106" s="0" t="s">
        <v>547</v>
      </c>
      <c r="B106" s="0" t="s">
        <v>239</v>
      </c>
      <c r="D106" s="21" t="n">
        <f aca="false">a26_rev*ai_26</f>
        <v>16.603774145</v>
      </c>
    </row>
    <row r="107" customFormat="false" ht="17.15" hidden="false" customHeight="false" outlineLevel="0" collapsed="false">
      <c r="A107" s="4" t="s">
        <v>548</v>
      </c>
      <c r="B107" s="0" t="s">
        <v>549</v>
      </c>
      <c r="D107" s="27" t="n">
        <f aca="false">D106/D105</f>
        <v>1.31151454541864</v>
      </c>
      <c r="H107" s="8" t="s">
        <v>550</v>
      </c>
    </row>
    <row r="108" customFormat="false" ht="17.15" hidden="false" customHeight="false" outlineLevel="0" collapsed="false">
      <c r="A108" s="4" t="s">
        <v>551</v>
      </c>
      <c r="B108" s="0" t="s">
        <v>131</v>
      </c>
      <c r="D108" s="16" t="n">
        <f aca="false">1</f>
        <v>1</v>
      </c>
      <c r="E108" s="16" t="n">
        <f aca="false">rel_27</f>
        <v>0.95</v>
      </c>
      <c r="F108" s="16" t="n">
        <f aca="false">rel_28</f>
        <v>0.92</v>
      </c>
      <c r="G108" s="16" t="n">
        <f aca="false">rel_29</f>
        <v>0.9</v>
      </c>
    </row>
    <row r="109" customFormat="false" ht="17.15" hidden="false" customHeight="false" outlineLevel="0" collapsed="false">
      <c r="A109" s="4" t="s">
        <v>552</v>
      </c>
      <c r="B109" s="0" t="s">
        <v>131</v>
      </c>
      <c r="D109" s="16" t="n">
        <f aca="false">1</f>
        <v>1</v>
      </c>
      <c r="E109" s="16" t="n">
        <f aca="false">pp_27</f>
        <v>0.98</v>
      </c>
      <c r="F109" s="16" t="n">
        <f aca="false">pp_28</f>
        <v>0.96</v>
      </c>
      <c r="G109" s="16" t="n">
        <f aca="false">pp_29</f>
        <v>0.95</v>
      </c>
    </row>
    <row r="110" customFormat="false" ht="17.15" hidden="false" customHeight="false" outlineLevel="0" collapsed="false">
      <c r="A110" s="0" t="s">
        <v>553</v>
      </c>
      <c r="B110" s="0" t="s">
        <v>239</v>
      </c>
      <c r="C110" s="21" t="n">
        <f aca="false">a25_rev*ai_25</f>
        <v>9.60674</v>
      </c>
      <c r="D110" s="21" t="n">
        <f aca="false">D106</f>
        <v>16.603774145</v>
      </c>
      <c r="E110" s="21" t="n">
        <f aca="false">$D$107*E105*E108*E109</f>
        <v>27.3508489359785</v>
      </c>
      <c r="F110" s="21" t="n">
        <f aca="false">$D$107*F105*F108*F109</f>
        <v>30.5567360750326</v>
      </c>
      <c r="G110" s="21" t="n">
        <f aca="false">$D$107*G105*G108*G109</f>
        <v>33.6538042292241</v>
      </c>
    </row>
    <row r="111" customFormat="false" ht="17.15" hidden="false" customHeight="false" outlineLevel="0" collapsed="false">
      <c r="A111" s="4" t="s">
        <v>554</v>
      </c>
      <c r="B111" s="0" t="s">
        <v>239</v>
      </c>
      <c r="C111" s="21" t="n">
        <f aca="false">a25_rev-C110</f>
        <v>25.32686</v>
      </c>
      <c r="D111" s="21" t="n">
        <f aca="false">a26_rev-D110</f>
        <v>30.835580555</v>
      </c>
      <c r="E111" s="21" t="n">
        <f aca="false">D111*(1+g_nai27)</f>
        <v>34.5358502216</v>
      </c>
      <c r="F111" s="21" t="n">
        <f aca="false">E111*(1+g_nai28)</f>
        <v>36.953359737112</v>
      </c>
      <c r="G111" s="21" t="n">
        <f aca="false">F111*(1+g_nai29)</f>
        <v>38.8010277239676</v>
      </c>
    </row>
    <row r="112" customFormat="false" ht="15" hidden="false" customHeight="false" outlineLevel="0" collapsed="false">
      <c r="A112" s="4" t="s">
        <v>414</v>
      </c>
      <c r="B112" s="0" t="s">
        <v>239</v>
      </c>
      <c r="C112" s="21" t="n">
        <f aca="false">C110+C111</f>
        <v>34.9336</v>
      </c>
      <c r="D112" s="21" t="n">
        <f aca="false">D110+D111</f>
        <v>47.4393547</v>
      </c>
      <c r="E112" s="21" t="n">
        <f aca="false">E110+E111</f>
        <v>61.8866991575785</v>
      </c>
      <c r="F112" s="21" t="n">
        <f aca="false">F110+F111</f>
        <v>67.5100958121446</v>
      </c>
      <c r="G112" s="21" t="n">
        <f aca="false">G110+G111</f>
        <v>72.4548319531918</v>
      </c>
    </row>
    <row r="113" customFormat="false" ht="15" hidden="false" customHeight="false" outlineLevel="0" collapsed="false">
      <c r="A113" s="4" t="s">
        <v>555</v>
      </c>
      <c r="B113" s="0" t="s">
        <v>41</v>
      </c>
      <c r="D113" s="14" t="n">
        <f aca="false">D112/C112-1</f>
        <v>0.357986428538713</v>
      </c>
      <c r="E113" s="14" t="n">
        <f aca="false">E112/D112-1</f>
        <v>0.304543443917851</v>
      </c>
      <c r="F113" s="14" t="n">
        <f aca="false">F112/E112-1</f>
        <v>0.0908659975586601</v>
      </c>
      <c r="G113" s="14" t="n">
        <f aca="false">G112/F112-1</f>
        <v>0.0732443952502533</v>
      </c>
    </row>
    <row r="114" customFormat="false" ht="17.15" hidden="false" customHeight="false" outlineLevel="0" collapsed="false">
      <c r="A114" s="0" t="s">
        <v>556</v>
      </c>
      <c r="B114" s="0" t="s">
        <v>41</v>
      </c>
      <c r="C114" s="14" t="n">
        <f aca="false">C110/C112</f>
        <v>0.275</v>
      </c>
      <c r="D114" s="14" t="n">
        <f aca="false">D110/D112</f>
        <v>0.35</v>
      </c>
      <c r="E114" s="14" t="n">
        <f aca="false">E110/E112</f>
        <v>0.441950359419504</v>
      </c>
      <c r="F114" s="14" t="n">
        <f aca="false">F110/F112</f>
        <v>0.452624688314183</v>
      </c>
      <c r="G114" s="14" t="n">
        <f aca="false">G110/G112</f>
        <v>0.464479777566327</v>
      </c>
    </row>
    <row r="115" customFormat="false" ht="17.15" hidden="false" customHeight="false" outlineLevel="0" collapsed="false">
      <c r="A115" s="0" t="s">
        <v>502</v>
      </c>
      <c r="B115" s="0" t="s">
        <v>41</v>
      </c>
      <c r="D115" s="14" t="n">
        <f aca="false">D103/D105</f>
        <v>0.699842022116904</v>
      </c>
      <c r="E115" s="14" t="n">
        <f aca="false">E103/E105</f>
        <v>0.704464285714286</v>
      </c>
      <c r="F115" s="14" t="n">
        <f aca="false">F103/F105</f>
        <v>0.693707354056103</v>
      </c>
      <c r="G115" s="14" t="n">
        <f aca="false">G103/G105</f>
        <v>0.690390510462482</v>
      </c>
    </row>
    <row r="116" customFormat="false" ht="17.15" hidden="false" customHeight="false" outlineLevel="0" collapsed="false">
      <c r="A116" s="4" t="s">
        <v>506</v>
      </c>
      <c r="B116" s="0" t="s">
        <v>507</v>
      </c>
      <c r="D116" s="22" t="n">
        <f aca="false">D110/D105/fx*1000</f>
        <v>40.9848295443325</v>
      </c>
      <c r="E116" s="22" t="n">
        <f aca="false">E110/E105/fx*1000</f>
        <v>38.1568763057736</v>
      </c>
      <c r="F116" s="22" t="n">
        <f aca="false">F110/F105/fx*1000</f>
        <v>36.1978014535545</v>
      </c>
      <c r="G116" s="22" t="n">
        <f aca="false">G110/G105/fx*1000</f>
        <v>35.0420292604043</v>
      </c>
      <c r="H116" s="4" t="s">
        <v>557</v>
      </c>
    </row>
    <row r="117" customFormat="false" ht="17.15" hidden="false" customHeight="false" outlineLevel="0" collapsed="false">
      <c r="A117" s="6" t="s">
        <v>558</v>
      </c>
    </row>
    <row r="118" customFormat="false" ht="17.15" hidden="false" customHeight="false" outlineLevel="0" collapsed="false">
      <c r="A118" s="0" t="s">
        <v>559</v>
      </c>
      <c r="B118" s="0" t="s">
        <v>131</v>
      </c>
      <c r="C118" s="16" t="n">
        <f aca="false">(a25_capex-m_cx*a25_rev)/(a25_rev-rev24)</f>
        <v>3.57284271254522</v>
      </c>
      <c r="H118" s="8" t="s">
        <v>560</v>
      </c>
    </row>
    <row r="119" customFormat="false" ht="17.15" hidden="false" customHeight="false" outlineLevel="0" collapsed="false">
      <c r="A119" s="4" t="s">
        <v>511</v>
      </c>
      <c r="B119" s="0" t="s">
        <v>239</v>
      </c>
      <c r="C119" s="21" t="n">
        <f aca="false">a25_capex</f>
        <v>32.3554</v>
      </c>
      <c r="D119" s="21" t="n">
        <f aca="false">capex_26</f>
        <v>42</v>
      </c>
      <c r="E119" s="21" t="n">
        <f aca="false">m_cx*E112+$C$118*MAX(0,E112-D112)</f>
        <v>57.8067592766478</v>
      </c>
      <c r="F119" s="21" t="n">
        <f aca="false">m_cx*F112+$C$118*MAX(0,F112-E112)</f>
        <v>26.842521338232</v>
      </c>
      <c r="G119" s="21" t="n">
        <f aca="false">m_cx*G112+$C$118*MAX(0,G112-F112)</f>
        <v>24.9122476823186</v>
      </c>
      <c r="H119" s="8" t="s">
        <v>561</v>
      </c>
    </row>
    <row r="120" customFormat="false" ht="17.15" hidden="false" customHeight="false" outlineLevel="0" collapsed="false">
      <c r="A120" s="4" t="s">
        <v>562</v>
      </c>
      <c r="B120" s="0" t="s">
        <v>41</v>
      </c>
      <c r="C120" s="14" t="n">
        <f aca="false">C119/C112</f>
        <v>0.926197128266197</v>
      </c>
      <c r="D120" s="14" t="n">
        <f aca="false">D119/D112</f>
        <v>0.885340879225746</v>
      </c>
      <c r="E120" s="14" t="n">
        <f aca="false">E119/E112</f>
        <v>0.934074042783535</v>
      </c>
      <c r="F120" s="14" t="n">
        <f aca="false">F119/F112</f>
        <v>0.397607513592111</v>
      </c>
      <c r="G120" s="14" t="n">
        <f aca="false">G119/G112</f>
        <v>0.343831418978554</v>
      </c>
    </row>
    <row r="121" customFormat="false" ht="15" hidden="false" customHeight="false" outlineLevel="0" collapsed="false">
      <c r="A121" s="4" t="s">
        <v>563</v>
      </c>
      <c r="B121" s="0" t="s">
        <v>239</v>
      </c>
      <c r="C121" s="21" t="n">
        <f aca="false">a25_da</f>
        <v>7.5143841</v>
      </c>
      <c r="D121" s="21" t="n">
        <f aca="false">a26_da</f>
        <v>11.32770694</v>
      </c>
      <c r="E121" s="21" t="n">
        <f aca="false">D121*(1-ret)+dr*(D119+E119)/2</f>
        <v>16.2506933532156</v>
      </c>
      <c r="F121" s="21" t="n">
        <f aca="false">E121*(1-ret)+dr*(E119+F119)/2</f>
        <v>20.0938691193732</v>
      </c>
      <c r="G121" s="21" t="n">
        <f aca="false">F121*(1-ret)+dr*(F119+G119)/2</f>
        <v>21.9356879595349</v>
      </c>
    </row>
    <row r="122" customFormat="false" ht="17.15" hidden="false" customHeight="false" outlineLevel="0" collapsed="false">
      <c r="A122" s="4" t="s">
        <v>515</v>
      </c>
      <c r="B122" s="0" t="s">
        <v>41</v>
      </c>
      <c r="C122" s="14" t="n">
        <f aca="false">C121/C112</f>
        <v>0.215104773055168</v>
      </c>
      <c r="D122" s="14" t="n">
        <f aca="false">D121/D112</f>
        <v>0.238782905282647</v>
      </c>
      <c r="E122" s="14" t="n">
        <f aca="false">E121/E112</f>
        <v>0.262587818940503</v>
      </c>
      <c r="F122" s="14" t="n">
        <f aca="false">F121/F112</f>
        <v>0.297642432256162</v>
      </c>
      <c r="G122" s="14" t="n">
        <f aca="false">G121/G112</f>
        <v>0.302749828661614</v>
      </c>
    </row>
    <row r="123" customFormat="false" ht="17.15" hidden="false" customHeight="false" outlineLevel="0" collapsed="false">
      <c r="A123" s="4" t="s">
        <v>564</v>
      </c>
      <c r="B123" s="0" t="s">
        <v>239</v>
      </c>
      <c r="D123" s="16" t="n">
        <f aca="false">C121*(1-ret)+dr*(C119+D119)/2-D121</f>
        <v>-0.0994950449999994</v>
      </c>
      <c r="H123" s="4" t="s">
        <v>565</v>
      </c>
    </row>
    <row r="124" customFormat="false" ht="17.15" hidden="false" customHeight="false" outlineLevel="0" collapsed="false">
      <c r="A124" s="6" t="s">
        <v>566</v>
      </c>
    </row>
    <row r="125" customFormat="false" ht="17.15" hidden="false" customHeight="false" outlineLevel="0" collapsed="false">
      <c r="A125" s="4" t="s">
        <v>567</v>
      </c>
      <c r="B125" s="0" t="s">
        <v>239</v>
      </c>
      <c r="D125" s="21" t="n">
        <f aca="false">a26_cc-v_cc*a26_rev</f>
        <v>7.9821937335</v>
      </c>
      <c r="H125" s="8" t="s">
        <v>568</v>
      </c>
    </row>
    <row r="126" customFormat="false" ht="17.15" hidden="false" customHeight="false" outlineLevel="0" collapsed="false">
      <c r="A126" s="4" t="s">
        <v>569</v>
      </c>
      <c r="B126" s="0" t="s">
        <v>239</v>
      </c>
      <c r="C126" s="21" t="n">
        <f aca="false">a25_cc</f>
        <v>14.8984</v>
      </c>
      <c r="D126" s="21" t="n">
        <f aca="false">a26_cc</f>
        <v>17.4700646735</v>
      </c>
      <c r="E126" s="21" t="n">
        <f aca="false">$D$125+v_cc*(E110/E109+E111)</f>
        <v>20.4711696831217</v>
      </c>
      <c r="F126" s="21" t="n">
        <f aca="false">$D$125+v_cc*(F110/F109+F111)</f>
        <v>21.7388523632209</v>
      </c>
      <c r="G126" s="21" t="n">
        <f aca="false">$D$125+v_cc*(G110/G109+G111)</f>
        <v>22.8274106949723</v>
      </c>
      <c r="H126" s="4" t="s">
        <v>570</v>
      </c>
    </row>
    <row r="127" customFormat="false" ht="15" hidden="false" customHeight="false" outlineLevel="0" collapsed="false">
      <c r="A127" s="4" t="s">
        <v>571</v>
      </c>
      <c r="B127" s="0" t="s">
        <v>239</v>
      </c>
      <c r="C127" s="21" t="n">
        <f aca="false">C112-C126-C121</f>
        <v>12.5208159</v>
      </c>
      <c r="D127" s="21" t="n">
        <f aca="false">D112-D126-D121</f>
        <v>18.6415830865</v>
      </c>
      <c r="E127" s="21" t="n">
        <f aca="false">E112-E126-E121</f>
        <v>25.1648361212411</v>
      </c>
      <c r="F127" s="21" t="n">
        <f aca="false">F112-F126-F121</f>
        <v>25.6773743295505</v>
      </c>
      <c r="G127" s="21" t="n">
        <f aca="false">G112-G126-G121</f>
        <v>27.6917332986846</v>
      </c>
    </row>
    <row r="128" customFormat="false" ht="15" hidden="false" customHeight="false" outlineLevel="0" collapsed="false">
      <c r="A128" s="4" t="s">
        <v>421</v>
      </c>
      <c r="B128" s="0" t="s">
        <v>41</v>
      </c>
      <c r="C128" s="14" t="n">
        <f aca="false">C127/C112</f>
        <v>0.358417566468958</v>
      </c>
      <c r="D128" s="14" t="n">
        <f aca="false">D127/D112</f>
        <v>0.392956084760993</v>
      </c>
      <c r="E128" s="14" t="n">
        <f aca="false">E127/E112</f>
        <v>0.406627538126818</v>
      </c>
      <c r="F128" s="14" t="n">
        <f aca="false">F127/F112</f>
        <v>0.380348657791881</v>
      </c>
      <c r="G128" s="14" t="n">
        <f aca="false">G127/G112</f>
        <v>0.382193051204292</v>
      </c>
    </row>
    <row r="129" customFormat="false" ht="15" hidden="false" customHeight="false" outlineLevel="0" collapsed="false">
      <c r="A129" s="4" t="s">
        <v>572</v>
      </c>
      <c r="B129" s="0" t="s">
        <v>239</v>
      </c>
      <c r="C129" s="21" t="n">
        <f aca="false">a25_opx</f>
        <v>3.5197</v>
      </c>
      <c r="D129" s="21" t="n">
        <f aca="false">a26_opx</f>
        <v>6.1141318375</v>
      </c>
      <c r="E129" s="21" t="n">
        <f aca="false">D129*(1+MAX(0,phi*E113))</f>
        <v>7.23134309731602</v>
      </c>
      <c r="F129" s="21" t="n">
        <f aca="false">E129*(1+MAX(0,phi*F113))</f>
        <v>7.62559301985195</v>
      </c>
      <c r="G129" s="21" t="n">
        <f aca="false">F129*(1+MAX(0,phi*G113))</f>
        <v>7.96071218935011</v>
      </c>
    </row>
    <row r="130" customFormat="false" ht="15" hidden="false" customHeight="false" outlineLevel="0" collapsed="false">
      <c r="A130" s="4" t="s">
        <v>573</v>
      </c>
      <c r="B130" s="0" t="s">
        <v>239</v>
      </c>
      <c r="C130" s="21" t="n">
        <f aca="false">C129</f>
        <v>3.5197</v>
      </c>
      <c r="D130" s="21" t="n">
        <f aca="false">D129</f>
        <v>6.1141318375</v>
      </c>
      <c r="E130" s="21" t="n">
        <f aca="false">E129+0*E112</f>
        <v>7.23134309731602</v>
      </c>
      <c r="F130" s="21" t="n">
        <f aca="false">F129+0*F112</f>
        <v>7.62559301985195</v>
      </c>
      <c r="G130" s="21" t="n">
        <f aca="false">G129+0*G112</f>
        <v>7.96071218935011</v>
      </c>
    </row>
    <row r="131" customFormat="false" ht="15" hidden="false" customHeight="false" outlineLevel="0" collapsed="false">
      <c r="A131" s="4" t="s">
        <v>430</v>
      </c>
      <c r="B131" s="0" t="s">
        <v>239</v>
      </c>
      <c r="C131" s="21" t="n">
        <f aca="false">C127-C130</f>
        <v>9.0011159</v>
      </c>
      <c r="D131" s="21" t="n">
        <f aca="false">D127-D130</f>
        <v>12.527451249</v>
      </c>
      <c r="E131" s="21" t="n">
        <f aca="false">E127-E130</f>
        <v>17.9334930239251</v>
      </c>
      <c r="F131" s="21" t="n">
        <f aca="false">F127-F130</f>
        <v>18.0517813096985</v>
      </c>
      <c r="G131" s="21" t="n">
        <f aca="false">G127-G130</f>
        <v>19.7310211093345</v>
      </c>
    </row>
    <row r="132" customFormat="false" ht="15" hidden="false" customHeight="false" outlineLevel="0" collapsed="false">
      <c r="A132" s="4" t="s">
        <v>432</v>
      </c>
      <c r="B132" s="0" t="s">
        <v>41</v>
      </c>
      <c r="C132" s="14" t="n">
        <f aca="false">C131/C112</f>
        <v>0.25766356459111</v>
      </c>
      <c r="D132" s="14" t="n">
        <f aca="false">D131/D112</f>
        <v>0.264072969124936</v>
      </c>
      <c r="E132" s="14" t="n">
        <f aca="false">E131/E112</f>
        <v>0.289779439977274</v>
      </c>
      <c r="F132" s="14" t="n">
        <f aca="false">F131/F112</f>
        <v>0.267393803734628</v>
      </c>
      <c r="G132" s="14" t="n">
        <f aca="false">G131/G112</f>
        <v>0.272321673757817</v>
      </c>
    </row>
    <row r="133" customFormat="false" ht="17.15" hidden="false" customHeight="false" outlineLevel="0" collapsed="false">
      <c r="A133" s="0" t="s">
        <v>574</v>
      </c>
      <c r="B133" s="0" t="s">
        <v>239</v>
      </c>
      <c r="C133" s="21" t="n">
        <f aca="false">C131+C121</f>
        <v>16.5155</v>
      </c>
      <c r="D133" s="21" t="n">
        <f aca="false">D131+D121</f>
        <v>23.855158189</v>
      </c>
      <c r="E133" s="21" t="n">
        <f aca="false">E131+E121</f>
        <v>34.1841863771408</v>
      </c>
      <c r="F133" s="21" t="n">
        <f aca="false">F131+F121</f>
        <v>38.1456504290718</v>
      </c>
      <c r="G133" s="21" t="n">
        <f aca="false">G131+G121</f>
        <v>41.6667090688694</v>
      </c>
    </row>
    <row r="134" customFormat="false" ht="17.15" hidden="false" customHeight="false" outlineLevel="0" collapsed="false">
      <c r="A134" s="0" t="s">
        <v>575</v>
      </c>
      <c r="B134" s="0" t="s">
        <v>239</v>
      </c>
      <c r="C134" s="21" t="n">
        <f aca="false">C133-C119</f>
        <v>-15.8399</v>
      </c>
      <c r="D134" s="21" t="n">
        <f aca="false">D133-D119</f>
        <v>-18.144841811</v>
      </c>
      <c r="E134" s="21" t="n">
        <f aca="false">E133-E119</f>
        <v>-23.622572899507</v>
      </c>
      <c r="F134" s="21" t="n">
        <f aca="false">F133-F119</f>
        <v>11.3031290908398</v>
      </c>
      <c r="G134" s="21" t="n">
        <f aca="false">G133-G119</f>
        <v>16.7544613865508</v>
      </c>
    </row>
    <row r="135" customFormat="false" ht="17.15" hidden="false" customHeight="false" outlineLevel="0" collapsed="false">
      <c r="A135" s="4" t="s">
        <v>433</v>
      </c>
      <c r="B135" s="0" t="s">
        <v>239</v>
      </c>
      <c r="C135" s="21" t="n">
        <f aca="false">a25_ni</f>
        <v>11.015</v>
      </c>
      <c r="D135" s="21" t="n">
        <f aca="false">a26_ni</f>
        <v>10.66608446065</v>
      </c>
      <c r="E135" s="21" t="n">
        <f aca="false">E131*nir_f</f>
        <v>15.0641341400971</v>
      </c>
      <c r="F135" s="21" t="n">
        <f aca="false">F131*nir_f</f>
        <v>15.1634963001468</v>
      </c>
      <c r="G135" s="21" t="n">
        <f aca="false">G131*nir_f</f>
        <v>16.574057731841</v>
      </c>
      <c r="H135" s="8" t="s">
        <v>438</v>
      </c>
    </row>
    <row r="136" customFormat="false" ht="17.15" hidden="false" customHeight="false" outlineLevel="0" collapsed="false">
      <c r="A136" s="4" t="s">
        <v>437</v>
      </c>
      <c r="B136" s="0" t="s">
        <v>41</v>
      </c>
      <c r="C136" s="14" t="n">
        <f aca="false">C135/C131</f>
        <v>1.22373715907824</v>
      </c>
      <c r="D136" s="14" t="n">
        <f aca="false">D135/D131</f>
        <v>0.851416960133963</v>
      </c>
      <c r="E136" s="14" t="n">
        <f aca="false">E135/E131</f>
        <v>0.84</v>
      </c>
      <c r="F136" s="14" t="n">
        <f aca="false">F135/F131</f>
        <v>0.84</v>
      </c>
      <c r="G136" s="14" t="n">
        <f aca="false">G135/G131</f>
        <v>0.84</v>
      </c>
    </row>
    <row r="137" customFormat="false" ht="15" hidden="false" customHeight="false" outlineLevel="0" collapsed="false">
      <c r="A137" s="4" t="s">
        <v>576</v>
      </c>
      <c r="B137" s="4" t="s">
        <v>294</v>
      </c>
      <c r="C137" s="27" t="n">
        <f aca="false">a25_sh</f>
        <v>1.22253052164262</v>
      </c>
      <c r="D137" s="27" t="n">
        <f aca="false">a26_sh</f>
        <v>1.28264705882353</v>
      </c>
      <c r="E137" s="27" t="n">
        <f aca="false">D137*(1+sh_g)</f>
        <v>1.28264705882353</v>
      </c>
      <c r="F137" s="27" t="n">
        <f aca="false">E137*(1+sh_g)</f>
        <v>1.28264705882353</v>
      </c>
      <c r="G137" s="27" t="n">
        <f aca="false">F137*(1+sh_g)</f>
        <v>1.28264705882353</v>
      </c>
    </row>
    <row r="138" customFormat="false" ht="15" hidden="false" customHeight="false" outlineLevel="0" collapsed="false">
      <c r="A138" s="0" t="s">
        <v>442</v>
      </c>
      <c r="B138" s="0" t="s">
        <v>315</v>
      </c>
      <c r="C138" s="21" t="n">
        <f aca="false">C135/C137</f>
        <v>9.01</v>
      </c>
      <c r="D138" s="21" t="n">
        <f aca="false">D135/D137</f>
        <v>8.31568153318276</v>
      </c>
      <c r="E138" s="21" t="n">
        <f aca="false">E135/E137</f>
        <v>11.7445668599702</v>
      </c>
      <c r="F138" s="21" t="n">
        <f aca="false">F135/F137</f>
        <v>11.8220333456774</v>
      </c>
      <c r="G138" s="21" t="n">
        <f aca="false">G135/G137</f>
        <v>12.9217602128547</v>
      </c>
    </row>
    <row r="139" customFormat="false" ht="17.15" hidden="false" customHeight="false" outlineLevel="0" collapsed="false">
      <c r="A139" s="0" t="s">
        <v>577</v>
      </c>
      <c r="B139" s="0" t="s">
        <v>41</v>
      </c>
      <c r="D139" s="14" t="n">
        <f aca="false">D138/C138-1</f>
        <v>-0.0770608731206708</v>
      </c>
      <c r="E139" s="14" t="n">
        <f aca="false">E138/D138-1</f>
        <v>0.41233966369502</v>
      </c>
      <c r="F139" s="14" t="n">
        <f aca="false">F138/E138-1</f>
        <v>0.00659594233067762</v>
      </c>
      <c r="G139" s="14" t="n">
        <f aca="false">G138/F138-1</f>
        <v>0.0930234956222173</v>
      </c>
      <c r="H139" s="8" t="s">
        <v>578</v>
      </c>
    </row>
    <row r="142" customFormat="false" ht="17.15" hidden="false" customHeight="false" outlineLevel="0" collapsed="false">
      <c r="A142" s="1" t="s">
        <v>865</v>
      </c>
    </row>
    <row r="143" customFormat="false" ht="17.15" hidden="false" customHeight="false" outlineLevel="0" collapsed="false">
      <c r="A143" s="5" t="s">
        <v>17</v>
      </c>
      <c r="B143" s="5" t="s">
        <v>18</v>
      </c>
      <c r="C143" s="12" t="s">
        <v>409</v>
      </c>
      <c r="D143" s="12" t="s">
        <v>520</v>
      </c>
      <c r="E143" s="12" t="s">
        <v>521</v>
      </c>
      <c r="F143" s="12" t="s">
        <v>522</v>
      </c>
      <c r="G143" s="12" t="s">
        <v>523</v>
      </c>
      <c r="H143" s="5" t="s">
        <v>488</v>
      </c>
    </row>
    <row r="144" customFormat="false" ht="17.15" hidden="false" customHeight="false" outlineLevel="0" collapsed="false">
      <c r="A144" s="6" t="s">
        <v>543</v>
      </c>
    </row>
    <row r="145" customFormat="false" ht="17.15" hidden="false" customHeight="false" outlineLevel="0" collapsed="false">
      <c r="A145" s="0" t="s">
        <v>491</v>
      </c>
      <c r="B145" s="4" t="s">
        <v>28</v>
      </c>
      <c r="D145" s="16" t="n">
        <f aca="false">u_bw_26*tt_bw</f>
        <v>5.4</v>
      </c>
      <c r="E145" s="16" t="n">
        <f aca="false">u_bw_27*1*tt_bw</f>
        <v>2.4</v>
      </c>
      <c r="F145" s="16" t="n">
        <f aca="false">u_bw_28*um28_A*1*tt_bw</f>
        <v>0.5</v>
      </c>
      <c r="G145" s="16" t="n">
        <f aca="false">u_bw_28*(1+g29_bw)*um29_A*1*tt_bw</f>
        <v>0.25</v>
      </c>
    </row>
    <row r="146" customFormat="false" ht="17.15" hidden="false" customHeight="false" outlineLevel="0" collapsed="false">
      <c r="A146" s="0" t="s">
        <v>493</v>
      </c>
      <c r="B146" s="4" t="s">
        <v>28</v>
      </c>
      <c r="D146" s="16" t="n">
        <f aca="false">u_rb_26*tt_rb</f>
        <v>2.55</v>
      </c>
      <c r="E146" s="16" t="n">
        <f aca="false">u_rb_27*1*tt_rb</f>
        <v>10.5</v>
      </c>
      <c r="F146" s="16" t="n">
        <f aca="false">u_rb_28*um28_A*1*tt_rb</f>
        <v>10.5</v>
      </c>
      <c r="G146" s="16" t="n">
        <f aca="false">u_rb_28*(1+g29_rb)*um29_A*1*tt_rb</f>
        <v>12.075</v>
      </c>
    </row>
    <row r="147" customFormat="false" ht="17.15" hidden="false" customHeight="false" outlineLevel="0" collapsed="false">
      <c r="A147" s="0" t="s">
        <v>494</v>
      </c>
      <c r="B147" s="4" t="s">
        <v>28</v>
      </c>
      <c r="D147" s="16" t="n">
        <f aca="false">u_ru_26*tt_ru</f>
        <v>0</v>
      </c>
      <c r="E147" s="16" t="n">
        <f aca="false">u_ru_27*1*tt_ru</f>
        <v>0.6</v>
      </c>
      <c r="F147" s="16" t="n">
        <f aca="false">u_ru_28*um28_A*1*tt_ru</f>
        <v>4</v>
      </c>
      <c r="G147" s="16" t="n">
        <f aca="false">u_ru_28*(1+g29_ru)*um29_A*1*tt_ru</f>
        <v>4.6</v>
      </c>
    </row>
    <row r="148" customFormat="false" ht="17.15" hidden="false" customHeight="false" outlineLevel="0" collapsed="false">
      <c r="A148" s="0" t="s">
        <v>495</v>
      </c>
      <c r="B148" s="4" t="s">
        <v>28</v>
      </c>
      <c r="D148" s="16" t="n">
        <f aca="false">u_hp_26*tt_hp</f>
        <v>0.3</v>
      </c>
      <c r="E148" s="16" t="n">
        <f aca="false">u_hp_27*1*tt_hp</f>
        <v>0</v>
      </c>
      <c r="F148" s="16" t="n">
        <f aca="false">u_hp_28*um28_A*1*tt_hp</f>
        <v>0</v>
      </c>
      <c r="G148" s="16" t="n">
        <f aca="false">u_hp_28*(1+g29_hp)*um29_A*1*tt_hp</f>
        <v>0</v>
      </c>
    </row>
    <row r="149" customFormat="false" ht="17.15" hidden="false" customHeight="false" outlineLevel="0" collapsed="false">
      <c r="A149" s="0" t="s">
        <v>496</v>
      </c>
      <c r="B149" s="4" t="s">
        <v>28</v>
      </c>
      <c r="D149" s="16" t="n">
        <f aca="false">u_amd_26*tt_amd*ex_amd_lo</f>
        <v>0.0825</v>
      </c>
      <c r="E149" s="16" t="n">
        <f aca="false">u_amd_27*1*tt_amd*ex_amd_lo</f>
        <v>0.165</v>
      </c>
      <c r="F149" s="16" t="n">
        <f aca="false">u_amd_28*um28_A*1*tt_amd*ex_amd_lo</f>
        <v>0.22</v>
      </c>
      <c r="G149" s="16" t="n">
        <f aca="false">u_amd_28*(1+g29_amd)*um29_A*1*tt_amd*ex_amd_lo</f>
        <v>0.253</v>
      </c>
    </row>
    <row r="150" customFormat="false" ht="17.15" hidden="false" customHeight="false" outlineLevel="0" collapsed="false">
      <c r="A150" s="0" t="s">
        <v>498</v>
      </c>
      <c r="B150" s="4" t="s">
        <v>28</v>
      </c>
      <c r="D150" s="16" t="n">
        <f aca="false">u_tpu_26*tt_tpu*ex_tpu_lo</f>
        <v>1.0395</v>
      </c>
      <c r="E150" s="16" t="n">
        <f aca="false">u_tpu_27*1*tt_tpu*ex_tpu_lo</f>
        <v>1.485</v>
      </c>
      <c r="F150" s="16" t="n">
        <f aca="false">u_tpu_28*um28_A*1*tt_tpu*ex_tpu_lo</f>
        <v>1.89</v>
      </c>
      <c r="G150" s="16" t="n">
        <f aca="false">u_tpu_28*(1+g29_tpu)*um29_A*1*tt_tpu*ex_tpu_lo</f>
        <v>2.1735</v>
      </c>
    </row>
    <row r="151" customFormat="false" ht="17.15" hidden="false" customHeight="false" outlineLevel="0" collapsed="false">
      <c r="A151" s="0" t="s">
        <v>499</v>
      </c>
      <c r="B151" s="4" t="s">
        <v>28</v>
      </c>
      <c r="D151" s="16" t="n">
        <f aca="false">u_trn_26*tt_trn*ex_trn_lo</f>
        <v>0.32</v>
      </c>
      <c r="E151" s="16" t="n">
        <f aca="false">u_trn_27*1*tt_trn*ex_trn_lo</f>
        <v>0.4</v>
      </c>
      <c r="F151" s="16" t="n">
        <f aca="false">u_trn_28*um28_A*1*tt_trn*ex_trn_lo</f>
        <v>0.48</v>
      </c>
      <c r="G151" s="16" t="n">
        <f aca="false">u_trn_28*(1+g29_trn)*um29_A*1*tt_trn*ex_trn_lo</f>
        <v>0.552</v>
      </c>
    </row>
    <row r="152" customFormat="false" ht="17.15" hidden="false" customHeight="false" outlineLevel="0" collapsed="false">
      <c r="A152" s="4" t="s">
        <v>500</v>
      </c>
      <c r="B152" s="4" t="s">
        <v>28</v>
      </c>
      <c r="D152" s="16" t="n">
        <f aca="false">u_oth_26*tt_oth*ex_oth_lo</f>
        <v>0.14</v>
      </c>
      <c r="E152" s="16" t="n">
        <f aca="false">u_oth_27*1*tt_oth*ex_oth_lo</f>
        <v>0.63</v>
      </c>
      <c r="F152" s="16" t="n">
        <f aca="false">u_oth_28*um28_A*1*tt_oth*ex_oth_lo</f>
        <v>0.7</v>
      </c>
      <c r="G152" s="16" t="n">
        <f aca="false">u_oth_28*(1+g29_oth)*um29_A*1*tt_oth*ex_oth_lo</f>
        <v>0.805</v>
      </c>
    </row>
    <row r="153" customFormat="false" ht="15" hidden="false" customHeight="false" outlineLevel="0" collapsed="false">
      <c r="A153" s="4" t="s">
        <v>489</v>
      </c>
      <c r="B153" s="4" t="s">
        <v>28</v>
      </c>
      <c r="D153" s="16" t="n">
        <f aca="false">u_bw_26+u_rb_26+u_ru_26+u_hp_26+u_amd_26+u_tpu_26+u_trn_26+u_oth_26</f>
        <v>15.2</v>
      </c>
      <c r="E153" s="16" t="n">
        <f aca="false">u_bw_27*1+u_rb_27*1+u_ru_27*1+u_hp_27*1+u_amd_27*1+u_tpu_27*1+u_trn_27*1+u_oth_27*1</f>
        <v>23.7</v>
      </c>
      <c r="F153" s="16" t="n">
        <f aca="false">u_bw_28*um28_A*1+u_rb_28*um28_A*1+u_ru_28*um28_A*1+u_hp_28*um28_A*1+u_amd_28*um28_A*1+u_tpu_28*um28_A*1+u_trn_28*um28_A*1+u_oth_28*um28_A*1</f>
        <v>26.5</v>
      </c>
      <c r="G15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54" customFormat="false" ht="17.15" hidden="false" customHeight="false" outlineLevel="0" collapsed="false">
      <c r="A154" s="0" t="s">
        <v>544</v>
      </c>
      <c r="B154" s="4" t="s">
        <v>28</v>
      </c>
      <c r="D154" s="16" t="n">
        <f aca="false">D145+D146+D147+D148</f>
        <v>8.25</v>
      </c>
      <c r="E154" s="16" t="n">
        <f aca="false">E145+E146+E147+E148</f>
        <v>13.5</v>
      </c>
      <c r="F154" s="16" t="n">
        <f aca="false">F145+F146+F147+F148</f>
        <v>15</v>
      </c>
      <c r="G154" s="16" t="n">
        <f aca="false">G145+G146+G147+G148</f>
        <v>16.925</v>
      </c>
    </row>
    <row r="155" customFormat="false" ht="17.15" hidden="false" customHeight="false" outlineLevel="0" collapsed="false">
      <c r="A155" s="0" t="s">
        <v>545</v>
      </c>
      <c r="B155" s="4" t="s">
        <v>28</v>
      </c>
      <c r="D155" s="16" t="n">
        <f aca="false">D149+D150+D151+D152</f>
        <v>1.582</v>
      </c>
      <c r="E155" s="16" t="n">
        <f aca="false">E149+E150+E151+E152</f>
        <v>2.68</v>
      </c>
      <c r="F155" s="16" t="n">
        <f aca="false">F149+F150+F151+F152</f>
        <v>3.29</v>
      </c>
      <c r="G155" s="16" t="n">
        <f aca="false">G149+G150+G151+G152</f>
        <v>3.7835</v>
      </c>
    </row>
    <row r="156" customFormat="false" ht="15" hidden="false" customHeight="false" outlineLevel="0" collapsed="false">
      <c r="A156" s="4" t="s">
        <v>546</v>
      </c>
      <c r="B156" s="4" t="s">
        <v>28</v>
      </c>
      <c r="D156" s="16" t="n">
        <f aca="false">D154+D155</f>
        <v>9.832</v>
      </c>
      <c r="E156" s="16" t="n">
        <f aca="false">E154+E155</f>
        <v>16.18</v>
      </c>
      <c r="F156" s="16" t="n">
        <f aca="false">F154+F155</f>
        <v>18.29</v>
      </c>
      <c r="G156" s="16" t="n">
        <f aca="false">G154+G155</f>
        <v>20.7085</v>
      </c>
    </row>
    <row r="157" customFormat="false" ht="17.15" hidden="false" customHeight="false" outlineLevel="0" collapsed="false">
      <c r="A157" s="0" t="s">
        <v>547</v>
      </c>
      <c r="B157" s="0" t="s">
        <v>239</v>
      </c>
      <c r="D157" s="21" t="n">
        <f aca="false">a26_rev*ai_26</f>
        <v>16.603774145</v>
      </c>
    </row>
    <row r="158" customFormat="false" ht="17.15" hidden="false" customHeight="false" outlineLevel="0" collapsed="false">
      <c r="A158" s="4" t="s">
        <v>548</v>
      </c>
      <c r="B158" s="0" t="s">
        <v>549</v>
      </c>
      <c r="D158" s="27" t="n">
        <f aca="false">D157/D156</f>
        <v>1.68874838740846</v>
      </c>
      <c r="H158" s="8" t="s">
        <v>550</v>
      </c>
    </row>
    <row r="159" customFormat="false" ht="17.15" hidden="false" customHeight="false" outlineLevel="0" collapsed="false">
      <c r="A159" s="4" t="s">
        <v>551</v>
      </c>
      <c r="B159" s="0" t="s">
        <v>131</v>
      </c>
      <c r="D159" s="16" t="n">
        <f aca="false">1</f>
        <v>1</v>
      </c>
      <c r="E159" s="16" t="n">
        <f aca="false">rel_27</f>
        <v>0.95</v>
      </c>
      <c r="F159" s="16" t="n">
        <f aca="false">rel_28</f>
        <v>0.92</v>
      </c>
      <c r="G159" s="16" t="n">
        <f aca="false">rel_29</f>
        <v>0.9</v>
      </c>
    </row>
    <row r="160" customFormat="false" ht="17.15" hidden="false" customHeight="false" outlineLevel="0" collapsed="false">
      <c r="A160" s="4" t="s">
        <v>552</v>
      </c>
      <c r="B160" s="0" t="s">
        <v>131</v>
      </c>
      <c r="D160" s="16" t="n">
        <f aca="false">1</f>
        <v>1</v>
      </c>
      <c r="E160" s="16" t="n">
        <f aca="false">pp_27</f>
        <v>0.98</v>
      </c>
      <c r="F160" s="16" t="n">
        <f aca="false">pp_28</f>
        <v>0.96</v>
      </c>
      <c r="G160" s="16" t="n">
        <f aca="false">pp_29</f>
        <v>0.95</v>
      </c>
    </row>
    <row r="161" customFormat="false" ht="17.15" hidden="false" customHeight="false" outlineLevel="0" collapsed="false">
      <c r="A161" s="0" t="s">
        <v>553</v>
      </c>
      <c r="B161" s="0" t="s">
        <v>239</v>
      </c>
      <c r="C161" s="21" t="n">
        <f aca="false">a25_rev*ai_25</f>
        <v>9.60674</v>
      </c>
      <c r="D161" s="21" t="n">
        <f aca="false">D157</f>
        <v>16.603774145</v>
      </c>
      <c r="E161" s="21" t="n">
        <f aca="false">$D$158*E156*E159*E160</f>
        <v>25.4385964335984</v>
      </c>
      <c r="F161" s="21" t="n">
        <f aca="false">$D$158*F156*F159*F160</f>
        <v>27.2795821106349</v>
      </c>
      <c r="G161" s="21" t="n">
        <f aca="false">$D$158*G156*G159*G160</f>
        <v>29.9005863134542</v>
      </c>
    </row>
    <row r="162" customFormat="false" ht="17.15" hidden="false" customHeight="false" outlineLevel="0" collapsed="false">
      <c r="A162" s="4" t="s">
        <v>554</v>
      </c>
      <c r="B162" s="0" t="s">
        <v>239</v>
      </c>
      <c r="C162" s="21" t="n">
        <f aca="false">a25_rev-C161</f>
        <v>25.32686</v>
      </c>
      <c r="D162" s="21" t="n">
        <f aca="false">a26_rev-D161</f>
        <v>30.835580555</v>
      </c>
      <c r="E162" s="21" t="n">
        <f aca="false">D162*(1+g_nai27)</f>
        <v>34.5358502216</v>
      </c>
      <c r="F162" s="21" t="n">
        <f aca="false">E162*(1+g_nai28)</f>
        <v>36.953359737112</v>
      </c>
      <c r="G162" s="21" t="n">
        <f aca="false">F162*(1+g_nai29)</f>
        <v>38.8010277239676</v>
      </c>
    </row>
    <row r="163" customFormat="false" ht="15" hidden="false" customHeight="false" outlineLevel="0" collapsed="false">
      <c r="A163" s="4" t="s">
        <v>414</v>
      </c>
      <c r="B163" s="0" t="s">
        <v>239</v>
      </c>
      <c r="C163" s="21" t="n">
        <f aca="false">C161+C162</f>
        <v>34.9336</v>
      </c>
      <c r="D163" s="21" t="n">
        <f aca="false">D161+D162</f>
        <v>47.4393547</v>
      </c>
      <c r="E163" s="21" t="n">
        <f aca="false">E161+E162</f>
        <v>59.9744466551984</v>
      </c>
      <c r="F163" s="21" t="n">
        <f aca="false">F161+F162</f>
        <v>64.2329418477469</v>
      </c>
      <c r="G163" s="21" t="n">
        <f aca="false">G161+G162</f>
        <v>68.7016140374218</v>
      </c>
    </row>
    <row r="164" customFormat="false" ht="15" hidden="false" customHeight="false" outlineLevel="0" collapsed="false">
      <c r="A164" s="4" t="s">
        <v>555</v>
      </c>
      <c r="B164" s="0" t="s">
        <v>41</v>
      </c>
      <c r="D164" s="14" t="n">
        <f aca="false">D163/C163-1</f>
        <v>0.357986428538713</v>
      </c>
      <c r="E164" s="14" t="n">
        <f aca="false">E163/D163-1</f>
        <v>0.264234031733116</v>
      </c>
      <c r="F164" s="14" t="n">
        <f aca="false">F163/E163-1</f>
        <v>0.0710051601981634</v>
      </c>
      <c r="G164" s="14" t="n">
        <f aca="false">G163/F163-1</f>
        <v>0.0695697886649356</v>
      </c>
    </row>
    <row r="165" customFormat="false" ht="17.15" hidden="false" customHeight="false" outlineLevel="0" collapsed="false">
      <c r="A165" s="0" t="s">
        <v>556</v>
      </c>
      <c r="B165" s="0" t="s">
        <v>41</v>
      </c>
      <c r="C165" s="14" t="n">
        <f aca="false">C161/C163</f>
        <v>0.275</v>
      </c>
      <c r="D165" s="14" t="n">
        <f aca="false">D161/D163</f>
        <v>0.35</v>
      </c>
      <c r="E165" s="14" t="n">
        <f aca="false">E161/E163</f>
        <v>0.424157251168126</v>
      </c>
      <c r="F165" s="14" t="n">
        <f aca="false">F161/F163</f>
        <v>0.42469769133876</v>
      </c>
      <c r="G165" s="14" t="n">
        <f aca="false">G161/G163</f>
        <v>0.435223927885702</v>
      </c>
    </row>
    <row r="166" customFormat="false" ht="17.15" hidden="false" customHeight="false" outlineLevel="0" collapsed="false">
      <c r="A166" s="0" t="s">
        <v>502</v>
      </c>
      <c r="B166" s="0" t="s">
        <v>41</v>
      </c>
      <c r="D166" s="14" t="n">
        <f aca="false">D154/D156</f>
        <v>0.839096826688365</v>
      </c>
      <c r="E166" s="14" t="n">
        <f aca="false">E154/E156</f>
        <v>0.834363411619283</v>
      </c>
      <c r="F166" s="14" t="n">
        <f aca="false">F154/F156</f>
        <v>0.820120284308365</v>
      </c>
      <c r="G166" s="14" t="n">
        <f aca="false">G154/G156</f>
        <v>0.817297245092595</v>
      </c>
    </row>
    <row r="167" customFormat="false" ht="17.15" hidden="false" customHeight="false" outlineLevel="0" collapsed="false">
      <c r="A167" s="4" t="s">
        <v>506</v>
      </c>
      <c r="B167" s="0" t="s">
        <v>507</v>
      </c>
      <c r="D167" s="22" t="n">
        <f aca="false">D161/D156/fx*1000</f>
        <v>52.7733871065144</v>
      </c>
      <c r="E167" s="22" t="n">
        <f aca="false">E161/E156/fx*1000</f>
        <v>49.1320233961649</v>
      </c>
      <c r="F167" s="22" t="n">
        <f aca="false">F161/F156/fx*1000</f>
        <v>46.6094554924736</v>
      </c>
      <c r="G167" s="22" t="n">
        <f aca="false">G161/G156/fx*1000</f>
        <v>45.1212459760698</v>
      </c>
      <c r="H167" s="4" t="s">
        <v>557</v>
      </c>
    </row>
    <row r="168" customFormat="false" ht="17.15" hidden="false" customHeight="false" outlineLevel="0" collapsed="false">
      <c r="A168" s="6" t="s">
        <v>558</v>
      </c>
    </row>
    <row r="169" customFormat="false" ht="17.15" hidden="false" customHeight="false" outlineLevel="0" collapsed="false">
      <c r="A169" s="0" t="s">
        <v>559</v>
      </c>
      <c r="B169" s="0" t="s">
        <v>131</v>
      </c>
      <c r="C169" s="16" t="n">
        <f aca="false">(a25_capex-m_cx*a25_rev)/(a25_rev-rev24)</f>
        <v>3.57284271254522</v>
      </c>
      <c r="H169" s="8" t="s">
        <v>560</v>
      </c>
    </row>
    <row r="170" customFormat="false" ht="17.15" hidden="false" customHeight="false" outlineLevel="0" collapsed="false">
      <c r="A170" s="4" t="s">
        <v>511</v>
      </c>
      <c r="B170" s="0" t="s">
        <v>239</v>
      </c>
      <c r="C170" s="21" t="n">
        <f aca="false">a25_capex</f>
        <v>32.3554</v>
      </c>
      <c r="D170" s="21" t="n">
        <f aca="false">capex_26</f>
        <v>42</v>
      </c>
      <c r="E170" s="21" t="n">
        <f aca="false">m_cx*E163+$C$169*MAX(0,E163-D163)</f>
        <v>50.7833566087345</v>
      </c>
      <c r="F170" s="21" t="n">
        <f aca="false">m_cx*F163+$C$169*MAX(0,F163-E163)</f>
        <v>21.6382276998807</v>
      </c>
      <c r="G170" s="21" t="n">
        <f aca="false">m_cx*G163+$C$169*MAX(0,G163-F163)</f>
        <v>22.8360242713754</v>
      </c>
      <c r="H170" s="8" t="s">
        <v>561</v>
      </c>
    </row>
    <row r="171" customFormat="false" ht="17.15" hidden="false" customHeight="false" outlineLevel="0" collapsed="false">
      <c r="A171" s="4" t="s">
        <v>562</v>
      </c>
      <c r="B171" s="0" t="s">
        <v>41</v>
      </c>
      <c r="C171" s="14" t="n">
        <f aca="false">C170/C163</f>
        <v>0.926197128266197</v>
      </c>
      <c r="D171" s="14" t="n">
        <f aca="false">D170/D163</f>
        <v>0.885340879225746</v>
      </c>
      <c r="E171" s="14" t="n">
        <f aca="false">E170/E163</f>
        <v>0.846749898347462</v>
      </c>
      <c r="F171" s="14" t="n">
        <f aca="false">F170/F163</f>
        <v>0.336871192217388</v>
      </c>
      <c r="G171" s="14" t="n">
        <f aca="false">G170/G163</f>
        <v>0.332394290750384</v>
      </c>
    </row>
    <row r="172" customFormat="false" ht="15" hidden="false" customHeight="false" outlineLevel="0" collapsed="false">
      <c r="A172" s="4" t="s">
        <v>563</v>
      </c>
      <c r="B172" s="0" t="s">
        <v>239</v>
      </c>
      <c r="C172" s="21" t="n">
        <f aca="false">a25_da</f>
        <v>7.5143841</v>
      </c>
      <c r="D172" s="21" t="n">
        <f aca="false">a26_da</f>
        <v>11.32770694</v>
      </c>
      <c r="E172" s="21" t="n">
        <f aca="false">D172*(1-ret)+dr*(D170+E170)/2</f>
        <v>15.8644062064804</v>
      </c>
      <c r="F172" s="21" t="n">
        <f aca="false">E172*(1-ret)+dr*(E170+F170)/2</f>
        <v>19.0543730331302</v>
      </c>
      <c r="G172" s="21" t="n">
        <f aca="false">F172*(1-ret)+dr*(F170+G170)/2</f>
        <v>20.5477382398928</v>
      </c>
    </row>
    <row r="173" customFormat="false" ht="17.15" hidden="false" customHeight="false" outlineLevel="0" collapsed="false">
      <c r="A173" s="4" t="s">
        <v>515</v>
      </c>
      <c r="B173" s="0" t="s">
        <v>41</v>
      </c>
      <c r="C173" s="14" t="n">
        <f aca="false">C172/C163</f>
        <v>0.215104773055168</v>
      </c>
      <c r="D173" s="14" t="n">
        <f aca="false">D172/D163</f>
        <v>0.238782905282647</v>
      </c>
      <c r="E173" s="14" t="n">
        <f aca="false">E172/E163</f>
        <v>0.264519426043013</v>
      </c>
      <c r="F173" s="14" t="n">
        <f aca="false">F172/F163</f>
        <v>0.296644875433159</v>
      </c>
      <c r="G173" s="14" t="n">
        <f aca="false">G172/G163</f>
        <v>0.299086688541268</v>
      </c>
    </row>
    <row r="174" customFormat="false" ht="17.15" hidden="false" customHeight="false" outlineLevel="0" collapsed="false">
      <c r="A174" s="4" t="s">
        <v>564</v>
      </c>
      <c r="B174" s="0" t="s">
        <v>239</v>
      </c>
      <c r="D174" s="16" t="n">
        <f aca="false">C172*(1-ret)+dr*(C170+D170)/2-D172</f>
        <v>-0.0994950449999994</v>
      </c>
      <c r="H174" s="4" t="s">
        <v>565</v>
      </c>
    </row>
    <row r="175" customFormat="false" ht="17.15" hidden="false" customHeight="false" outlineLevel="0" collapsed="false">
      <c r="A175" s="6" t="s">
        <v>566</v>
      </c>
    </row>
    <row r="176" customFormat="false" ht="17.15" hidden="false" customHeight="false" outlineLevel="0" collapsed="false">
      <c r="A176" s="4" t="s">
        <v>567</v>
      </c>
      <c r="B176" s="0" t="s">
        <v>239</v>
      </c>
      <c r="D176" s="21" t="n">
        <f aca="false">a26_cc-v_cc*a26_rev</f>
        <v>7.9821937335</v>
      </c>
      <c r="H176" s="8" t="s">
        <v>568</v>
      </c>
    </row>
    <row r="177" customFormat="false" ht="17.15" hidden="false" customHeight="false" outlineLevel="0" collapsed="false">
      <c r="A177" s="4" t="s">
        <v>569</v>
      </c>
      <c r="B177" s="0" t="s">
        <v>239</v>
      </c>
      <c r="C177" s="21" t="n">
        <f aca="false">a25_cc</f>
        <v>14.8984</v>
      </c>
      <c r="D177" s="21" t="n">
        <f aca="false">a26_cc</f>
        <v>17.4700646735</v>
      </c>
      <c r="E177" s="21" t="n">
        <f aca="false">$D$176+v_cc*(E161/E160+E162)</f>
        <v>20.0809140703911</v>
      </c>
      <c r="F177" s="21" t="n">
        <f aca="false">$D$176+v_cc*(F161/F160+F162)</f>
        <v>21.0561119539713</v>
      </c>
      <c r="G177" s="21" t="n">
        <f aca="false">$D$176+v_cc*(G161/G160+G162)</f>
        <v>22.0372595548102</v>
      </c>
      <c r="H177" s="4" t="s">
        <v>570</v>
      </c>
    </row>
    <row r="178" customFormat="false" ht="15" hidden="false" customHeight="false" outlineLevel="0" collapsed="false">
      <c r="A178" s="4" t="s">
        <v>571</v>
      </c>
      <c r="B178" s="0" t="s">
        <v>239</v>
      </c>
      <c r="C178" s="21" t="n">
        <f aca="false">C163-C177-C172</f>
        <v>12.5208159</v>
      </c>
      <c r="D178" s="21" t="n">
        <f aca="false">D163-D177-D172</f>
        <v>18.6415830865</v>
      </c>
      <c r="E178" s="21" t="n">
        <f aca="false">E163-E177-E172</f>
        <v>24.0291263783269</v>
      </c>
      <c r="F178" s="21" t="n">
        <f aca="false">F163-F177-F172</f>
        <v>24.1224568606454</v>
      </c>
      <c r="G178" s="21" t="n">
        <f aca="false">G163-G177-G172</f>
        <v>26.1166162427188</v>
      </c>
    </row>
    <row r="179" customFormat="false" ht="15" hidden="false" customHeight="false" outlineLevel="0" collapsed="false">
      <c r="A179" s="4" t="s">
        <v>421</v>
      </c>
      <c r="B179" s="0" t="s">
        <v>41</v>
      </c>
      <c r="C179" s="14" t="n">
        <f aca="false">C178/C163</f>
        <v>0.358417566468958</v>
      </c>
      <c r="D179" s="14" t="n">
        <f aca="false">D178/D163</f>
        <v>0.392956084760993</v>
      </c>
      <c r="E179" s="14" t="n">
        <f aca="false">E178/E163</f>
        <v>0.400656074685836</v>
      </c>
      <c r="F179" s="14" t="n">
        <f aca="false">F178/F163</f>
        <v>0.375546505682761</v>
      </c>
      <c r="G179" s="14" t="n">
        <f aca="false">G178/G163</f>
        <v>0.380145599323083</v>
      </c>
    </row>
    <row r="180" customFormat="false" ht="15" hidden="false" customHeight="false" outlineLevel="0" collapsed="false">
      <c r="A180" s="4" t="s">
        <v>572</v>
      </c>
      <c r="B180" s="0" t="s">
        <v>239</v>
      </c>
      <c r="C180" s="21" t="n">
        <f aca="false">a25_opx</f>
        <v>3.5197</v>
      </c>
      <c r="D180" s="21" t="n">
        <f aca="false">a26_opx</f>
        <v>6.1141318375</v>
      </c>
      <c r="E180" s="21" t="n">
        <f aca="false">D180*(1+MAX(0,phi*E164))</f>
        <v>7.08346886108226</v>
      </c>
      <c r="F180" s="21" t="n">
        <f aca="false">E180*(1+MAX(0,phi*F164))</f>
        <v>7.38524656582617</v>
      </c>
      <c r="G180" s="21" t="n">
        <f aca="false">F180*(1+MAX(0,phi*G164))</f>
        <v>7.69352059151995</v>
      </c>
    </row>
    <row r="181" customFormat="false" ht="15" hidden="false" customHeight="false" outlineLevel="0" collapsed="false">
      <c r="A181" s="4" t="s">
        <v>573</v>
      </c>
      <c r="B181" s="0" t="s">
        <v>239</v>
      </c>
      <c r="C181" s="21" t="n">
        <f aca="false">C180</f>
        <v>3.5197</v>
      </c>
      <c r="D181" s="21" t="n">
        <f aca="false">D180</f>
        <v>6.1141318375</v>
      </c>
      <c r="E181" s="21" t="n">
        <f aca="false">E180+0*E163</f>
        <v>7.08346886108226</v>
      </c>
      <c r="F181" s="21" t="n">
        <f aca="false">F180+0*F163</f>
        <v>7.38524656582617</v>
      </c>
      <c r="G181" s="21" t="n">
        <f aca="false">G180+0*G163</f>
        <v>7.69352059151995</v>
      </c>
    </row>
    <row r="182" customFormat="false" ht="15" hidden="false" customHeight="false" outlineLevel="0" collapsed="false">
      <c r="A182" s="4" t="s">
        <v>430</v>
      </c>
      <c r="B182" s="0" t="s">
        <v>239</v>
      </c>
      <c r="C182" s="21" t="n">
        <f aca="false">C178-C181</f>
        <v>9.0011159</v>
      </c>
      <c r="D182" s="21" t="n">
        <f aca="false">D178-D181</f>
        <v>12.527451249</v>
      </c>
      <c r="E182" s="21" t="n">
        <f aca="false">E178-E181</f>
        <v>16.9456575172446</v>
      </c>
      <c r="F182" s="21" t="n">
        <f aca="false">F178-F181</f>
        <v>16.7372102948192</v>
      </c>
      <c r="G182" s="21" t="n">
        <f aca="false">G178-G181</f>
        <v>18.4230956511989</v>
      </c>
    </row>
    <row r="183" customFormat="false" ht="15" hidden="false" customHeight="false" outlineLevel="0" collapsed="false">
      <c r="A183" s="4" t="s">
        <v>432</v>
      </c>
      <c r="B183" s="0" t="s">
        <v>41</v>
      </c>
      <c r="C183" s="14" t="n">
        <f aca="false">C182/C163</f>
        <v>0.25766356459111</v>
      </c>
      <c r="D183" s="14" t="n">
        <f aca="false">D182/D163</f>
        <v>0.264072969124936</v>
      </c>
      <c r="E183" s="14" t="n">
        <f aca="false">E182/E163</f>
        <v>0.282547959377893</v>
      </c>
      <c r="F183" s="14" t="n">
        <f aca="false">F182/F163</f>
        <v>0.260570508112362</v>
      </c>
      <c r="G183" s="14" t="n">
        <f aca="false">G182/G163</f>
        <v>0.268161030993592</v>
      </c>
    </row>
    <row r="184" customFormat="false" ht="17.15" hidden="false" customHeight="false" outlineLevel="0" collapsed="false">
      <c r="A184" s="0" t="s">
        <v>574</v>
      </c>
      <c r="B184" s="0" t="s">
        <v>239</v>
      </c>
      <c r="C184" s="21" t="n">
        <f aca="false">C182+C172</f>
        <v>16.5155</v>
      </c>
      <c r="D184" s="21" t="n">
        <f aca="false">D182+D172</f>
        <v>23.855158189</v>
      </c>
      <c r="E184" s="21" t="n">
        <f aca="false">E182+E172</f>
        <v>32.810063723725</v>
      </c>
      <c r="F184" s="21" t="n">
        <f aca="false">F182+F172</f>
        <v>35.7915833279494</v>
      </c>
      <c r="G184" s="21" t="n">
        <f aca="false">G182+G172</f>
        <v>38.9708338910916</v>
      </c>
    </row>
    <row r="185" customFormat="false" ht="17.15" hidden="false" customHeight="false" outlineLevel="0" collapsed="false">
      <c r="A185" s="0" t="s">
        <v>575</v>
      </c>
      <c r="B185" s="0" t="s">
        <v>239</v>
      </c>
      <c r="C185" s="21" t="n">
        <f aca="false">C184-C170</f>
        <v>-15.8399</v>
      </c>
      <c r="D185" s="21" t="n">
        <f aca="false">D184-D170</f>
        <v>-18.144841811</v>
      </c>
      <c r="E185" s="21" t="n">
        <f aca="false">E184-E170</f>
        <v>-17.9732928850095</v>
      </c>
      <c r="F185" s="21" t="n">
        <f aca="false">F184-F170</f>
        <v>14.1533556280688</v>
      </c>
      <c r="G185" s="21" t="n">
        <f aca="false">G184-G170</f>
        <v>16.1348096197162</v>
      </c>
    </row>
    <row r="186" customFormat="false" ht="17.15" hidden="false" customHeight="false" outlineLevel="0" collapsed="false">
      <c r="A186" s="4" t="s">
        <v>433</v>
      </c>
      <c r="B186" s="0" t="s">
        <v>239</v>
      </c>
      <c r="C186" s="21" t="n">
        <f aca="false">a25_ni</f>
        <v>11.015</v>
      </c>
      <c r="D186" s="21" t="n">
        <f aca="false">a26_ni</f>
        <v>10.66608446065</v>
      </c>
      <c r="E186" s="21" t="n">
        <f aca="false">E182*nir_f</f>
        <v>14.2343523144855</v>
      </c>
      <c r="F186" s="21" t="n">
        <f aca="false">F182*nir_f</f>
        <v>14.0592566476481</v>
      </c>
      <c r="G186" s="21" t="n">
        <f aca="false">G182*nir_f</f>
        <v>15.475400347007</v>
      </c>
      <c r="H186" s="8" t="s">
        <v>438</v>
      </c>
    </row>
    <row r="187" customFormat="false" ht="17.15" hidden="false" customHeight="false" outlineLevel="0" collapsed="false">
      <c r="A187" s="4" t="s">
        <v>437</v>
      </c>
      <c r="B187" s="0" t="s">
        <v>41</v>
      </c>
      <c r="C187" s="14" t="n">
        <f aca="false">C186/C182</f>
        <v>1.22373715907824</v>
      </c>
      <c r="D187" s="14" t="n">
        <f aca="false">D186/D182</f>
        <v>0.851416960133963</v>
      </c>
      <c r="E187" s="14" t="n">
        <f aca="false">E186/E182</f>
        <v>0.84</v>
      </c>
      <c r="F187" s="14" t="n">
        <f aca="false">F186/F182</f>
        <v>0.84</v>
      </c>
      <c r="G187" s="14" t="n">
        <f aca="false">G186/G182</f>
        <v>0.84</v>
      </c>
    </row>
    <row r="188" customFormat="false" ht="15" hidden="false" customHeight="false" outlineLevel="0" collapsed="false">
      <c r="A188" s="4" t="s">
        <v>576</v>
      </c>
      <c r="B188" s="4" t="s">
        <v>294</v>
      </c>
      <c r="C188" s="27" t="n">
        <f aca="false">a25_sh</f>
        <v>1.22253052164262</v>
      </c>
      <c r="D188" s="27" t="n">
        <f aca="false">a26_sh</f>
        <v>1.28264705882353</v>
      </c>
      <c r="E188" s="27" t="n">
        <f aca="false">D188*(1+sh_g)</f>
        <v>1.28264705882353</v>
      </c>
      <c r="F188" s="27" t="n">
        <f aca="false">E188*(1+sh_g)</f>
        <v>1.28264705882353</v>
      </c>
      <c r="G188" s="27" t="n">
        <f aca="false">F188*(1+sh_g)</f>
        <v>1.28264705882353</v>
      </c>
    </row>
    <row r="189" customFormat="false" ht="15" hidden="false" customHeight="false" outlineLevel="0" collapsed="false">
      <c r="A189" s="0" t="s">
        <v>442</v>
      </c>
      <c r="B189" s="0" t="s">
        <v>315</v>
      </c>
      <c r="C189" s="21" t="n">
        <f aca="false">C186/C188</f>
        <v>9.01</v>
      </c>
      <c r="D189" s="21" t="n">
        <f aca="false">D186/D188</f>
        <v>8.31568153318276</v>
      </c>
      <c r="E189" s="21" t="n">
        <f aca="false">E186/E188</f>
        <v>11.0976376677942</v>
      </c>
      <c r="F189" s="21" t="n">
        <f aca="false">F186/F188</f>
        <v>10.9611264852106</v>
      </c>
      <c r="G189" s="21" t="n">
        <f aca="false">G186/G188</f>
        <v>12.0652054986984</v>
      </c>
    </row>
    <row r="190" customFormat="false" ht="17.15" hidden="false" customHeight="false" outlineLevel="0" collapsed="false">
      <c r="A190" s="0" t="s">
        <v>577</v>
      </c>
      <c r="B190" s="0" t="s">
        <v>41</v>
      </c>
      <c r="D190" s="14" t="n">
        <f aca="false">D189/C189-1</f>
        <v>-0.0770608731206708</v>
      </c>
      <c r="E190" s="14" t="n">
        <f aca="false">E189/D189-1</f>
        <v>0.334543371281162</v>
      </c>
      <c r="F190" s="14" t="n">
        <f aca="false">F189/E189-1</f>
        <v>-0.0123009226530916</v>
      </c>
      <c r="G190" s="14" t="n">
        <f aca="false">G189/F189-1</f>
        <v>0.100726783417515</v>
      </c>
      <c r="H190" s="8" t="s">
        <v>578</v>
      </c>
    </row>
    <row r="193" customFormat="false" ht="17.15" hidden="false" customHeight="false" outlineLevel="0" collapsed="false">
      <c r="A193" s="1" t="s">
        <v>866</v>
      </c>
    </row>
    <row r="194" customFormat="false" ht="17.15" hidden="false" customHeight="false" outlineLevel="0" collapsed="false">
      <c r="A194" s="5" t="s">
        <v>17</v>
      </c>
      <c r="B194" s="5" t="s">
        <v>18</v>
      </c>
      <c r="C194" s="12" t="s">
        <v>409</v>
      </c>
      <c r="D194" s="12" t="s">
        <v>520</v>
      </c>
      <c r="E194" s="12" t="s">
        <v>521</v>
      </c>
      <c r="F194" s="12" t="s">
        <v>522</v>
      </c>
      <c r="G194" s="12" t="s">
        <v>523</v>
      </c>
      <c r="H194" s="5" t="s">
        <v>488</v>
      </c>
    </row>
    <row r="195" customFormat="false" ht="17.15" hidden="false" customHeight="false" outlineLevel="0" collapsed="false">
      <c r="A195" s="6" t="s">
        <v>543</v>
      </c>
    </row>
    <row r="196" customFormat="false" ht="17.15" hidden="false" customHeight="false" outlineLevel="0" collapsed="false">
      <c r="A196" s="0" t="s">
        <v>491</v>
      </c>
      <c r="B196" s="4" t="s">
        <v>28</v>
      </c>
      <c r="D196" s="16" t="n">
        <f aca="false">u_bw_26*tt_bw</f>
        <v>5.4</v>
      </c>
      <c r="E196" s="16" t="n">
        <f aca="false">u_bw_27*1*tt_bw</f>
        <v>2.4</v>
      </c>
      <c r="F196" s="16" t="n">
        <f aca="false">u_bw_28*um28_A*1*tt_bw</f>
        <v>0.5</v>
      </c>
      <c r="G196" s="16" t="n">
        <f aca="false">u_bw_28*(1+g29_bw)*um29_A*1*tt_bw</f>
        <v>0.25</v>
      </c>
    </row>
    <row r="197" customFormat="false" ht="17.15" hidden="false" customHeight="false" outlineLevel="0" collapsed="false">
      <c r="A197" s="0" t="s">
        <v>493</v>
      </c>
      <c r="B197" s="4" t="s">
        <v>28</v>
      </c>
      <c r="D197" s="16" t="n">
        <f aca="false">u_rb_26*tt_rb</f>
        <v>2.55</v>
      </c>
      <c r="E197" s="16" t="n">
        <f aca="false">u_rb_27*1*tt_rb</f>
        <v>10.5</v>
      </c>
      <c r="F197" s="16" t="n">
        <f aca="false">u_rb_28*um28_A*1*tt_rb</f>
        <v>10.5</v>
      </c>
      <c r="G197" s="16" t="n">
        <f aca="false">u_rb_28*(1+g29_rb)*um29_A*1*tt_rb</f>
        <v>12.075</v>
      </c>
    </row>
    <row r="198" customFormat="false" ht="17.15" hidden="false" customHeight="false" outlineLevel="0" collapsed="false">
      <c r="A198" s="0" t="s">
        <v>494</v>
      </c>
      <c r="B198" s="4" t="s">
        <v>28</v>
      </c>
      <c r="D198" s="16" t="n">
        <f aca="false">u_ru_26*tt_ru</f>
        <v>0</v>
      </c>
      <c r="E198" s="16" t="n">
        <f aca="false">u_ru_27*1*tt_ru</f>
        <v>0.6</v>
      </c>
      <c r="F198" s="16" t="n">
        <f aca="false">u_ru_28*um28_A*1*tt_ru</f>
        <v>4</v>
      </c>
      <c r="G198" s="16" t="n">
        <f aca="false">u_ru_28*(1+g29_ru)*um29_A*1*tt_ru</f>
        <v>4.6</v>
      </c>
    </row>
    <row r="199" customFormat="false" ht="17.15" hidden="false" customHeight="false" outlineLevel="0" collapsed="false">
      <c r="A199" s="0" t="s">
        <v>495</v>
      </c>
      <c r="B199" s="4" t="s">
        <v>28</v>
      </c>
      <c r="D199" s="16" t="n">
        <f aca="false">u_hp_26*tt_hp</f>
        <v>0.3</v>
      </c>
      <c r="E199" s="16" t="n">
        <f aca="false">u_hp_27*1*tt_hp</f>
        <v>0</v>
      </c>
      <c r="F199" s="16" t="n">
        <f aca="false">u_hp_28*um28_A*1*tt_hp</f>
        <v>0</v>
      </c>
      <c r="G199" s="16" t="n">
        <f aca="false">u_hp_28*(1+g29_hp)*um29_A*1*tt_hp</f>
        <v>0</v>
      </c>
    </row>
    <row r="200" customFormat="false" ht="17.15" hidden="false" customHeight="false" outlineLevel="0" collapsed="false">
      <c r="A200" s="0" t="s">
        <v>496</v>
      </c>
      <c r="B200" s="4" t="s">
        <v>28</v>
      </c>
      <c r="D200" s="16" t="n">
        <f aca="false">u_amd_26*tt_amd*ex_amd_hi</f>
        <v>0.33</v>
      </c>
      <c r="E200" s="16" t="n">
        <f aca="false">u_amd_27*1*tt_amd*ex_amd_hi</f>
        <v>0.66</v>
      </c>
      <c r="F200" s="16" t="n">
        <f aca="false">u_amd_28*um28_A*1*tt_amd*ex_amd_hi</f>
        <v>0.88</v>
      </c>
      <c r="G200" s="16" t="n">
        <f aca="false">u_amd_28*(1+g29_amd)*um29_A*1*tt_amd*ex_amd_hi</f>
        <v>1.012</v>
      </c>
    </row>
    <row r="201" customFormat="false" ht="17.15" hidden="false" customHeight="false" outlineLevel="0" collapsed="false">
      <c r="A201" s="0" t="s">
        <v>498</v>
      </c>
      <c r="B201" s="4" t="s">
        <v>28</v>
      </c>
      <c r="D201" s="16" t="n">
        <f aca="false">u_tpu_26*tt_tpu*ex_tpu_hi</f>
        <v>2.4255</v>
      </c>
      <c r="E201" s="16" t="n">
        <f aca="false">u_tpu_27*1*tt_tpu*ex_tpu_hi</f>
        <v>3.465</v>
      </c>
      <c r="F201" s="16" t="n">
        <f aca="false">u_tpu_28*um28_A*1*tt_tpu*ex_tpu_hi</f>
        <v>4.41</v>
      </c>
      <c r="G201" s="16" t="n">
        <f aca="false">u_tpu_28*(1+g29_tpu)*um29_A*1*tt_tpu*ex_tpu_hi</f>
        <v>5.0715</v>
      </c>
    </row>
    <row r="202" customFormat="false" ht="17.15" hidden="false" customHeight="false" outlineLevel="0" collapsed="false">
      <c r="A202" s="0" t="s">
        <v>499</v>
      </c>
      <c r="B202" s="4" t="s">
        <v>28</v>
      </c>
      <c r="D202" s="16" t="n">
        <f aca="false">u_trn_26*tt_trn*ex_trn_hi</f>
        <v>0.96</v>
      </c>
      <c r="E202" s="16" t="n">
        <f aca="false">u_trn_27*1*tt_trn*ex_trn_hi</f>
        <v>1.2</v>
      </c>
      <c r="F202" s="16" t="n">
        <f aca="false">u_trn_28*um28_A*1*tt_trn*ex_trn_hi</f>
        <v>1.44</v>
      </c>
      <c r="G202" s="16" t="n">
        <f aca="false">u_trn_28*(1+g29_trn)*um29_A*1*tt_trn*ex_trn_hi</f>
        <v>1.656</v>
      </c>
    </row>
    <row r="203" customFormat="false" ht="17.15" hidden="false" customHeight="false" outlineLevel="0" collapsed="false">
      <c r="A203" s="4" t="s">
        <v>500</v>
      </c>
      <c r="B203" s="4" t="s">
        <v>28</v>
      </c>
      <c r="D203" s="16" t="n">
        <f aca="false">u_oth_26*tt_oth*ex_oth_hi</f>
        <v>0.42</v>
      </c>
      <c r="E203" s="16" t="n">
        <f aca="false">u_oth_27*1*tt_oth*ex_oth_hi</f>
        <v>1.89</v>
      </c>
      <c r="F203" s="16" t="n">
        <f aca="false">u_oth_28*um28_A*1*tt_oth*ex_oth_hi</f>
        <v>2.1</v>
      </c>
      <c r="G203" s="16" t="n">
        <f aca="false">u_oth_28*(1+g29_oth)*um29_A*1*tt_oth*ex_oth_hi</f>
        <v>2.415</v>
      </c>
    </row>
    <row r="204" customFormat="false" ht="15" hidden="false" customHeight="false" outlineLevel="0" collapsed="false">
      <c r="A204" s="4" t="s">
        <v>489</v>
      </c>
      <c r="B204" s="4" t="s">
        <v>28</v>
      </c>
      <c r="D204" s="16" t="n">
        <f aca="false">u_bw_26+u_rb_26+u_ru_26+u_hp_26+u_amd_26+u_tpu_26+u_trn_26+u_oth_26</f>
        <v>15.2</v>
      </c>
      <c r="E204" s="16" t="n">
        <f aca="false">u_bw_27*1+u_rb_27*1+u_ru_27*1+u_hp_27*1+u_amd_27*1+u_tpu_27*1+u_trn_27*1+u_oth_27*1</f>
        <v>23.7</v>
      </c>
      <c r="F204" s="16" t="n">
        <f aca="false">u_bw_28*um28_A*1+u_rb_28*um28_A*1+u_ru_28*um28_A*1+u_hp_28*um28_A*1+u_amd_28*um28_A*1+u_tpu_28*um28_A*1+u_trn_28*um28_A*1+u_oth_28*um28_A*1</f>
        <v>26.5</v>
      </c>
      <c r="G20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05" customFormat="false" ht="17.15" hidden="false" customHeight="false" outlineLevel="0" collapsed="false">
      <c r="A205" s="0" t="s">
        <v>544</v>
      </c>
      <c r="B205" s="4" t="s">
        <v>28</v>
      </c>
      <c r="D205" s="16" t="n">
        <f aca="false">D196+D197+D198+D199</f>
        <v>8.25</v>
      </c>
      <c r="E205" s="16" t="n">
        <f aca="false">E196+E197+E198+E199</f>
        <v>13.5</v>
      </c>
      <c r="F205" s="16" t="n">
        <f aca="false">F196+F197+F198+F199</f>
        <v>15</v>
      </c>
      <c r="G205" s="16" t="n">
        <f aca="false">G196+G197+G198+G199</f>
        <v>16.925</v>
      </c>
    </row>
    <row r="206" customFormat="false" ht="17.15" hidden="false" customHeight="false" outlineLevel="0" collapsed="false">
      <c r="A206" s="0" t="s">
        <v>545</v>
      </c>
      <c r="B206" s="4" t="s">
        <v>28</v>
      </c>
      <c r="D206" s="16" t="n">
        <f aca="false">D200+D201+D202+D203</f>
        <v>4.1355</v>
      </c>
      <c r="E206" s="16" t="n">
        <f aca="false">E200+E201+E202+E203</f>
        <v>7.215</v>
      </c>
      <c r="F206" s="16" t="n">
        <f aca="false">F200+F201+F202+F203</f>
        <v>8.83</v>
      </c>
      <c r="G206" s="16" t="n">
        <f aca="false">G200+G201+G202+G203</f>
        <v>10.1545</v>
      </c>
    </row>
    <row r="207" customFormat="false" ht="15" hidden="false" customHeight="false" outlineLevel="0" collapsed="false">
      <c r="A207" s="4" t="s">
        <v>546</v>
      </c>
      <c r="B207" s="4" t="s">
        <v>28</v>
      </c>
      <c r="D207" s="16" t="n">
        <f aca="false">D205+D206</f>
        <v>12.3855</v>
      </c>
      <c r="E207" s="16" t="n">
        <f aca="false">E205+E206</f>
        <v>20.715</v>
      </c>
      <c r="F207" s="16" t="n">
        <f aca="false">F205+F206</f>
        <v>23.83</v>
      </c>
      <c r="G207" s="16" t="n">
        <f aca="false">G205+G206</f>
        <v>27.0795</v>
      </c>
    </row>
    <row r="208" customFormat="false" ht="17.15" hidden="false" customHeight="false" outlineLevel="0" collapsed="false">
      <c r="A208" s="0" t="s">
        <v>547</v>
      </c>
      <c r="B208" s="0" t="s">
        <v>239</v>
      </c>
      <c r="D208" s="21" t="n">
        <f aca="false">a26_rev*ai_26</f>
        <v>16.603774145</v>
      </c>
    </row>
    <row r="209" customFormat="false" ht="17.15" hidden="false" customHeight="false" outlineLevel="0" collapsed="false">
      <c r="A209" s="4" t="s">
        <v>548</v>
      </c>
      <c r="B209" s="0" t="s">
        <v>549</v>
      </c>
      <c r="D209" s="27" t="n">
        <f aca="false">D208/D207</f>
        <v>1.34058165960195</v>
      </c>
      <c r="H209" s="8" t="s">
        <v>550</v>
      </c>
    </row>
    <row r="210" customFormat="false" ht="17.15" hidden="false" customHeight="false" outlineLevel="0" collapsed="false">
      <c r="A210" s="4" t="s">
        <v>551</v>
      </c>
      <c r="B210" s="0" t="s">
        <v>131</v>
      </c>
      <c r="D210" s="16" t="n">
        <f aca="false">1</f>
        <v>1</v>
      </c>
      <c r="E210" s="16" t="n">
        <f aca="false">rel_27</f>
        <v>0.95</v>
      </c>
      <c r="F210" s="16" t="n">
        <f aca="false">rel_28</f>
        <v>0.92</v>
      </c>
      <c r="G210" s="16" t="n">
        <f aca="false">rel_29</f>
        <v>0.9</v>
      </c>
    </row>
    <row r="211" customFormat="false" ht="17.15" hidden="false" customHeight="false" outlineLevel="0" collapsed="false">
      <c r="A211" s="4" t="s">
        <v>552</v>
      </c>
      <c r="B211" s="0" t="s">
        <v>131</v>
      </c>
      <c r="D211" s="16" t="n">
        <f aca="false">1</f>
        <v>1</v>
      </c>
      <c r="E211" s="16" t="n">
        <f aca="false">pp_27</f>
        <v>0.98</v>
      </c>
      <c r="F211" s="16" t="n">
        <f aca="false">pp_28</f>
        <v>0.96</v>
      </c>
      <c r="G211" s="16" t="n">
        <f aca="false">pp_29</f>
        <v>0.95</v>
      </c>
    </row>
    <row r="212" customFormat="false" ht="17.15" hidden="false" customHeight="false" outlineLevel="0" collapsed="false">
      <c r="A212" s="0" t="s">
        <v>553</v>
      </c>
      <c r="B212" s="0" t="s">
        <v>239</v>
      </c>
      <c r="C212" s="21" t="n">
        <f aca="false">a25_rev*ai_25</f>
        <v>9.60674</v>
      </c>
      <c r="D212" s="21" t="n">
        <f aca="false">D208</f>
        <v>16.603774145</v>
      </c>
      <c r="E212" s="21" t="n">
        <f aca="false">$D$209*E207*E210*E211</f>
        <v>25.8540087922273</v>
      </c>
      <c r="F212" s="21" t="n">
        <f aca="false">$D$209*F207*F210*F211</f>
        <v>28.2147610295514</v>
      </c>
      <c r="G212" s="21" t="n">
        <f aca="false">$D$209*G207*G210*G211</f>
        <v>31.0384502987684</v>
      </c>
    </row>
    <row r="213" customFormat="false" ht="17.15" hidden="false" customHeight="false" outlineLevel="0" collapsed="false">
      <c r="A213" s="4" t="s">
        <v>554</v>
      </c>
      <c r="B213" s="0" t="s">
        <v>239</v>
      </c>
      <c r="C213" s="21" t="n">
        <f aca="false">a25_rev-C212</f>
        <v>25.32686</v>
      </c>
      <c r="D213" s="21" t="n">
        <f aca="false">a26_rev-D212</f>
        <v>30.835580555</v>
      </c>
      <c r="E213" s="21" t="n">
        <f aca="false">D213*(1+g_nai27)</f>
        <v>34.5358502216</v>
      </c>
      <c r="F213" s="21" t="n">
        <f aca="false">E213*(1+g_nai28)</f>
        <v>36.953359737112</v>
      </c>
      <c r="G213" s="21" t="n">
        <f aca="false">F213*(1+g_nai29)</f>
        <v>38.8010277239676</v>
      </c>
    </row>
    <row r="214" customFormat="false" ht="15" hidden="false" customHeight="false" outlineLevel="0" collapsed="false">
      <c r="A214" s="4" t="s">
        <v>414</v>
      </c>
      <c r="B214" s="0" t="s">
        <v>239</v>
      </c>
      <c r="C214" s="21" t="n">
        <f aca="false">C212+C213</f>
        <v>34.9336</v>
      </c>
      <c r="D214" s="21" t="n">
        <f aca="false">D212+D213</f>
        <v>47.4393547</v>
      </c>
      <c r="E214" s="21" t="n">
        <f aca="false">E212+E213</f>
        <v>60.3898590138273</v>
      </c>
      <c r="F214" s="21" t="n">
        <f aca="false">F212+F213</f>
        <v>65.1681207666634</v>
      </c>
      <c r="G214" s="21" t="n">
        <f aca="false">G212+G213</f>
        <v>69.839478022736</v>
      </c>
    </row>
    <row r="215" customFormat="false" ht="15" hidden="false" customHeight="false" outlineLevel="0" collapsed="false">
      <c r="A215" s="4" t="s">
        <v>555</v>
      </c>
      <c r="B215" s="0" t="s">
        <v>41</v>
      </c>
      <c r="D215" s="14" t="n">
        <f aca="false">D214/C214-1</f>
        <v>0.357986428538713</v>
      </c>
      <c r="E215" s="14" t="n">
        <f aca="false">E214/D214-1</f>
        <v>0.272990735133826</v>
      </c>
      <c r="F215" s="14" t="n">
        <f aca="false">F214/E214-1</f>
        <v>0.0791235785422524</v>
      </c>
      <c r="G215" s="14" t="n">
        <f aca="false">G214/F214-1</f>
        <v>0.0716816320789506</v>
      </c>
    </row>
    <row r="216" customFormat="false" ht="17.15" hidden="false" customHeight="false" outlineLevel="0" collapsed="false">
      <c r="A216" s="0" t="s">
        <v>556</v>
      </c>
      <c r="B216" s="0" t="s">
        <v>41</v>
      </c>
      <c r="C216" s="14" t="n">
        <f aca="false">C212/C214</f>
        <v>0.275</v>
      </c>
      <c r="D216" s="14" t="n">
        <f aca="false">D212/D214</f>
        <v>0.35</v>
      </c>
      <c r="E216" s="14" t="n">
        <f aca="false">E212/E214</f>
        <v>0.428118383026984</v>
      </c>
      <c r="F216" s="14" t="n">
        <f aca="false">F212/F214</f>
        <v>0.432953424122437</v>
      </c>
      <c r="G216" s="14" t="n">
        <f aca="false">G212/G214</f>
        <v>0.444425576729882</v>
      </c>
    </row>
    <row r="217" customFormat="false" ht="17.15" hidden="false" customHeight="false" outlineLevel="0" collapsed="false">
      <c r="A217" s="0" t="s">
        <v>502</v>
      </c>
      <c r="B217" s="0" t="s">
        <v>41</v>
      </c>
      <c r="D217" s="14" t="n">
        <f aca="false">D205/D207</f>
        <v>0.66610148964515</v>
      </c>
      <c r="E217" s="14" t="n">
        <f aca="false">E205/E207</f>
        <v>0.651701665459812</v>
      </c>
      <c r="F217" s="14" t="n">
        <f aca="false">F205/F207</f>
        <v>0.629458665547629</v>
      </c>
      <c r="G217" s="14" t="n">
        <f aca="false">G205/G207</f>
        <v>0.625011540094906</v>
      </c>
    </row>
    <row r="218" customFormat="false" ht="17.15" hidden="false" customHeight="false" outlineLevel="0" collapsed="false">
      <c r="A218" s="4" t="s">
        <v>506</v>
      </c>
      <c r="B218" s="0" t="s">
        <v>507</v>
      </c>
      <c r="D218" s="22" t="n">
        <f aca="false">D212/D207/fx*1000</f>
        <v>41.8931768625611</v>
      </c>
      <c r="E218" s="22" t="n">
        <f aca="false">E212/E207/fx*1000</f>
        <v>39.0025476590443</v>
      </c>
      <c r="F218" s="22" t="n">
        <f aca="false">F212/F207/fx*1000</f>
        <v>37.0000538050139</v>
      </c>
      <c r="G218" s="22" t="n">
        <f aca="false">G212/G207/fx*1000</f>
        <v>35.8186662174897</v>
      </c>
      <c r="H218" s="4" t="s">
        <v>557</v>
      </c>
    </row>
    <row r="219" customFormat="false" ht="17.15" hidden="false" customHeight="false" outlineLevel="0" collapsed="false">
      <c r="A219" s="6" t="s">
        <v>558</v>
      </c>
    </row>
    <row r="220" customFormat="false" ht="17.15" hidden="false" customHeight="false" outlineLevel="0" collapsed="false">
      <c r="A220" s="0" t="s">
        <v>559</v>
      </c>
      <c r="B220" s="0" t="s">
        <v>131</v>
      </c>
      <c r="C220" s="16" t="n">
        <f aca="false">(a25_capex-m_cx*a25_rev)/(a25_rev-rev24)</f>
        <v>3.57284271254522</v>
      </c>
      <c r="H220" s="8" t="s">
        <v>560</v>
      </c>
    </row>
    <row r="221" customFormat="false" ht="17.15" hidden="false" customHeight="false" outlineLevel="0" collapsed="false">
      <c r="A221" s="4" t="s">
        <v>511</v>
      </c>
      <c r="B221" s="0" t="s">
        <v>239</v>
      </c>
      <c r="C221" s="21" t="n">
        <f aca="false">a25_capex</f>
        <v>32.3554</v>
      </c>
      <c r="D221" s="21" t="n">
        <f aca="false">capex_26</f>
        <v>42</v>
      </c>
      <c r="E221" s="21" t="n">
        <f aca="false">m_cx*E214+$C$220*MAX(0,E214-D214)</f>
        <v>52.3091008628261</v>
      </c>
      <c r="F221" s="21" t="n">
        <f aca="false">m_cx*F214+$C$220*MAX(0,F214-E214)</f>
        <v>23.5887897589204</v>
      </c>
      <c r="G221" s="21" t="n">
        <f aca="false">m_cx*G214+$C$220*MAX(0,G214-F214)</f>
        <v>23.6739725323278</v>
      </c>
      <c r="H221" s="8" t="s">
        <v>561</v>
      </c>
    </row>
    <row r="222" customFormat="false" ht="17.15" hidden="false" customHeight="false" outlineLevel="0" collapsed="false">
      <c r="A222" s="4" t="s">
        <v>562</v>
      </c>
      <c r="B222" s="0" t="s">
        <v>41</v>
      </c>
      <c r="C222" s="14" t="n">
        <f aca="false">C221/C214</f>
        <v>0.926197128266197</v>
      </c>
      <c r="D222" s="14" t="n">
        <f aca="false">D221/D214</f>
        <v>0.885340879225746</v>
      </c>
      <c r="E222" s="14" t="n">
        <f aca="false">E221/E214</f>
        <v>0.866190147104814</v>
      </c>
      <c r="F222" s="14" t="n">
        <f aca="false">F221/F214</f>
        <v>0.361968236637984</v>
      </c>
      <c r="G222" s="14" t="n">
        <f aca="false">G221/G214</f>
        <v>0.338976939727711</v>
      </c>
    </row>
    <row r="223" customFormat="false" ht="15" hidden="false" customHeight="false" outlineLevel="0" collapsed="false">
      <c r="A223" s="4" t="s">
        <v>563</v>
      </c>
      <c r="B223" s="0" t="s">
        <v>239</v>
      </c>
      <c r="C223" s="21" t="n">
        <f aca="false">a25_da</f>
        <v>7.5143841</v>
      </c>
      <c r="D223" s="21" t="n">
        <f aca="false">a26_da</f>
        <v>11.32770694</v>
      </c>
      <c r="E223" s="21" t="n">
        <f aca="false">D223*(1-ret)+dr*(D221+E221)/2</f>
        <v>15.9483221404554</v>
      </c>
      <c r="F223" s="21" t="n">
        <f aca="false">E223*(1-ret)+dr*(E221+F221)/2</f>
        <v>19.3252900176287</v>
      </c>
      <c r="G223" s="21" t="n">
        <f aca="false">F223*(1-ret)+dr*(F221+G221)/2</f>
        <v>20.9584774427659</v>
      </c>
    </row>
    <row r="224" customFormat="false" ht="17.15" hidden="false" customHeight="false" outlineLevel="0" collapsed="false">
      <c r="A224" s="4" t="s">
        <v>515</v>
      </c>
      <c r="B224" s="0" t="s">
        <v>41</v>
      </c>
      <c r="C224" s="14" t="n">
        <f aca="false">C223/C214</f>
        <v>0.215104773055168</v>
      </c>
      <c r="D224" s="14" t="n">
        <f aca="false">D223/D214</f>
        <v>0.238782905282647</v>
      </c>
      <c r="E224" s="14" t="n">
        <f aca="false">E223/E214</f>
        <v>0.264089408402225</v>
      </c>
      <c r="F224" s="14" t="n">
        <f aca="false">F223/F214</f>
        <v>0.296545147999948</v>
      </c>
      <c r="G224" s="14" t="n">
        <f aca="false">G223/G214</f>
        <v>0.300094989769869</v>
      </c>
    </row>
    <row r="225" customFormat="false" ht="17.15" hidden="false" customHeight="false" outlineLevel="0" collapsed="false">
      <c r="A225" s="4" t="s">
        <v>564</v>
      </c>
      <c r="B225" s="0" t="s">
        <v>239</v>
      </c>
      <c r="D225" s="16" t="n">
        <f aca="false">C223*(1-ret)+dr*(C221+D221)/2-D223</f>
        <v>-0.0994950449999994</v>
      </c>
      <c r="H225" s="4" t="s">
        <v>565</v>
      </c>
    </row>
    <row r="226" customFormat="false" ht="17.15" hidden="false" customHeight="false" outlineLevel="0" collapsed="false">
      <c r="A226" s="6" t="s">
        <v>566</v>
      </c>
    </row>
    <row r="227" customFormat="false" ht="17.15" hidden="false" customHeight="false" outlineLevel="0" collapsed="false">
      <c r="A227" s="4" t="s">
        <v>567</v>
      </c>
      <c r="B227" s="0" t="s">
        <v>239</v>
      </c>
      <c r="D227" s="21" t="n">
        <f aca="false">a26_cc-v_cc*a26_rev</f>
        <v>7.9821937335</v>
      </c>
      <c r="H227" s="8" t="s">
        <v>568</v>
      </c>
    </row>
    <row r="228" customFormat="false" ht="17.15" hidden="false" customHeight="false" outlineLevel="0" collapsed="false">
      <c r="A228" s="4" t="s">
        <v>569</v>
      </c>
      <c r="B228" s="0" t="s">
        <v>239</v>
      </c>
      <c r="C228" s="21" t="n">
        <f aca="false">a25_cc</f>
        <v>14.8984</v>
      </c>
      <c r="D228" s="21" t="n">
        <f aca="false">a26_cc</f>
        <v>17.4700646735</v>
      </c>
      <c r="E228" s="21" t="n">
        <f aca="false">$D$227+v_cc*(E212/E211+E213)</f>
        <v>20.1656921027644</v>
      </c>
      <c r="F228" s="21" t="n">
        <f aca="false">$D$227+v_cc*(F212/F211+F213)</f>
        <v>21.2509408954123</v>
      </c>
      <c r="G228" s="21" t="n">
        <f aca="false">$D$227+v_cc*(G212/G211+G213)</f>
        <v>22.2768098675079</v>
      </c>
      <c r="H228" s="4" t="s">
        <v>570</v>
      </c>
    </row>
    <row r="229" customFormat="false" ht="15" hidden="false" customHeight="false" outlineLevel="0" collapsed="false">
      <c r="A229" s="4" t="s">
        <v>571</v>
      </c>
      <c r="B229" s="0" t="s">
        <v>239</v>
      </c>
      <c r="C229" s="21" t="n">
        <f aca="false">C214-C228-C223</f>
        <v>12.5208159</v>
      </c>
      <c r="D229" s="21" t="n">
        <f aca="false">D214-D228-D223</f>
        <v>18.6415830865</v>
      </c>
      <c r="E229" s="21" t="n">
        <f aca="false">E214-E228-E223</f>
        <v>24.2758447706075</v>
      </c>
      <c r="F229" s="21" t="n">
        <f aca="false">F214-F228-F223</f>
        <v>24.5918898536224</v>
      </c>
      <c r="G229" s="21" t="n">
        <f aca="false">G214-G228-G223</f>
        <v>26.6041907124622</v>
      </c>
    </row>
    <row r="230" customFormat="false" ht="15" hidden="false" customHeight="false" outlineLevel="0" collapsed="false">
      <c r="A230" s="4" t="s">
        <v>421</v>
      </c>
      <c r="B230" s="0" t="s">
        <v>41</v>
      </c>
      <c r="C230" s="14" t="n">
        <f aca="false">C229/C214</f>
        <v>0.358417566468958</v>
      </c>
      <c r="D230" s="14" t="n">
        <f aca="false">D229/D214</f>
        <v>0.392956084760993</v>
      </c>
      <c r="E230" s="14" t="n">
        <f aca="false">E229/E214</f>
        <v>0.401985451978769</v>
      </c>
      <c r="F230" s="14" t="n">
        <f aca="false">F229/F214</f>
        <v>0.377360733504569</v>
      </c>
      <c r="G230" s="14" t="n">
        <f aca="false">G229/G214</f>
        <v>0.380933412815618</v>
      </c>
    </row>
    <row r="231" customFormat="false" ht="15" hidden="false" customHeight="false" outlineLevel="0" collapsed="false">
      <c r="A231" s="4" t="s">
        <v>572</v>
      </c>
      <c r="B231" s="0" t="s">
        <v>239</v>
      </c>
      <c r="C231" s="21" t="n">
        <f aca="false">a25_opx</f>
        <v>3.5197</v>
      </c>
      <c r="D231" s="21" t="n">
        <f aca="false">a26_opx</f>
        <v>6.1141318375</v>
      </c>
      <c r="E231" s="21" t="n">
        <f aca="false">D231*(1+MAX(0,phi*E215))</f>
        <v>7.11559264451455</v>
      </c>
      <c r="F231" s="21" t="n">
        <f aca="false">E231*(1+MAX(0,phi*F215))</f>
        <v>7.45339933660431</v>
      </c>
      <c r="G231" s="21" t="n">
        <f aca="false">F231*(1+MAX(0,phi*G215))</f>
        <v>7.77396243399469</v>
      </c>
    </row>
    <row r="232" customFormat="false" ht="15" hidden="false" customHeight="false" outlineLevel="0" collapsed="false">
      <c r="A232" s="4" t="s">
        <v>573</v>
      </c>
      <c r="B232" s="0" t="s">
        <v>239</v>
      </c>
      <c r="C232" s="21" t="n">
        <f aca="false">C231</f>
        <v>3.5197</v>
      </c>
      <c r="D232" s="21" t="n">
        <f aca="false">D231</f>
        <v>6.1141318375</v>
      </c>
      <c r="E232" s="21" t="n">
        <f aca="false">E231+0*E214</f>
        <v>7.11559264451455</v>
      </c>
      <c r="F232" s="21" t="n">
        <f aca="false">F231+0*F214</f>
        <v>7.45339933660431</v>
      </c>
      <c r="G232" s="21" t="n">
        <f aca="false">G231+0*G214</f>
        <v>7.77396243399469</v>
      </c>
    </row>
    <row r="233" customFormat="false" ht="15" hidden="false" customHeight="false" outlineLevel="0" collapsed="false">
      <c r="A233" s="4" t="s">
        <v>430</v>
      </c>
      <c r="B233" s="0" t="s">
        <v>239</v>
      </c>
      <c r="C233" s="21" t="n">
        <f aca="false">C229-C232</f>
        <v>9.0011159</v>
      </c>
      <c r="D233" s="21" t="n">
        <f aca="false">D229-D232</f>
        <v>12.527451249</v>
      </c>
      <c r="E233" s="21" t="n">
        <f aca="false">E229-E232</f>
        <v>17.160252126093</v>
      </c>
      <c r="F233" s="21" t="n">
        <f aca="false">F229-F232</f>
        <v>17.1384905170181</v>
      </c>
      <c r="G233" s="21" t="n">
        <f aca="false">G229-G232</f>
        <v>18.8302282784675</v>
      </c>
    </row>
    <row r="234" customFormat="false" ht="15" hidden="false" customHeight="false" outlineLevel="0" collapsed="false">
      <c r="A234" s="4" t="s">
        <v>432</v>
      </c>
      <c r="B234" s="0" t="s">
        <v>41</v>
      </c>
      <c r="C234" s="14" t="n">
        <f aca="false">C233/C214</f>
        <v>0.25766356459111</v>
      </c>
      <c r="D234" s="14" t="n">
        <f aca="false">D233/D214</f>
        <v>0.264072969124936</v>
      </c>
      <c r="E234" s="14" t="n">
        <f aca="false">E233/E214</f>
        <v>0.284157843822153</v>
      </c>
      <c r="F234" s="14" t="n">
        <f aca="false">F233/F214</f>
        <v>0.262988871174958</v>
      </c>
      <c r="G234" s="14" t="n">
        <f aca="false">G233/G214</f>
        <v>0.269621549467156</v>
      </c>
    </row>
    <row r="235" customFormat="false" ht="17.15" hidden="false" customHeight="false" outlineLevel="0" collapsed="false">
      <c r="A235" s="0" t="s">
        <v>574</v>
      </c>
      <c r="B235" s="0" t="s">
        <v>239</v>
      </c>
      <c r="C235" s="21" t="n">
        <f aca="false">C233+C223</f>
        <v>16.5155</v>
      </c>
      <c r="D235" s="21" t="n">
        <f aca="false">D233+D223</f>
        <v>23.855158189</v>
      </c>
      <c r="E235" s="21" t="n">
        <f aca="false">E233+E223</f>
        <v>33.1085742665484</v>
      </c>
      <c r="F235" s="21" t="n">
        <f aca="false">F233+F223</f>
        <v>36.4637805346468</v>
      </c>
      <c r="G235" s="21" t="n">
        <f aca="false">G233+G223</f>
        <v>39.7887057212334</v>
      </c>
    </row>
    <row r="236" customFormat="false" ht="17.15" hidden="false" customHeight="false" outlineLevel="0" collapsed="false">
      <c r="A236" s="0" t="s">
        <v>575</v>
      </c>
      <c r="B236" s="0" t="s">
        <v>239</v>
      </c>
      <c r="C236" s="21" t="n">
        <f aca="false">C235-C221</f>
        <v>-15.8399</v>
      </c>
      <c r="D236" s="21" t="n">
        <f aca="false">D235-D221</f>
        <v>-18.144841811</v>
      </c>
      <c r="E236" s="21" t="n">
        <f aca="false">E235-E221</f>
        <v>-19.2005265962776</v>
      </c>
      <c r="F236" s="21" t="n">
        <f aca="false">F235-F221</f>
        <v>12.8749907757265</v>
      </c>
      <c r="G236" s="21" t="n">
        <f aca="false">G235-G221</f>
        <v>16.1147331889057</v>
      </c>
    </row>
    <row r="237" customFormat="false" ht="17.15" hidden="false" customHeight="false" outlineLevel="0" collapsed="false">
      <c r="A237" s="4" t="s">
        <v>433</v>
      </c>
      <c r="B237" s="0" t="s">
        <v>239</v>
      </c>
      <c r="C237" s="21" t="n">
        <f aca="false">a25_ni</f>
        <v>11.015</v>
      </c>
      <c r="D237" s="21" t="n">
        <f aca="false">a26_ni</f>
        <v>10.66608446065</v>
      </c>
      <c r="E237" s="21" t="n">
        <f aca="false">E233*nir_f</f>
        <v>14.4146117859181</v>
      </c>
      <c r="F237" s="21" t="n">
        <f aca="false">F233*nir_f</f>
        <v>14.3963320342952</v>
      </c>
      <c r="G237" s="21" t="n">
        <f aca="false">G233*nir_f</f>
        <v>15.8173917539127</v>
      </c>
      <c r="H237" s="8" t="s">
        <v>438</v>
      </c>
    </row>
    <row r="238" customFormat="false" ht="17.15" hidden="false" customHeight="false" outlineLevel="0" collapsed="false">
      <c r="A238" s="4" t="s">
        <v>437</v>
      </c>
      <c r="B238" s="0" t="s">
        <v>41</v>
      </c>
      <c r="C238" s="14" t="n">
        <f aca="false">C237/C233</f>
        <v>1.22373715907824</v>
      </c>
      <c r="D238" s="14" t="n">
        <f aca="false">D237/D233</f>
        <v>0.851416960133963</v>
      </c>
      <c r="E238" s="14" t="n">
        <f aca="false">E237/E233</f>
        <v>0.84</v>
      </c>
      <c r="F238" s="14" t="n">
        <f aca="false">F237/F233</f>
        <v>0.84</v>
      </c>
      <c r="G238" s="14" t="n">
        <f aca="false">G237/G233</f>
        <v>0.84</v>
      </c>
    </row>
    <row r="239" customFormat="false" ht="15" hidden="false" customHeight="false" outlineLevel="0" collapsed="false">
      <c r="A239" s="4" t="s">
        <v>576</v>
      </c>
      <c r="B239" s="4" t="s">
        <v>294</v>
      </c>
      <c r="C239" s="27" t="n">
        <f aca="false">a25_sh</f>
        <v>1.22253052164262</v>
      </c>
      <c r="D239" s="27" t="n">
        <f aca="false">a26_sh</f>
        <v>1.28264705882353</v>
      </c>
      <c r="E239" s="27" t="n">
        <f aca="false">D239*(1+sh_g)</f>
        <v>1.28264705882353</v>
      </c>
      <c r="F239" s="27" t="n">
        <f aca="false">E239*(1+sh_g)</f>
        <v>1.28264705882353</v>
      </c>
      <c r="G239" s="27" t="n">
        <f aca="false">F239*(1+sh_g)</f>
        <v>1.28264705882353</v>
      </c>
    </row>
    <row r="240" customFormat="false" ht="15" hidden="false" customHeight="false" outlineLevel="0" collapsed="false">
      <c r="A240" s="0" t="s">
        <v>442</v>
      </c>
      <c r="B240" s="0" t="s">
        <v>315</v>
      </c>
      <c r="C240" s="21" t="n">
        <f aca="false">C237/C239</f>
        <v>9.01</v>
      </c>
      <c r="D240" s="21" t="n">
        <f aca="false">D237/D239</f>
        <v>8.31568153318276</v>
      </c>
      <c r="E240" s="21" t="n">
        <f aca="false">E237/E239</f>
        <v>11.2381747471042</v>
      </c>
      <c r="F240" s="21" t="n">
        <f aca="false">F237/F239</f>
        <v>11.2239231636331</v>
      </c>
      <c r="G240" s="21" t="n">
        <f aca="false">G237/G239</f>
        <v>12.3318348918374</v>
      </c>
    </row>
    <row r="241" customFormat="false" ht="17.15" hidden="false" customHeight="false" outlineLevel="0" collapsed="false">
      <c r="A241" s="0" t="s">
        <v>577</v>
      </c>
      <c r="B241" s="0" t="s">
        <v>41</v>
      </c>
      <c r="D241" s="14" t="n">
        <f aca="false">D240/C240-1</f>
        <v>-0.0770608731206708</v>
      </c>
      <c r="E241" s="14" t="n">
        <f aca="false">E240/D240-1</f>
        <v>0.35144361917416</v>
      </c>
      <c r="F241" s="14" t="n">
        <f aca="false">F240/E240-1</f>
        <v>-0.00126814040463696</v>
      </c>
      <c r="G241" s="14" t="n">
        <f aca="false">G240/F240-1</f>
        <v>0.0987098461074791</v>
      </c>
      <c r="H241" s="8" t="s">
        <v>578</v>
      </c>
    </row>
    <row r="244" customFormat="false" ht="17.15" hidden="false" customHeight="false" outlineLevel="0" collapsed="false">
      <c r="A244" s="1" t="s">
        <v>867</v>
      </c>
    </row>
    <row r="245" customFormat="false" ht="17.15" hidden="false" customHeight="false" outlineLevel="0" collapsed="false">
      <c r="A245" s="5" t="s">
        <v>17</v>
      </c>
      <c r="B245" s="5" t="s">
        <v>18</v>
      </c>
      <c r="C245" s="12" t="s">
        <v>409</v>
      </c>
      <c r="D245" s="12" t="s">
        <v>520</v>
      </c>
      <c r="E245" s="12" t="s">
        <v>521</v>
      </c>
      <c r="F245" s="12" t="s">
        <v>522</v>
      </c>
      <c r="G245" s="12" t="s">
        <v>523</v>
      </c>
      <c r="H245" s="5" t="s">
        <v>488</v>
      </c>
    </row>
    <row r="246" customFormat="false" ht="17.15" hidden="false" customHeight="false" outlineLevel="0" collapsed="false">
      <c r="A246" s="6" t="s">
        <v>543</v>
      </c>
    </row>
    <row r="247" customFormat="false" ht="17.15" hidden="false" customHeight="false" outlineLevel="0" collapsed="false">
      <c r="A247" s="0" t="s">
        <v>491</v>
      </c>
      <c r="B247" s="4" t="s">
        <v>28</v>
      </c>
      <c r="D247" s="16" t="n">
        <f aca="false">u_bw_26*tt_bw</f>
        <v>5.4</v>
      </c>
      <c r="E247" s="16" t="n">
        <f aca="false">u_bw_27*1*tt_bw</f>
        <v>2.4</v>
      </c>
      <c r="F247" s="16" t="n">
        <f aca="false">u_bw_28*um28_A*1*tt_bw</f>
        <v>0.5</v>
      </c>
      <c r="G247" s="16" t="n">
        <f aca="false">u_bw_28*(1+g29_bw)*um29_A*1*tt_bw</f>
        <v>0.25</v>
      </c>
    </row>
    <row r="248" customFormat="false" ht="17.15" hidden="false" customHeight="false" outlineLevel="0" collapsed="false">
      <c r="A248" s="0" t="s">
        <v>493</v>
      </c>
      <c r="B248" s="4" t="s">
        <v>28</v>
      </c>
      <c r="D248" s="16" t="n">
        <f aca="false">u_rb_26*tt_rb</f>
        <v>2.55</v>
      </c>
      <c r="E248" s="16" t="n">
        <f aca="false">u_rb_27*1*tt_rb</f>
        <v>10.5</v>
      </c>
      <c r="F248" s="16" t="n">
        <f aca="false">u_rb_28*um28_A*1*tt_rb</f>
        <v>10.5</v>
      </c>
      <c r="G248" s="16" t="n">
        <f aca="false">u_rb_28*(1+g29_rb)*um29_A*1*tt_rb</f>
        <v>12.075</v>
      </c>
    </row>
    <row r="249" customFormat="false" ht="17.15" hidden="false" customHeight="false" outlineLevel="0" collapsed="false">
      <c r="A249" s="0" t="s">
        <v>494</v>
      </c>
      <c r="B249" s="4" t="s">
        <v>28</v>
      </c>
      <c r="D249" s="16" t="n">
        <f aca="false">u_ru_26*tt_ru</f>
        <v>0</v>
      </c>
      <c r="E249" s="16" t="n">
        <f aca="false">u_ru_27*1*tt_ru</f>
        <v>0.6</v>
      </c>
      <c r="F249" s="16" t="n">
        <f aca="false">u_ru_28*um28_A*1*tt_ru</f>
        <v>4</v>
      </c>
      <c r="G249" s="16" t="n">
        <f aca="false">u_ru_28*(1+g29_ru)*um29_A*1*tt_ru</f>
        <v>4.6</v>
      </c>
    </row>
    <row r="250" customFormat="false" ht="17.15" hidden="false" customHeight="false" outlineLevel="0" collapsed="false">
      <c r="A250" s="0" t="s">
        <v>495</v>
      </c>
      <c r="B250" s="4" t="s">
        <v>28</v>
      </c>
      <c r="D250" s="16" t="n">
        <f aca="false">u_hp_26*tt_hp</f>
        <v>0.3</v>
      </c>
      <c r="E250" s="16" t="n">
        <f aca="false">u_hp_27*1*tt_hp</f>
        <v>0</v>
      </c>
      <c r="F250" s="16" t="n">
        <f aca="false">u_hp_28*um28_A*1*tt_hp</f>
        <v>0</v>
      </c>
      <c r="G250" s="16" t="n">
        <f aca="false">u_hp_28*(1+g29_hp)*um29_A*1*tt_hp</f>
        <v>0</v>
      </c>
    </row>
    <row r="251" customFormat="false" ht="17.15" hidden="false" customHeight="false" outlineLevel="0" collapsed="false">
      <c r="A251" s="0" t="s">
        <v>496</v>
      </c>
      <c r="B251" s="4" t="s">
        <v>28</v>
      </c>
      <c r="D251" s="16" t="n">
        <f aca="false">u_amd_26*tt_amd*ex_amd</f>
        <v>0.165</v>
      </c>
      <c r="E251" s="16" t="n">
        <f aca="false">u_amd_27*1*tt_amd*ex_amd</f>
        <v>0.33</v>
      </c>
      <c r="F251" s="16" t="n">
        <f aca="false">u_amd_28*um28_A*1*tt_amd*ex_amd</f>
        <v>0.44</v>
      </c>
      <c r="G251" s="16" t="n">
        <f aca="false">u_amd_28*(1+g29_amd)*um29_A*1*tt_amd*ex_amd</f>
        <v>0.506</v>
      </c>
    </row>
    <row r="252" customFormat="false" ht="17.15" hidden="false" customHeight="false" outlineLevel="0" collapsed="false">
      <c r="A252" s="0" t="s">
        <v>498</v>
      </c>
      <c r="B252" s="4" t="s">
        <v>28</v>
      </c>
      <c r="D252" s="16" t="n">
        <f aca="false">u_tpu_26*tt_tpu*ex_tpu</f>
        <v>1.7325</v>
      </c>
      <c r="E252" s="16" t="n">
        <f aca="false">u_tpu_27*1*tt_tpu*ex_tpu</f>
        <v>2.475</v>
      </c>
      <c r="F252" s="16" t="n">
        <f aca="false">u_tpu_28*um28_A*1*tt_tpu*ex_tpu</f>
        <v>3.15</v>
      </c>
      <c r="G252" s="16" t="n">
        <f aca="false">u_tpu_28*(1+g29_tpu)*um29_A*1*tt_tpu*ex_tpu</f>
        <v>3.6225</v>
      </c>
    </row>
    <row r="253" customFormat="false" ht="17.15" hidden="false" customHeight="false" outlineLevel="0" collapsed="false">
      <c r="A253" s="0" t="s">
        <v>499</v>
      </c>
      <c r="B253" s="4" t="s">
        <v>28</v>
      </c>
      <c r="D253" s="16" t="n">
        <f aca="false">u_trn_26*tt_trn*ex_trn</f>
        <v>0.64</v>
      </c>
      <c r="E253" s="16" t="n">
        <f aca="false">u_trn_27*1*tt_trn*ex_trn</f>
        <v>0.8</v>
      </c>
      <c r="F253" s="16" t="n">
        <f aca="false">u_trn_28*um28_A*1*tt_trn*ex_trn</f>
        <v>0.96</v>
      </c>
      <c r="G253" s="16" t="n">
        <f aca="false">u_trn_28*(1+g29_trn)*um29_A*1*tt_trn*ex_trn</f>
        <v>1.104</v>
      </c>
    </row>
    <row r="254" customFormat="false" ht="17.15" hidden="false" customHeight="false" outlineLevel="0" collapsed="false">
      <c r="A254" s="4" t="s">
        <v>500</v>
      </c>
      <c r="B254" s="4" t="s">
        <v>28</v>
      </c>
      <c r="D254" s="16" t="n">
        <f aca="false">u_oth_26*tt_oth*ex_oth</f>
        <v>0.28</v>
      </c>
      <c r="E254" s="16" t="n">
        <f aca="false">u_oth_27*1*tt_oth*ex_oth</f>
        <v>1.26</v>
      </c>
      <c r="F254" s="16" t="n">
        <f aca="false">u_oth_28*um28_A*1*tt_oth*ex_oth</f>
        <v>1.4</v>
      </c>
      <c r="G254" s="16" t="n">
        <f aca="false">u_oth_28*(1+g29_oth)*um29_A*1*tt_oth*ex_oth</f>
        <v>1.61</v>
      </c>
    </row>
    <row r="255" customFormat="false" ht="15" hidden="false" customHeight="false" outlineLevel="0" collapsed="false">
      <c r="A255" s="4" t="s">
        <v>489</v>
      </c>
      <c r="B255" s="4" t="s">
        <v>28</v>
      </c>
      <c r="D255" s="16" t="n">
        <f aca="false">u_bw_26+u_rb_26+u_ru_26+u_hp_26+u_amd_26+u_tpu_26+u_trn_26+u_oth_26</f>
        <v>15.2</v>
      </c>
      <c r="E255" s="16" t="n">
        <f aca="false">u_bw_27*1+u_rb_27*1+u_ru_27*1+u_hp_27*1+u_amd_27*1+u_tpu_27*1+u_trn_27*1+u_oth_27*1</f>
        <v>23.7</v>
      </c>
      <c r="F255" s="16" t="n">
        <f aca="false">u_bw_28*um28_A*1+u_rb_28*um28_A*1+u_ru_28*um28_A*1+u_hp_28*um28_A*1+u_amd_28*um28_A*1+u_tpu_28*um28_A*1+u_trn_28*um28_A*1+u_oth_28*um28_A*1</f>
        <v>26.5</v>
      </c>
      <c r="G25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56" customFormat="false" ht="17.15" hidden="false" customHeight="false" outlineLevel="0" collapsed="false">
      <c r="A256" s="0" t="s">
        <v>544</v>
      </c>
      <c r="B256" s="4" t="s">
        <v>28</v>
      </c>
      <c r="D256" s="16" t="n">
        <f aca="false">D247+D248+D249+D250</f>
        <v>8.25</v>
      </c>
      <c r="E256" s="16" t="n">
        <f aca="false">E247+E248+E249+E250</f>
        <v>13.5</v>
      </c>
      <c r="F256" s="16" t="n">
        <f aca="false">F247+F248+F249+F250</f>
        <v>15</v>
      </c>
      <c r="G256" s="16" t="n">
        <f aca="false">G247+G248+G249+G250</f>
        <v>16.925</v>
      </c>
    </row>
    <row r="257" customFormat="false" ht="17.15" hidden="false" customHeight="false" outlineLevel="0" collapsed="false">
      <c r="A257" s="0" t="s">
        <v>545</v>
      </c>
      <c r="B257" s="4" t="s">
        <v>28</v>
      </c>
      <c r="D257" s="16" t="n">
        <f aca="false">D251+D252+D253+D254</f>
        <v>2.8175</v>
      </c>
      <c r="E257" s="16" t="n">
        <f aca="false">E251+E252+E253+E254</f>
        <v>4.865</v>
      </c>
      <c r="F257" s="16" t="n">
        <f aca="false">F251+F252+F253+F254</f>
        <v>5.95</v>
      </c>
      <c r="G257" s="16" t="n">
        <f aca="false">G251+G252+G253+G254</f>
        <v>6.8425</v>
      </c>
    </row>
    <row r="258" customFormat="false" ht="15" hidden="false" customHeight="false" outlineLevel="0" collapsed="false">
      <c r="A258" s="4" t="s">
        <v>546</v>
      </c>
      <c r="B258" s="4" t="s">
        <v>28</v>
      </c>
      <c r="D258" s="16" t="n">
        <f aca="false">D256+D257</f>
        <v>11.0675</v>
      </c>
      <c r="E258" s="16" t="n">
        <f aca="false">E256+E257</f>
        <v>18.365</v>
      </c>
      <c r="F258" s="16" t="n">
        <f aca="false">F256+F257</f>
        <v>20.95</v>
      </c>
      <c r="G258" s="16" t="n">
        <f aca="false">G256+G257</f>
        <v>23.7675</v>
      </c>
    </row>
    <row r="259" customFormat="false" ht="17.15" hidden="false" customHeight="false" outlineLevel="0" collapsed="false">
      <c r="A259" s="0" t="s">
        <v>547</v>
      </c>
      <c r="B259" s="0" t="s">
        <v>239</v>
      </c>
      <c r="D259" s="21" t="n">
        <f aca="false">a26_rev*ai_26</f>
        <v>16.603774145</v>
      </c>
    </row>
    <row r="260" customFormat="false" ht="17.15" hidden="false" customHeight="false" outlineLevel="0" collapsed="false">
      <c r="A260" s="4" t="s">
        <v>548</v>
      </c>
      <c r="B260" s="0" t="s">
        <v>549</v>
      </c>
      <c r="D260" s="27" t="n">
        <f aca="false">D259/D258</f>
        <v>1.50022806821775</v>
      </c>
      <c r="H260" s="8" t="s">
        <v>550</v>
      </c>
    </row>
    <row r="261" customFormat="false" ht="17.15" hidden="false" customHeight="false" outlineLevel="0" collapsed="false">
      <c r="A261" s="4" t="s">
        <v>551</v>
      </c>
      <c r="B261" s="0" t="s">
        <v>131</v>
      </c>
      <c r="D261" s="16" t="n">
        <f aca="false">1</f>
        <v>1</v>
      </c>
      <c r="E261" s="16" t="n">
        <f aca="false">RLO_27</f>
        <v>0.88</v>
      </c>
      <c r="F261" s="16" t="n">
        <f aca="false">RLO_28</f>
        <v>0.8</v>
      </c>
      <c r="G261" s="16" t="n">
        <f aca="false">RLO_29</f>
        <v>0.75</v>
      </c>
    </row>
    <row r="262" customFormat="false" ht="17.15" hidden="false" customHeight="false" outlineLevel="0" collapsed="false">
      <c r="A262" s="4" t="s">
        <v>552</v>
      </c>
      <c r="B262" s="0" t="s">
        <v>131</v>
      </c>
      <c r="D262" s="16" t="n">
        <f aca="false">1</f>
        <v>1</v>
      </c>
      <c r="E262" s="16" t="n">
        <f aca="false">pp_27</f>
        <v>0.98</v>
      </c>
      <c r="F262" s="16" t="n">
        <f aca="false">pp_28</f>
        <v>0.96</v>
      </c>
      <c r="G262" s="16" t="n">
        <f aca="false">pp_29</f>
        <v>0.95</v>
      </c>
    </row>
    <row r="263" customFormat="false" ht="17.15" hidden="false" customHeight="false" outlineLevel="0" collapsed="false">
      <c r="A263" s="0" t="s">
        <v>553</v>
      </c>
      <c r="B263" s="0" t="s">
        <v>239</v>
      </c>
      <c r="C263" s="21" t="n">
        <f aca="false">a25_rev*ai_25</f>
        <v>9.60674</v>
      </c>
      <c r="D263" s="21" t="n">
        <f aca="false">D259</f>
        <v>16.603774145</v>
      </c>
      <c r="E263" s="21" t="n">
        <f aca="false">$D$260*E258*E261*E262</f>
        <v>23.7605761389592</v>
      </c>
      <c r="F263" s="21" t="n">
        <f aca="false">$D$260*F258*F261*F262</f>
        <v>24.1380695263964</v>
      </c>
      <c r="G263" s="21" t="n">
        <f aca="false">$D$260*G258*G261*G262</f>
        <v>25.4053778105979</v>
      </c>
    </row>
    <row r="264" customFormat="false" ht="17.15" hidden="false" customHeight="false" outlineLevel="0" collapsed="false">
      <c r="A264" s="4" t="s">
        <v>554</v>
      </c>
      <c r="B264" s="0" t="s">
        <v>239</v>
      </c>
      <c r="C264" s="21" t="n">
        <f aca="false">a25_rev-C263</f>
        <v>25.32686</v>
      </c>
      <c r="D264" s="21" t="n">
        <f aca="false">a26_rev-D263</f>
        <v>30.835580555</v>
      </c>
      <c r="E264" s="21" t="n">
        <f aca="false">D264*(1+g_nai27)</f>
        <v>34.5358502216</v>
      </c>
      <c r="F264" s="21" t="n">
        <f aca="false">E264*(1+g_nai28)</f>
        <v>36.953359737112</v>
      </c>
      <c r="G264" s="21" t="n">
        <f aca="false">F264*(1+g_nai29)</f>
        <v>38.8010277239676</v>
      </c>
    </row>
    <row r="265" customFormat="false" ht="15" hidden="false" customHeight="false" outlineLevel="0" collapsed="false">
      <c r="A265" s="4" t="s">
        <v>414</v>
      </c>
      <c r="B265" s="0" t="s">
        <v>239</v>
      </c>
      <c r="C265" s="21" t="n">
        <f aca="false">C263+C264</f>
        <v>34.9336</v>
      </c>
      <c r="D265" s="21" t="n">
        <f aca="false">D263+D264</f>
        <v>47.4393547</v>
      </c>
      <c r="E265" s="21" t="n">
        <f aca="false">E263+E264</f>
        <v>58.2964263605592</v>
      </c>
      <c r="F265" s="21" t="n">
        <f aca="false">F263+F264</f>
        <v>61.0914292635084</v>
      </c>
      <c r="G265" s="21" t="n">
        <f aca="false">G263+G264</f>
        <v>64.2064055345655</v>
      </c>
    </row>
    <row r="266" customFormat="false" ht="15" hidden="false" customHeight="false" outlineLevel="0" collapsed="false">
      <c r="A266" s="4" t="s">
        <v>555</v>
      </c>
      <c r="B266" s="0" t="s">
        <v>41</v>
      </c>
      <c r="D266" s="14" t="n">
        <f aca="false">D265/C265-1</f>
        <v>0.357986428538713</v>
      </c>
      <c r="E266" s="14" t="n">
        <f aca="false">E265/D265-1</f>
        <v>0.228862127851818</v>
      </c>
      <c r="F266" s="14" t="n">
        <f aca="false">F265/E265-1</f>
        <v>0.0479446696382784</v>
      </c>
      <c r="G266" s="14" t="n">
        <f aca="false">G265/F265-1</f>
        <v>0.0509887607576041</v>
      </c>
    </row>
    <row r="267" customFormat="false" ht="17.15" hidden="false" customHeight="false" outlineLevel="0" collapsed="false">
      <c r="A267" s="0" t="s">
        <v>556</v>
      </c>
      <c r="B267" s="0" t="s">
        <v>41</v>
      </c>
      <c r="C267" s="14" t="n">
        <f aca="false">C263/C265</f>
        <v>0.275</v>
      </c>
      <c r="D267" s="14" t="n">
        <f aca="false">D263/D265</f>
        <v>0.35</v>
      </c>
      <c r="E267" s="14" t="n">
        <f aca="false">E263/E265</f>
        <v>0.40758203585245</v>
      </c>
      <c r="F267" s="14" t="n">
        <f aca="false">F263/F265</f>
        <v>0.395113845221734</v>
      </c>
      <c r="G267" s="14" t="n">
        <f aca="false">G263/G265</f>
        <v>0.395682916666639</v>
      </c>
    </row>
    <row r="268" customFormat="false" ht="17.15" hidden="false" customHeight="false" outlineLevel="0" collapsed="false">
      <c r="A268" s="0" t="s">
        <v>502</v>
      </c>
      <c r="B268" s="0" t="s">
        <v>41</v>
      </c>
      <c r="D268" s="14" t="n">
        <f aca="false">D256/D258</f>
        <v>0.745425796250282</v>
      </c>
      <c r="E268" s="14" t="n">
        <f aca="false">E256/E258</f>
        <v>0.735093928668663</v>
      </c>
      <c r="F268" s="14" t="n">
        <f aca="false">F256/F258</f>
        <v>0.715990453460621</v>
      </c>
      <c r="G268" s="14" t="n">
        <f aca="false">G256/G258</f>
        <v>0.71210686862312</v>
      </c>
    </row>
    <row r="269" customFormat="false" ht="17.15" hidden="false" customHeight="false" outlineLevel="0" collapsed="false">
      <c r="A269" s="4" t="s">
        <v>506</v>
      </c>
      <c r="B269" s="0" t="s">
        <v>507</v>
      </c>
      <c r="D269" s="22" t="n">
        <f aca="false">D263/D258/fx*1000</f>
        <v>46.8821271318048</v>
      </c>
      <c r="E269" s="22" t="n">
        <f aca="false">E263/E258/fx*1000</f>
        <v>40.4311464384685</v>
      </c>
      <c r="F269" s="22" t="n">
        <f aca="false">F263/F258/fx*1000</f>
        <v>36.0054736372261</v>
      </c>
      <c r="G269" s="22" t="n">
        <f aca="false">G263/G258/fx*1000</f>
        <v>33.4035155814109</v>
      </c>
      <c r="H269" s="4" t="s">
        <v>557</v>
      </c>
    </row>
    <row r="270" customFormat="false" ht="17.15" hidden="false" customHeight="false" outlineLevel="0" collapsed="false">
      <c r="A270" s="6" t="s">
        <v>558</v>
      </c>
    </row>
    <row r="271" customFormat="false" ht="17.15" hidden="false" customHeight="false" outlineLevel="0" collapsed="false">
      <c r="A271" s="0" t="s">
        <v>559</v>
      </c>
      <c r="B271" s="0" t="s">
        <v>131</v>
      </c>
      <c r="C271" s="16" t="n">
        <f aca="false">(a25_capex-m_cx*a25_rev)/(a25_rev-rev24)</f>
        <v>3.57284271254522</v>
      </c>
      <c r="H271" s="8" t="s">
        <v>560</v>
      </c>
    </row>
    <row r="272" customFormat="false" ht="17.15" hidden="false" customHeight="false" outlineLevel="0" collapsed="false">
      <c r="A272" s="4" t="s">
        <v>511</v>
      </c>
      <c r="B272" s="0" t="s">
        <v>239</v>
      </c>
      <c r="C272" s="21" t="n">
        <f aca="false">a25_capex</f>
        <v>32.3554</v>
      </c>
      <c r="D272" s="21" t="n">
        <f aca="false">capex_26</f>
        <v>42</v>
      </c>
      <c r="E272" s="21" t="n">
        <f aca="false">m_cx*E265+$C$271*MAX(0,E265-D265)</f>
        <v>44.6202519980659</v>
      </c>
      <c r="F272" s="21" t="n">
        <f aca="false">m_cx*F265+$C$271*MAX(0,F265-E265)</f>
        <v>16.0952486796957</v>
      </c>
      <c r="G272" s="21" t="n">
        <f aca="false">m_cx*G265+$C$271*MAX(0,G265-F265)</f>
        <v>17.5499608232542</v>
      </c>
      <c r="H272" s="8" t="s">
        <v>561</v>
      </c>
    </row>
    <row r="273" customFormat="false" ht="17.15" hidden="false" customHeight="false" outlineLevel="0" collapsed="false">
      <c r="A273" s="4" t="s">
        <v>562</v>
      </c>
      <c r="B273" s="0" t="s">
        <v>41</v>
      </c>
      <c r="C273" s="14" t="n">
        <f aca="false">C272/C265</f>
        <v>0.926197128266197</v>
      </c>
      <c r="D273" s="14" t="n">
        <f aca="false">D272/D265</f>
        <v>0.885340879225746</v>
      </c>
      <c r="E273" s="14" t="n">
        <f aca="false">E272/E265</f>
        <v>0.765402869158616</v>
      </c>
      <c r="F273" s="14" t="n">
        <f aca="false">F272/F265</f>
        <v>0.263461648773535</v>
      </c>
      <c r="G273" s="14" t="n">
        <f aca="false">G272/G265</f>
        <v>0.273336603678993</v>
      </c>
    </row>
    <row r="274" customFormat="false" ht="15" hidden="false" customHeight="false" outlineLevel="0" collapsed="false">
      <c r="A274" s="4" t="s">
        <v>563</v>
      </c>
      <c r="B274" s="0" t="s">
        <v>239</v>
      </c>
      <c r="C274" s="21" t="n">
        <f aca="false">a25_da</f>
        <v>7.5143841</v>
      </c>
      <c r="D274" s="21" t="n">
        <f aca="false">a26_da</f>
        <v>11.32770694</v>
      </c>
      <c r="E274" s="21" t="n">
        <f aca="false">D274*(1-ret)+dr*(D272+E272)/2</f>
        <v>15.5254354528936</v>
      </c>
      <c r="F274" s="21" t="n">
        <f aca="false">E274*(1-ret)+dr*(E272+F272)/2</f>
        <v>18.0885162175258</v>
      </c>
      <c r="G274" s="21" t="n">
        <f aca="false">F274*(1-ret)+dr*(F272+G272)/2</f>
        <v>19.0345769293118</v>
      </c>
    </row>
    <row r="275" customFormat="false" ht="17.15" hidden="false" customHeight="false" outlineLevel="0" collapsed="false">
      <c r="A275" s="4" t="s">
        <v>515</v>
      </c>
      <c r="B275" s="0" t="s">
        <v>41</v>
      </c>
      <c r="C275" s="14" t="n">
        <f aca="false">C274/C265</f>
        <v>0.215104773055168</v>
      </c>
      <c r="D275" s="14" t="n">
        <f aca="false">D274/D265</f>
        <v>0.238782905282647</v>
      </c>
      <c r="E275" s="14" t="n">
        <f aca="false">E274/E265</f>
        <v>0.266318819559709</v>
      </c>
      <c r="F275" s="14" t="n">
        <f aca="false">F274/F265</f>
        <v>0.296089262202458</v>
      </c>
      <c r="G275" s="14" t="n">
        <f aca="false">G274/G265</f>
        <v>0.296459158098557</v>
      </c>
    </row>
    <row r="276" customFormat="false" ht="17.15" hidden="false" customHeight="false" outlineLevel="0" collapsed="false">
      <c r="A276" s="4" t="s">
        <v>564</v>
      </c>
      <c r="B276" s="0" t="s">
        <v>239</v>
      </c>
      <c r="D276" s="16" t="n">
        <f aca="false">C274*(1-ret)+dr*(C272+D272)/2-D274</f>
        <v>-0.0994950449999994</v>
      </c>
      <c r="H276" s="4" t="s">
        <v>565</v>
      </c>
    </row>
    <row r="277" customFormat="false" ht="17.15" hidden="false" customHeight="false" outlineLevel="0" collapsed="false">
      <c r="A277" s="6" t="s">
        <v>566</v>
      </c>
    </row>
    <row r="278" customFormat="false" ht="17.15" hidden="false" customHeight="false" outlineLevel="0" collapsed="false">
      <c r="A278" s="4" t="s">
        <v>567</v>
      </c>
      <c r="B278" s="0" t="s">
        <v>239</v>
      </c>
      <c r="D278" s="21" t="n">
        <f aca="false">a26_cc-v_cc*a26_rev</f>
        <v>7.9821937335</v>
      </c>
      <c r="H278" s="8" t="s">
        <v>568</v>
      </c>
    </row>
    <row r="279" customFormat="false" ht="17.15" hidden="false" customHeight="false" outlineLevel="0" collapsed="false">
      <c r="A279" s="4" t="s">
        <v>569</v>
      </c>
      <c r="B279" s="0" t="s">
        <v>239</v>
      </c>
      <c r="C279" s="21" t="n">
        <f aca="false">a25_cc</f>
        <v>14.8984</v>
      </c>
      <c r="D279" s="21" t="n">
        <f aca="false">a26_cc</f>
        <v>17.4700646735</v>
      </c>
      <c r="E279" s="21" t="n">
        <f aca="false">$D$278+v_cc*(E263/E262+E264)</f>
        <v>19.7384609490362</v>
      </c>
      <c r="F279" s="21" t="n">
        <f aca="false">$D$278+v_cc*(F263/F262+F264)</f>
        <v>20.4016301655883</v>
      </c>
      <c r="G279" s="21" t="n">
        <f aca="false">$D$278+v_cc*(G263/G262+G264)</f>
        <v>21.0908998699983</v>
      </c>
      <c r="H279" s="4" t="s">
        <v>570</v>
      </c>
    </row>
    <row r="280" customFormat="false" ht="15" hidden="false" customHeight="false" outlineLevel="0" collapsed="false">
      <c r="A280" s="4" t="s">
        <v>571</v>
      </c>
      <c r="B280" s="0" t="s">
        <v>239</v>
      </c>
      <c r="C280" s="21" t="n">
        <f aca="false">C265-C279-C274</f>
        <v>12.5208159</v>
      </c>
      <c r="D280" s="21" t="n">
        <f aca="false">D265-D279-D274</f>
        <v>18.6415830865</v>
      </c>
      <c r="E280" s="21" t="n">
        <f aca="false">E265-E279-E274</f>
        <v>23.0325299586294</v>
      </c>
      <c r="F280" s="21" t="n">
        <f aca="false">F265-F279-F274</f>
        <v>22.6012828803942</v>
      </c>
      <c r="G280" s="21" t="n">
        <f aca="false">G265-G279-G274</f>
        <v>24.0809287352554</v>
      </c>
    </row>
    <row r="281" customFormat="false" ht="15" hidden="false" customHeight="false" outlineLevel="0" collapsed="false">
      <c r="A281" s="4" t="s">
        <v>421</v>
      </c>
      <c r="B281" s="0" t="s">
        <v>41</v>
      </c>
      <c r="C281" s="14" t="n">
        <f aca="false">C280/C265</f>
        <v>0.358417566468958</v>
      </c>
      <c r="D281" s="14" t="n">
        <f aca="false">D280/D265</f>
        <v>0.392956084760993</v>
      </c>
      <c r="E281" s="14" t="n">
        <f aca="false">E280/E265</f>
        <v>0.395093342706375</v>
      </c>
      <c r="F281" s="14" t="n">
        <f aca="false">F280/F265</f>
        <v>0.369958325625467</v>
      </c>
      <c r="G281" s="14" t="n">
        <f aca="false">G280/G265</f>
        <v>0.375054926915219</v>
      </c>
    </row>
    <row r="282" customFormat="false" ht="15" hidden="false" customHeight="false" outlineLevel="0" collapsed="false">
      <c r="A282" s="4" t="s">
        <v>572</v>
      </c>
      <c r="B282" s="0" t="s">
        <v>239</v>
      </c>
      <c r="C282" s="21" t="n">
        <f aca="false">a25_opx</f>
        <v>3.5197</v>
      </c>
      <c r="D282" s="21" t="n">
        <f aca="false">a26_opx</f>
        <v>6.1141318375</v>
      </c>
      <c r="E282" s="21" t="n">
        <f aca="false">D282*(1+MAX(0,phi*E266))</f>
        <v>6.95370777087808</v>
      </c>
      <c r="F282" s="21" t="n">
        <f aca="false">E282*(1+MAX(0,phi*F266))</f>
        <v>7.15374370397961</v>
      </c>
      <c r="G282" s="21" t="n">
        <f aca="false">F282*(1+MAX(0,phi*G266))</f>
        <v>7.37260001972566</v>
      </c>
    </row>
    <row r="283" customFormat="false" ht="15" hidden="false" customHeight="false" outlineLevel="0" collapsed="false">
      <c r="A283" s="4" t="s">
        <v>573</v>
      </c>
      <c r="B283" s="0" t="s">
        <v>239</v>
      </c>
      <c r="C283" s="21" t="n">
        <f aca="false">C282</f>
        <v>3.5197</v>
      </c>
      <c r="D283" s="21" t="n">
        <f aca="false">D282</f>
        <v>6.1141318375</v>
      </c>
      <c r="E283" s="21" t="n">
        <f aca="false">E282+0*E265</f>
        <v>6.95370777087808</v>
      </c>
      <c r="F283" s="21" t="n">
        <f aca="false">F282+0*F265</f>
        <v>7.15374370397961</v>
      </c>
      <c r="G283" s="21" t="n">
        <f aca="false">G282+0*G265</f>
        <v>7.37260001972566</v>
      </c>
    </row>
    <row r="284" customFormat="false" ht="15" hidden="false" customHeight="false" outlineLevel="0" collapsed="false">
      <c r="A284" s="4" t="s">
        <v>430</v>
      </c>
      <c r="B284" s="0" t="s">
        <v>239</v>
      </c>
      <c r="C284" s="21" t="n">
        <f aca="false">C280-C283</f>
        <v>9.0011159</v>
      </c>
      <c r="D284" s="21" t="n">
        <f aca="false">D280-D283</f>
        <v>12.527451249</v>
      </c>
      <c r="E284" s="21" t="n">
        <f aca="false">E280-E283</f>
        <v>16.0788221877513</v>
      </c>
      <c r="F284" s="21" t="n">
        <f aca="false">F280-F283</f>
        <v>15.4475391764146</v>
      </c>
      <c r="G284" s="21" t="n">
        <f aca="false">G280-G283</f>
        <v>16.7083287155297</v>
      </c>
    </row>
    <row r="285" customFormat="false" ht="15" hidden="false" customHeight="false" outlineLevel="0" collapsed="false">
      <c r="A285" s="4" t="s">
        <v>432</v>
      </c>
      <c r="B285" s="0" t="s">
        <v>41</v>
      </c>
      <c r="C285" s="14" t="n">
        <f aca="false">C284/C265</f>
        <v>0.25766356459111</v>
      </c>
      <c r="D285" s="14" t="n">
        <f aca="false">D284/D265</f>
        <v>0.264072969124936</v>
      </c>
      <c r="E285" s="14" t="n">
        <f aca="false">E284/E265</f>
        <v>0.275811455204903</v>
      </c>
      <c r="F285" s="14" t="n">
        <f aca="false">F284/F265</f>
        <v>0.252859351346718</v>
      </c>
      <c r="G285" s="14" t="n">
        <f aca="false">G284/G265</f>
        <v>0.260228377159889</v>
      </c>
    </row>
    <row r="286" customFormat="false" ht="17.15" hidden="false" customHeight="false" outlineLevel="0" collapsed="false">
      <c r="A286" s="0" t="s">
        <v>574</v>
      </c>
      <c r="B286" s="0" t="s">
        <v>239</v>
      </c>
      <c r="C286" s="21" t="n">
        <f aca="false">C284+C274</f>
        <v>16.5155</v>
      </c>
      <c r="D286" s="21" t="n">
        <f aca="false">D284+D274</f>
        <v>23.855158189</v>
      </c>
      <c r="E286" s="21" t="n">
        <f aca="false">E284+E274</f>
        <v>31.6042576406449</v>
      </c>
      <c r="F286" s="21" t="n">
        <f aca="false">F284+F274</f>
        <v>33.5360553939405</v>
      </c>
      <c r="G286" s="21" t="n">
        <f aca="false">G284+G274</f>
        <v>35.7429056448415</v>
      </c>
    </row>
    <row r="287" customFormat="false" ht="17.15" hidden="false" customHeight="false" outlineLevel="0" collapsed="false">
      <c r="A287" s="0" t="s">
        <v>575</v>
      </c>
      <c r="B287" s="0" t="s">
        <v>239</v>
      </c>
      <c r="C287" s="21" t="n">
        <f aca="false">C286-C272</f>
        <v>-15.8399</v>
      </c>
      <c r="D287" s="21" t="n">
        <f aca="false">D286-D272</f>
        <v>-18.144841811</v>
      </c>
      <c r="E287" s="21" t="n">
        <f aca="false">E286-E272</f>
        <v>-13.015994357421</v>
      </c>
      <c r="F287" s="21" t="n">
        <f aca="false">F286-F272</f>
        <v>17.4408067142448</v>
      </c>
      <c r="G287" s="21" t="n">
        <f aca="false">G286-G272</f>
        <v>18.1929448215873</v>
      </c>
    </row>
    <row r="288" customFormat="false" ht="17.15" hidden="false" customHeight="false" outlineLevel="0" collapsed="false">
      <c r="A288" s="4" t="s">
        <v>433</v>
      </c>
      <c r="B288" s="0" t="s">
        <v>239</v>
      </c>
      <c r="C288" s="21" t="n">
        <f aca="false">a25_ni</f>
        <v>11.015</v>
      </c>
      <c r="D288" s="21" t="n">
        <f aca="false">a26_ni</f>
        <v>10.66608446065</v>
      </c>
      <c r="E288" s="21" t="n">
        <f aca="false">E284*nir_f</f>
        <v>13.5062106377111</v>
      </c>
      <c r="F288" s="21" t="n">
        <f aca="false">F284*nir_f</f>
        <v>12.9759329081883</v>
      </c>
      <c r="G288" s="21" t="n">
        <f aca="false">G284*nir_f</f>
        <v>14.034996121045</v>
      </c>
      <c r="H288" s="8" t="s">
        <v>438</v>
      </c>
    </row>
    <row r="289" customFormat="false" ht="17.15" hidden="false" customHeight="false" outlineLevel="0" collapsed="false">
      <c r="A289" s="4" t="s">
        <v>437</v>
      </c>
      <c r="B289" s="0" t="s">
        <v>41</v>
      </c>
      <c r="C289" s="14" t="n">
        <f aca="false">C288/C284</f>
        <v>1.22373715907824</v>
      </c>
      <c r="D289" s="14" t="n">
        <f aca="false">D288/D284</f>
        <v>0.851416960133963</v>
      </c>
      <c r="E289" s="14" t="n">
        <f aca="false">E288/E284</f>
        <v>0.84</v>
      </c>
      <c r="F289" s="14" t="n">
        <f aca="false">F288/F284</f>
        <v>0.84</v>
      </c>
      <c r="G289" s="14" t="n">
        <f aca="false">G288/G284</f>
        <v>0.84</v>
      </c>
    </row>
    <row r="290" customFormat="false" ht="15" hidden="false" customHeight="false" outlineLevel="0" collapsed="false">
      <c r="A290" s="4" t="s">
        <v>576</v>
      </c>
      <c r="B290" s="4" t="s">
        <v>294</v>
      </c>
      <c r="C290" s="27" t="n">
        <f aca="false">a25_sh</f>
        <v>1.22253052164262</v>
      </c>
      <c r="D290" s="27" t="n">
        <f aca="false">a26_sh</f>
        <v>1.28264705882353</v>
      </c>
      <c r="E290" s="27" t="n">
        <f aca="false">D290*(1+sh_g)</f>
        <v>1.28264705882353</v>
      </c>
      <c r="F290" s="27" t="n">
        <f aca="false">E290*(1+sh_g)</f>
        <v>1.28264705882353</v>
      </c>
      <c r="G290" s="27" t="n">
        <f aca="false">F290*(1+sh_g)</f>
        <v>1.28264705882353</v>
      </c>
    </row>
    <row r="291" customFormat="false" ht="15" hidden="false" customHeight="false" outlineLevel="0" collapsed="false">
      <c r="A291" s="0" t="s">
        <v>442</v>
      </c>
      <c r="B291" s="0" t="s">
        <v>315</v>
      </c>
      <c r="C291" s="21" t="n">
        <f aca="false">C288/C290</f>
        <v>9.01</v>
      </c>
      <c r="D291" s="21" t="n">
        <f aca="false">D288/D290</f>
        <v>8.31568153318276</v>
      </c>
      <c r="E291" s="21" t="n">
        <f aca="false">E288/E290</f>
        <v>10.5299509672593</v>
      </c>
      <c r="F291" s="21" t="n">
        <f aca="false">F288/F290</f>
        <v>10.1165264590324</v>
      </c>
      <c r="G291" s="21" t="n">
        <f aca="false">G288/G290</f>
        <v>10.9422120641029</v>
      </c>
    </row>
    <row r="292" customFormat="false" ht="17.15" hidden="false" customHeight="false" outlineLevel="0" collapsed="false">
      <c r="A292" s="0" t="s">
        <v>577</v>
      </c>
      <c r="B292" s="0" t="s">
        <v>41</v>
      </c>
      <c r="D292" s="14" t="n">
        <f aca="false">D291/C291-1</f>
        <v>-0.0770608731206708</v>
      </c>
      <c r="E292" s="14" t="n">
        <f aca="false">E291/D291-1</f>
        <v>0.266276362946409</v>
      </c>
      <c r="F292" s="14" t="n">
        <f aca="false">F291/E291-1</f>
        <v>-0.0392617695478699</v>
      </c>
      <c r="G292" s="14" t="n">
        <f aca="false">G291/F291-1</f>
        <v>0.0816175006722146</v>
      </c>
      <c r="H292" s="8" t="s">
        <v>578</v>
      </c>
    </row>
    <row r="295" customFormat="false" ht="17.15" hidden="false" customHeight="false" outlineLevel="0" collapsed="false">
      <c r="A295" s="1" t="s">
        <v>868</v>
      </c>
    </row>
    <row r="296" customFormat="false" ht="17.15" hidden="false" customHeight="false" outlineLevel="0" collapsed="false">
      <c r="A296" s="5" t="s">
        <v>17</v>
      </c>
      <c r="B296" s="5" t="s">
        <v>18</v>
      </c>
      <c r="C296" s="12" t="s">
        <v>409</v>
      </c>
      <c r="D296" s="12" t="s">
        <v>520</v>
      </c>
      <c r="E296" s="12" t="s">
        <v>521</v>
      </c>
      <c r="F296" s="12" t="s">
        <v>522</v>
      </c>
      <c r="G296" s="12" t="s">
        <v>523</v>
      </c>
      <c r="H296" s="5" t="s">
        <v>488</v>
      </c>
    </row>
    <row r="297" customFormat="false" ht="17.15" hidden="false" customHeight="false" outlineLevel="0" collapsed="false">
      <c r="A297" s="6" t="s">
        <v>543</v>
      </c>
    </row>
    <row r="298" customFormat="false" ht="17.15" hidden="false" customHeight="false" outlineLevel="0" collapsed="false">
      <c r="A298" s="0" t="s">
        <v>491</v>
      </c>
      <c r="B298" s="4" t="s">
        <v>28</v>
      </c>
      <c r="D298" s="16" t="n">
        <f aca="false">u_bw_26*tt_bw</f>
        <v>5.4</v>
      </c>
      <c r="E298" s="16" t="n">
        <f aca="false">u_bw_27*1*tt_bw</f>
        <v>2.4</v>
      </c>
      <c r="F298" s="16" t="n">
        <f aca="false">u_bw_28*um28_A*1*tt_bw</f>
        <v>0.5</v>
      </c>
      <c r="G298" s="16" t="n">
        <f aca="false">u_bw_28*(1+g29_bw)*um29_A*1*tt_bw</f>
        <v>0.25</v>
      </c>
    </row>
    <row r="299" customFormat="false" ht="17.15" hidden="false" customHeight="false" outlineLevel="0" collapsed="false">
      <c r="A299" s="0" t="s">
        <v>493</v>
      </c>
      <c r="B299" s="4" t="s">
        <v>28</v>
      </c>
      <c r="D299" s="16" t="n">
        <f aca="false">u_rb_26*tt_rb</f>
        <v>2.55</v>
      </c>
      <c r="E299" s="16" t="n">
        <f aca="false">u_rb_27*1*tt_rb</f>
        <v>10.5</v>
      </c>
      <c r="F299" s="16" t="n">
        <f aca="false">u_rb_28*um28_A*1*tt_rb</f>
        <v>10.5</v>
      </c>
      <c r="G299" s="16" t="n">
        <f aca="false">u_rb_28*(1+g29_rb)*um29_A*1*tt_rb</f>
        <v>12.075</v>
      </c>
    </row>
    <row r="300" customFormat="false" ht="17.15" hidden="false" customHeight="false" outlineLevel="0" collapsed="false">
      <c r="A300" s="0" t="s">
        <v>494</v>
      </c>
      <c r="B300" s="4" t="s">
        <v>28</v>
      </c>
      <c r="D300" s="16" t="n">
        <f aca="false">u_ru_26*tt_ru</f>
        <v>0</v>
      </c>
      <c r="E300" s="16" t="n">
        <f aca="false">u_ru_27*1*tt_ru</f>
        <v>0.6</v>
      </c>
      <c r="F300" s="16" t="n">
        <f aca="false">u_ru_28*um28_A*1*tt_ru</f>
        <v>4</v>
      </c>
      <c r="G300" s="16" t="n">
        <f aca="false">u_ru_28*(1+g29_ru)*um29_A*1*tt_ru</f>
        <v>4.6</v>
      </c>
    </row>
    <row r="301" customFormat="false" ht="17.15" hidden="false" customHeight="false" outlineLevel="0" collapsed="false">
      <c r="A301" s="0" t="s">
        <v>495</v>
      </c>
      <c r="B301" s="4" t="s">
        <v>28</v>
      </c>
      <c r="D301" s="16" t="n">
        <f aca="false">u_hp_26*tt_hp</f>
        <v>0.3</v>
      </c>
      <c r="E301" s="16" t="n">
        <f aca="false">u_hp_27*1*tt_hp</f>
        <v>0</v>
      </c>
      <c r="F301" s="16" t="n">
        <f aca="false">u_hp_28*um28_A*1*tt_hp</f>
        <v>0</v>
      </c>
      <c r="G301" s="16" t="n">
        <f aca="false">u_hp_28*(1+g29_hp)*um29_A*1*tt_hp</f>
        <v>0</v>
      </c>
    </row>
    <row r="302" customFormat="false" ht="17.15" hidden="false" customHeight="false" outlineLevel="0" collapsed="false">
      <c r="A302" s="0" t="s">
        <v>496</v>
      </c>
      <c r="B302" s="4" t="s">
        <v>28</v>
      </c>
      <c r="D302" s="16" t="n">
        <f aca="false">u_amd_26*tt_amd*ex_amd</f>
        <v>0.165</v>
      </c>
      <c r="E302" s="16" t="n">
        <f aca="false">u_amd_27*1*tt_amd*ex_amd</f>
        <v>0.33</v>
      </c>
      <c r="F302" s="16" t="n">
        <f aca="false">u_amd_28*um28_A*1*tt_amd*ex_amd</f>
        <v>0.44</v>
      </c>
      <c r="G302" s="16" t="n">
        <f aca="false">u_amd_28*(1+g29_amd)*um29_A*1*tt_amd*ex_amd</f>
        <v>0.506</v>
      </c>
    </row>
    <row r="303" customFormat="false" ht="17.15" hidden="false" customHeight="false" outlineLevel="0" collapsed="false">
      <c r="A303" s="0" t="s">
        <v>498</v>
      </c>
      <c r="B303" s="4" t="s">
        <v>28</v>
      </c>
      <c r="D303" s="16" t="n">
        <f aca="false">u_tpu_26*tt_tpu*ex_tpu</f>
        <v>1.7325</v>
      </c>
      <c r="E303" s="16" t="n">
        <f aca="false">u_tpu_27*1*tt_tpu*ex_tpu</f>
        <v>2.475</v>
      </c>
      <c r="F303" s="16" t="n">
        <f aca="false">u_tpu_28*um28_A*1*tt_tpu*ex_tpu</f>
        <v>3.15</v>
      </c>
      <c r="G303" s="16" t="n">
        <f aca="false">u_tpu_28*(1+g29_tpu)*um29_A*1*tt_tpu*ex_tpu</f>
        <v>3.6225</v>
      </c>
    </row>
    <row r="304" customFormat="false" ht="17.15" hidden="false" customHeight="false" outlineLevel="0" collapsed="false">
      <c r="A304" s="0" t="s">
        <v>499</v>
      </c>
      <c r="B304" s="4" t="s">
        <v>28</v>
      </c>
      <c r="D304" s="16" t="n">
        <f aca="false">u_trn_26*tt_trn*ex_trn</f>
        <v>0.64</v>
      </c>
      <c r="E304" s="16" t="n">
        <f aca="false">u_trn_27*1*tt_trn*ex_trn</f>
        <v>0.8</v>
      </c>
      <c r="F304" s="16" t="n">
        <f aca="false">u_trn_28*um28_A*1*tt_trn*ex_trn</f>
        <v>0.96</v>
      </c>
      <c r="G304" s="16" t="n">
        <f aca="false">u_trn_28*(1+g29_trn)*um29_A*1*tt_trn*ex_trn</f>
        <v>1.104</v>
      </c>
    </row>
    <row r="305" customFormat="false" ht="17.15" hidden="false" customHeight="false" outlineLevel="0" collapsed="false">
      <c r="A305" s="4" t="s">
        <v>500</v>
      </c>
      <c r="B305" s="4" t="s">
        <v>28</v>
      </c>
      <c r="D305" s="16" t="n">
        <f aca="false">u_oth_26*tt_oth*ex_oth</f>
        <v>0.28</v>
      </c>
      <c r="E305" s="16" t="n">
        <f aca="false">u_oth_27*1*tt_oth*ex_oth</f>
        <v>1.26</v>
      </c>
      <c r="F305" s="16" t="n">
        <f aca="false">u_oth_28*um28_A*1*tt_oth*ex_oth</f>
        <v>1.4</v>
      </c>
      <c r="G305" s="16" t="n">
        <f aca="false">u_oth_28*(1+g29_oth)*um29_A*1*tt_oth*ex_oth</f>
        <v>1.61</v>
      </c>
    </row>
    <row r="306" customFormat="false" ht="15" hidden="false" customHeight="false" outlineLevel="0" collapsed="false">
      <c r="A306" s="4" t="s">
        <v>489</v>
      </c>
      <c r="B306" s="4" t="s">
        <v>28</v>
      </c>
      <c r="D306" s="16" t="n">
        <f aca="false">u_bw_26+u_rb_26+u_ru_26+u_hp_26+u_amd_26+u_tpu_26+u_trn_26+u_oth_26</f>
        <v>15.2</v>
      </c>
      <c r="E306" s="16" t="n">
        <f aca="false">u_bw_27*1+u_rb_27*1+u_ru_27*1+u_hp_27*1+u_amd_27*1+u_tpu_27*1+u_trn_27*1+u_oth_27*1</f>
        <v>23.7</v>
      </c>
      <c r="F306" s="16" t="n">
        <f aca="false">u_bw_28*um28_A*1+u_rb_28*um28_A*1+u_ru_28*um28_A*1+u_hp_28*um28_A*1+u_amd_28*um28_A*1+u_tpu_28*um28_A*1+u_trn_28*um28_A*1+u_oth_28*um28_A*1</f>
        <v>26.5</v>
      </c>
      <c r="G30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07" customFormat="false" ht="17.15" hidden="false" customHeight="false" outlineLevel="0" collapsed="false">
      <c r="A307" s="0" t="s">
        <v>544</v>
      </c>
      <c r="B307" s="4" t="s">
        <v>28</v>
      </c>
      <c r="D307" s="16" t="n">
        <f aca="false">D298+D299+D300+D301</f>
        <v>8.25</v>
      </c>
      <c r="E307" s="16" t="n">
        <f aca="false">E298+E299+E300+E301</f>
        <v>13.5</v>
      </c>
      <c r="F307" s="16" t="n">
        <f aca="false">F298+F299+F300+F301</f>
        <v>15</v>
      </c>
      <c r="G307" s="16" t="n">
        <f aca="false">G298+G299+G300+G301</f>
        <v>16.925</v>
      </c>
    </row>
    <row r="308" customFormat="false" ht="17.15" hidden="false" customHeight="false" outlineLevel="0" collapsed="false">
      <c r="A308" s="0" t="s">
        <v>545</v>
      </c>
      <c r="B308" s="4" t="s">
        <v>28</v>
      </c>
      <c r="D308" s="16" t="n">
        <f aca="false">D302+D303+D304+D305</f>
        <v>2.8175</v>
      </c>
      <c r="E308" s="16" t="n">
        <f aca="false">E302+E303+E304+E305</f>
        <v>4.865</v>
      </c>
      <c r="F308" s="16" t="n">
        <f aca="false">F302+F303+F304+F305</f>
        <v>5.95</v>
      </c>
      <c r="G308" s="16" t="n">
        <f aca="false">G302+G303+G304+G305</f>
        <v>6.8425</v>
      </c>
    </row>
    <row r="309" customFormat="false" ht="15" hidden="false" customHeight="false" outlineLevel="0" collapsed="false">
      <c r="A309" s="4" t="s">
        <v>546</v>
      </c>
      <c r="B309" s="4" t="s">
        <v>28</v>
      </c>
      <c r="D309" s="16" t="n">
        <f aca="false">D307+D308</f>
        <v>11.0675</v>
      </c>
      <c r="E309" s="16" t="n">
        <f aca="false">E307+E308</f>
        <v>18.365</v>
      </c>
      <c r="F309" s="16" t="n">
        <f aca="false">F307+F308</f>
        <v>20.95</v>
      </c>
      <c r="G309" s="16" t="n">
        <f aca="false">G307+G308</f>
        <v>23.7675</v>
      </c>
    </row>
    <row r="310" customFormat="false" ht="17.15" hidden="false" customHeight="false" outlineLevel="0" collapsed="false">
      <c r="A310" s="0" t="s">
        <v>547</v>
      </c>
      <c r="B310" s="0" t="s">
        <v>239</v>
      </c>
      <c r="D310" s="21" t="n">
        <f aca="false">a26_rev*ai_26</f>
        <v>16.603774145</v>
      </c>
    </row>
    <row r="311" customFormat="false" ht="17.15" hidden="false" customHeight="false" outlineLevel="0" collapsed="false">
      <c r="A311" s="4" t="s">
        <v>548</v>
      </c>
      <c r="B311" s="0" t="s">
        <v>549</v>
      </c>
      <c r="D311" s="27" t="n">
        <f aca="false">D310/D309</f>
        <v>1.50022806821775</v>
      </c>
      <c r="H311" s="8" t="s">
        <v>550</v>
      </c>
    </row>
    <row r="312" customFormat="false" ht="17.15" hidden="false" customHeight="false" outlineLevel="0" collapsed="false">
      <c r="A312" s="4" t="s">
        <v>551</v>
      </c>
      <c r="B312" s="0" t="s">
        <v>131</v>
      </c>
      <c r="D312" s="16" t="n">
        <f aca="false">1</f>
        <v>1</v>
      </c>
      <c r="E312" s="16" t="n">
        <f aca="false">RHI_27</f>
        <v>1</v>
      </c>
      <c r="F312" s="16" t="n">
        <f aca="false">RHI_28</f>
        <v>1</v>
      </c>
      <c r="G312" s="16" t="n">
        <f aca="false">RHI_29</f>
        <v>1</v>
      </c>
    </row>
    <row r="313" customFormat="false" ht="17.15" hidden="false" customHeight="false" outlineLevel="0" collapsed="false">
      <c r="A313" s="4" t="s">
        <v>552</v>
      </c>
      <c r="B313" s="0" t="s">
        <v>131</v>
      </c>
      <c r="D313" s="16" t="n">
        <f aca="false">1</f>
        <v>1</v>
      </c>
      <c r="E313" s="16" t="n">
        <f aca="false">pp_27</f>
        <v>0.98</v>
      </c>
      <c r="F313" s="16" t="n">
        <f aca="false">pp_28</f>
        <v>0.96</v>
      </c>
      <c r="G313" s="16" t="n">
        <f aca="false">pp_29</f>
        <v>0.95</v>
      </c>
    </row>
    <row r="314" customFormat="false" ht="17.15" hidden="false" customHeight="false" outlineLevel="0" collapsed="false">
      <c r="A314" s="0" t="s">
        <v>553</v>
      </c>
      <c r="B314" s="0" t="s">
        <v>239</v>
      </c>
      <c r="C314" s="21" t="n">
        <f aca="false">a25_rev*ai_25</f>
        <v>9.60674</v>
      </c>
      <c r="D314" s="21" t="n">
        <f aca="false">D310</f>
        <v>16.603774145</v>
      </c>
      <c r="E314" s="21" t="n">
        <f aca="false">$D$311*E309*E312*E313</f>
        <v>27.0006547033627</v>
      </c>
      <c r="F314" s="21" t="n">
        <f aca="false">$D$311*F309*F312*F313</f>
        <v>30.1725869079955</v>
      </c>
      <c r="G314" s="21" t="n">
        <f aca="false">$D$311*G309*G312*G313</f>
        <v>33.8738370807972</v>
      </c>
    </row>
    <row r="315" customFormat="false" ht="17.15" hidden="false" customHeight="false" outlineLevel="0" collapsed="false">
      <c r="A315" s="4" t="s">
        <v>554</v>
      </c>
      <c r="B315" s="0" t="s">
        <v>239</v>
      </c>
      <c r="C315" s="21" t="n">
        <f aca="false">a25_rev-C314</f>
        <v>25.32686</v>
      </c>
      <c r="D315" s="21" t="n">
        <f aca="false">a26_rev-D314</f>
        <v>30.835580555</v>
      </c>
      <c r="E315" s="21" t="n">
        <f aca="false">D315*(1+g_nai27)</f>
        <v>34.5358502216</v>
      </c>
      <c r="F315" s="21" t="n">
        <f aca="false">E315*(1+g_nai28)</f>
        <v>36.953359737112</v>
      </c>
      <c r="G315" s="21" t="n">
        <f aca="false">F315*(1+g_nai29)</f>
        <v>38.8010277239676</v>
      </c>
    </row>
    <row r="316" customFormat="false" ht="15" hidden="false" customHeight="false" outlineLevel="0" collapsed="false">
      <c r="A316" s="4" t="s">
        <v>414</v>
      </c>
      <c r="B316" s="0" t="s">
        <v>239</v>
      </c>
      <c r="C316" s="21" t="n">
        <f aca="false">C314+C315</f>
        <v>34.9336</v>
      </c>
      <c r="D316" s="21" t="n">
        <f aca="false">D314+D315</f>
        <v>47.4393547</v>
      </c>
      <c r="E316" s="21" t="n">
        <f aca="false">E314+E315</f>
        <v>61.5365049249627</v>
      </c>
      <c r="F316" s="21" t="n">
        <f aca="false">F314+F315</f>
        <v>67.1259466451075</v>
      </c>
      <c r="G316" s="21" t="n">
        <f aca="false">G314+G315</f>
        <v>72.6748648047648</v>
      </c>
    </row>
    <row r="317" customFormat="false" ht="15" hidden="false" customHeight="false" outlineLevel="0" collapsed="false">
      <c r="A317" s="4" t="s">
        <v>555</v>
      </c>
      <c r="B317" s="0" t="s">
        <v>41</v>
      </c>
      <c r="D317" s="14" t="n">
        <f aca="false">D316/C316-1</f>
        <v>0.357986428538713</v>
      </c>
      <c r="E317" s="14" t="n">
        <f aca="false">E316/D316-1</f>
        <v>0.297161508922521</v>
      </c>
      <c r="F317" s="14" t="n">
        <f aca="false">F316/E316-1</f>
        <v>0.0908313159312595</v>
      </c>
      <c r="G317" s="14" t="n">
        <f aca="false">G316/F316-1</f>
        <v>0.0826642816524328</v>
      </c>
    </row>
    <row r="318" customFormat="false" ht="17.15" hidden="false" customHeight="false" outlineLevel="0" collapsed="false">
      <c r="A318" s="0" t="s">
        <v>556</v>
      </c>
      <c r="B318" s="0" t="s">
        <v>41</v>
      </c>
      <c r="C318" s="14" t="n">
        <f aca="false">C314/C316</f>
        <v>0.275</v>
      </c>
      <c r="D318" s="14" t="n">
        <f aca="false">D314/D316</f>
        <v>0.35</v>
      </c>
      <c r="E318" s="14" t="n">
        <f aca="false">E314/E316</f>
        <v>0.438774589754279</v>
      </c>
      <c r="F318" s="14" t="n">
        <f aca="false">F314/F316</f>
        <v>0.44949216236036</v>
      </c>
      <c r="G318" s="14" t="n">
        <f aca="false">G314/G316</f>
        <v>0.4661011365043</v>
      </c>
    </row>
    <row r="319" customFormat="false" ht="17.15" hidden="false" customHeight="false" outlineLevel="0" collapsed="false">
      <c r="A319" s="0" t="s">
        <v>502</v>
      </c>
      <c r="B319" s="0" t="s">
        <v>41</v>
      </c>
      <c r="D319" s="14" t="n">
        <f aca="false">D307/D309</f>
        <v>0.745425796250282</v>
      </c>
      <c r="E319" s="14" t="n">
        <f aca="false">E307/E309</f>
        <v>0.735093928668663</v>
      </c>
      <c r="F319" s="14" t="n">
        <f aca="false">F307/F309</f>
        <v>0.715990453460621</v>
      </c>
      <c r="G319" s="14" t="n">
        <f aca="false">G307/G309</f>
        <v>0.71210686862312</v>
      </c>
    </row>
    <row r="320" customFormat="false" ht="17.15" hidden="false" customHeight="false" outlineLevel="0" collapsed="false">
      <c r="A320" s="4" t="s">
        <v>506</v>
      </c>
      <c r="B320" s="0" t="s">
        <v>507</v>
      </c>
      <c r="D320" s="22" t="n">
        <f aca="false">D314/D309/fx*1000</f>
        <v>46.8821271318048</v>
      </c>
      <c r="E320" s="22" t="n">
        <f aca="false">E314/E309/fx*1000</f>
        <v>45.9444845891687</v>
      </c>
      <c r="F320" s="22" t="n">
        <f aca="false">F314/F309/fx*1000</f>
        <v>45.0068420465326</v>
      </c>
      <c r="G320" s="22" t="n">
        <f aca="false">G314/G309/fx*1000</f>
        <v>44.5380207752146</v>
      </c>
      <c r="H320" s="4" t="s">
        <v>557</v>
      </c>
    </row>
    <row r="321" customFormat="false" ht="17.15" hidden="false" customHeight="false" outlineLevel="0" collapsed="false">
      <c r="A321" s="6" t="s">
        <v>558</v>
      </c>
    </row>
    <row r="322" customFormat="false" ht="17.15" hidden="false" customHeight="false" outlineLevel="0" collapsed="false">
      <c r="A322" s="0" t="s">
        <v>559</v>
      </c>
      <c r="B322" s="0" t="s">
        <v>131</v>
      </c>
      <c r="C322" s="16" t="n">
        <f aca="false">(a25_capex-m_cx*a25_rev)/(a25_rev-rev24)</f>
        <v>3.57284271254522</v>
      </c>
      <c r="H322" s="8" t="s">
        <v>560</v>
      </c>
    </row>
    <row r="323" customFormat="false" ht="17.15" hidden="false" customHeight="false" outlineLevel="0" collapsed="false">
      <c r="A323" s="4" t="s">
        <v>511</v>
      </c>
      <c r="B323" s="0" t="s">
        <v>239</v>
      </c>
      <c r="C323" s="21" t="n">
        <f aca="false">a25_capex</f>
        <v>32.3554</v>
      </c>
      <c r="D323" s="21" t="n">
        <f aca="false">capex_26</f>
        <v>42</v>
      </c>
      <c r="E323" s="21" t="n">
        <f aca="false">m_cx*E316+$C$322*MAX(0,E316-D316)</f>
        <v>56.5205509414094</v>
      </c>
      <c r="F323" s="21" t="n">
        <f aca="false">m_cx*F316+$C$322*MAX(0,F316-E316)</f>
        <v>26.6827907815263</v>
      </c>
      <c r="G323" s="21" t="n">
        <f aca="false">m_cx*G316+$C$322*MAX(0,G316-F316)</f>
        <v>27.092898289718</v>
      </c>
      <c r="H323" s="8" t="s">
        <v>561</v>
      </c>
    </row>
    <row r="324" customFormat="false" ht="17.15" hidden="false" customHeight="false" outlineLevel="0" collapsed="false">
      <c r="A324" s="4" t="s">
        <v>562</v>
      </c>
      <c r="B324" s="0" t="s">
        <v>41</v>
      </c>
      <c r="C324" s="14" t="n">
        <f aca="false">C323/C316</f>
        <v>0.926197128266197</v>
      </c>
      <c r="D324" s="14" t="n">
        <f aca="false">D323/D316</f>
        <v>0.885340879225746</v>
      </c>
      <c r="E324" s="14" t="n">
        <f aca="false">E323/E316</f>
        <v>0.91848815610068</v>
      </c>
      <c r="F324" s="14" t="n">
        <f aca="false">F323/F316</f>
        <v>0.397503381555232</v>
      </c>
      <c r="G324" s="14" t="n">
        <f aca="false">G323/G316</f>
        <v>0.372795991605914</v>
      </c>
    </row>
    <row r="325" customFormat="false" ht="15" hidden="false" customHeight="false" outlineLevel="0" collapsed="false">
      <c r="A325" s="4" t="s">
        <v>563</v>
      </c>
      <c r="B325" s="0" t="s">
        <v>239</v>
      </c>
      <c r="C325" s="21" t="n">
        <f aca="false">a25_da</f>
        <v>7.5143841</v>
      </c>
      <c r="D325" s="21" t="n">
        <f aca="false">a26_da</f>
        <v>11.32770694</v>
      </c>
      <c r="E325" s="21" t="n">
        <f aca="false">D325*(1-ret)+dr*(D323+E323)/2</f>
        <v>16.1799518947775</v>
      </c>
      <c r="F325" s="21" t="n">
        <f aca="false">E325*(1-ret)+dr*(E323+F323)/2</f>
        <v>19.9471380948001</v>
      </c>
      <c r="G325" s="21" t="n">
        <f aca="false">F325*(1-ret)+dr*(F323+G323)/2</f>
        <v>21.9074440889785</v>
      </c>
    </row>
    <row r="326" customFormat="false" ht="17.15" hidden="false" customHeight="false" outlineLevel="0" collapsed="false">
      <c r="A326" s="4" t="s">
        <v>515</v>
      </c>
      <c r="B326" s="0" t="s">
        <v>41</v>
      </c>
      <c r="C326" s="14" t="n">
        <f aca="false">C325/C316</f>
        <v>0.215104773055168</v>
      </c>
      <c r="D326" s="14" t="n">
        <f aca="false">D325/D316</f>
        <v>0.238782905282647</v>
      </c>
      <c r="E326" s="14" t="n">
        <f aca="false">E325/E316</f>
        <v>0.262932578223402</v>
      </c>
      <c r="F326" s="14" t="n">
        <f aca="false">F325/F316</f>
        <v>0.297159877688726</v>
      </c>
      <c r="G326" s="14" t="n">
        <f aca="false">G325/G316</f>
        <v>0.301444579880969</v>
      </c>
    </row>
    <row r="327" customFormat="false" ht="17.15" hidden="false" customHeight="false" outlineLevel="0" collapsed="false">
      <c r="A327" s="4" t="s">
        <v>564</v>
      </c>
      <c r="B327" s="0" t="s">
        <v>239</v>
      </c>
      <c r="D327" s="16" t="n">
        <f aca="false">C325*(1-ret)+dr*(C323+D323)/2-D325</f>
        <v>-0.0994950449999994</v>
      </c>
      <c r="H327" s="4" t="s">
        <v>565</v>
      </c>
    </row>
    <row r="328" customFormat="false" ht="17.15" hidden="false" customHeight="false" outlineLevel="0" collapsed="false">
      <c r="A328" s="6" t="s">
        <v>566</v>
      </c>
    </row>
    <row r="329" customFormat="false" ht="17.15" hidden="false" customHeight="false" outlineLevel="0" collapsed="false">
      <c r="A329" s="4" t="s">
        <v>567</v>
      </c>
      <c r="B329" s="0" t="s">
        <v>239</v>
      </c>
      <c r="D329" s="21" t="n">
        <f aca="false">a26_cc-v_cc*a26_rev</f>
        <v>7.9821937335</v>
      </c>
      <c r="H329" s="8" t="s">
        <v>568</v>
      </c>
    </row>
    <row r="330" customFormat="false" ht="17.15" hidden="false" customHeight="false" outlineLevel="0" collapsed="false">
      <c r="A330" s="4" t="s">
        <v>569</v>
      </c>
      <c r="B330" s="0" t="s">
        <v>239</v>
      </c>
      <c r="C330" s="21" t="n">
        <f aca="false">a25_cc</f>
        <v>14.8984</v>
      </c>
      <c r="D330" s="21" t="n">
        <f aca="false">a26_cc</f>
        <v>17.4700646735</v>
      </c>
      <c r="E330" s="21" t="n">
        <f aca="false">$D$329+v_cc*(E314/E313+E315)</f>
        <v>20.3997014723838</v>
      </c>
      <c r="F330" s="21" t="n">
        <f aca="false">$D$329+v_cc*(F314/F313+F315)</f>
        <v>21.6588212867548</v>
      </c>
      <c r="G330" s="21" t="n">
        <f aca="false">$D$329+v_cc*(G314/G313+G315)</f>
        <v>22.8737334005666</v>
      </c>
      <c r="H330" s="4" t="s">
        <v>570</v>
      </c>
    </row>
    <row r="331" customFormat="false" ht="15" hidden="false" customHeight="false" outlineLevel="0" collapsed="false">
      <c r="A331" s="4" t="s">
        <v>571</v>
      </c>
      <c r="B331" s="0" t="s">
        <v>239</v>
      </c>
      <c r="C331" s="21" t="n">
        <f aca="false">C316-C330-C325</f>
        <v>12.5208159</v>
      </c>
      <c r="D331" s="21" t="n">
        <f aca="false">D316-D330-D325</f>
        <v>18.6415830865</v>
      </c>
      <c r="E331" s="21" t="n">
        <f aca="false">E316-E330-E325</f>
        <v>24.9568515578014</v>
      </c>
      <c r="F331" s="21" t="n">
        <f aca="false">F316-F330-F325</f>
        <v>25.5199872635526</v>
      </c>
      <c r="G331" s="21" t="n">
        <f aca="false">G316-G330-G325</f>
        <v>27.8936873152197</v>
      </c>
    </row>
    <row r="332" customFormat="false" ht="15" hidden="false" customHeight="false" outlineLevel="0" collapsed="false">
      <c r="A332" s="4" t="s">
        <v>421</v>
      </c>
      <c r="B332" s="0" t="s">
        <v>41</v>
      </c>
      <c r="C332" s="14" t="n">
        <f aca="false">C331/C316</f>
        <v>0.358417566468958</v>
      </c>
      <c r="D332" s="14" t="n">
        <f aca="false">D331/D316</f>
        <v>0.392956084760993</v>
      </c>
      <c r="E332" s="14" t="n">
        <f aca="false">E331/E316</f>
        <v>0.405561732637133</v>
      </c>
      <c r="F332" s="14" t="n">
        <f aca="false">F331/F316</f>
        <v>0.380180668415387</v>
      </c>
      <c r="G332" s="14" t="n">
        <f aca="false">G331/G316</f>
        <v>0.383814780944606</v>
      </c>
    </row>
    <row r="333" customFormat="false" ht="15" hidden="false" customHeight="false" outlineLevel="0" collapsed="false">
      <c r="A333" s="4" t="s">
        <v>572</v>
      </c>
      <c r="B333" s="0" t="s">
        <v>239</v>
      </c>
      <c r="C333" s="21" t="n">
        <f aca="false">a25_opx</f>
        <v>3.5197</v>
      </c>
      <c r="D333" s="21" t="n">
        <f aca="false">a26_opx</f>
        <v>6.1141318375</v>
      </c>
      <c r="E333" s="21" t="n">
        <f aca="false">D333*(1+MAX(0,phi*E317))</f>
        <v>7.20426262304964</v>
      </c>
      <c r="F333" s="21" t="n">
        <f aca="false">E333*(1+MAX(0,phi*F317))</f>
        <v>7.59688621566923</v>
      </c>
      <c r="G333" s="21" t="n">
        <f aca="false">F333*(1+MAX(0,phi*G317))</f>
        <v>7.97368090075737</v>
      </c>
    </row>
    <row r="334" customFormat="false" ht="15" hidden="false" customHeight="false" outlineLevel="0" collapsed="false">
      <c r="A334" s="4" t="s">
        <v>573</v>
      </c>
      <c r="B334" s="0" t="s">
        <v>239</v>
      </c>
      <c r="C334" s="21" t="n">
        <f aca="false">C333</f>
        <v>3.5197</v>
      </c>
      <c r="D334" s="21" t="n">
        <f aca="false">D333</f>
        <v>6.1141318375</v>
      </c>
      <c r="E334" s="21" t="n">
        <f aca="false">E333+0*E316</f>
        <v>7.20426262304964</v>
      </c>
      <c r="F334" s="21" t="n">
        <f aca="false">F333+0*F316</f>
        <v>7.59688621566923</v>
      </c>
      <c r="G334" s="21" t="n">
        <f aca="false">G333+0*G316</f>
        <v>7.97368090075737</v>
      </c>
    </row>
    <row r="335" customFormat="false" ht="15" hidden="false" customHeight="false" outlineLevel="0" collapsed="false">
      <c r="A335" s="4" t="s">
        <v>430</v>
      </c>
      <c r="B335" s="0" t="s">
        <v>239</v>
      </c>
      <c r="C335" s="21" t="n">
        <f aca="false">C331-C334</f>
        <v>9.0011159</v>
      </c>
      <c r="D335" s="21" t="n">
        <f aca="false">D331-D334</f>
        <v>12.527451249</v>
      </c>
      <c r="E335" s="21" t="n">
        <f aca="false">E331-E334</f>
        <v>17.7525889347517</v>
      </c>
      <c r="F335" s="21" t="n">
        <f aca="false">F331-F334</f>
        <v>17.9231010478834</v>
      </c>
      <c r="G335" s="21" t="n">
        <f aca="false">G331-G334</f>
        <v>19.9200064144623</v>
      </c>
    </row>
    <row r="336" customFormat="false" ht="15" hidden="false" customHeight="false" outlineLevel="0" collapsed="false">
      <c r="A336" s="4" t="s">
        <v>432</v>
      </c>
      <c r="B336" s="0" t="s">
        <v>41</v>
      </c>
      <c r="C336" s="14" t="n">
        <f aca="false">C335/C316</f>
        <v>0.25766356459111</v>
      </c>
      <c r="D336" s="14" t="n">
        <f aca="false">D335/D316</f>
        <v>0.264072969124936</v>
      </c>
      <c r="E336" s="14" t="n">
        <f aca="false">E335/E316</f>
        <v>0.288488742680449</v>
      </c>
      <c r="F336" s="14" t="n">
        <f aca="false">F335/F316</f>
        <v>0.267007050830019</v>
      </c>
      <c r="G336" s="14" t="n">
        <f aca="false">G335/G316</f>
        <v>0.274097605382216</v>
      </c>
    </row>
    <row r="337" customFormat="false" ht="17.15" hidden="false" customHeight="false" outlineLevel="0" collapsed="false">
      <c r="A337" s="0" t="s">
        <v>574</v>
      </c>
      <c r="B337" s="0" t="s">
        <v>239</v>
      </c>
      <c r="C337" s="21" t="n">
        <f aca="false">C335+C325</f>
        <v>16.5155</v>
      </c>
      <c r="D337" s="21" t="n">
        <f aca="false">D335+D325</f>
        <v>23.855158189</v>
      </c>
      <c r="E337" s="21" t="n">
        <f aca="false">E335+E325</f>
        <v>33.9325408295292</v>
      </c>
      <c r="F337" s="21" t="n">
        <f aca="false">F335+F325</f>
        <v>37.8702391426835</v>
      </c>
      <c r="G337" s="21" t="n">
        <f aca="false">G335+G325</f>
        <v>41.8274505034408</v>
      </c>
    </row>
    <row r="338" customFormat="false" ht="17.15" hidden="false" customHeight="false" outlineLevel="0" collapsed="false">
      <c r="A338" s="0" t="s">
        <v>575</v>
      </c>
      <c r="B338" s="0" t="s">
        <v>239</v>
      </c>
      <c r="C338" s="21" t="n">
        <f aca="false">C337-C323</f>
        <v>-15.8399</v>
      </c>
      <c r="D338" s="21" t="n">
        <f aca="false">D337-D323</f>
        <v>-18.144841811</v>
      </c>
      <c r="E338" s="21" t="n">
        <f aca="false">E337-E323</f>
        <v>-22.5880101118802</v>
      </c>
      <c r="F338" s="21" t="n">
        <f aca="false">F337-F323</f>
        <v>11.1874483611572</v>
      </c>
      <c r="G338" s="21" t="n">
        <f aca="false">G337-G323</f>
        <v>14.7345522137228</v>
      </c>
    </row>
    <row r="339" customFormat="false" ht="17.15" hidden="false" customHeight="false" outlineLevel="0" collapsed="false">
      <c r="A339" s="4" t="s">
        <v>433</v>
      </c>
      <c r="B339" s="0" t="s">
        <v>239</v>
      </c>
      <c r="C339" s="21" t="n">
        <f aca="false">a25_ni</f>
        <v>11.015</v>
      </c>
      <c r="D339" s="21" t="n">
        <f aca="false">a26_ni</f>
        <v>10.66608446065</v>
      </c>
      <c r="E339" s="21" t="n">
        <f aca="false">E335*nir_f</f>
        <v>14.9121747051914</v>
      </c>
      <c r="F339" s="21" t="n">
        <f aca="false">F335*nir_f</f>
        <v>15.055404880222</v>
      </c>
      <c r="G339" s="21" t="n">
        <f aca="false">G335*nir_f</f>
        <v>16.7328053881483</v>
      </c>
      <c r="H339" s="8" t="s">
        <v>438</v>
      </c>
    </row>
    <row r="340" customFormat="false" ht="17.15" hidden="false" customHeight="false" outlineLevel="0" collapsed="false">
      <c r="A340" s="4" t="s">
        <v>437</v>
      </c>
      <c r="B340" s="0" t="s">
        <v>41</v>
      </c>
      <c r="C340" s="14" t="n">
        <f aca="false">C339/C335</f>
        <v>1.22373715907824</v>
      </c>
      <c r="D340" s="14" t="n">
        <f aca="false">D339/D335</f>
        <v>0.851416960133963</v>
      </c>
      <c r="E340" s="14" t="n">
        <f aca="false">E339/E335</f>
        <v>0.84</v>
      </c>
      <c r="F340" s="14" t="n">
        <f aca="false">F339/F335</f>
        <v>0.84</v>
      </c>
      <c r="G340" s="14" t="n">
        <f aca="false">G339/G335</f>
        <v>0.84</v>
      </c>
    </row>
    <row r="341" customFormat="false" ht="15" hidden="false" customHeight="false" outlineLevel="0" collapsed="false">
      <c r="A341" s="4" t="s">
        <v>576</v>
      </c>
      <c r="B341" s="4" t="s">
        <v>294</v>
      </c>
      <c r="C341" s="27" t="n">
        <f aca="false">a25_sh</f>
        <v>1.22253052164262</v>
      </c>
      <c r="D341" s="27" t="n">
        <f aca="false">a26_sh</f>
        <v>1.28264705882353</v>
      </c>
      <c r="E341" s="27" t="n">
        <f aca="false">D341*(1+sh_g)</f>
        <v>1.28264705882353</v>
      </c>
      <c r="F341" s="27" t="n">
        <f aca="false">E341*(1+sh_g)</f>
        <v>1.28264705882353</v>
      </c>
      <c r="G341" s="27" t="n">
        <f aca="false">F341*(1+sh_g)</f>
        <v>1.28264705882353</v>
      </c>
    </row>
    <row r="342" customFormat="false" ht="15" hidden="false" customHeight="false" outlineLevel="0" collapsed="false">
      <c r="A342" s="0" t="s">
        <v>442</v>
      </c>
      <c r="B342" s="0" t="s">
        <v>315</v>
      </c>
      <c r="C342" s="21" t="n">
        <f aca="false">C339/C341</f>
        <v>9.01</v>
      </c>
      <c r="D342" s="21" t="n">
        <f aca="false">D339/D341</f>
        <v>8.31568153318276</v>
      </c>
      <c r="E342" s="21" t="n">
        <f aca="false">E339/E341</f>
        <v>11.6260935559851</v>
      </c>
      <c r="F342" s="21" t="n">
        <f aca="false">F339/F341</f>
        <v>11.7377611998979</v>
      </c>
      <c r="G342" s="21" t="n">
        <f aca="false">G339/G341</f>
        <v>13.0455258701455</v>
      </c>
    </row>
    <row r="343" customFormat="false" ht="17.15" hidden="false" customHeight="false" outlineLevel="0" collapsed="false">
      <c r="A343" s="0" t="s">
        <v>577</v>
      </c>
      <c r="B343" s="0" t="s">
        <v>41</v>
      </c>
      <c r="D343" s="14" t="n">
        <f aca="false">D342/C342-1</f>
        <v>-0.0770608731206708</v>
      </c>
      <c r="E343" s="14" t="n">
        <f aca="false">E342/D342-1</f>
        <v>0.398092689046894</v>
      </c>
      <c r="F343" s="14" t="n">
        <f aca="false">F342/E342-1</f>
        <v>0.00960491530324581</v>
      </c>
      <c r="G343" s="14" t="n">
        <f aca="false">G342/F342-1</f>
        <v>0.111415170915123</v>
      </c>
      <c r="H343" s="8" t="s">
        <v>578</v>
      </c>
    </row>
    <row r="346" customFormat="false" ht="17.15" hidden="false" customHeight="false" outlineLevel="0" collapsed="false">
      <c r="A346" s="1" t="s">
        <v>869</v>
      </c>
    </row>
    <row r="347" customFormat="false" ht="17.15" hidden="false" customHeight="false" outlineLevel="0" collapsed="false">
      <c r="A347" s="5" t="s">
        <v>17</v>
      </c>
      <c r="B347" s="5" t="s">
        <v>18</v>
      </c>
      <c r="C347" s="12" t="s">
        <v>409</v>
      </c>
      <c r="D347" s="12" t="s">
        <v>520</v>
      </c>
      <c r="E347" s="12" t="s">
        <v>521</v>
      </c>
      <c r="F347" s="12" t="s">
        <v>522</v>
      </c>
      <c r="G347" s="12" t="s">
        <v>523</v>
      </c>
      <c r="H347" s="5" t="s">
        <v>488</v>
      </c>
    </row>
    <row r="348" customFormat="false" ht="17.15" hidden="false" customHeight="false" outlineLevel="0" collapsed="false">
      <c r="A348" s="6" t="s">
        <v>543</v>
      </c>
    </row>
    <row r="349" customFormat="false" ht="17.15" hidden="false" customHeight="false" outlineLevel="0" collapsed="false">
      <c r="A349" s="0" t="s">
        <v>491</v>
      </c>
      <c r="B349" s="4" t="s">
        <v>28</v>
      </c>
      <c r="D349" s="16" t="n">
        <f aca="false">u_bw_26*tt_bw</f>
        <v>5.4</v>
      </c>
      <c r="E349" s="16" t="n">
        <f aca="false">u_bw_27*1*tt_bw</f>
        <v>2.4</v>
      </c>
      <c r="F349" s="16" t="n">
        <f aca="false">u_bw_28*um28_A*1*tt_bw</f>
        <v>0.5</v>
      </c>
      <c r="G349" s="16" t="n">
        <f aca="false">u_bw_28*(1+g29_bw)*um29_A*1*tt_bw</f>
        <v>0.25</v>
      </c>
    </row>
    <row r="350" customFormat="false" ht="17.15" hidden="false" customHeight="false" outlineLevel="0" collapsed="false">
      <c r="A350" s="0" t="s">
        <v>493</v>
      </c>
      <c r="B350" s="4" t="s">
        <v>28</v>
      </c>
      <c r="D350" s="16" t="n">
        <f aca="false">u_rb_26*tt_rb</f>
        <v>2.55</v>
      </c>
      <c r="E350" s="16" t="n">
        <f aca="false">u_rb_27*1*tt_rb</f>
        <v>10.5</v>
      </c>
      <c r="F350" s="16" t="n">
        <f aca="false">u_rb_28*um28_A*1*tt_rb</f>
        <v>10.5</v>
      </c>
      <c r="G350" s="16" t="n">
        <f aca="false">u_rb_28*(1+g29_rb)*um29_A*1*tt_rb</f>
        <v>12.075</v>
      </c>
    </row>
    <row r="351" customFormat="false" ht="17.15" hidden="false" customHeight="false" outlineLevel="0" collapsed="false">
      <c r="A351" s="0" t="s">
        <v>494</v>
      </c>
      <c r="B351" s="4" t="s">
        <v>28</v>
      </c>
      <c r="D351" s="16" t="n">
        <f aca="false">u_ru_26*tt_ru</f>
        <v>0</v>
      </c>
      <c r="E351" s="16" t="n">
        <f aca="false">u_ru_27*1*tt_ru</f>
        <v>0.6</v>
      </c>
      <c r="F351" s="16" t="n">
        <f aca="false">u_ru_28*um28_A*1*tt_ru</f>
        <v>4</v>
      </c>
      <c r="G351" s="16" t="n">
        <f aca="false">u_ru_28*(1+g29_ru)*um29_A*1*tt_ru</f>
        <v>4.6</v>
      </c>
    </row>
    <row r="352" customFormat="false" ht="17.15" hidden="false" customHeight="false" outlineLevel="0" collapsed="false">
      <c r="A352" s="0" t="s">
        <v>495</v>
      </c>
      <c r="B352" s="4" t="s">
        <v>28</v>
      </c>
      <c r="D352" s="16" t="n">
        <f aca="false">u_hp_26*tt_hp</f>
        <v>0.3</v>
      </c>
      <c r="E352" s="16" t="n">
        <f aca="false">u_hp_27*1*tt_hp</f>
        <v>0</v>
      </c>
      <c r="F352" s="16" t="n">
        <f aca="false">u_hp_28*um28_A*1*tt_hp</f>
        <v>0</v>
      </c>
      <c r="G352" s="16" t="n">
        <f aca="false">u_hp_28*(1+g29_hp)*um29_A*1*tt_hp</f>
        <v>0</v>
      </c>
    </row>
    <row r="353" customFormat="false" ht="17.15" hidden="false" customHeight="false" outlineLevel="0" collapsed="false">
      <c r="A353" s="0" t="s">
        <v>496</v>
      </c>
      <c r="B353" s="4" t="s">
        <v>28</v>
      </c>
      <c r="D353" s="16" t="n">
        <f aca="false">u_amd_26*tt_amd*ex_amd</f>
        <v>0.165</v>
      </c>
      <c r="E353" s="16" t="n">
        <f aca="false">u_amd_27*1*tt_amd*ex_amd</f>
        <v>0.33</v>
      </c>
      <c r="F353" s="16" t="n">
        <f aca="false">u_amd_28*um28_A*1*tt_amd*ex_amd</f>
        <v>0.44</v>
      </c>
      <c r="G353" s="16" t="n">
        <f aca="false">u_amd_28*(1+g29_amd)*um29_A*1*tt_amd*ex_amd</f>
        <v>0.506</v>
      </c>
    </row>
    <row r="354" customFormat="false" ht="17.15" hidden="false" customHeight="false" outlineLevel="0" collapsed="false">
      <c r="A354" s="0" t="s">
        <v>498</v>
      </c>
      <c r="B354" s="4" t="s">
        <v>28</v>
      </c>
      <c r="D354" s="16" t="n">
        <f aca="false">u_tpu_26*tt_tpu*ex_tpu</f>
        <v>1.7325</v>
      </c>
      <c r="E354" s="16" t="n">
        <f aca="false">u_tpu_27*1*tt_tpu*ex_tpu</f>
        <v>2.475</v>
      </c>
      <c r="F354" s="16" t="n">
        <f aca="false">u_tpu_28*um28_A*1*tt_tpu*ex_tpu</f>
        <v>3.15</v>
      </c>
      <c r="G354" s="16" t="n">
        <f aca="false">u_tpu_28*(1+g29_tpu)*um29_A*1*tt_tpu*ex_tpu</f>
        <v>3.6225</v>
      </c>
    </row>
    <row r="355" customFormat="false" ht="17.15" hidden="false" customHeight="false" outlineLevel="0" collapsed="false">
      <c r="A355" s="0" t="s">
        <v>499</v>
      </c>
      <c r="B355" s="4" t="s">
        <v>28</v>
      </c>
      <c r="D355" s="16" t="n">
        <f aca="false">u_trn_26*tt_trn*ex_trn</f>
        <v>0.64</v>
      </c>
      <c r="E355" s="16" t="n">
        <f aca="false">u_trn_27*1*tt_trn*ex_trn</f>
        <v>0.8</v>
      </c>
      <c r="F355" s="16" t="n">
        <f aca="false">u_trn_28*um28_A*1*tt_trn*ex_trn</f>
        <v>0.96</v>
      </c>
      <c r="G355" s="16" t="n">
        <f aca="false">u_trn_28*(1+g29_trn)*um29_A*1*tt_trn*ex_trn</f>
        <v>1.104</v>
      </c>
    </row>
    <row r="356" customFormat="false" ht="17.15" hidden="false" customHeight="false" outlineLevel="0" collapsed="false">
      <c r="A356" s="4" t="s">
        <v>500</v>
      </c>
      <c r="B356" s="4" t="s">
        <v>28</v>
      </c>
      <c r="D356" s="16" t="n">
        <f aca="false">u_oth_26*tt_oth*ex_oth</f>
        <v>0.28</v>
      </c>
      <c r="E356" s="16" t="n">
        <f aca="false">u_oth_27*1*tt_oth*ex_oth</f>
        <v>1.26</v>
      </c>
      <c r="F356" s="16" t="n">
        <f aca="false">u_oth_28*um28_A*1*tt_oth*ex_oth</f>
        <v>1.4</v>
      </c>
      <c r="G356" s="16" t="n">
        <f aca="false">u_oth_28*(1+g29_oth)*um29_A*1*tt_oth*ex_oth</f>
        <v>1.61</v>
      </c>
    </row>
    <row r="357" customFormat="false" ht="15" hidden="false" customHeight="false" outlineLevel="0" collapsed="false">
      <c r="A357" s="4" t="s">
        <v>489</v>
      </c>
      <c r="B357" s="4" t="s">
        <v>28</v>
      </c>
      <c r="D357" s="16" t="n">
        <f aca="false">u_bw_26+u_rb_26+u_ru_26+u_hp_26+u_amd_26+u_tpu_26+u_trn_26+u_oth_26</f>
        <v>15.2</v>
      </c>
      <c r="E357" s="16" t="n">
        <f aca="false">u_bw_27*1+u_rb_27*1+u_ru_27*1+u_hp_27*1+u_amd_27*1+u_tpu_27*1+u_trn_27*1+u_oth_27*1</f>
        <v>23.7</v>
      </c>
      <c r="F357" s="16" t="n">
        <f aca="false">u_bw_28*um28_A*1+u_rb_28*um28_A*1+u_ru_28*um28_A*1+u_hp_28*um28_A*1+u_amd_28*um28_A*1+u_tpu_28*um28_A*1+u_trn_28*um28_A*1+u_oth_28*um28_A*1</f>
        <v>26.5</v>
      </c>
      <c r="G35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58" customFormat="false" ht="17.15" hidden="false" customHeight="false" outlineLevel="0" collapsed="false">
      <c r="A358" s="0" t="s">
        <v>544</v>
      </c>
      <c r="B358" s="4" t="s">
        <v>28</v>
      </c>
      <c r="D358" s="16" t="n">
        <f aca="false">D349+D350+D351+D352</f>
        <v>8.25</v>
      </c>
      <c r="E358" s="16" t="n">
        <f aca="false">E349+E350+E351+E352</f>
        <v>13.5</v>
      </c>
      <c r="F358" s="16" t="n">
        <f aca="false">F349+F350+F351+F352</f>
        <v>15</v>
      </c>
      <c r="G358" s="16" t="n">
        <f aca="false">G349+G350+G351+G352</f>
        <v>16.925</v>
      </c>
    </row>
    <row r="359" customFormat="false" ht="17.15" hidden="false" customHeight="false" outlineLevel="0" collapsed="false">
      <c r="A359" s="0" t="s">
        <v>545</v>
      </c>
      <c r="B359" s="4" t="s">
        <v>28</v>
      </c>
      <c r="D359" s="16" t="n">
        <f aca="false">D353+D354+D355+D356</f>
        <v>2.8175</v>
      </c>
      <c r="E359" s="16" t="n">
        <f aca="false">E353+E354+E355+E356</f>
        <v>4.865</v>
      </c>
      <c r="F359" s="16" t="n">
        <f aca="false">F353+F354+F355+F356</f>
        <v>5.95</v>
      </c>
      <c r="G359" s="16" t="n">
        <f aca="false">G353+G354+G355+G356</f>
        <v>6.8425</v>
      </c>
    </row>
    <row r="360" customFormat="false" ht="15" hidden="false" customHeight="false" outlineLevel="0" collapsed="false">
      <c r="A360" s="4" t="s">
        <v>546</v>
      </c>
      <c r="B360" s="4" t="s">
        <v>28</v>
      </c>
      <c r="D360" s="16" t="n">
        <f aca="false">D358+D359</f>
        <v>11.0675</v>
      </c>
      <c r="E360" s="16" t="n">
        <f aca="false">E358+E359</f>
        <v>18.365</v>
      </c>
      <c r="F360" s="16" t="n">
        <f aca="false">F358+F359</f>
        <v>20.95</v>
      </c>
      <c r="G360" s="16" t="n">
        <f aca="false">G358+G359</f>
        <v>23.7675</v>
      </c>
    </row>
    <row r="361" customFormat="false" ht="17.15" hidden="false" customHeight="false" outlineLevel="0" collapsed="false">
      <c r="A361" s="0" t="s">
        <v>547</v>
      </c>
      <c r="B361" s="0" t="s">
        <v>239</v>
      </c>
      <c r="D361" s="21" t="n">
        <f aca="false">a26_rev*ai_26</f>
        <v>16.603774145</v>
      </c>
    </row>
    <row r="362" customFormat="false" ht="17.15" hidden="false" customHeight="false" outlineLevel="0" collapsed="false">
      <c r="A362" s="4" t="s">
        <v>548</v>
      </c>
      <c r="B362" s="0" t="s">
        <v>549</v>
      </c>
      <c r="D362" s="27" t="n">
        <f aca="false">D361/D360</f>
        <v>1.50022806821775</v>
      </c>
      <c r="H362" s="8" t="s">
        <v>550</v>
      </c>
    </row>
    <row r="363" customFormat="false" ht="17.15" hidden="false" customHeight="false" outlineLevel="0" collapsed="false">
      <c r="A363" s="4" t="s">
        <v>551</v>
      </c>
      <c r="B363" s="0" t="s">
        <v>131</v>
      </c>
      <c r="D363" s="16" t="n">
        <f aca="false">1</f>
        <v>1</v>
      </c>
      <c r="E363" s="16" t="n">
        <f aca="false">rel_27</f>
        <v>0.95</v>
      </c>
      <c r="F363" s="16" t="n">
        <f aca="false">rel_28</f>
        <v>0.92</v>
      </c>
      <c r="G363" s="16" t="n">
        <f aca="false">rel_29</f>
        <v>0.9</v>
      </c>
    </row>
    <row r="364" customFormat="false" ht="17.15" hidden="false" customHeight="false" outlineLevel="0" collapsed="false">
      <c r="A364" s="4" t="s">
        <v>552</v>
      </c>
      <c r="B364" s="0" t="s">
        <v>131</v>
      </c>
      <c r="D364" s="16" t="n">
        <f aca="false">1</f>
        <v>1</v>
      </c>
      <c r="E364" s="16" t="n">
        <f aca="false">PPLO_27</f>
        <v>0.95</v>
      </c>
      <c r="F364" s="16" t="n">
        <f aca="false">PPLO_28</f>
        <v>0.9</v>
      </c>
      <c r="G364" s="16" t="n">
        <f aca="false">PPLO_29</f>
        <v>0.88</v>
      </c>
    </row>
    <row r="365" customFormat="false" ht="17.15" hidden="false" customHeight="false" outlineLevel="0" collapsed="false">
      <c r="A365" s="0" t="s">
        <v>553</v>
      </c>
      <c r="B365" s="0" t="s">
        <v>239</v>
      </c>
      <c r="C365" s="21" t="n">
        <f aca="false">a25_rev*ai_25</f>
        <v>9.60674</v>
      </c>
      <c r="D365" s="21" t="n">
        <f aca="false">D361</f>
        <v>16.603774145</v>
      </c>
      <c r="E365" s="21" t="n">
        <f aca="false">$D$362*E360*E363*E364</f>
        <v>24.8653988467192</v>
      </c>
      <c r="F365" s="21" t="n">
        <f aca="false">$D$362*F360*F363*F364</f>
        <v>26.0238562081461</v>
      </c>
      <c r="G365" s="21" t="n">
        <f aca="false">$D$362*G360*G363*G364</f>
        <v>28.2400831242015</v>
      </c>
    </row>
    <row r="366" customFormat="false" ht="17.15" hidden="false" customHeight="false" outlineLevel="0" collapsed="false">
      <c r="A366" s="4" t="s">
        <v>554</v>
      </c>
      <c r="B366" s="0" t="s">
        <v>239</v>
      </c>
      <c r="C366" s="21" t="n">
        <f aca="false">a25_rev-C365</f>
        <v>25.32686</v>
      </c>
      <c r="D366" s="21" t="n">
        <f aca="false">a26_rev-D365</f>
        <v>30.835580555</v>
      </c>
      <c r="E366" s="21" t="n">
        <f aca="false">D366*(1+g_nai27)</f>
        <v>34.5358502216</v>
      </c>
      <c r="F366" s="21" t="n">
        <f aca="false">E366*(1+g_nai28)</f>
        <v>36.953359737112</v>
      </c>
      <c r="G366" s="21" t="n">
        <f aca="false">F366*(1+g_nai29)</f>
        <v>38.8010277239676</v>
      </c>
    </row>
    <row r="367" customFormat="false" ht="15" hidden="false" customHeight="false" outlineLevel="0" collapsed="false">
      <c r="A367" s="4" t="s">
        <v>414</v>
      </c>
      <c r="B367" s="0" t="s">
        <v>239</v>
      </c>
      <c r="C367" s="21" t="n">
        <f aca="false">C365+C366</f>
        <v>34.9336</v>
      </c>
      <c r="D367" s="21" t="n">
        <f aca="false">D365+D366</f>
        <v>47.4393547</v>
      </c>
      <c r="E367" s="21" t="n">
        <f aca="false">E365+E366</f>
        <v>59.4012490683192</v>
      </c>
      <c r="F367" s="21" t="n">
        <f aca="false">F365+F366</f>
        <v>62.9772159452581</v>
      </c>
      <c r="G367" s="21" t="n">
        <f aca="false">G365+G366</f>
        <v>67.0411108481691</v>
      </c>
    </row>
    <row r="368" customFormat="false" ht="15" hidden="false" customHeight="false" outlineLevel="0" collapsed="false">
      <c r="A368" s="4" t="s">
        <v>555</v>
      </c>
      <c r="B368" s="0" t="s">
        <v>41</v>
      </c>
      <c r="D368" s="14" t="n">
        <f aca="false">D367/C367-1</f>
        <v>0.357986428538713</v>
      </c>
      <c r="E368" s="14" t="n">
        <f aca="false">E367/D367-1</f>
        <v>0.252151287553648</v>
      </c>
      <c r="F368" s="14" t="n">
        <f aca="false">F367/E367-1</f>
        <v>0.0602001966798049</v>
      </c>
      <c r="G368" s="14" t="n">
        <f aca="false">G367/F367-1</f>
        <v>0.0645296055393023</v>
      </c>
    </row>
    <row r="369" customFormat="false" ht="17.15" hidden="false" customHeight="false" outlineLevel="0" collapsed="false">
      <c r="A369" s="0" t="s">
        <v>556</v>
      </c>
      <c r="B369" s="0" t="s">
        <v>41</v>
      </c>
      <c r="C369" s="14" t="n">
        <f aca="false">C365/C367</f>
        <v>0.275</v>
      </c>
      <c r="D369" s="14" t="n">
        <f aca="false">D365/D367</f>
        <v>0.35</v>
      </c>
      <c r="E369" s="14" t="n">
        <f aca="false">E365/E367</f>
        <v>0.418600605824311</v>
      </c>
      <c r="F369" s="14" t="n">
        <f aca="false">F365/F367</f>
        <v>0.413226526729395</v>
      </c>
      <c r="G369" s="14" t="n">
        <f aca="false">G365/G367</f>
        <v>0.421235310198812</v>
      </c>
    </row>
    <row r="370" customFormat="false" ht="17.15" hidden="false" customHeight="false" outlineLevel="0" collapsed="false">
      <c r="A370" s="0" t="s">
        <v>502</v>
      </c>
      <c r="B370" s="0" t="s">
        <v>41</v>
      </c>
      <c r="D370" s="14" t="n">
        <f aca="false">D358/D360</f>
        <v>0.745425796250282</v>
      </c>
      <c r="E370" s="14" t="n">
        <f aca="false">E358/E360</f>
        <v>0.735093928668663</v>
      </c>
      <c r="F370" s="14" t="n">
        <f aca="false">F358/F360</f>
        <v>0.715990453460621</v>
      </c>
      <c r="G370" s="14" t="n">
        <f aca="false">G358/G360</f>
        <v>0.71210686862312</v>
      </c>
    </row>
    <row r="371" customFormat="false" ht="17.15" hidden="false" customHeight="false" outlineLevel="0" collapsed="false">
      <c r="A371" s="4" t="s">
        <v>506</v>
      </c>
      <c r="B371" s="0" t="s">
        <v>507</v>
      </c>
      <c r="D371" s="22" t="n">
        <f aca="false">D365/D360/fx*1000</f>
        <v>46.8821271318048</v>
      </c>
      <c r="E371" s="22" t="n">
        <f aca="false">E365/E360/fx*1000</f>
        <v>42.3111197364539</v>
      </c>
      <c r="F371" s="22" t="n">
        <f aca="false">F365/F360/fx*1000</f>
        <v>38.8184012651344</v>
      </c>
      <c r="G371" s="22" t="n">
        <f aca="false">G365/G360/fx*1000</f>
        <v>37.1306446883894</v>
      </c>
      <c r="H371" s="4" t="s">
        <v>557</v>
      </c>
    </row>
    <row r="372" customFormat="false" ht="17.15" hidden="false" customHeight="false" outlineLevel="0" collapsed="false">
      <c r="A372" s="6" t="s">
        <v>558</v>
      </c>
    </row>
    <row r="373" customFormat="false" ht="17.15" hidden="false" customHeight="false" outlineLevel="0" collapsed="false">
      <c r="A373" s="0" t="s">
        <v>559</v>
      </c>
      <c r="B373" s="0" t="s">
        <v>131</v>
      </c>
      <c r="C373" s="16" t="n">
        <f aca="false">(a25_capex-m_cx*a25_rev)/(a25_rev-rev24)</f>
        <v>3.57284271254522</v>
      </c>
      <c r="H373" s="8" t="s">
        <v>560</v>
      </c>
    </row>
    <row r="374" customFormat="false" ht="17.15" hidden="false" customHeight="false" outlineLevel="0" collapsed="false">
      <c r="A374" s="4" t="s">
        <v>511</v>
      </c>
      <c r="B374" s="0" t="s">
        <v>239</v>
      </c>
      <c r="C374" s="21" t="n">
        <f aca="false">a25_capex</f>
        <v>32.3554</v>
      </c>
      <c r="D374" s="21" t="n">
        <f aca="false">capex_26</f>
        <v>42</v>
      </c>
      <c r="E374" s="21" t="n">
        <f aca="false">m_cx*E367+$C$373*MAX(0,E367-D367)</f>
        <v>48.6780920289169</v>
      </c>
      <c r="F374" s="21" t="n">
        <f aca="false">m_cx*F367+$C$373*MAX(0,F367-E367)</f>
        <v>19.0740887911</v>
      </c>
      <c r="G374" s="21" t="n">
        <f aca="false">m_cx*G367+$C$373*MAX(0,G367-F367)</f>
        <v>21.223768373232</v>
      </c>
      <c r="H374" s="8" t="s">
        <v>561</v>
      </c>
    </row>
    <row r="375" customFormat="false" ht="17.15" hidden="false" customHeight="false" outlineLevel="0" collapsed="false">
      <c r="A375" s="4" t="s">
        <v>562</v>
      </c>
      <c r="B375" s="0" t="s">
        <v>41</v>
      </c>
      <c r="C375" s="14" t="n">
        <f aca="false">C374/C367</f>
        <v>0.926197128266197</v>
      </c>
      <c r="D375" s="14" t="n">
        <f aca="false">D374/D367</f>
        <v>0.885340879225746</v>
      </c>
      <c r="E375" s="14" t="n">
        <f aca="false">E374/E367</f>
        <v>0.81947926672267</v>
      </c>
      <c r="F375" s="14" t="n">
        <f aca="false">F374/F367</f>
        <v>0.302872848613693</v>
      </c>
      <c r="G375" s="14" t="n">
        <f aca="false">G374/G367</f>
        <v>0.316578411436207</v>
      </c>
    </row>
    <row r="376" customFormat="false" ht="15" hidden="false" customHeight="false" outlineLevel="0" collapsed="false">
      <c r="A376" s="4" t="s">
        <v>563</v>
      </c>
      <c r="B376" s="0" t="s">
        <v>239</v>
      </c>
      <c r="C376" s="21" t="n">
        <f aca="false">a25_da</f>
        <v>7.5143841</v>
      </c>
      <c r="D376" s="21" t="n">
        <f aca="false">a26_da</f>
        <v>11.32770694</v>
      </c>
      <c r="E376" s="21" t="n">
        <f aca="false">D376*(1-ret)+dr*(D374+E374)/2</f>
        <v>15.7486166545904</v>
      </c>
      <c r="F376" s="21" t="n">
        <f aca="false">E376*(1-ret)+dr*(E374+F374)/2</f>
        <v>18.6875557669618</v>
      </c>
      <c r="G376" s="21" t="n">
        <f aca="false">F376*(1-ret)+dr*(F374+G374)/2</f>
        <v>19.969560122652</v>
      </c>
    </row>
    <row r="377" customFormat="false" ht="17.15" hidden="false" customHeight="false" outlineLevel="0" collapsed="false">
      <c r="A377" s="4" t="s">
        <v>515</v>
      </c>
      <c r="B377" s="0" t="s">
        <v>41</v>
      </c>
      <c r="C377" s="14" t="n">
        <f aca="false">C376/C367</f>
        <v>0.215104773055168</v>
      </c>
      <c r="D377" s="14" t="n">
        <f aca="false">D376/D367</f>
        <v>0.238782905282647</v>
      </c>
      <c r="E377" s="14" t="n">
        <f aca="false">E376/E367</f>
        <v>0.265122651486292</v>
      </c>
      <c r="F377" s="14" t="n">
        <f aca="false">F376/F367</f>
        <v>0.296735184089524</v>
      </c>
      <c r="G377" s="14" t="n">
        <f aca="false">G376/G367</f>
        <v>0.297870364467527</v>
      </c>
    </row>
    <row r="378" customFormat="false" ht="17.15" hidden="false" customHeight="false" outlineLevel="0" collapsed="false">
      <c r="A378" s="4" t="s">
        <v>564</v>
      </c>
      <c r="B378" s="0" t="s">
        <v>239</v>
      </c>
      <c r="D378" s="16" t="n">
        <f aca="false">C376*(1-ret)+dr*(C374+D374)/2-D376</f>
        <v>-0.0994950449999994</v>
      </c>
      <c r="H378" s="4" t="s">
        <v>565</v>
      </c>
    </row>
    <row r="379" customFormat="false" ht="17.15" hidden="false" customHeight="false" outlineLevel="0" collapsed="false">
      <c r="A379" s="6" t="s">
        <v>566</v>
      </c>
    </row>
    <row r="380" customFormat="false" ht="17.15" hidden="false" customHeight="false" outlineLevel="0" collapsed="false">
      <c r="A380" s="4" t="s">
        <v>567</v>
      </c>
      <c r="B380" s="0" t="s">
        <v>239</v>
      </c>
      <c r="D380" s="21" t="n">
        <f aca="false">a26_cc-v_cc*a26_rev</f>
        <v>7.9821937335</v>
      </c>
      <c r="H380" s="8" t="s">
        <v>568</v>
      </c>
    </row>
    <row r="381" customFormat="false" ht="17.15" hidden="false" customHeight="false" outlineLevel="0" collapsed="false">
      <c r="A381" s="4" t="s">
        <v>569</v>
      </c>
      <c r="B381" s="0" t="s">
        <v>239</v>
      </c>
      <c r="C381" s="21" t="n">
        <f aca="false">a25_cc</f>
        <v>14.8984</v>
      </c>
      <c r="D381" s="21" t="n">
        <f aca="false">a26_cc</f>
        <v>17.4700646735</v>
      </c>
      <c r="E381" s="21" t="n">
        <f aca="false">$D$380+v_cc*(E365/E364+E366)</f>
        <v>20.1241845876556</v>
      </c>
      <c r="F381" s="21" t="n">
        <f aca="false">$D$380+v_cc*(F365/F364+F366)</f>
        <v>21.1559448382882</v>
      </c>
      <c r="G381" s="21" t="n">
        <f aca="false">$D$380+v_cc*(G365/G364+G366)</f>
        <v>22.1605999883393</v>
      </c>
      <c r="H381" s="4" t="s">
        <v>570</v>
      </c>
    </row>
    <row r="382" customFormat="false" ht="15" hidden="false" customHeight="false" outlineLevel="0" collapsed="false">
      <c r="A382" s="4" t="s">
        <v>571</v>
      </c>
      <c r="B382" s="0" t="s">
        <v>239</v>
      </c>
      <c r="C382" s="21" t="n">
        <f aca="false">C367-C381-C376</f>
        <v>12.5208159</v>
      </c>
      <c r="D382" s="21" t="n">
        <f aca="false">D367-D381-D376</f>
        <v>18.6415830865</v>
      </c>
      <c r="E382" s="21" t="n">
        <f aca="false">E367-E381-E376</f>
        <v>23.5284478260732</v>
      </c>
      <c r="F382" s="21" t="n">
        <f aca="false">F367-F381-F376</f>
        <v>23.1337153400081</v>
      </c>
      <c r="G382" s="21" t="n">
        <f aca="false">G367-G381-G376</f>
        <v>24.9109507371778</v>
      </c>
    </row>
    <row r="383" customFormat="false" ht="15" hidden="false" customHeight="false" outlineLevel="0" collapsed="false">
      <c r="A383" s="4" t="s">
        <v>421</v>
      </c>
      <c r="B383" s="0" t="s">
        <v>41</v>
      </c>
      <c r="C383" s="14" t="n">
        <f aca="false">C382/C367</f>
        <v>0.358417566468958</v>
      </c>
      <c r="D383" s="14" t="n">
        <f aca="false">D382/D367</f>
        <v>0.392956084760993</v>
      </c>
      <c r="E383" s="14" t="n">
        <f aca="false">E382/E367</f>
        <v>0.396093486165794</v>
      </c>
      <c r="F383" s="14" t="n">
        <f aca="false">F382/F367</f>
        <v>0.367334677990794</v>
      </c>
      <c r="G383" s="14" t="n">
        <f aca="false">G382/G367</f>
        <v>0.371577237041831</v>
      </c>
    </row>
    <row r="384" customFormat="false" ht="15" hidden="false" customHeight="false" outlineLevel="0" collapsed="false">
      <c r="A384" s="4" t="s">
        <v>572</v>
      </c>
      <c r="B384" s="0" t="s">
        <v>239</v>
      </c>
      <c r="C384" s="21" t="n">
        <f aca="false">a25_opx</f>
        <v>3.5197</v>
      </c>
      <c r="D384" s="21" t="n">
        <f aca="false">a26_opx</f>
        <v>6.1141318375</v>
      </c>
      <c r="E384" s="21" t="n">
        <f aca="false">D384*(1+MAX(0,phi*E368))</f>
        <v>7.03914356655903</v>
      </c>
      <c r="F384" s="21" t="n">
        <f aca="false">E384*(1+MAX(0,phi*F368))</f>
        <v>7.29339826285757</v>
      </c>
      <c r="G384" s="21" t="n">
        <f aca="false">F384*(1+MAX(0,phi*G368))</f>
        <v>7.57578233062351</v>
      </c>
    </row>
    <row r="385" customFormat="false" ht="15" hidden="false" customHeight="false" outlineLevel="0" collapsed="false">
      <c r="A385" s="4" t="s">
        <v>573</v>
      </c>
      <c r="B385" s="0" t="s">
        <v>239</v>
      </c>
      <c r="C385" s="21" t="n">
        <f aca="false">C384</f>
        <v>3.5197</v>
      </c>
      <c r="D385" s="21" t="n">
        <f aca="false">D384</f>
        <v>6.1141318375</v>
      </c>
      <c r="E385" s="21" t="n">
        <f aca="false">E384+0*E367</f>
        <v>7.03914356655903</v>
      </c>
      <c r="F385" s="21" t="n">
        <f aca="false">F384+0*F367</f>
        <v>7.29339826285757</v>
      </c>
      <c r="G385" s="21" t="n">
        <f aca="false">G384+0*G367</f>
        <v>7.57578233062351</v>
      </c>
    </row>
    <row r="386" customFormat="false" ht="15" hidden="false" customHeight="false" outlineLevel="0" collapsed="false">
      <c r="A386" s="4" t="s">
        <v>430</v>
      </c>
      <c r="B386" s="0" t="s">
        <v>239</v>
      </c>
      <c r="C386" s="21" t="n">
        <f aca="false">C382-C385</f>
        <v>9.0011159</v>
      </c>
      <c r="D386" s="21" t="n">
        <f aca="false">D382-D385</f>
        <v>12.527451249</v>
      </c>
      <c r="E386" s="21" t="n">
        <f aca="false">E382-E385</f>
        <v>16.4893042595141</v>
      </c>
      <c r="F386" s="21" t="n">
        <f aca="false">F382-F385</f>
        <v>15.8403170771505</v>
      </c>
      <c r="G386" s="21" t="n">
        <f aca="false">G382-G385</f>
        <v>17.3351684065543</v>
      </c>
    </row>
    <row r="387" customFormat="false" ht="15" hidden="false" customHeight="false" outlineLevel="0" collapsed="false">
      <c r="A387" s="4" t="s">
        <v>432</v>
      </c>
      <c r="B387" s="0" t="s">
        <v>41</v>
      </c>
      <c r="C387" s="14" t="n">
        <f aca="false">C386/C367</f>
        <v>0.25766356459111</v>
      </c>
      <c r="D387" s="14" t="n">
        <f aca="false">D386/D367</f>
        <v>0.264072969124936</v>
      </c>
      <c r="E387" s="14" t="n">
        <f aca="false">E386/E367</f>
        <v>0.27759187758071</v>
      </c>
      <c r="F387" s="14" t="n">
        <f aca="false">F386/F367</f>
        <v>0.251524568677654</v>
      </c>
      <c r="G387" s="14" t="n">
        <f aca="false">G386/G367</f>
        <v>0.258575196431544</v>
      </c>
    </row>
    <row r="388" customFormat="false" ht="17.15" hidden="false" customHeight="false" outlineLevel="0" collapsed="false">
      <c r="A388" s="0" t="s">
        <v>574</v>
      </c>
      <c r="B388" s="0" t="s">
        <v>239</v>
      </c>
      <c r="C388" s="21" t="n">
        <f aca="false">C386+C376</f>
        <v>16.5155</v>
      </c>
      <c r="D388" s="21" t="n">
        <f aca="false">D386+D376</f>
        <v>23.855158189</v>
      </c>
      <c r="E388" s="21" t="n">
        <f aca="false">E386+E376</f>
        <v>32.2379209141046</v>
      </c>
      <c r="F388" s="21" t="n">
        <f aca="false">F386+F376</f>
        <v>34.5278728441123</v>
      </c>
      <c r="G388" s="21" t="n">
        <f aca="false">G386+G376</f>
        <v>37.3047285292063</v>
      </c>
    </row>
    <row r="389" customFormat="false" ht="17.15" hidden="false" customHeight="false" outlineLevel="0" collapsed="false">
      <c r="A389" s="0" t="s">
        <v>575</v>
      </c>
      <c r="B389" s="0" t="s">
        <v>239</v>
      </c>
      <c r="C389" s="21" t="n">
        <f aca="false">C388-C374</f>
        <v>-15.8399</v>
      </c>
      <c r="D389" s="21" t="n">
        <f aca="false">D388-D374</f>
        <v>-18.144841811</v>
      </c>
      <c r="E389" s="21" t="n">
        <f aca="false">E388-E374</f>
        <v>-16.4401711148123</v>
      </c>
      <c r="F389" s="21" t="n">
        <f aca="false">F388-F374</f>
        <v>15.4537840530123</v>
      </c>
      <c r="G389" s="21" t="n">
        <f aca="false">G388-G374</f>
        <v>16.0809601559743</v>
      </c>
    </row>
    <row r="390" customFormat="false" ht="17.15" hidden="false" customHeight="false" outlineLevel="0" collapsed="false">
      <c r="A390" s="4" t="s">
        <v>433</v>
      </c>
      <c r="B390" s="0" t="s">
        <v>239</v>
      </c>
      <c r="C390" s="21" t="n">
        <f aca="false">a25_ni</f>
        <v>11.015</v>
      </c>
      <c r="D390" s="21" t="n">
        <f aca="false">a26_ni</f>
        <v>10.66608446065</v>
      </c>
      <c r="E390" s="21" t="n">
        <f aca="false">E386*nir_f</f>
        <v>13.8510155779919</v>
      </c>
      <c r="F390" s="21" t="n">
        <f aca="false">F386*nir_f</f>
        <v>13.3058663448064</v>
      </c>
      <c r="G390" s="21" t="n">
        <f aca="false">G386*nir_f</f>
        <v>14.5615414615056</v>
      </c>
      <c r="H390" s="8" t="s">
        <v>438</v>
      </c>
    </row>
    <row r="391" customFormat="false" ht="17.15" hidden="false" customHeight="false" outlineLevel="0" collapsed="false">
      <c r="A391" s="4" t="s">
        <v>437</v>
      </c>
      <c r="B391" s="0" t="s">
        <v>41</v>
      </c>
      <c r="C391" s="14" t="n">
        <f aca="false">C390/C386</f>
        <v>1.22373715907824</v>
      </c>
      <c r="D391" s="14" t="n">
        <f aca="false">D390/D386</f>
        <v>0.851416960133963</v>
      </c>
      <c r="E391" s="14" t="n">
        <f aca="false">E390/E386</f>
        <v>0.84</v>
      </c>
      <c r="F391" s="14" t="n">
        <f aca="false">F390/F386</f>
        <v>0.84</v>
      </c>
      <c r="G391" s="14" t="n">
        <f aca="false">G390/G386</f>
        <v>0.84</v>
      </c>
    </row>
    <row r="392" customFormat="false" ht="15" hidden="false" customHeight="false" outlineLevel="0" collapsed="false">
      <c r="A392" s="4" t="s">
        <v>576</v>
      </c>
      <c r="B392" s="4" t="s">
        <v>294</v>
      </c>
      <c r="C392" s="27" t="n">
        <f aca="false">a25_sh</f>
        <v>1.22253052164262</v>
      </c>
      <c r="D392" s="27" t="n">
        <f aca="false">a26_sh</f>
        <v>1.28264705882353</v>
      </c>
      <c r="E392" s="27" t="n">
        <f aca="false">D392*(1+sh_g)</f>
        <v>1.28264705882353</v>
      </c>
      <c r="F392" s="27" t="n">
        <f aca="false">E392*(1+sh_g)</f>
        <v>1.28264705882353</v>
      </c>
      <c r="G392" s="27" t="n">
        <f aca="false">F392*(1+sh_g)</f>
        <v>1.28264705882353</v>
      </c>
    </row>
    <row r="393" customFormat="false" ht="15" hidden="false" customHeight="false" outlineLevel="0" collapsed="false">
      <c r="A393" s="0" t="s">
        <v>442</v>
      </c>
      <c r="B393" s="0" t="s">
        <v>315</v>
      </c>
      <c r="C393" s="21" t="n">
        <f aca="false">C390/C392</f>
        <v>9.01</v>
      </c>
      <c r="D393" s="21" t="n">
        <f aca="false">D390/D392</f>
        <v>8.31568153318276</v>
      </c>
      <c r="E393" s="21" t="n">
        <f aca="false">E390/E392</f>
        <v>10.7987738970815</v>
      </c>
      <c r="F393" s="21" t="n">
        <f aca="false">F390/F392</f>
        <v>10.3737550039766</v>
      </c>
      <c r="G393" s="21" t="n">
        <f aca="false">G390/G392</f>
        <v>11.3527266611142</v>
      </c>
    </row>
    <row r="394" customFormat="false" ht="17.15" hidden="false" customHeight="false" outlineLevel="0" collapsed="false">
      <c r="A394" s="0" t="s">
        <v>577</v>
      </c>
      <c r="B394" s="0" t="s">
        <v>41</v>
      </c>
      <c r="D394" s="14" t="n">
        <f aca="false">D393/C393-1</f>
        <v>-0.0770608731206708</v>
      </c>
      <c r="E394" s="14" t="n">
        <f aca="false">E393/D393-1</f>
        <v>0.298603590576459</v>
      </c>
      <c r="F394" s="14" t="n">
        <f aca="false">F393/E393-1</f>
        <v>-0.0393580694582171</v>
      </c>
      <c r="G394" s="14" t="n">
        <f aca="false">G393/F393-1</f>
        <v>0.0943700383094008</v>
      </c>
      <c r="H394" s="8" t="s">
        <v>578</v>
      </c>
    </row>
    <row r="397" customFormat="false" ht="17.15" hidden="false" customHeight="false" outlineLevel="0" collapsed="false">
      <c r="A397" s="1" t="s">
        <v>870</v>
      </c>
    </row>
    <row r="398" customFormat="false" ht="17.15" hidden="false" customHeight="false" outlineLevel="0" collapsed="false">
      <c r="A398" s="5" t="s">
        <v>17</v>
      </c>
      <c r="B398" s="5" t="s">
        <v>18</v>
      </c>
      <c r="C398" s="12" t="s">
        <v>409</v>
      </c>
      <c r="D398" s="12" t="s">
        <v>520</v>
      </c>
      <c r="E398" s="12" t="s">
        <v>521</v>
      </c>
      <c r="F398" s="12" t="s">
        <v>522</v>
      </c>
      <c r="G398" s="12" t="s">
        <v>523</v>
      </c>
      <c r="H398" s="5" t="s">
        <v>488</v>
      </c>
    </row>
    <row r="399" customFormat="false" ht="17.15" hidden="false" customHeight="false" outlineLevel="0" collapsed="false">
      <c r="A399" s="6" t="s">
        <v>543</v>
      </c>
    </row>
    <row r="400" customFormat="false" ht="17.15" hidden="false" customHeight="false" outlineLevel="0" collapsed="false">
      <c r="A400" s="0" t="s">
        <v>491</v>
      </c>
      <c r="B400" s="4" t="s">
        <v>28</v>
      </c>
      <c r="D400" s="16" t="n">
        <f aca="false">u_bw_26*tt_bw</f>
        <v>5.4</v>
      </c>
      <c r="E400" s="16" t="n">
        <f aca="false">u_bw_27*1*tt_bw</f>
        <v>2.4</v>
      </c>
      <c r="F400" s="16" t="n">
        <f aca="false">u_bw_28*um28_A*1*tt_bw</f>
        <v>0.5</v>
      </c>
      <c r="G400" s="16" t="n">
        <f aca="false">u_bw_28*(1+g29_bw)*um29_A*1*tt_bw</f>
        <v>0.25</v>
      </c>
    </row>
    <row r="401" customFormat="false" ht="17.15" hidden="false" customHeight="false" outlineLevel="0" collapsed="false">
      <c r="A401" s="0" t="s">
        <v>493</v>
      </c>
      <c r="B401" s="4" t="s">
        <v>28</v>
      </c>
      <c r="D401" s="16" t="n">
        <f aca="false">u_rb_26*tt_rb</f>
        <v>2.55</v>
      </c>
      <c r="E401" s="16" t="n">
        <f aca="false">u_rb_27*1*tt_rb</f>
        <v>10.5</v>
      </c>
      <c r="F401" s="16" t="n">
        <f aca="false">u_rb_28*um28_A*1*tt_rb</f>
        <v>10.5</v>
      </c>
      <c r="G401" s="16" t="n">
        <f aca="false">u_rb_28*(1+g29_rb)*um29_A*1*tt_rb</f>
        <v>12.075</v>
      </c>
    </row>
    <row r="402" customFormat="false" ht="17.15" hidden="false" customHeight="false" outlineLevel="0" collapsed="false">
      <c r="A402" s="0" t="s">
        <v>494</v>
      </c>
      <c r="B402" s="4" t="s">
        <v>28</v>
      </c>
      <c r="D402" s="16" t="n">
        <f aca="false">u_ru_26*tt_ru</f>
        <v>0</v>
      </c>
      <c r="E402" s="16" t="n">
        <f aca="false">u_ru_27*1*tt_ru</f>
        <v>0.6</v>
      </c>
      <c r="F402" s="16" t="n">
        <f aca="false">u_ru_28*um28_A*1*tt_ru</f>
        <v>4</v>
      </c>
      <c r="G402" s="16" t="n">
        <f aca="false">u_ru_28*(1+g29_ru)*um29_A*1*tt_ru</f>
        <v>4.6</v>
      </c>
    </row>
    <row r="403" customFormat="false" ht="17.15" hidden="false" customHeight="false" outlineLevel="0" collapsed="false">
      <c r="A403" s="0" t="s">
        <v>495</v>
      </c>
      <c r="B403" s="4" t="s">
        <v>28</v>
      </c>
      <c r="D403" s="16" t="n">
        <f aca="false">u_hp_26*tt_hp</f>
        <v>0.3</v>
      </c>
      <c r="E403" s="16" t="n">
        <f aca="false">u_hp_27*1*tt_hp</f>
        <v>0</v>
      </c>
      <c r="F403" s="16" t="n">
        <f aca="false">u_hp_28*um28_A*1*tt_hp</f>
        <v>0</v>
      </c>
      <c r="G403" s="16" t="n">
        <f aca="false">u_hp_28*(1+g29_hp)*um29_A*1*tt_hp</f>
        <v>0</v>
      </c>
    </row>
    <row r="404" customFormat="false" ht="17.15" hidden="false" customHeight="false" outlineLevel="0" collapsed="false">
      <c r="A404" s="0" t="s">
        <v>496</v>
      </c>
      <c r="B404" s="4" t="s">
        <v>28</v>
      </c>
      <c r="D404" s="16" t="n">
        <f aca="false">u_amd_26*tt_amd*ex_amd</f>
        <v>0.165</v>
      </c>
      <c r="E404" s="16" t="n">
        <f aca="false">u_amd_27*1*tt_amd*ex_amd</f>
        <v>0.33</v>
      </c>
      <c r="F404" s="16" t="n">
        <f aca="false">u_amd_28*um28_A*1*tt_amd*ex_amd</f>
        <v>0.44</v>
      </c>
      <c r="G404" s="16" t="n">
        <f aca="false">u_amd_28*(1+g29_amd)*um29_A*1*tt_amd*ex_amd</f>
        <v>0.506</v>
      </c>
    </row>
    <row r="405" customFormat="false" ht="17.15" hidden="false" customHeight="false" outlineLevel="0" collapsed="false">
      <c r="A405" s="0" t="s">
        <v>498</v>
      </c>
      <c r="B405" s="4" t="s">
        <v>28</v>
      </c>
      <c r="D405" s="16" t="n">
        <f aca="false">u_tpu_26*tt_tpu*ex_tpu</f>
        <v>1.7325</v>
      </c>
      <c r="E405" s="16" t="n">
        <f aca="false">u_tpu_27*1*tt_tpu*ex_tpu</f>
        <v>2.475</v>
      </c>
      <c r="F405" s="16" t="n">
        <f aca="false">u_tpu_28*um28_A*1*tt_tpu*ex_tpu</f>
        <v>3.15</v>
      </c>
      <c r="G405" s="16" t="n">
        <f aca="false">u_tpu_28*(1+g29_tpu)*um29_A*1*tt_tpu*ex_tpu</f>
        <v>3.6225</v>
      </c>
    </row>
    <row r="406" customFormat="false" ht="17.15" hidden="false" customHeight="false" outlineLevel="0" collapsed="false">
      <c r="A406" s="0" t="s">
        <v>499</v>
      </c>
      <c r="B406" s="4" t="s">
        <v>28</v>
      </c>
      <c r="D406" s="16" t="n">
        <f aca="false">u_trn_26*tt_trn*ex_trn</f>
        <v>0.64</v>
      </c>
      <c r="E406" s="16" t="n">
        <f aca="false">u_trn_27*1*tt_trn*ex_trn</f>
        <v>0.8</v>
      </c>
      <c r="F406" s="16" t="n">
        <f aca="false">u_trn_28*um28_A*1*tt_trn*ex_trn</f>
        <v>0.96</v>
      </c>
      <c r="G406" s="16" t="n">
        <f aca="false">u_trn_28*(1+g29_trn)*um29_A*1*tt_trn*ex_trn</f>
        <v>1.104</v>
      </c>
    </row>
    <row r="407" customFormat="false" ht="17.15" hidden="false" customHeight="false" outlineLevel="0" collapsed="false">
      <c r="A407" s="4" t="s">
        <v>500</v>
      </c>
      <c r="B407" s="4" t="s">
        <v>28</v>
      </c>
      <c r="D407" s="16" t="n">
        <f aca="false">u_oth_26*tt_oth*ex_oth</f>
        <v>0.28</v>
      </c>
      <c r="E407" s="16" t="n">
        <f aca="false">u_oth_27*1*tt_oth*ex_oth</f>
        <v>1.26</v>
      </c>
      <c r="F407" s="16" t="n">
        <f aca="false">u_oth_28*um28_A*1*tt_oth*ex_oth</f>
        <v>1.4</v>
      </c>
      <c r="G407" s="16" t="n">
        <f aca="false">u_oth_28*(1+g29_oth)*um29_A*1*tt_oth*ex_oth</f>
        <v>1.61</v>
      </c>
    </row>
    <row r="408" customFormat="false" ht="15" hidden="false" customHeight="false" outlineLevel="0" collapsed="false">
      <c r="A408" s="4" t="s">
        <v>489</v>
      </c>
      <c r="B408" s="4" t="s">
        <v>28</v>
      </c>
      <c r="D408" s="16" t="n">
        <f aca="false">u_bw_26+u_rb_26+u_ru_26+u_hp_26+u_amd_26+u_tpu_26+u_trn_26+u_oth_26</f>
        <v>15.2</v>
      </c>
      <c r="E408" s="16" t="n">
        <f aca="false">u_bw_27*1+u_rb_27*1+u_ru_27*1+u_hp_27*1+u_amd_27*1+u_tpu_27*1+u_trn_27*1+u_oth_27*1</f>
        <v>23.7</v>
      </c>
      <c r="F408" s="16" t="n">
        <f aca="false">u_bw_28*um28_A*1+u_rb_28*um28_A*1+u_ru_28*um28_A*1+u_hp_28*um28_A*1+u_amd_28*um28_A*1+u_tpu_28*um28_A*1+u_trn_28*um28_A*1+u_oth_28*um28_A*1</f>
        <v>26.5</v>
      </c>
      <c r="G40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409" customFormat="false" ht="17.15" hidden="false" customHeight="false" outlineLevel="0" collapsed="false">
      <c r="A409" s="0" t="s">
        <v>544</v>
      </c>
      <c r="B409" s="4" t="s">
        <v>28</v>
      </c>
      <c r="D409" s="16" t="n">
        <f aca="false">D400+D401+D402+D403</f>
        <v>8.25</v>
      </c>
      <c r="E409" s="16" t="n">
        <f aca="false">E400+E401+E402+E403</f>
        <v>13.5</v>
      </c>
      <c r="F409" s="16" t="n">
        <f aca="false">F400+F401+F402+F403</f>
        <v>15</v>
      </c>
      <c r="G409" s="16" t="n">
        <f aca="false">G400+G401+G402+G403</f>
        <v>16.925</v>
      </c>
    </row>
    <row r="410" customFormat="false" ht="17.15" hidden="false" customHeight="false" outlineLevel="0" collapsed="false">
      <c r="A410" s="0" t="s">
        <v>545</v>
      </c>
      <c r="B410" s="4" t="s">
        <v>28</v>
      </c>
      <c r="D410" s="16" t="n">
        <f aca="false">D404+D405+D406+D407</f>
        <v>2.8175</v>
      </c>
      <c r="E410" s="16" t="n">
        <f aca="false">E404+E405+E406+E407</f>
        <v>4.865</v>
      </c>
      <c r="F410" s="16" t="n">
        <f aca="false">F404+F405+F406+F407</f>
        <v>5.95</v>
      </c>
      <c r="G410" s="16" t="n">
        <f aca="false">G404+G405+G406+G407</f>
        <v>6.8425</v>
      </c>
    </row>
    <row r="411" customFormat="false" ht="15" hidden="false" customHeight="false" outlineLevel="0" collapsed="false">
      <c r="A411" s="4" t="s">
        <v>546</v>
      </c>
      <c r="B411" s="4" t="s">
        <v>28</v>
      </c>
      <c r="D411" s="16" t="n">
        <f aca="false">D409+D410</f>
        <v>11.0675</v>
      </c>
      <c r="E411" s="16" t="n">
        <f aca="false">E409+E410</f>
        <v>18.365</v>
      </c>
      <c r="F411" s="16" t="n">
        <f aca="false">F409+F410</f>
        <v>20.95</v>
      </c>
      <c r="G411" s="16" t="n">
        <f aca="false">G409+G410</f>
        <v>23.7675</v>
      </c>
    </row>
    <row r="412" customFormat="false" ht="17.15" hidden="false" customHeight="false" outlineLevel="0" collapsed="false">
      <c r="A412" s="0" t="s">
        <v>547</v>
      </c>
      <c r="B412" s="0" t="s">
        <v>239</v>
      </c>
      <c r="D412" s="21" t="n">
        <f aca="false">a26_rev*ai_26</f>
        <v>16.603774145</v>
      </c>
    </row>
    <row r="413" customFormat="false" ht="17.15" hidden="false" customHeight="false" outlineLevel="0" collapsed="false">
      <c r="A413" s="4" t="s">
        <v>548</v>
      </c>
      <c r="B413" s="0" t="s">
        <v>549</v>
      </c>
      <c r="D413" s="27" t="n">
        <f aca="false">D412/D411</f>
        <v>1.50022806821775</v>
      </c>
      <c r="H413" s="8" t="s">
        <v>550</v>
      </c>
    </row>
    <row r="414" customFormat="false" ht="17.15" hidden="false" customHeight="false" outlineLevel="0" collapsed="false">
      <c r="A414" s="4" t="s">
        <v>551</v>
      </c>
      <c r="B414" s="0" t="s">
        <v>131</v>
      </c>
      <c r="D414" s="16" t="n">
        <f aca="false">1</f>
        <v>1</v>
      </c>
      <c r="E414" s="16" t="n">
        <f aca="false">rel_27</f>
        <v>0.95</v>
      </c>
      <c r="F414" s="16" t="n">
        <f aca="false">rel_28</f>
        <v>0.92</v>
      </c>
      <c r="G414" s="16" t="n">
        <f aca="false">rel_29</f>
        <v>0.9</v>
      </c>
    </row>
    <row r="415" customFormat="false" ht="17.15" hidden="false" customHeight="false" outlineLevel="0" collapsed="false">
      <c r="A415" s="4" t="s">
        <v>552</v>
      </c>
      <c r="B415" s="0" t="s">
        <v>131</v>
      </c>
      <c r="D415" s="16" t="n">
        <f aca="false">1</f>
        <v>1</v>
      </c>
      <c r="E415" s="16" t="n">
        <f aca="false">PPHI_27</f>
        <v>1.02</v>
      </c>
      <c r="F415" s="16" t="n">
        <f aca="false">PPHI_28</f>
        <v>1</v>
      </c>
      <c r="G415" s="16" t="n">
        <f aca="false">PPHI_29</f>
        <v>1</v>
      </c>
    </row>
    <row r="416" customFormat="false" ht="17.15" hidden="false" customHeight="false" outlineLevel="0" collapsed="false">
      <c r="A416" s="0" t="s">
        <v>553</v>
      </c>
      <c r="B416" s="0" t="s">
        <v>239</v>
      </c>
      <c r="C416" s="21" t="n">
        <f aca="false">a25_rev*ai_25</f>
        <v>9.60674</v>
      </c>
      <c r="D416" s="21" t="n">
        <f aca="false">D412</f>
        <v>16.603774145</v>
      </c>
      <c r="E416" s="21" t="n">
        <f aca="false">$D$413*E411*E414*E415</f>
        <v>26.6975861301617</v>
      </c>
      <c r="F416" s="21" t="n">
        <f aca="false">$D$413*F411*F414*F415</f>
        <v>28.915395786829</v>
      </c>
      <c r="G416" s="21" t="n">
        <f aca="false">$D$413*G411*G414*G415</f>
        <v>32.0910035502289</v>
      </c>
    </row>
    <row r="417" customFormat="false" ht="17.15" hidden="false" customHeight="false" outlineLevel="0" collapsed="false">
      <c r="A417" s="4" t="s">
        <v>554</v>
      </c>
      <c r="B417" s="0" t="s">
        <v>239</v>
      </c>
      <c r="C417" s="21" t="n">
        <f aca="false">a25_rev-C416</f>
        <v>25.32686</v>
      </c>
      <c r="D417" s="21" t="n">
        <f aca="false">a26_rev-D416</f>
        <v>30.835580555</v>
      </c>
      <c r="E417" s="21" t="n">
        <f aca="false">D417*(1+g_nai27)</f>
        <v>34.5358502216</v>
      </c>
      <c r="F417" s="21" t="n">
        <f aca="false">E417*(1+g_nai28)</f>
        <v>36.953359737112</v>
      </c>
      <c r="G417" s="21" t="n">
        <f aca="false">F417*(1+g_nai29)</f>
        <v>38.8010277239676</v>
      </c>
    </row>
    <row r="418" customFormat="false" ht="15" hidden="false" customHeight="false" outlineLevel="0" collapsed="false">
      <c r="A418" s="4" t="s">
        <v>414</v>
      </c>
      <c r="B418" s="0" t="s">
        <v>239</v>
      </c>
      <c r="C418" s="21" t="n">
        <f aca="false">C416+C417</f>
        <v>34.9336</v>
      </c>
      <c r="D418" s="21" t="n">
        <f aca="false">D416+D417</f>
        <v>47.4393547</v>
      </c>
      <c r="E418" s="21" t="n">
        <f aca="false">E416+E417</f>
        <v>61.2334363517617</v>
      </c>
      <c r="F418" s="21" t="n">
        <f aca="false">F416+F417</f>
        <v>65.868755523941</v>
      </c>
      <c r="G418" s="21" t="n">
        <f aca="false">G416+G417</f>
        <v>70.8920312741965</v>
      </c>
    </row>
    <row r="419" customFormat="false" ht="15" hidden="false" customHeight="false" outlineLevel="0" collapsed="false">
      <c r="A419" s="4" t="s">
        <v>555</v>
      </c>
      <c r="B419" s="0" t="s">
        <v>41</v>
      </c>
      <c r="D419" s="14" t="n">
        <f aca="false">D418/C418-1</f>
        <v>0.357986428538713</v>
      </c>
      <c r="E419" s="14" t="n">
        <f aca="false">E418/D418-1</f>
        <v>0.290772961373391</v>
      </c>
      <c r="F419" s="14" t="n">
        <f aca="false">F418/E418-1</f>
        <v>0.0756991514497287</v>
      </c>
      <c r="G419" s="14" t="n">
        <f aca="false">G418/F418-1</f>
        <v>0.0762618894238825</v>
      </c>
    </row>
    <row r="420" customFormat="false" ht="17.15" hidden="false" customHeight="false" outlineLevel="0" collapsed="false">
      <c r="A420" s="0" t="s">
        <v>556</v>
      </c>
      <c r="B420" s="0" t="s">
        <v>41</v>
      </c>
      <c r="C420" s="14" t="n">
        <f aca="false">C416/C418</f>
        <v>0.275</v>
      </c>
      <c r="D420" s="14" t="n">
        <f aca="false">D416/D418</f>
        <v>0.35</v>
      </c>
      <c r="E420" s="14" t="n">
        <f aca="false">E416/E418</f>
        <v>0.435996862511434</v>
      </c>
      <c r="F420" s="14" t="n">
        <f aca="false">F416/F418</f>
        <v>0.438985002173288</v>
      </c>
      <c r="G420" s="14" t="n">
        <f aca="false">G416/G418</f>
        <v>0.452674341155598</v>
      </c>
    </row>
    <row r="421" customFormat="false" ht="17.15" hidden="false" customHeight="false" outlineLevel="0" collapsed="false">
      <c r="A421" s="0" t="s">
        <v>502</v>
      </c>
      <c r="B421" s="0" t="s">
        <v>41</v>
      </c>
      <c r="D421" s="14" t="n">
        <f aca="false">D409/D411</f>
        <v>0.745425796250282</v>
      </c>
      <c r="E421" s="14" t="n">
        <f aca="false">E409/E411</f>
        <v>0.735093928668663</v>
      </c>
      <c r="F421" s="14" t="n">
        <f aca="false">F409/F411</f>
        <v>0.715990453460621</v>
      </c>
      <c r="G421" s="14" t="n">
        <f aca="false">G409/G411</f>
        <v>0.71210686862312</v>
      </c>
    </row>
    <row r="422" customFormat="false" ht="17.15" hidden="false" customHeight="false" outlineLevel="0" collapsed="false">
      <c r="A422" s="4" t="s">
        <v>506</v>
      </c>
      <c r="B422" s="0" t="s">
        <v>507</v>
      </c>
      <c r="D422" s="22" t="n">
        <f aca="false">D416/D411/fx*1000</f>
        <v>46.8821271318048</v>
      </c>
      <c r="E422" s="22" t="n">
        <f aca="false">E416/E411/fx*1000</f>
        <v>45.4287811907189</v>
      </c>
      <c r="F422" s="22" t="n">
        <f aca="false">F416/F411/fx*1000</f>
        <v>43.1315569612604</v>
      </c>
      <c r="G422" s="22" t="n">
        <f aca="false">G416/G411/fx*1000</f>
        <v>42.1939144186244</v>
      </c>
      <c r="H422" s="4" t="s">
        <v>557</v>
      </c>
    </row>
    <row r="423" customFormat="false" ht="17.15" hidden="false" customHeight="false" outlineLevel="0" collapsed="false">
      <c r="A423" s="6" t="s">
        <v>558</v>
      </c>
    </row>
    <row r="424" customFormat="false" ht="17.15" hidden="false" customHeight="false" outlineLevel="0" collapsed="false">
      <c r="A424" s="0" t="s">
        <v>559</v>
      </c>
      <c r="B424" s="0" t="s">
        <v>131</v>
      </c>
      <c r="C424" s="16" t="n">
        <f aca="false">(a25_capex-m_cx*a25_rev)/(a25_rev-rev24)</f>
        <v>3.57284271254522</v>
      </c>
      <c r="H424" s="8" t="s">
        <v>560</v>
      </c>
    </row>
    <row r="425" customFormat="false" ht="17.15" hidden="false" customHeight="false" outlineLevel="0" collapsed="false">
      <c r="A425" s="4" t="s">
        <v>511</v>
      </c>
      <c r="B425" s="0" t="s">
        <v>239</v>
      </c>
      <c r="C425" s="21" t="n">
        <f aca="false">a25_capex</f>
        <v>32.3554</v>
      </c>
      <c r="D425" s="21" t="n">
        <f aca="false">capex_26</f>
        <v>42</v>
      </c>
      <c r="E425" s="21" t="n">
        <f aca="false">m_cx*E418+$C$424*MAX(0,E418-D418)</f>
        <v>55.4074277409266</v>
      </c>
      <c r="F425" s="21" t="n">
        <f aca="false">m_cx*F418+$C$424*MAX(0,F418-E418)</f>
        <v>23.1481418770362</v>
      </c>
      <c r="G425" s="21" t="n">
        <f aca="false">m_cx*G418+$C$424*MAX(0,G418-F418)</f>
        <v>25.0365772848253</v>
      </c>
      <c r="H425" s="8" t="s">
        <v>561</v>
      </c>
    </row>
    <row r="426" customFormat="false" ht="17.15" hidden="false" customHeight="false" outlineLevel="0" collapsed="false">
      <c r="A426" s="4" t="s">
        <v>562</v>
      </c>
      <c r="B426" s="0" t="s">
        <v>41</v>
      </c>
      <c r="C426" s="14" t="n">
        <f aca="false">C425/C418</f>
        <v>0.926197128266197</v>
      </c>
      <c r="D426" s="14" t="n">
        <f aca="false">D425/D418</f>
        <v>0.885340879225746</v>
      </c>
      <c r="E426" s="14" t="n">
        <f aca="false">E425/E418</f>
        <v>0.904855762505847</v>
      </c>
      <c r="F426" s="14" t="n">
        <f aca="false">F425/F418</f>
        <v>0.351428255975212</v>
      </c>
      <c r="G426" s="14" t="n">
        <f aca="false">G425/G418</f>
        <v>0.353164902102871</v>
      </c>
    </row>
    <row r="427" customFormat="false" ht="15" hidden="false" customHeight="false" outlineLevel="0" collapsed="false">
      <c r="A427" s="4" t="s">
        <v>563</v>
      </c>
      <c r="B427" s="0" t="s">
        <v>239</v>
      </c>
      <c r="C427" s="21" t="n">
        <f aca="false">a25_da</f>
        <v>7.5143841</v>
      </c>
      <c r="D427" s="21" t="n">
        <f aca="false">a26_da</f>
        <v>11.32770694</v>
      </c>
      <c r="E427" s="21" t="n">
        <f aca="false">D427*(1-ret)+dr*(D425+E425)/2</f>
        <v>16.118730118751</v>
      </c>
      <c r="F427" s="21" t="n">
        <f aca="false">E427*(1-ret)+dr*(E425+F425)/2</f>
        <v>19.6333499418014</v>
      </c>
      <c r="G427" s="21" t="n">
        <f aca="false">F427*(1-ret)+dr*(F425+G425)/2</f>
        <v>21.3018419986137</v>
      </c>
    </row>
    <row r="428" customFormat="false" ht="17.15" hidden="false" customHeight="false" outlineLevel="0" collapsed="false">
      <c r="A428" s="4" t="s">
        <v>515</v>
      </c>
      <c r="B428" s="0" t="s">
        <v>41</v>
      </c>
      <c r="C428" s="14" t="n">
        <f aca="false">C427/C418</f>
        <v>0.215104773055168</v>
      </c>
      <c r="D428" s="14" t="n">
        <f aca="false">D427/D418</f>
        <v>0.238782905282647</v>
      </c>
      <c r="E428" s="14" t="n">
        <f aca="false">E427/E418</f>
        <v>0.263234126305688</v>
      </c>
      <c r="F428" s="14" t="n">
        <f aca="false">F427/F418</f>
        <v>0.298067722482859</v>
      </c>
      <c r="G428" s="14" t="n">
        <f aca="false">G427/G418</f>
        <v>0.300482883840954</v>
      </c>
    </row>
    <row r="429" customFormat="false" ht="17.15" hidden="false" customHeight="false" outlineLevel="0" collapsed="false">
      <c r="A429" s="4" t="s">
        <v>564</v>
      </c>
      <c r="B429" s="0" t="s">
        <v>239</v>
      </c>
      <c r="D429" s="16" t="n">
        <f aca="false">C427*(1-ret)+dr*(C425+D425)/2-D427</f>
        <v>-0.0994950449999994</v>
      </c>
      <c r="H429" s="4" t="s">
        <v>565</v>
      </c>
    </row>
    <row r="430" customFormat="false" ht="17.15" hidden="false" customHeight="false" outlineLevel="0" collapsed="false">
      <c r="A430" s="6" t="s">
        <v>566</v>
      </c>
    </row>
    <row r="431" customFormat="false" ht="17.15" hidden="false" customHeight="false" outlineLevel="0" collapsed="false">
      <c r="A431" s="4" t="s">
        <v>567</v>
      </c>
      <c r="B431" s="0" t="s">
        <v>239</v>
      </c>
      <c r="D431" s="21" t="n">
        <f aca="false">a26_cc-v_cc*a26_rev</f>
        <v>7.9821937335</v>
      </c>
      <c r="H431" s="8" t="s">
        <v>568</v>
      </c>
    </row>
    <row r="432" customFormat="false" ht="17.15" hidden="false" customHeight="false" outlineLevel="0" collapsed="false">
      <c r="A432" s="4" t="s">
        <v>569</v>
      </c>
      <c r="B432" s="0" t="s">
        <v>239</v>
      </c>
      <c r="C432" s="21" t="n">
        <f aca="false">a25_cc</f>
        <v>14.8984</v>
      </c>
      <c r="D432" s="21" t="n">
        <f aca="false">a26_cc</f>
        <v>17.4700646735</v>
      </c>
      <c r="E432" s="21" t="n">
        <f aca="false">$D$431+v_cc*(E416/E415+E417)</f>
        <v>20.1241845876556</v>
      </c>
      <c r="F432" s="21" t="n">
        <f aca="false">$D$431+v_cc*(F416/F415+F417)</f>
        <v>21.1559448382882</v>
      </c>
      <c r="G432" s="21" t="n">
        <f aca="false">$D$431+v_cc*(G416/G415+G417)</f>
        <v>22.1605999883393</v>
      </c>
      <c r="H432" s="4" t="s">
        <v>570</v>
      </c>
    </row>
    <row r="433" customFormat="false" ht="15" hidden="false" customHeight="false" outlineLevel="0" collapsed="false">
      <c r="A433" s="4" t="s">
        <v>571</v>
      </c>
      <c r="B433" s="0" t="s">
        <v>239</v>
      </c>
      <c r="C433" s="21" t="n">
        <f aca="false">C418-C432-C427</f>
        <v>12.5208159</v>
      </c>
      <c r="D433" s="21" t="n">
        <f aca="false">D418-D432-D427</f>
        <v>18.6415830865</v>
      </c>
      <c r="E433" s="21" t="n">
        <f aca="false">E418-E432-E427</f>
        <v>24.9905216453551</v>
      </c>
      <c r="F433" s="21" t="n">
        <f aca="false">F418-F432-F427</f>
        <v>25.0794607438514</v>
      </c>
      <c r="G433" s="21" t="n">
        <f aca="false">G418-G432-G427</f>
        <v>27.4295892872436</v>
      </c>
    </row>
    <row r="434" customFormat="false" ht="15" hidden="false" customHeight="false" outlineLevel="0" collapsed="false">
      <c r="A434" s="4" t="s">
        <v>421</v>
      </c>
      <c r="B434" s="0" t="s">
        <v>41</v>
      </c>
      <c r="C434" s="14" t="n">
        <f aca="false">C433/C418</f>
        <v>0.358417566468958</v>
      </c>
      <c r="D434" s="14" t="n">
        <f aca="false">D433/D418</f>
        <v>0.392956084760993</v>
      </c>
      <c r="E434" s="14" t="n">
        <f aca="false">E433/E418</f>
        <v>0.408118882987303</v>
      </c>
      <c r="F434" s="14" t="n">
        <f aca="false">F433/F418</f>
        <v>0.380748968829932</v>
      </c>
      <c r="G434" s="14" t="n">
        <f aca="false">G433/G418</f>
        <v>0.386920628372902</v>
      </c>
    </row>
    <row r="435" customFormat="false" ht="15" hidden="false" customHeight="false" outlineLevel="0" collapsed="false">
      <c r="A435" s="4" t="s">
        <v>572</v>
      </c>
      <c r="B435" s="0" t="s">
        <v>239</v>
      </c>
      <c r="C435" s="21" t="n">
        <f aca="false">a25_opx</f>
        <v>3.5197</v>
      </c>
      <c r="D435" s="21" t="n">
        <f aca="false">a26_opx</f>
        <v>6.1141318375</v>
      </c>
      <c r="E435" s="21" t="n">
        <f aca="false">D435*(1+MAX(0,phi*E419))</f>
        <v>7.18082636987032</v>
      </c>
      <c r="F435" s="21" t="n">
        <f aca="false">E435*(1+MAX(0,phi*F419))</f>
        <v>7.50697584761453</v>
      </c>
      <c r="G435" s="21" t="n">
        <f aca="false">F435*(1+MAX(0,phi*G419))</f>
        <v>7.85047354481366</v>
      </c>
    </row>
    <row r="436" customFormat="false" ht="15" hidden="false" customHeight="false" outlineLevel="0" collapsed="false">
      <c r="A436" s="4" t="s">
        <v>573</v>
      </c>
      <c r="B436" s="0" t="s">
        <v>239</v>
      </c>
      <c r="C436" s="21" t="n">
        <f aca="false">C435</f>
        <v>3.5197</v>
      </c>
      <c r="D436" s="21" t="n">
        <f aca="false">D435</f>
        <v>6.1141318375</v>
      </c>
      <c r="E436" s="21" t="n">
        <f aca="false">E435+0*E418</f>
        <v>7.18082636987032</v>
      </c>
      <c r="F436" s="21" t="n">
        <f aca="false">F435+0*F418</f>
        <v>7.50697584761453</v>
      </c>
      <c r="G436" s="21" t="n">
        <f aca="false">G435+0*G418</f>
        <v>7.85047354481366</v>
      </c>
    </row>
    <row r="437" customFormat="false" ht="15" hidden="false" customHeight="false" outlineLevel="0" collapsed="false">
      <c r="A437" s="4" t="s">
        <v>430</v>
      </c>
      <c r="B437" s="0" t="s">
        <v>239</v>
      </c>
      <c r="C437" s="21" t="n">
        <f aca="false">C433-C436</f>
        <v>9.0011159</v>
      </c>
      <c r="D437" s="21" t="n">
        <f aca="false">D433-D436</f>
        <v>12.527451249</v>
      </c>
      <c r="E437" s="21" t="n">
        <f aca="false">E433-E436</f>
        <v>17.8096952754848</v>
      </c>
      <c r="F437" s="21" t="n">
        <f aca="false">F433-F436</f>
        <v>17.5724848962369</v>
      </c>
      <c r="G437" s="21" t="n">
        <f aca="false">G433-G436</f>
        <v>19.5791157424299</v>
      </c>
    </row>
    <row r="438" customFormat="false" ht="15" hidden="false" customHeight="false" outlineLevel="0" collapsed="false">
      <c r="A438" s="4" t="s">
        <v>432</v>
      </c>
      <c r="B438" s="0" t="s">
        <v>41</v>
      </c>
      <c r="C438" s="14" t="n">
        <f aca="false">C437/C418</f>
        <v>0.25766356459111</v>
      </c>
      <c r="D438" s="14" t="n">
        <f aca="false">D437/D418</f>
        <v>0.264072969124936</v>
      </c>
      <c r="E438" s="14" t="n">
        <f aca="false">E437/E418</f>
        <v>0.290849188557297</v>
      </c>
      <c r="F438" s="14" t="n">
        <f aca="false">F437/F418</f>
        <v>0.266780277788153</v>
      </c>
      <c r="G438" s="14" t="n">
        <f aca="false">G437/G418</f>
        <v>0.27618218000697</v>
      </c>
    </row>
    <row r="439" customFormat="false" ht="17.15" hidden="false" customHeight="false" outlineLevel="0" collapsed="false">
      <c r="A439" s="0" t="s">
        <v>574</v>
      </c>
      <c r="B439" s="0" t="s">
        <v>239</v>
      </c>
      <c r="C439" s="21" t="n">
        <f aca="false">C437+C427</f>
        <v>16.5155</v>
      </c>
      <c r="D439" s="21" t="n">
        <f aca="false">D437+D427</f>
        <v>23.855158189</v>
      </c>
      <c r="E439" s="21" t="n">
        <f aca="false">E437+E427</f>
        <v>33.9284253942357</v>
      </c>
      <c r="F439" s="21" t="n">
        <f aca="false">F437+F427</f>
        <v>37.2058348380383</v>
      </c>
      <c r="G439" s="21" t="n">
        <f aca="false">G437+G427</f>
        <v>40.8809577410436</v>
      </c>
    </row>
    <row r="440" customFormat="false" ht="17.15" hidden="false" customHeight="false" outlineLevel="0" collapsed="false">
      <c r="A440" s="0" t="s">
        <v>575</v>
      </c>
      <c r="B440" s="0" t="s">
        <v>239</v>
      </c>
      <c r="C440" s="21" t="n">
        <f aca="false">C439-C425</f>
        <v>-15.8399</v>
      </c>
      <c r="D440" s="21" t="n">
        <f aca="false">D439-D425</f>
        <v>-18.144841811</v>
      </c>
      <c r="E440" s="21" t="n">
        <f aca="false">E439-E425</f>
        <v>-21.4790023466908</v>
      </c>
      <c r="F440" s="21" t="n">
        <f aca="false">F439-F425</f>
        <v>14.0576929610021</v>
      </c>
      <c r="G440" s="21" t="n">
        <f aca="false">G439-G425</f>
        <v>15.8443804562183</v>
      </c>
    </row>
    <row r="441" customFormat="false" ht="17.15" hidden="false" customHeight="false" outlineLevel="0" collapsed="false">
      <c r="A441" s="4" t="s">
        <v>433</v>
      </c>
      <c r="B441" s="0" t="s">
        <v>239</v>
      </c>
      <c r="C441" s="21" t="n">
        <f aca="false">a25_ni</f>
        <v>11.015</v>
      </c>
      <c r="D441" s="21" t="n">
        <f aca="false">a26_ni</f>
        <v>10.66608446065</v>
      </c>
      <c r="E441" s="21" t="n">
        <f aca="false">E437*nir_f</f>
        <v>14.9601440314072</v>
      </c>
      <c r="F441" s="21" t="n">
        <f aca="false">F437*nir_f</f>
        <v>14.760887312839</v>
      </c>
      <c r="G441" s="21" t="n">
        <f aca="false">G437*nir_f</f>
        <v>16.4464572236411</v>
      </c>
      <c r="H441" s="8" t="s">
        <v>438</v>
      </c>
    </row>
    <row r="442" customFormat="false" ht="17.15" hidden="false" customHeight="false" outlineLevel="0" collapsed="false">
      <c r="A442" s="4" t="s">
        <v>437</v>
      </c>
      <c r="B442" s="0" t="s">
        <v>41</v>
      </c>
      <c r="C442" s="14" t="n">
        <f aca="false">C441/C437</f>
        <v>1.22373715907824</v>
      </c>
      <c r="D442" s="14" t="n">
        <f aca="false">D441/D437</f>
        <v>0.851416960133963</v>
      </c>
      <c r="E442" s="14" t="n">
        <f aca="false">E441/E437</f>
        <v>0.84</v>
      </c>
      <c r="F442" s="14" t="n">
        <f aca="false">F441/F437</f>
        <v>0.84</v>
      </c>
      <c r="G442" s="14" t="n">
        <f aca="false">G441/G437</f>
        <v>0.84</v>
      </c>
    </row>
    <row r="443" customFormat="false" ht="15" hidden="false" customHeight="false" outlineLevel="0" collapsed="false">
      <c r="A443" s="4" t="s">
        <v>576</v>
      </c>
      <c r="B443" s="4" t="s">
        <v>294</v>
      </c>
      <c r="C443" s="27" t="n">
        <f aca="false">a25_sh</f>
        <v>1.22253052164262</v>
      </c>
      <c r="D443" s="27" t="n">
        <f aca="false">a26_sh</f>
        <v>1.28264705882353</v>
      </c>
      <c r="E443" s="27" t="n">
        <f aca="false">D443*(1+sh_g)</f>
        <v>1.28264705882353</v>
      </c>
      <c r="F443" s="27" t="n">
        <f aca="false">E443*(1+sh_g)</f>
        <v>1.28264705882353</v>
      </c>
      <c r="G443" s="27" t="n">
        <f aca="false">F443*(1+sh_g)</f>
        <v>1.28264705882353</v>
      </c>
    </row>
    <row r="444" customFormat="false" ht="15" hidden="false" customHeight="false" outlineLevel="0" collapsed="false">
      <c r="A444" s="0" t="s">
        <v>442</v>
      </c>
      <c r="B444" s="0" t="s">
        <v>315</v>
      </c>
      <c r="C444" s="21" t="n">
        <f aca="false">C441/C443</f>
        <v>9.01</v>
      </c>
      <c r="D444" s="21" t="n">
        <f aca="false">D441/D443</f>
        <v>8.31568153318276</v>
      </c>
      <c r="E444" s="21" t="n">
        <f aca="false">E441/E443</f>
        <v>11.6634922510398</v>
      </c>
      <c r="F444" s="21" t="n">
        <f aca="false">F441/F443</f>
        <v>11.5081442017089</v>
      </c>
      <c r="G444" s="21" t="n">
        <f aca="false">G441/G443</f>
        <v>12.8222780464067</v>
      </c>
    </row>
    <row r="445" customFormat="false" ht="17.15" hidden="false" customHeight="false" outlineLevel="0" collapsed="false">
      <c r="A445" s="0" t="s">
        <v>577</v>
      </c>
      <c r="B445" s="0" t="s">
        <v>41</v>
      </c>
      <c r="D445" s="14" t="n">
        <f aca="false">D444/C444-1</f>
        <v>-0.0770608731206708</v>
      </c>
      <c r="E445" s="14" t="n">
        <f aca="false">E444/D444-1</f>
        <v>0.402590058854224</v>
      </c>
      <c r="F445" s="14" t="n">
        <f aca="false">F444/E444-1</f>
        <v>-0.0133191711356444</v>
      </c>
      <c r="G445" s="14" t="n">
        <f aca="false">G444/F444-1</f>
        <v>0.114191638692073</v>
      </c>
      <c r="H445" s="8" t="s">
        <v>578</v>
      </c>
    </row>
    <row r="448" customFormat="false" ht="17.15" hidden="false" customHeight="false" outlineLevel="0" collapsed="false">
      <c r="A448" s="1" t="s">
        <v>871</v>
      </c>
    </row>
    <row r="449" customFormat="false" ht="17.15" hidden="false" customHeight="false" outlineLevel="0" collapsed="false">
      <c r="A449" s="5" t="s">
        <v>17</v>
      </c>
      <c r="B449" s="5" t="s">
        <v>18</v>
      </c>
      <c r="C449" s="12" t="s">
        <v>409</v>
      </c>
      <c r="D449" s="12" t="s">
        <v>520</v>
      </c>
      <c r="E449" s="12" t="s">
        <v>521</v>
      </c>
      <c r="F449" s="12" t="s">
        <v>522</v>
      </c>
      <c r="G449" s="12" t="s">
        <v>523</v>
      </c>
      <c r="H449" s="5" t="s">
        <v>488</v>
      </c>
    </row>
    <row r="450" customFormat="false" ht="17.15" hidden="false" customHeight="false" outlineLevel="0" collapsed="false">
      <c r="A450" s="6" t="s">
        <v>543</v>
      </c>
    </row>
    <row r="451" customFormat="false" ht="17.15" hidden="false" customHeight="false" outlineLevel="0" collapsed="false">
      <c r="A451" s="0" t="s">
        <v>491</v>
      </c>
      <c r="B451" s="4" t="s">
        <v>28</v>
      </c>
      <c r="D451" s="16" t="n">
        <f aca="false">u_bw_26*tt_bw</f>
        <v>5.4</v>
      </c>
      <c r="E451" s="16" t="n">
        <f aca="false">u_bw_27*mf_lo*tt_bw</f>
        <v>1.92</v>
      </c>
      <c r="F451" s="16" t="n">
        <f aca="false">u_bw_28*um28_A*mf_lo*tt_bw</f>
        <v>0.4</v>
      </c>
      <c r="G451" s="16" t="n">
        <f aca="false">u_bw_28*(1+g29_bw)*um29_A*mf_lo*tt_bw</f>
        <v>0.2</v>
      </c>
    </row>
    <row r="452" customFormat="false" ht="17.15" hidden="false" customHeight="false" outlineLevel="0" collapsed="false">
      <c r="A452" s="0" t="s">
        <v>493</v>
      </c>
      <c r="B452" s="4" t="s">
        <v>28</v>
      </c>
      <c r="D452" s="16" t="n">
        <f aca="false">u_rb_26*tt_rb</f>
        <v>2.55</v>
      </c>
      <c r="E452" s="16" t="n">
        <f aca="false">u_rb_27*mf_lo*tt_rb</f>
        <v>8.4</v>
      </c>
      <c r="F452" s="16" t="n">
        <f aca="false">u_rb_28*um28_A*mf_lo*tt_rb</f>
        <v>8.4</v>
      </c>
      <c r="G452" s="16" t="n">
        <f aca="false">u_rb_28*(1+g29_rb)*um29_A*mf_lo*tt_rb</f>
        <v>9.66</v>
      </c>
    </row>
    <row r="453" customFormat="false" ht="17.15" hidden="false" customHeight="false" outlineLevel="0" collapsed="false">
      <c r="A453" s="0" t="s">
        <v>494</v>
      </c>
      <c r="B453" s="4" t="s">
        <v>28</v>
      </c>
      <c r="D453" s="16" t="n">
        <f aca="false">u_ru_26*tt_ru</f>
        <v>0</v>
      </c>
      <c r="E453" s="16" t="n">
        <f aca="false">u_ru_27*mf_lo*tt_ru</f>
        <v>0.48</v>
      </c>
      <c r="F453" s="16" t="n">
        <f aca="false">u_ru_28*um28_A*mf_lo*tt_ru</f>
        <v>3.2</v>
      </c>
      <c r="G453" s="16" t="n">
        <f aca="false">u_ru_28*(1+g29_ru)*um29_A*mf_lo*tt_ru</f>
        <v>3.68</v>
      </c>
    </row>
    <row r="454" customFormat="false" ht="17.15" hidden="false" customHeight="false" outlineLevel="0" collapsed="false">
      <c r="A454" s="0" t="s">
        <v>495</v>
      </c>
      <c r="B454" s="4" t="s">
        <v>28</v>
      </c>
      <c r="D454" s="16" t="n">
        <f aca="false">u_hp_26*tt_hp</f>
        <v>0.3</v>
      </c>
      <c r="E454" s="16" t="n">
        <f aca="false">u_hp_27*mf_lo*tt_hp</f>
        <v>0</v>
      </c>
      <c r="F454" s="16" t="n">
        <f aca="false">u_hp_28*um28_A*mf_lo*tt_hp</f>
        <v>0</v>
      </c>
      <c r="G454" s="16" t="n">
        <f aca="false">u_hp_28*(1+g29_hp)*um29_A*mf_lo*tt_hp</f>
        <v>0</v>
      </c>
    </row>
    <row r="455" customFormat="false" ht="17.15" hidden="false" customHeight="false" outlineLevel="0" collapsed="false">
      <c r="A455" s="0" t="s">
        <v>496</v>
      </c>
      <c r="B455" s="4" t="s">
        <v>28</v>
      </c>
      <c r="D455" s="16" t="n">
        <f aca="false">u_amd_26*tt_amd*ex_amd</f>
        <v>0.165</v>
      </c>
      <c r="E455" s="16" t="n">
        <f aca="false">u_amd_27*mf_lo*tt_amd*ex_amd</f>
        <v>0.264</v>
      </c>
      <c r="F455" s="16" t="n">
        <f aca="false">u_amd_28*um28_A*mf_lo*tt_amd*ex_amd</f>
        <v>0.352</v>
      </c>
      <c r="G455" s="16" t="n">
        <f aca="false">u_amd_28*(1+g29_amd)*um29_A*mf_lo*tt_amd*ex_amd</f>
        <v>0.4048</v>
      </c>
    </row>
    <row r="456" customFormat="false" ht="17.15" hidden="false" customHeight="false" outlineLevel="0" collapsed="false">
      <c r="A456" s="0" t="s">
        <v>498</v>
      </c>
      <c r="B456" s="4" t="s">
        <v>28</v>
      </c>
      <c r="D456" s="16" t="n">
        <f aca="false">u_tpu_26*tt_tpu*ex_tpu</f>
        <v>1.7325</v>
      </c>
      <c r="E456" s="16" t="n">
        <f aca="false">u_tpu_27*mf_lo*tt_tpu*ex_tpu</f>
        <v>1.98</v>
      </c>
      <c r="F456" s="16" t="n">
        <f aca="false">u_tpu_28*um28_A*mf_lo*tt_tpu*ex_tpu</f>
        <v>2.52</v>
      </c>
      <c r="G456" s="16" t="n">
        <f aca="false">u_tpu_28*(1+g29_tpu)*um29_A*mf_lo*tt_tpu*ex_tpu</f>
        <v>2.898</v>
      </c>
    </row>
    <row r="457" customFormat="false" ht="17.15" hidden="false" customHeight="false" outlineLevel="0" collapsed="false">
      <c r="A457" s="0" t="s">
        <v>499</v>
      </c>
      <c r="B457" s="4" t="s">
        <v>28</v>
      </c>
      <c r="D457" s="16" t="n">
        <f aca="false">u_trn_26*tt_trn*ex_trn</f>
        <v>0.64</v>
      </c>
      <c r="E457" s="16" t="n">
        <f aca="false">u_trn_27*mf_lo*tt_trn*ex_trn</f>
        <v>0.64</v>
      </c>
      <c r="F457" s="16" t="n">
        <f aca="false">u_trn_28*um28_A*mf_lo*tt_trn*ex_trn</f>
        <v>0.768</v>
      </c>
      <c r="G457" s="16" t="n">
        <f aca="false">u_trn_28*(1+g29_trn)*um29_A*mf_lo*tt_trn*ex_trn</f>
        <v>0.8832</v>
      </c>
    </row>
    <row r="458" customFormat="false" ht="17.15" hidden="false" customHeight="false" outlineLevel="0" collapsed="false">
      <c r="A458" s="4" t="s">
        <v>500</v>
      </c>
      <c r="B458" s="4" t="s">
        <v>28</v>
      </c>
      <c r="D458" s="16" t="n">
        <f aca="false">u_oth_26*tt_oth*ex_oth</f>
        <v>0.28</v>
      </c>
      <c r="E458" s="16" t="n">
        <f aca="false">u_oth_27*mf_lo*tt_oth*ex_oth</f>
        <v>1.008</v>
      </c>
      <c r="F458" s="16" t="n">
        <f aca="false">u_oth_28*um28_A*mf_lo*tt_oth*ex_oth</f>
        <v>1.12</v>
      </c>
      <c r="G458" s="16" t="n">
        <f aca="false">u_oth_28*(1+g29_oth)*um29_A*mf_lo*tt_oth*ex_oth</f>
        <v>1.288</v>
      </c>
    </row>
    <row r="459" customFormat="false" ht="15" hidden="false" customHeight="false" outlineLevel="0" collapsed="false">
      <c r="A459" s="4" t="s">
        <v>489</v>
      </c>
      <c r="B459" s="4" t="s">
        <v>28</v>
      </c>
      <c r="D459" s="16" t="n">
        <f aca="false">u_bw_26+u_rb_26+u_ru_26+u_hp_26+u_amd_26+u_tpu_26+u_trn_26+u_oth_26</f>
        <v>15.2</v>
      </c>
      <c r="E459" s="16" t="n">
        <f aca="false">u_bw_27*mf_lo+u_rb_27*mf_lo+u_ru_27*mf_lo+u_hp_27*mf_lo+u_amd_27*mf_lo+u_tpu_27*mf_lo+u_trn_27*mf_lo+u_oth_27*mf_lo</f>
        <v>18.96</v>
      </c>
      <c r="F459" s="16" t="n">
        <f aca="false">u_bw_28*um28_A*mf_lo+u_rb_28*um28_A*mf_lo+u_ru_28*um28_A*mf_lo+u_hp_28*um28_A*mf_lo+u_amd_28*um28_A*mf_lo+u_tpu_28*um28_A*mf_lo+u_trn_28*um28_A*mf_lo+u_oth_28*um28_A*mf_lo</f>
        <v>21.2</v>
      </c>
      <c r="G459" s="16" t="n">
        <f aca="false">u_bw_28*(1+g29_bw)*um29_A*mf_lo+u_rb_28*(1+g29_rb)*um29_A*mf_lo+u_ru_28*(1+g29_ru)*um29_A*mf_lo+u_hp_28*(1+g29_hp)*um29_A*mf_lo+u_amd_28*(1+g29_amd)*um29_A*mf_lo+u_tpu_28*(1+g29_tpu)*um29_A*mf_lo+u_trn_28*(1+g29_trn)*um29_A*mf_lo+u_oth_28*(1+g29_oth)*um29_A*mf_lo</f>
        <v>24.12</v>
      </c>
    </row>
    <row r="460" customFormat="false" ht="17.15" hidden="false" customHeight="false" outlineLevel="0" collapsed="false">
      <c r="A460" s="0" t="s">
        <v>544</v>
      </c>
      <c r="B460" s="4" t="s">
        <v>28</v>
      </c>
      <c r="D460" s="16" t="n">
        <f aca="false">D451+D452+D453+D454</f>
        <v>8.25</v>
      </c>
      <c r="E460" s="16" t="n">
        <f aca="false">E451+E452+E453+E454</f>
        <v>10.8</v>
      </c>
      <c r="F460" s="16" t="n">
        <f aca="false">F451+F452+F453+F454</f>
        <v>12</v>
      </c>
      <c r="G460" s="16" t="n">
        <f aca="false">G451+G452+G453+G454</f>
        <v>13.54</v>
      </c>
    </row>
    <row r="461" customFormat="false" ht="17.15" hidden="false" customHeight="false" outlineLevel="0" collapsed="false">
      <c r="A461" s="0" t="s">
        <v>545</v>
      </c>
      <c r="B461" s="4" t="s">
        <v>28</v>
      </c>
      <c r="D461" s="16" t="n">
        <f aca="false">D455+D456+D457+D458</f>
        <v>2.8175</v>
      </c>
      <c r="E461" s="16" t="n">
        <f aca="false">E455+E456+E457+E458</f>
        <v>3.892</v>
      </c>
      <c r="F461" s="16" t="n">
        <f aca="false">F455+F456+F457+F458</f>
        <v>4.76</v>
      </c>
      <c r="G461" s="16" t="n">
        <f aca="false">G455+G456+G457+G458</f>
        <v>5.474</v>
      </c>
    </row>
    <row r="462" customFormat="false" ht="15" hidden="false" customHeight="false" outlineLevel="0" collapsed="false">
      <c r="A462" s="4" t="s">
        <v>546</v>
      </c>
      <c r="B462" s="4" t="s">
        <v>28</v>
      </c>
      <c r="D462" s="16" t="n">
        <f aca="false">D460+D461</f>
        <v>11.0675</v>
      </c>
      <c r="E462" s="16" t="n">
        <f aca="false">E460+E461</f>
        <v>14.692</v>
      </c>
      <c r="F462" s="16" t="n">
        <f aca="false">F460+F461</f>
        <v>16.76</v>
      </c>
      <c r="G462" s="16" t="n">
        <f aca="false">G460+G461</f>
        <v>19.014</v>
      </c>
    </row>
    <row r="463" customFormat="false" ht="17.15" hidden="false" customHeight="false" outlineLevel="0" collapsed="false">
      <c r="A463" s="0" t="s">
        <v>547</v>
      </c>
      <c r="B463" s="0" t="s">
        <v>239</v>
      </c>
      <c r="D463" s="21" t="n">
        <f aca="false">a26_rev*ai_26</f>
        <v>16.603774145</v>
      </c>
    </row>
    <row r="464" customFormat="false" ht="17.15" hidden="false" customHeight="false" outlineLevel="0" collapsed="false">
      <c r="A464" s="4" t="s">
        <v>548</v>
      </c>
      <c r="B464" s="0" t="s">
        <v>549</v>
      </c>
      <c r="D464" s="27" t="n">
        <f aca="false">D463/D462</f>
        <v>1.50022806821775</v>
      </c>
      <c r="H464" s="8" t="s">
        <v>550</v>
      </c>
    </row>
    <row r="465" customFormat="false" ht="17.15" hidden="false" customHeight="false" outlineLevel="0" collapsed="false">
      <c r="A465" s="4" t="s">
        <v>551</v>
      </c>
      <c r="B465" s="0" t="s">
        <v>131</v>
      </c>
      <c r="D465" s="16" t="n">
        <f aca="false">1</f>
        <v>1</v>
      </c>
      <c r="E465" s="16" t="n">
        <f aca="false">rel_27</f>
        <v>0.95</v>
      </c>
      <c r="F465" s="16" t="n">
        <f aca="false">rel_28</f>
        <v>0.92</v>
      </c>
      <c r="G465" s="16" t="n">
        <f aca="false">rel_29</f>
        <v>0.9</v>
      </c>
    </row>
    <row r="466" customFormat="false" ht="17.15" hidden="false" customHeight="false" outlineLevel="0" collapsed="false">
      <c r="A466" s="4" t="s">
        <v>552</v>
      </c>
      <c r="B466" s="0" t="s">
        <v>131</v>
      </c>
      <c r="D466" s="16" t="n">
        <f aca="false">1</f>
        <v>1</v>
      </c>
      <c r="E466" s="16" t="n">
        <f aca="false">pp_27</f>
        <v>0.98</v>
      </c>
      <c r="F466" s="16" t="n">
        <f aca="false">pp_28</f>
        <v>0.96</v>
      </c>
      <c r="G466" s="16" t="n">
        <f aca="false">pp_29</f>
        <v>0.95</v>
      </c>
    </row>
    <row r="467" customFormat="false" ht="17.15" hidden="false" customHeight="false" outlineLevel="0" collapsed="false">
      <c r="A467" s="0" t="s">
        <v>553</v>
      </c>
      <c r="B467" s="0" t="s">
        <v>239</v>
      </c>
      <c r="C467" s="21" t="n">
        <f aca="false">a25_rev*ai_25</f>
        <v>9.60674</v>
      </c>
      <c r="D467" s="21" t="n">
        <f aca="false">D463</f>
        <v>16.603774145</v>
      </c>
      <c r="E467" s="21" t="n">
        <f aca="false">$D$464*E462*E465*E466</f>
        <v>20.5204975745556</v>
      </c>
      <c r="F467" s="21" t="n">
        <f aca="false">$D$464*F462*F465*F466</f>
        <v>22.2070239642847</v>
      </c>
      <c r="G467" s="21" t="n">
        <f aca="false">$D$464*G462*G465*G466</f>
        <v>24.389162698174</v>
      </c>
    </row>
    <row r="468" customFormat="false" ht="17.15" hidden="false" customHeight="false" outlineLevel="0" collapsed="false">
      <c r="A468" s="4" t="s">
        <v>554</v>
      </c>
      <c r="B468" s="0" t="s">
        <v>239</v>
      </c>
      <c r="C468" s="21" t="n">
        <f aca="false">a25_rev-C467</f>
        <v>25.32686</v>
      </c>
      <c r="D468" s="21" t="n">
        <f aca="false">a26_rev-D467</f>
        <v>30.835580555</v>
      </c>
      <c r="E468" s="21" t="n">
        <f aca="false">D468*(1+g_nai27)</f>
        <v>34.5358502216</v>
      </c>
      <c r="F468" s="21" t="n">
        <f aca="false">E468*(1+g_nai28)</f>
        <v>36.953359737112</v>
      </c>
      <c r="G468" s="21" t="n">
        <f aca="false">F468*(1+g_nai29)</f>
        <v>38.8010277239676</v>
      </c>
    </row>
    <row r="469" customFormat="false" ht="15" hidden="false" customHeight="false" outlineLevel="0" collapsed="false">
      <c r="A469" s="4" t="s">
        <v>414</v>
      </c>
      <c r="B469" s="0" t="s">
        <v>239</v>
      </c>
      <c r="C469" s="21" t="n">
        <f aca="false">C467+C468</f>
        <v>34.9336</v>
      </c>
      <c r="D469" s="21" t="n">
        <f aca="false">D467+D468</f>
        <v>47.4393547</v>
      </c>
      <c r="E469" s="21" t="n">
        <f aca="false">E467+E468</f>
        <v>55.0563477961556</v>
      </c>
      <c r="F469" s="21" t="n">
        <f aca="false">F467+F468</f>
        <v>59.1603837013967</v>
      </c>
      <c r="G469" s="21" t="n">
        <f aca="false">G467+G468</f>
        <v>63.1901904221416</v>
      </c>
    </row>
    <row r="470" customFormat="false" ht="15" hidden="false" customHeight="false" outlineLevel="0" collapsed="false">
      <c r="A470" s="4" t="s">
        <v>555</v>
      </c>
      <c r="B470" s="0" t="s">
        <v>41</v>
      </c>
      <c r="D470" s="14" t="n">
        <f aca="false">D469/C469-1</f>
        <v>0.357986428538713</v>
      </c>
      <c r="E470" s="14" t="n">
        <f aca="false">E469/D469-1</f>
        <v>0.160562746781116</v>
      </c>
      <c r="F470" s="14" t="n">
        <f aca="false">F469/E469-1</f>
        <v>0.0745424654834734</v>
      </c>
      <c r="G470" s="14" t="n">
        <f aca="false">G469/F469-1</f>
        <v>0.0681166427365445</v>
      </c>
    </row>
    <row r="471" customFormat="false" ht="17.15" hidden="false" customHeight="false" outlineLevel="0" collapsed="false">
      <c r="A471" s="0" t="s">
        <v>556</v>
      </c>
      <c r="B471" s="0" t="s">
        <v>41</v>
      </c>
      <c r="C471" s="14" t="n">
        <f aca="false">C467/C469</f>
        <v>0.275</v>
      </c>
      <c r="D471" s="14" t="n">
        <f aca="false">D467/D469</f>
        <v>0.35</v>
      </c>
      <c r="E471" s="14" t="n">
        <f aca="false">E467/E469</f>
        <v>0.372718104196307</v>
      </c>
      <c r="F471" s="14" t="n">
        <f aca="false">F467/F469</f>
        <v>0.375369843379843</v>
      </c>
      <c r="G471" s="14" t="n">
        <f aca="false">G467/G469</f>
        <v>0.385964380471753</v>
      </c>
    </row>
    <row r="472" customFormat="false" ht="17.15" hidden="false" customHeight="false" outlineLevel="0" collapsed="false">
      <c r="A472" s="0" t="s">
        <v>502</v>
      </c>
      <c r="B472" s="0" t="s">
        <v>41</v>
      </c>
      <c r="D472" s="14" t="n">
        <f aca="false">D460/D462</f>
        <v>0.745425796250282</v>
      </c>
      <c r="E472" s="14" t="n">
        <f aca="false">E460/E462</f>
        <v>0.735093928668663</v>
      </c>
      <c r="F472" s="14" t="n">
        <f aca="false">F460/F462</f>
        <v>0.715990453460621</v>
      </c>
      <c r="G472" s="14" t="n">
        <f aca="false">G460/G462</f>
        <v>0.71210686862312</v>
      </c>
    </row>
    <row r="473" customFormat="false" ht="17.15" hidden="false" customHeight="false" outlineLevel="0" collapsed="false">
      <c r="A473" s="4" t="s">
        <v>506</v>
      </c>
      <c r="B473" s="0" t="s">
        <v>507</v>
      </c>
      <c r="D473" s="22" t="n">
        <f aca="false">D467/D462/fx*1000</f>
        <v>46.8821271318048</v>
      </c>
      <c r="E473" s="22" t="n">
        <f aca="false">E467/E462/fx*1000</f>
        <v>43.6472603597103</v>
      </c>
      <c r="F473" s="22" t="n">
        <f aca="false">F467/F462/fx*1000</f>
        <v>41.40629468281</v>
      </c>
      <c r="G473" s="22" t="n">
        <f aca="false">G467/G462/fx*1000</f>
        <v>40.0842186976931</v>
      </c>
      <c r="H473" s="4" t="s">
        <v>557</v>
      </c>
    </row>
    <row r="474" customFormat="false" ht="17.15" hidden="false" customHeight="false" outlineLevel="0" collapsed="false">
      <c r="A474" s="6" t="s">
        <v>558</v>
      </c>
    </row>
    <row r="475" customFormat="false" ht="17.15" hidden="false" customHeight="false" outlineLevel="0" collapsed="false">
      <c r="A475" s="0" t="s">
        <v>559</v>
      </c>
      <c r="B475" s="0" t="s">
        <v>131</v>
      </c>
      <c r="C475" s="16" t="n">
        <f aca="false">(a25_capex-m_cx*a25_rev)/(a25_rev-rev24)</f>
        <v>3.57284271254522</v>
      </c>
      <c r="H475" s="8" t="s">
        <v>560</v>
      </c>
    </row>
    <row r="476" customFormat="false" ht="17.15" hidden="false" customHeight="false" outlineLevel="0" collapsed="false">
      <c r="A476" s="4" t="s">
        <v>511</v>
      </c>
      <c r="B476" s="0" t="s">
        <v>239</v>
      </c>
      <c r="C476" s="21" t="n">
        <f aca="false">a25_capex</f>
        <v>32.3554</v>
      </c>
      <c r="D476" s="21" t="n">
        <f aca="false">capex_26</f>
        <v>42</v>
      </c>
      <c r="E476" s="21" t="n">
        <f aca="false">m_cx*E469+$C$475*MAX(0,E469-D469)</f>
        <v>32.7199530547225</v>
      </c>
      <c r="F476" s="21" t="n">
        <f aca="false">m_cx*F469+$C$475*MAX(0,F469-E469)</f>
        <v>20.579113146204</v>
      </c>
      <c r="G476" s="21" t="n">
        <f aca="false">m_cx*G469+$C$475*MAX(0,G469-F469)</f>
        <v>20.7168846173934</v>
      </c>
      <c r="H476" s="8" t="s">
        <v>561</v>
      </c>
    </row>
    <row r="477" customFormat="false" ht="17.15" hidden="false" customHeight="false" outlineLevel="0" collapsed="false">
      <c r="A477" s="4" t="s">
        <v>562</v>
      </c>
      <c r="B477" s="0" t="s">
        <v>41</v>
      </c>
      <c r="C477" s="14" t="n">
        <f aca="false">C476/C469</f>
        <v>0.926197128266197</v>
      </c>
      <c r="D477" s="14" t="n">
        <f aca="false">D476/D469</f>
        <v>0.885340879225746</v>
      </c>
      <c r="E477" s="14" t="n">
        <f aca="false">E476/E469</f>
        <v>0.594299374449374</v>
      </c>
      <c r="F477" s="14" t="n">
        <f aca="false">F476/F469</f>
        <v>0.347852935675233</v>
      </c>
      <c r="G477" s="14" t="n">
        <f aca="false">G476/G469</f>
        <v>0.32784969437494</v>
      </c>
    </row>
    <row r="478" customFormat="false" ht="15" hidden="false" customHeight="false" outlineLevel="0" collapsed="false">
      <c r="A478" s="4" t="s">
        <v>563</v>
      </c>
      <c r="B478" s="0" t="s">
        <v>239</v>
      </c>
      <c r="C478" s="21" t="n">
        <f aca="false">a25_da</f>
        <v>7.5143841</v>
      </c>
      <c r="D478" s="21" t="n">
        <f aca="false">a26_da</f>
        <v>11.32770694</v>
      </c>
      <c r="E478" s="21" t="n">
        <f aca="false">D478*(1-ret)+dr*(D476+E476)/2</f>
        <v>14.8709190110097</v>
      </c>
      <c r="F478" s="21" t="n">
        <f aca="false">E478*(1-ret)+dr*(E476+F476)/2</f>
        <v>17.0588217015102</v>
      </c>
      <c r="G478" s="21" t="n">
        <f aca="false">F478*(1-ret)+dr*(F476+G476)/2</f>
        <v>18.4771604934326</v>
      </c>
    </row>
    <row r="479" customFormat="false" ht="17.15" hidden="false" customHeight="false" outlineLevel="0" collapsed="false">
      <c r="A479" s="4" t="s">
        <v>515</v>
      </c>
      <c r="B479" s="0" t="s">
        <v>41</v>
      </c>
      <c r="C479" s="14" t="n">
        <f aca="false">C478/C469</f>
        <v>0.215104773055168</v>
      </c>
      <c r="D479" s="14" t="n">
        <f aca="false">D478/D469</f>
        <v>0.238782905282647</v>
      </c>
      <c r="E479" s="14" t="n">
        <f aca="false">E478/E469</f>
        <v>0.270103623038507</v>
      </c>
      <c r="F479" s="14" t="n">
        <f aca="false">F478/F469</f>
        <v>0.288348733294431</v>
      </c>
      <c r="G479" s="14" t="n">
        <f aca="false">G478/G469</f>
        <v>0.292405520065631</v>
      </c>
    </row>
    <row r="480" customFormat="false" ht="17.15" hidden="false" customHeight="false" outlineLevel="0" collapsed="false">
      <c r="A480" s="4" t="s">
        <v>564</v>
      </c>
      <c r="B480" s="0" t="s">
        <v>239</v>
      </c>
      <c r="D480" s="16" t="n">
        <f aca="false">C478*(1-ret)+dr*(C476+D476)/2-D478</f>
        <v>-0.0994950449999994</v>
      </c>
      <c r="H480" s="4" t="s">
        <v>565</v>
      </c>
    </row>
    <row r="481" customFormat="false" ht="17.15" hidden="false" customHeight="false" outlineLevel="0" collapsed="false">
      <c r="A481" s="6" t="s">
        <v>566</v>
      </c>
    </row>
    <row r="482" customFormat="false" ht="17.15" hidden="false" customHeight="false" outlineLevel="0" collapsed="false">
      <c r="A482" s="4" t="s">
        <v>567</v>
      </c>
      <c r="B482" s="0" t="s">
        <v>239</v>
      </c>
      <c r="D482" s="21" t="n">
        <f aca="false">a26_cc-v_cc*a26_rev</f>
        <v>7.9821937335</v>
      </c>
      <c r="H482" s="8" t="s">
        <v>568</v>
      </c>
    </row>
    <row r="483" customFormat="false" ht="17.15" hidden="false" customHeight="false" outlineLevel="0" collapsed="false">
      <c r="A483" s="4" t="s">
        <v>569</v>
      </c>
      <c r="B483" s="0" t="s">
        <v>239</v>
      </c>
      <c r="C483" s="21" t="n">
        <f aca="false">a25_cc</f>
        <v>14.8984</v>
      </c>
      <c r="D483" s="21" t="n">
        <f aca="false">a26_cc</f>
        <v>17.4700646735</v>
      </c>
      <c r="E483" s="21" t="n">
        <f aca="false">$D$482+v_cc*(E467/E466+E468)</f>
        <v>19.0772204256885</v>
      </c>
      <c r="F483" s="21" t="n">
        <f aca="false">$D$482+v_cc*(F467/F466+F468)</f>
        <v>19.999329006815</v>
      </c>
      <c r="G483" s="21" t="n">
        <f aca="false">$D$482+v_cc*(G467/G466+G468)</f>
        <v>20.8769598463302</v>
      </c>
      <c r="H483" s="4" t="s">
        <v>570</v>
      </c>
    </row>
    <row r="484" customFormat="false" ht="15" hidden="false" customHeight="false" outlineLevel="0" collapsed="false">
      <c r="A484" s="4" t="s">
        <v>571</v>
      </c>
      <c r="B484" s="0" t="s">
        <v>239</v>
      </c>
      <c r="C484" s="21" t="n">
        <f aca="false">C469-C483-C478</f>
        <v>12.5208159</v>
      </c>
      <c r="D484" s="21" t="n">
        <f aca="false">D469-D483-D478</f>
        <v>18.6415830865</v>
      </c>
      <c r="E484" s="21" t="n">
        <f aca="false">E469-E483-E478</f>
        <v>21.1082083594574</v>
      </c>
      <c r="F484" s="21" t="n">
        <f aca="false">F469-F483-F478</f>
        <v>22.1022329930714</v>
      </c>
      <c r="G484" s="21" t="n">
        <f aca="false">G469-G483-G478</f>
        <v>23.8360700823789</v>
      </c>
    </row>
    <row r="485" customFormat="false" ht="15" hidden="false" customHeight="false" outlineLevel="0" collapsed="false">
      <c r="A485" s="4" t="s">
        <v>421</v>
      </c>
      <c r="B485" s="0" t="s">
        <v>41</v>
      </c>
      <c r="C485" s="14" t="n">
        <f aca="false">C484/C469</f>
        <v>0.358417566468958</v>
      </c>
      <c r="D485" s="14" t="n">
        <f aca="false">D484/D469</f>
        <v>0.392956084760993</v>
      </c>
      <c r="E485" s="14" t="n">
        <f aca="false">E484/E469</f>
        <v>0.383392818528571</v>
      </c>
      <c r="F485" s="14" t="n">
        <f aca="false">F484/F469</f>
        <v>0.373598540277041</v>
      </c>
      <c r="G485" s="14" t="n">
        <f aca="false">G484/G469</f>
        <v>0.377211556463783</v>
      </c>
    </row>
    <row r="486" customFormat="false" ht="15" hidden="false" customHeight="false" outlineLevel="0" collapsed="false">
      <c r="A486" s="4" t="s">
        <v>572</v>
      </c>
      <c r="B486" s="0" t="s">
        <v>239</v>
      </c>
      <c r="C486" s="21" t="n">
        <f aca="false">a25_opx</f>
        <v>3.5197</v>
      </c>
      <c r="D486" s="21" t="n">
        <f aca="false">a26_opx</f>
        <v>6.1141318375</v>
      </c>
      <c r="E486" s="21" t="n">
        <f aca="false">D486*(1+MAX(0,phi*E470))</f>
        <v>6.70315291870652</v>
      </c>
      <c r="F486" s="21" t="n">
        <f aca="false">E486*(1+MAX(0,phi*F470))</f>
        <v>7.0029546457504</v>
      </c>
      <c r="G486" s="21" t="n">
        <f aca="false">F486*(1+MAX(0,phi*G470))</f>
        <v>7.28916530157328</v>
      </c>
    </row>
    <row r="487" customFormat="false" ht="15" hidden="false" customHeight="false" outlineLevel="0" collapsed="false">
      <c r="A487" s="4" t="s">
        <v>573</v>
      </c>
      <c r="B487" s="0" t="s">
        <v>239</v>
      </c>
      <c r="C487" s="21" t="n">
        <f aca="false">C486</f>
        <v>3.5197</v>
      </c>
      <c r="D487" s="21" t="n">
        <f aca="false">D486</f>
        <v>6.1141318375</v>
      </c>
      <c r="E487" s="21" t="n">
        <f aca="false">E486+0*E469</f>
        <v>6.70315291870652</v>
      </c>
      <c r="F487" s="21" t="n">
        <f aca="false">F486+0*F469</f>
        <v>7.0029546457504</v>
      </c>
      <c r="G487" s="21" t="n">
        <f aca="false">G486+0*G469</f>
        <v>7.28916530157328</v>
      </c>
    </row>
    <row r="488" customFormat="false" ht="15" hidden="false" customHeight="false" outlineLevel="0" collapsed="false">
      <c r="A488" s="4" t="s">
        <v>430</v>
      </c>
      <c r="B488" s="0" t="s">
        <v>239</v>
      </c>
      <c r="C488" s="21" t="n">
        <f aca="false">C484-C487</f>
        <v>9.0011159</v>
      </c>
      <c r="D488" s="21" t="n">
        <f aca="false">D484-D487</f>
        <v>12.527451249</v>
      </c>
      <c r="E488" s="21" t="n">
        <f aca="false">E484-E487</f>
        <v>14.4050554407509</v>
      </c>
      <c r="F488" s="21" t="n">
        <f aca="false">F484-F487</f>
        <v>15.099278347321</v>
      </c>
      <c r="G488" s="21" t="n">
        <f aca="false">G484-G487</f>
        <v>16.5469047808056</v>
      </c>
    </row>
    <row r="489" customFormat="false" ht="15" hidden="false" customHeight="false" outlineLevel="0" collapsed="false">
      <c r="A489" s="4" t="s">
        <v>432</v>
      </c>
      <c r="B489" s="0" t="s">
        <v>41</v>
      </c>
      <c r="C489" s="14" t="n">
        <f aca="false">C488/C469</f>
        <v>0.25766356459111</v>
      </c>
      <c r="D489" s="14" t="n">
        <f aca="false">D488/D469</f>
        <v>0.264072969124936</v>
      </c>
      <c r="E489" s="14" t="n">
        <f aca="false">E488/E469</f>
        <v>0.261642045238546</v>
      </c>
      <c r="F489" s="14" t="n">
        <f aca="false">F488/F469</f>
        <v>0.255226173371904</v>
      </c>
      <c r="G489" s="14" t="n">
        <f aca="false">G488/G469</f>
        <v>0.261858757985443</v>
      </c>
    </row>
    <row r="490" customFormat="false" ht="17.15" hidden="false" customHeight="false" outlineLevel="0" collapsed="false">
      <c r="A490" s="0" t="s">
        <v>574</v>
      </c>
      <c r="B490" s="0" t="s">
        <v>239</v>
      </c>
      <c r="C490" s="21" t="n">
        <f aca="false">C488+C478</f>
        <v>16.5155</v>
      </c>
      <c r="D490" s="21" t="n">
        <f aca="false">D488+D478</f>
        <v>23.855158189</v>
      </c>
      <c r="E490" s="21" t="n">
        <f aca="false">E488+E478</f>
        <v>29.2759744517606</v>
      </c>
      <c r="F490" s="21" t="n">
        <f aca="false">F488+F478</f>
        <v>32.1581000488312</v>
      </c>
      <c r="G490" s="21" t="n">
        <f aca="false">G488+G478</f>
        <v>35.0240652742382</v>
      </c>
    </row>
    <row r="491" customFormat="false" ht="17.15" hidden="false" customHeight="false" outlineLevel="0" collapsed="false">
      <c r="A491" s="0" t="s">
        <v>575</v>
      </c>
      <c r="B491" s="0" t="s">
        <v>239</v>
      </c>
      <c r="C491" s="21" t="n">
        <f aca="false">C490-C476</f>
        <v>-15.8399</v>
      </c>
      <c r="D491" s="21" t="n">
        <f aca="false">D490-D476</f>
        <v>-18.144841811</v>
      </c>
      <c r="E491" s="21" t="n">
        <f aca="false">E490-E476</f>
        <v>-3.44397860296186</v>
      </c>
      <c r="F491" s="21" t="n">
        <f aca="false">F490-F476</f>
        <v>11.5789869026272</v>
      </c>
      <c r="G491" s="21" t="n">
        <f aca="false">G490-G476</f>
        <v>14.3071806568448</v>
      </c>
    </row>
    <row r="492" customFormat="false" ht="17.15" hidden="false" customHeight="false" outlineLevel="0" collapsed="false">
      <c r="A492" s="4" t="s">
        <v>433</v>
      </c>
      <c r="B492" s="0" t="s">
        <v>239</v>
      </c>
      <c r="C492" s="21" t="n">
        <f aca="false">a25_ni</f>
        <v>11.015</v>
      </c>
      <c r="D492" s="21" t="n">
        <f aca="false">a26_ni</f>
        <v>10.66608446065</v>
      </c>
      <c r="E492" s="21" t="n">
        <f aca="false">E488*nir_f</f>
        <v>12.1002465702307</v>
      </c>
      <c r="F492" s="21" t="n">
        <f aca="false">F488*nir_f</f>
        <v>12.6833938117497</v>
      </c>
      <c r="G492" s="21" t="n">
        <f aca="false">G488*nir_f</f>
        <v>13.8994000158767</v>
      </c>
      <c r="H492" s="8" t="s">
        <v>438</v>
      </c>
    </row>
    <row r="493" customFormat="false" ht="17.15" hidden="false" customHeight="false" outlineLevel="0" collapsed="false">
      <c r="A493" s="4" t="s">
        <v>437</v>
      </c>
      <c r="B493" s="0" t="s">
        <v>41</v>
      </c>
      <c r="C493" s="14" t="n">
        <f aca="false">C492/C488</f>
        <v>1.22373715907824</v>
      </c>
      <c r="D493" s="14" t="n">
        <f aca="false">D492/D488</f>
        <v>0.851416960133963</v>
      </c>
      <c r="E493" s="14" t="n">
        <f aca="false">E492/E488</f>
        <v>0.84</v>
      </c>
      <c r="F493" s="14" t="n">
        <f aca="false">F492/F488</f>
        <v>0.84</v>
      </c>
      <c r="G493" s="14" t="n">
        <f aca="false">G492/G488</f>
        <v>0.84</v>
      </c>
    </row>
    <row r="494" customFormat="false" ht="15" hidden="false" customHeight="false" outlineLevel="0" collapsed="false">
      <c r="A494" s="4" t="s">
        <v>576</v>
      </c>
      <c r="B494" s="4" t="s">
        <v>294</v>
      </c>
      <c r="C494" s="27" t="n">
        <f aca="false">a25_sh</f>
        <v>1.22253052164262</v>
      </c>
      <c r="D494" s="27" t="n">
        <f aca="false">a26_sh</f>
        <v>1.28264705882353</v>
      </c>
      <c r="E494" s="27" t="n">
        <f aca="false">D494*(1+sh_g)</f>
        <v>1.28264705882353</v>
      </c>
      <c r="F494" s="27" t="n">
        <f aca="false">E494*(1+sh_g)</f>
        <v>1.28264705882353</v>
      </c>
      <c r="G494" s="27" t="n">
        <f aca="false">F494*(1+sh_g)</f>
        <v>1.28264705882353</v>
      </c>
    </row>
    <row r="495" customFormat="false" ht="15" hidden="false" customHeight="false" outlineLevel="0" collapsed="false">
      <c r="A495" s="0" t="s">
        <v>442</v>
      </c>
      <c r="B495" s="0" t="s">
        <v>315</v>
      </c>
      <c r="C495" s="21" t="n">
        <f aca="false">C492/C494</f>
        <v>9.01</v>
      </c>
      <c r="D495" s="21" t="n">
        <f aca="false">D492/D494</f>
        <v>8.31568153318276</v>
      </c>
      <c r="E495" s="21" t="n">
        <f aca="false">E492/E494</f>
        <v>9.43380837853349</v>
      </c>
      <c r="F495" s="21" t="n">
        <f aca="false">F492/F494</f>
        <v>9.88845195137557</v>
      </c>
      <c r="G495" s="21" t="n">
        <f aca="false">G492/G494</f>
        <v>10.8364962288422</v>
      </c>
    </row>
    <row r="496" customFormat="false" ht="17.15" hidden="false" customHeight="false" outlineLevel="0" collapsed="false">
      <c r="A496" s="0" t="s">
        <v>577</v>
      </c>
      <c r="B496" s="0" t="s">
        <v>41</v>
      </c>
      <c r="D496" s="14" t="n">
        <f aca="false">D495/C495-1</f>
        <v>-0.0770608731206708</v>
      </c>
      <c r="E496" s="14" t="n">
        <f aca="false">E495/D495-1</f>
        <v>0.134460036845925</v>
      </c>
      <c r="F496" s="14" t="n">
        <f aca="false">F495/E495-1</f>
        <v>0.048193004839554</v>
      </c>
      <c r="G496" s="14" t="n">
        <f aca="false">G495/F495-1</f>
        <v>0.0958738821939407</v>
      </c>
      <c r="H496" s="8" t="s">
        <v>578</v>
      </c>
    </row>
    <row r="499" customFormat="false" ht="17.15" hidden="false" customHeight="false" outlineLevel="0" collapsed="false">
      <c r="A499" s="1" t="s">
        <v>872</v>
      </c>
    </row>
    <row r="500" customFormat="false" ht="17.15" hidden="false" customHeight="false" outlineLevel="0" collapsed="false">
      <c r="A500" s="5" t="s">
        <v>17</v>
      </c>
      <c r="B500" s="5" t="s">
        <v>18</v>
      </c>
      <c r="C500" s="12" t="s">
        <v>409</v>
      </c>
      <c r="D500" s="12" t="s">
        <v>520</v>
      </c>
      <c r="E500" s="12" t="s">
        <v>521</v>
      </c>
      <c r="F500" s="12" t="s">
        <v>522</v>
      </c>
      <c r="G500" s="12" t="s">
        <v>523</v>
      </c>
      <c r="H500" s="5" t="s">
        <v>488</v>
      </c>
    </row>
    <row r="501" customFormat="false" ht="17.15" hidden="false" customHeight="false" outlineLevel="0" collapsed="false">
      <c r="A501" s="6" t="s">
        <v>543</v>
      </c>
    </row>
    <row r="502" customFormat="false" ht="17.15" hidden="false" customHeight="false" outlineLevel="0" collapsed="false">
      <c r="A502" s="0" t="s">
        <v>491</v>
      </c>
      <c r="B502" s="4" t="s">
        <v>28</v>
      </c>
      <c r="D502" s="16" t="n">
        <f aca="false">u_bw_26*tt_bw</f>
        <v>5.4</v>
      </c>
      <c r="E502" s="16" t="n">
        <f aca="false">u_bw_27*mf_hi*tt_bw</f>
        <v>2.88</v>
      </c>
      <c r="F502" s="16" t="n">
        <f aca="false">u_bw_28*um28_A*mf_hi*tt_bw</f>
        <v>0.6</v>
      </c>
      <c r="G502" s="16" t="n">
        <f aca="false">u_bw_28*(1+g29_bw)*um29_A*mf_hi*tt_bw</f>
        <v>0.3</v>
      </c>
    </row>
    <row r="503" customFormat="false" ht="17.15" hidden="false" customHeight="false" outlineLevel="0" collapsed="false">
      <c r="A503" s="0" t="s">
        <v>493</v>
      </c>
      <c r="B503" s="4" t="s">
        <v>28</v>
      </c>
      <c r="D503" s="16" t="n">
        <f aca="false">u_rb_26*tt_rb</f>
        <v>2.55</v>
      </c>
      <c r="E503" s="16" t="n">
        <f aca="false">u_rb_27*mf_hi*tt_rb</f>
        <v>12.6</v>
      </c>
      <c r="F503" s="16" t="n">
        <f aca="false">u_rb_28*um28_A*mf_hi*tt_rb</f>
        <v>12.6</v>
      </c>
      <c r="G503" s="16" t="n">
        <f aca="false">u_rb_28*(1+g29_rb)*um29_A*mf_hi*tt_rb</f>
        <v>14.49</v>
      </c>
    </row>
    <row r="504" customFormat="false" ht="17.15" hidden="false" customHeight="false" outlineLevel="0" collapsed="false">
      <c r="A504" s="0" t="s">
        <v>494</v>
      </c>
      <c r="B504" s="4" t="s">
        <v>28</v>
      </c>
      <c r="D504" s="16" t="n">
        <f aca="false">u_ru_26*tt_ru</f>
        <v>0</v>
      </c>
      <c r="E504" s="16" t="n">
        <f aca="false">u_ru_27*mf_hi*tt_ru</f>
        <v>0.72</v>
      </c>
      <c r="F504" s="16" t="n">
        <f aca="false">u_ru_28*um28_A*mf_hi*tt_ru</f>
        <v>4.8</v>
      </c>
      <c r="G504" s="16" t="n">
        <f aca="false">u_ru_28*(1+g29_ru)*um29_A*mf_hi*tt_ru</f>
        <v>5.52</v>
      </c>
    </row>
    <row r="505" customFormat="false" ht="17.15" hidden="false" customHeight="false" outlineLevel="0" collapsed="false">
      <c r="A505" s="0" t="s">
        <v>495</v>
      </c>
      <c r="B505" s="4" t="s">
        <v>28</v>
      </c>
      <c r="D505" s="16" t="n">
        <f aca="false">u_hp_26*tt_hp</f>
        <v>0.3</v>
      </c>
      <c r="E505" s="16" t="n">
        <f aca="false">u_hp_27*mf_hi*tt_hp</f>
        <v>0</v>
      </c>
      <c r="F505" s="16" t="n">
        <f aca="false">u_hp_28*um28_A*mf_hi*tt_hp</f>
        <v>0</v>
      </c>
      <c r="G505" s="16" t="n">
        <f aca="false">u_hp_28*(1+g29_hp)*um29_A*mf_hi*tt_hp</f>
        <v>0</v>
      </c>
    </row>
    <row r="506" customFormat="false" ht="17.15" hidden="false" customHeight="false" outlineLevel="0" collapsed="false">
      <c r="A506" s="0" t="s">
        <v>496</v>
      </c>
      <c r="B506" s="4" t="s">
        <v>28</v>
      </c>
      <c r="D506" s="16" t="n">
        <f aca="false">u_amd_26*tt_amd*ex_amd</f>
        <v>0.165</v>
      </c>
      <c r="E506" s="16" t="n">
        <f aca="false">u_amd_27*mf_hi*tt_amd*ex_amd</f>
        <v>0.396</v>
      </c>
      <c r="F506" s="16" t="n">
        <f aca="false">u_amd_28*um28_A*mf_hi*tt_amd*ex_amd</f>
        <v>0.528</v>
      </c>
      <c r="G506" s="16" t="n">
        <f aca="false">u_amd_28*(1+g29_amd)*um29_A*mf_hi*tt_amd*ex_amd</f>
        <v>0.6072</v>
      </c>
    </row>
    <row r="507" customFormat="false" ht="17.15" hidden="false" customHeight="false" outlineLevel="0" collapsed="false">
      <c r="A507" s="0" t="s">
        <v>498</v>
      </c>
      <c r="B507" s="4" t="s">
        <v>28</v>
      </c>
      <c r="D507" s="16" t="n">
        <f aca="false">u_tpu_26*tt_tpu*ex_tpu</f>
        <v>1.7325</v>
      </c>
      <c r="E507" s="16" t="n">
        <f aca="false">u_tpu_27*mf_hi*tt_tpu*ex_tpu</f>
        <v>2.97</v>
      </c>
      <c r="F507" s="16" t="n">
        <f aca="false">u_tpu_28*um28_A*mf_hi*tt_tpu*ex_tpu</f>
        <v>3.78</v>
      </c>
      <c r="G507" s="16" t="n">
        <f aca="false">u_tpu_28*(1+g29_tpu)*um29_A*mf_hi*tt_tpu*ex_tpu</f>
        <v>4.347</v>
      </c>
    </row>
    <row r="508" customFormat="false" ht="17.15" hidden="false" customHeight="false" outlineLevel="0" collapsed="false">
      <c r="A508" s="0" t="s">
        <v>499</v>
      </c>
      <c r="B508" s="4" t="s">
        <v>28</v>
      </c>
      <c r="D508" s="16" t="n">
        <f aca="false">u_trn_26*tt_trn*ex_trn</f>
        <v>0.64</v>
      </c>
      <c r="E508" s="16" t="n">
        <f aca="false">u_trn_27*mf_hi*tt_trn*ex_trn</f>
        <v>0.96</v>
      </c>
      <c r="F508" s="16" t="n">
        <f aca="false">u_trn_28*um28_A*mf_hi*tt_trn*ex_trn</f>
        <v>1.152</v>
      </c>
      <c r="G508" s="16" t="n">
        <f aca="false">u_trn_28*(1+g29_trn)*um29_A*mf_hi*tt_trn*ex_trn</f>
        <v>1.3248</v>
      </c>
    </row>
    <row r="509" customFormat="false" ht="17.15" hidden="false" customHeight="false" outlineLevel="0" collapsed="false">
      <c r="A509" s="4" t="s">
        <v>500</v>
      </c>
      <c r="B509" s="4" t="s">
        <v>28</v>
      </c>
      <c r="D509" s="16" t="n">
        <f aca="false">u_oth_26*tt_oth*ex_oth</f>
        <v>0.28</v>
      </c>
      <c r="E509" s="16" t="n">
        <f aca="false">u_oth_27*mf_hi*tt_oth*ex_oth</f>
        <v>1.512</v>
      </c>
      <c r="F509" s="16" t="n">
        <f aca="false">u_oth_28*um28_A*mf_hi*tt_oth*ex_oth</f>
        <v>1.68</v>
      </c>
      <c r="G509" s="16" t="n">
        <f aca="false">u_oth_28*(1+g29_oth)*um29_A*mf_hi*tt_oth*ex_oth</f>
        <v>1.932</v>
      </c>
    </row>
    <row r="510" customFormat="false" ht="15" hidden="false" customHeight="false" outlineLevel="0" collapsed="false">
      <c r="A510" s="4" t="s">
        <v>489</v>
      </c>
      <c r="B510" s="4" t="s">
        <v>28</v>
      </c>
      <c r="D510" s="16" t="n">
        <f aca="false">u_bw_26+u_rb_26+u_ru_26+u_hp_26+u_amd_26+u_tpu_26+u_trn_26+u_oth_26</f>
        <v>15.2</v>
      </c>
      <c r="E510" s="16" t="n">
        <f aca="false">u_bw_27*mf_hi+u_rb_27*mf_hi+u_ru_27*mf_hi+u_hp_27*mf_hi+u_amd_27*mf_hi+u_tpu_27*mf_hi+u_trn_27*mf_hi+u_oth_27*mf_hi</f>
        <v>28.44</v>
      </c>
      <c r="F510" s="16" t="n">
        <f aca="false">u_bw_28*um28_A*mf_hi+u_rb_28*um28_A*mf_hi+u_ru_28*um28_A*mf_hi+u_hp_28*um28_A*mf_hi+u_amd_28*um28_A*mf_hi+u_tpu_28*um28_A*mf_hi+u_trn_28*um28_A*mf_hi+u_oth_28*um28_A*mf_hi</f>
        <v>31.8</v>
      </c>
      <c r="G510" s="16" t="n">
        <f aca="false">u_bw_28*(1+g29_bw)*um29_A*mf_hi+u_rb_28*(1+g29_rb)*um29_A*mf_hi+u_ru_28*(1+g29_ru)*um29_A*mf_hi+u_hp_28*(1+g29_hp)*um29_A*mf_hi+u_amd_28*(1+g29_amd)*um29_A*mf_hi+u_tpu_28*(1+g29_tpu)*um29_A*mf_hi+u_trn_28*(1+g29_trn)*um29_A*mf_hi+u_oth_28*(1+g29_oth)*um29_A*mf_hi</f>
        <v>36.18</v>
      </c>
    </row>
    <row r="511" customFormat="false" ht="17.15" hidden="false" customHeight="false" outlineLevel="0" collapsed="false">
      <c r="A511" s="0" t="s">
        <v>544</v>
      </c>
      <c r="B511" s="4" t="s">
        <v>28</v>
      </c>
      <c r="D511" s="16" t="n">
        <f aca="false">D502+D503+D504+D505</f>
        <v>8.25</v>
      </c>
      <c r="E511" s="16" t="n">
        <f aca="false">E502+E503+E504+E505</f>
        <v>16.2</v>
      </c>
      <c r="F511" s="16" t="n">
        <f aca="false">F502+F503+F504+F505</f>
        <v>18</v>
      </c>
      <c r="G511" s="16" t="n">
        <f aca="false">G502+G503+G504+G505</f>
        <v>20.31</v>
      </c>
    </row>
    <row r="512" customFormat="false" ht="17.15" hidden="false" customHeight="false" outlineLevel="0" collapsed="false">
      <c r="A512" s="0" t="s">
        <v>545</v>
      </c>
      <c r="B512" s="4" t="s">
        <v>28</v>
      </c>
      <c r="D512" s="16" t="n">
        <f aca="false">D506+D507+D508+D509</f>
        <v>2.8175</v>
      </c>
      <c r="E512" s="16" t="n">
        <f aca="false">E506+E507+E508+E509</f>
        <v>5.838</v>
      </c>
      <c r="F512" s="16" t="n">
        <f aca="false">F506+F507+F508+F509</f>
        <v>7.14</v>
      </c>
      <c r="G512" s="16" t="n">
        <f aca="false">G506+G507+G508+G509</f>
        <v>8.211</v>
      </c>
    </row>
    <row r="513" customFormat="false" ht="15" hidden="false" customHeight="false" outlineLevel="0" collapsed="false">
      <c r="A513" s="4" t="s">
        <v>546</v>
      </c>
      <c r="B513" s="4" t="s">
        <v>28</v>
      </c>
      <c r="D513" s="16" t="n">
        <f aca="false">D511+D512</f>
        <v>11.0675</v>
      </c>
      <c r="E513" s="16" t="n">
        <f aca="false">E511+E512</f>
        <v>22.038</v>
      </c>
      <c r="F513" s="16" t="n">
        <f aca="false">F511+F512</f>
        <v>25.14</v>
      </c>
      <c r="G513" s="16" t="n">
        <f aca="false">G511+G512</f>
        <v>28.521</v>
      </c>
    </row>
    <row r="514" customFormat="false" ht="17.15" hidden="false" customHeight="false" outlineLevel="0" collapsed="false">
      <c r="A514" s="0" t="s">
        <v>547</v>
      </c>
      <c r="B514" s="0" t="s">
        <v>239</v>
      </c>
      <c r="D514" s="21" t="n">
        <f aca="false">a26_rev*ai_26</f>
        <v>16.603774145</v>
      </c>
    </row>
    <row r="515" customFormat="false" ht="17.15" hidden="false" customHeight="false" outlineLevel="0" collapsed="false">
      <c r="A515" s="4" t="s">
        <v>548</v>
      </c>
      <c r="B515" s="0" t="s">
        <v>549</v>
      </c>
      <c r="D515" s="27" t="n">
        <f aca="false">D514/D513</f>
        <v>1.50022806821775</v>
      </c>
      <c r="H515" s="8" t="s">
        <v>550</v>
      </c>
    </row>
    <row r="516" customFormat="false" ht="17.15" hidden="false" customHeight="false" outlineLevel="0" collapsed="false">
      <c r="A516" s="4" t="s">
        <v>551</v>
      </c>
      <c r="B516" s="0" t="s">
        <v>131</v>
      </c>
      <c r="D516" s="16" t="n">
        <f aca="false">1</f>
        <v>1</v>
      </c>
      <c r="E516" s="16" t="n">
        <f aca="false">rel_27</f>
        <v>0.95</v>
      </c>
      <c r="F516" s="16" t="n">
        <f aca="false">rel_28</f>
        <v>0.92</v>
      </c>
      <c r="G516" s="16" t="n">
        <f aca="false">rel_29</f>
        <v>0.9</v>
      </c>
    </row>
    <row r="517" customFormat="false" ht="17.15" hidden="false" customHeight="false" outlineLevel="0" collapsed="false">
      <c r="A517" s="4" t="s">
        <v>552</v>
      </c>
      <c r="B517" s="0" t="s">
        <v>131</v>
      </c>
      <c r="D517" s="16" t="n">
        <f aca="false">1</f>
        <v>1</v>
      </c>
      <c r="E517" s="16" t="n">
        <f aca="false">pp_27</f>
        <v>0.98</v>
      </c>
      <c r="F517" s="16" t="n">
        <f aca="false">pp_28</f>
        <v>0.96</v>
      </c>
      <c r="G517" s="16" t="n">
        <f aca="false">pp_29</f>
        <v>0.95</v>
      </c>
    </row>
    <row r="518" customFormat="false" ht="17.15" hidden="false" customHeight="false" outlineLevel="0" collapsed="false">
      <c r="A518" s="0" t="s">
        <v>553</v>
      </c>
      <c r="B518" s="0" t="s">
        <v>239</v>
      </c>
      <c r="C518" s="21" t="n">
        <f aca="false">a25_rev*ai_25</f>
        <v>9.60674</v>
      </c>
      <c r="D518" s="21" t="n">
        <f aca="false">D514</f>
        <v>16.603774145</v>
      </c>
      <c r="E518" s="21" t="n">
        <f aca="false">$D$515*E513*E516*E517</f>
        <v>30.7807463618334</v>
      </c>
      <c r="F518" s="21" t="n">
        <f aca="false">$D$515*F513*F516*F517</f>
        <v>33.310535946427</v>
      </c>
      <c r="G518" s="21" t="n">
        <f aca="false">$D$515*G513*G516*G517</f>
        <v>36.583744047261</v>
      </c>
    </row>
    <row r="519" customFormat="false" ht="17.15" hidden="false" customHeight="false" outlineLevel="0" collapsed="false">
      <c r="A519" s="4" t="s">
        <v>554</v>
      </c>
      <c r="B519" s="0" t="s">
        <v>239</v>
      </c>
      <c r="C519" s="21" t="n">
        <f aca="false">a25_rev-C518</f>
        <v>25.32686</v>
      </c>
      <c r="D519" s="21" t="n">
        <f aca="false">a26_rev-D518</f>
        <v>30.835580555</v>
      </c>
      <c r="E519" s="21" t="n">
        <f aca="false">D519*(1+g_nai27)</f>
        <v>34.5358502216</v>
      </c>
      <c r="F519" s="21" t="n">
        <f aca="false">E519*(1+g_nai28)</f>
        <v>36.953359737112</v>
      </c>
      <c r="G519" s="21" t="n">
        <f aca="false">F519*(1+g_nai29)</f>
        <v>38.8010277239676</v>
      </c>
    </row>
    <row r="520" customFormat="false" ht="15" hidden="false" customHeight="false" outlineLevel="0" collapsed="false">
      <c r="A520" s="4" t="s">
        <v>414</v>
      </c>
      <c r="B520" s="0" t="s">
        <v>239</v>
      </c>
      <c r="C520" s="21" t="n">
        <f aca="false">C518+C519</f>
        <v>34.9336</v>
      </c>
      <c r="D520" s="21" t="n">
        <f aca="false">D518+D519</f>
        <v>47.4393547</v>
      </c>
      <c r="E520" s="21" t="n">
        <f aca="false">E518+E519</f>
        <v>65.3165965834335</v>
      </c>
      <c r="F520" s="21" t="n">
        <f aca="false">F518+F519</f>
        <v>70.263895683539</v>
      </c>
      <c r="G520" s="21" t="n">
        <f aca="false">G518+G519</f>
        <v>75.3847717712286</v>
      </c>
    </row>
    <row r="521" customFormat="false" ht="15" hidden="false" customHeight="false" outlineLevel="0" collapsed="false">
      <c r="A521" s="4" t="s">
        <v>555</v>
      </c>
      <c r="B521" s="0" t="s">
        <v>41</v>
      </c>
      <c r="D521" s="14" t="n">
        <f aca="false">D520/C520-1</f>
        <v>0.357986428538713</v>
      </c>
      <c r="E521" s="14" t="n">
        <f aca="false">E520/D520-1</f>
        <v>0.376844120171674</v>
      </c>
      <c r="F521" s="14" t="n">
        <f aca="false">F520/E520-1</f>
        <v>0.0757433693561489</v>
      </c>
      <c r="G521" s="14" t="n">
        <f aca="false">G520/F520-1</f>
        <v>0.0728806172483438</v>
      </c>
    </row>
    <row r="522" customFormat="false" ht="17.15" hidden="false" customHeight="false" outlineLevel="0" collapsed="false">
      <c r="A522" s="0" t="s">
        <v>556</v>
      </c>
      <c r="B522" s="0" t="s">
        <v>41</v>
      </c>
      <c r="C522" s="14" t="n">
        <f aca="false">C518/C520</f>
        <v>0.275</v>
      </c>
      <c r="D522" s="14" t="n">
        <f aca="false">D518/D520</f>
        <v>0.35</v>
      </c>
      <c r="E522" s="14" t="n">
        <f aca="false">E518/E520</f>
        <v>0.471254596410501</v>
      </c>
      <c r="F522" s="14" t="n">
        <f aca="false">F518/F520</f>
        <v>0.474077556081634</v>
      </c>
      <c r="G522" s="14" t="n">
        <f aca="false">G518/G520</f>
        <v>0.485293557142844</v>
      </c>
    </row>
    <row r="523" customFormat="false" ht="17.15" hidden="false" customHeight="false" outlineLevel="0" collapsed="false">
      <c r="A523" s="0" t="s">
        <v>502</v>
      </c>
      <c r="B523" s="0" t="s">
        <v>41</v>
      </c>
      <c r="D523" s="14" t="n">
        <f aca="false">D511/D513</f>
        <v>0.745425796250282</v>
      </c>
      <c r="E523" s="14" t="n">
        <f aca="false">E511/E513</f>
        <v>0.735093928668663</v>
      </c>
      <c r="F523" s="14" t="n">
        <f aca="false">F511/F513</f>
        <v>0.715990453460621</v>
      </c>
      <c r="G523" s="14" t="n">
        <f aca="false">G511/G513</f>
        <v>0.71210686862312</v>
      </c>
    </row>
    <row r="524" customFormat="false" ht="17.15" hidden="false" customHeight="false" outlineLevel="0" collapsed="false">
      <c r="A524" s="4" t="s">
        <v>506</v>
      </c>
      <c r="B524" s="0" t="s">
        <v>507</v>
      </c>
      <c r="D524" s="22" t="n">
        <f aca="false">D518/D513/fx*1000</f>
        <v>46.8821271318048</v>
      </c>
      <c r="E524" s="22" t="n">
        <f aca="false">E518/E513/fx*1000</f>
        <v>43.6472603597103</v>
      </c>
      <c r="F524" s="22" t="n">
        <f aca="false">F518/F513/fx*1000</f>
        <v>41.40629468281</v>
      </c>
      <c r="G524" s="22" t="n">
        <f aca="false">G518/G513/fx*1000</f>
        <v>40.0842186976931</v>
      </c>
      <c r="H524" s="4" t="s">
        <v>557</v>
      </c>
    </row>
    <row r="525" customFormat="false" ht="17.15" hidden="false" customHeight="false" outlineLevel="0" collapsed="false">
      <c r="A525" s="6" t="s">
        <v>558</v>
      </c>
    </row>
    <row r="526" customFormat="false" ht="17.15" hidden="false" customHeight="false" outlineLevel="0" collapsed="false">
      <c r="A526" s="0" t="s">
        <v>559</v>
      </c>
      <c r="B526" s="0" t="s">
        <v>131</v>
      </c>
      <c r="C526" s="16" t="n">
        <f aca="false">(a25_capex-m_cx*a25_rev)/(a25_rev-rev24)</f>
        <v>3.57284271254522</v>
      </c>
      <c r="H526" s="8" t="s">
        <v>560</v>
      </c>
    </row>
    <row r="527" customFormat="false" ht="17.15" hidden="false" customHeight="false" outlineLevel="0" collapsed="false">
      <c r="A527" s="4" t="s">
        <v>511</v>
      </c>
      <c r="B527" s="0" t="s">
        <v>239</v>
      </c>
      <c r="C527" s="21" t="n">
        <f aca="false">a25_capex</f>
        <v>32.3554</v>
      </c>
      <c r="D527" s="21" t="n">
        <f aca="false">capex_26</f>
        <v>42</v>
      </c>
      <c r="E527" s="21" t="n">
        <f aca="false">m_cx*E520+$C$526*MAX(0,E520-D520)</f>
        <v>70.4042330419767</v>
      </c>
      <c r="F527" s="21" t="n">
        <f aca="false">m_cx*F520+$C$526*MAX(0,F520-E520)</f>
        <v>24.7023111049476</v>
      </c>
      <c r="G527" s="21" t="n">
        <f aca="false">m_cx*G520+$C$526*MAX(0,G520-F520)</f>
        <v>25.8345619888716</v>
      </c>
      <c r="H527" s="8" t="s">
        <v>561</v>
      </c>
    </row>
    <row r="528" customFormat="false" ht="17.15" hidden="false" customHeight="false" outlineLevel="0" collapsed="false">
      <c r="A528" s="4" t="s">
        <v>562</v>
      </c>
      <c r="B528" s="0" t="s">
        <v>41</v>
      </c>
      <c r="C528" s="14" t="n">
        <f aca="false">C527/C520</f>
        <v>0.926197128266197</v>
      </c>
      <c r="D528" s="14" t="n">
        <f aca="false">D527/D520</f>
        <v>0.885340879225746</v>
      </c>
      <c r="E528" s="14" t="n">
        <f aca="false">E527/E520</f>
        <v>1.07789194055824</v>
      </c>
      <c r="F528" s="14" t="n">
        <f aca="false">F527/F520</f>
        <v>0.351564781096171</v>
      </c>
      <c r="G528" s="14" t="n">
        <f aca="false">G527/G520</f>
        <v>0.342702662379508</v>
      </c>
    </row>
    <row r="529" customFormat="false" ht="15" hidden="false" customHeight="false" outlineLevel="0" collapsed="false">
      <c r="A529" s="4" t="s">
        <v>563</v>
      </c>
      <c r="B529" s="0" t="s">
        <v>239</v>
      </c>
      <c r="C529" s="21" t="n">
        <f aca="false">a25_da</f>
        <v>7.5143841</v>
      </c>
      <c r="D529" s="21" t="n">
        <f aca="false">a26_da</f>
        <v>11.32770694</v>
      </c>
      <c r="E529" s="21" t="n">
        <f aca="false">D529*(1-ret)+dr*(D527+E527)/2</f>
        <v>16.9435544103087</v>
      </c>
      <c r="F529" s="21" t="n">
        <f aca="false">E529*(1-ret)+dr*(E527+F527)/2</f>
        <v>21.3272366178741</v>
      </c>
      <c r="G529" s="21" t="n">
        <f aca="false">F529*(1-ret)+dr*(F527+G527)/2</f>
        <v>23.0404028071405</v>
      </c>
    </row>
    <row r="530" customFormat="false" ht="17.15" hidden="false" customHeight="false" outlineLevel="0" collapsed="false">
      <c r="A530" s="4" t="s">
        <v>515</v>
      </c>
      <c r="B530" s="0" t="s">
        <v>41</v>
      </c>
      <c r="C530" s="14" t="n">
        <f aca="false">C529/C520</f>
        <v>0.215104773055168</v>
      </c>
      <c r="D530" s="14" t="n">
        <f aca="false">D529/D520</f>
        <v>0.238782905282647</v>
      </c>
      <c r="E530" s="14" t="n">
        <f aca="false">E529/E520</f>
        <v>0.259406571937127</v>
      </c>
      <c r="F530" s="14" t="n">
        <f aca="false">F529/F520</f>
        <v>0.303530517492649</v>
      </c>
      <c r="G530" s="14" t="n">
        <f aca="false">G529/G520</f>
        <v>0.305637362371562</v>
      </c>
    </row>
    <row r="531" customFormat="false" ht="17.15" hidden="false" customHeight="false" outlineLevel="0" collapsed="false">
      <c r="A531" s="4" t="s">
        <v>564</v>
      </c>
      <c r="B531" s="0" t="s">
        <v>239</v>
      </c>
      <c r="D531" s="16" t="n">
        <f aca="false">C529*(1-ret)+dr*(C527+D527)/2-D529</f>
        <v>-0.0994950449999994</v>
      </c>
      <c r="H531" s="4" t="s">
        <v>565</v>
      </c>
    </row>
    <row r="532" customFormat="false" ht="17.15" hidden="false" customHeight="false" outlineLevel="0" collapsed="false">
      <c r="A532" s="6" t="s">
        <v>566</v>
      </c>
    </row>
    <row r="533" customFormat="false" ht="17.15" hidden="false" customHeight="false" outlineLevel="0" collapsed="false">
      <c r="A533" s="4" t="s">
        <v>567</v>
      </c>
      <c r="B533" s="0" t="s">
        <v>239</v>
      </c>
      <c r="D533" s="21" t="n">
        <f aca="false">a26_cc-v_cc*a26_rev</f>
        <v>7.9821937335</v>
      </c>
      <c r="H533" s="8" t="s">
        <v>568</v>
      </c>
    </row>
    <row r="534" customFormat="false" ht="17.15" hidden="false" customHeight="false" outlineLevel="0" collapsed="false">
      <c r="A534" s="4" t="s">
        <v>569</v>
      </c>
      <c r="B534" s="0" t="s">
        <v>239</v>
      </c>
      <c r="C534" s="21" t="n">
        <f aca="false">a25_cc</f>
        <v>14.8984</v>
      </c>
      <c r="D534" s="21" t="n">
        <f aca="false">a26_cc</f>
        <v>17.4700646735</v>
      </c>
      <c r="E534" s="21" t="n">
        <f aca="false">$D$533+v_cc*(E518/E517+E519)</f>
        <v>21.1711487496227</v>
      </c>
      <c r="F534" s="21" t="n">
        <f aca="false">$D$533+v_cc*(F518/F517+F519)</f>
        <v>22.3125606697614</v>
      </c>
      <c r="G534" s="21" t="n">
        <f aca="false">$D$533+v_cc*(G518/G517+G519)</f>
        <v>23.4442401303485</v>
      </c>
      <c r="H534" s="4" t="s">
        <v>570</v>
      </c>
    </row>
    <row r="535" customFormat="false" ht="15" hidden="false" customHeight="false" outlineLevel="0" collapsed="false">
      <c r="A535" s="4" t="s">
        <v>571</v>
      </c>
      <c r="B535" s="0" t="s">
        <v>239</v>
      </c>
      <c r="C535" s="21" t="n">
        <f aca="false">C520-C534-C529</f>
        <v>12.5208159</v>
      </c>
      <c r="D535" s="21" t="n">
        <f aca="false">D520-D534-D529</f>
        <v>18.6415830865</v>
      </c>
      <c r="E535" s="21" t="n">
        <f aca="false">E520-E534-E529</f>
        <v>27.201893423502</v>
      </c>
      <c r="F535" s="21" t="n">
        <f aca="false">F520-F534-F529</f>
        <v>26.6240983959035</v>
      </c>
      <c r="G535" s="21" t="n">
        <f aca="false">G520-G534-G529</f>
        <v>28.9001288337397</v>
      </c>
    </row>
    <row r="536" customFormat="false" ht="15" hidden="false" customHeight="false" outlineLevel="0" collapsed="false">
      <c r="A536" s="4" t="s">
        <v>421</v>
      </c>
      <c r="B536" s="0" t="s">
        <v>41</v>
      </c>
      <c r="C536" s="14" t="n">
        <f aca="false">C535/C520</f>
        <v>0.358417566468958</v>
      </c>
      <c r="D536" s="14" t="n">
        <f aca="false">D535/D520</f>
        <v>0.392956084760993</v>
      </c>
      <c r="E536" s="14" t="n">
        <f aca="false">E535/E520</f>
        <v>0.416462198681083</v>
      </c>
      <c r="F536" s="14" t="n">
        <f aca="false">F535/F520</f>
        <v>0.378915773697143</v>
      </c>
      <c r="G536" s="14" t="n">
        <f aca="false">G535/G520</f>
        <v>0.383368260654066</v>
      </c>
    </row>
    <row r="537" customFormat="false" ht="15" hidden="false" customHeight="false" outlineLevel="0" collapsed="false">
      <c r="A537" s="4" t="s">
        <v>572</v>
      </c>
      <c r="B537" s="0" t="s">
        <v>239</v>
      </c>
      <c r="C537" s="21" t="n">
        <f aca="false">a25_opx</f>
        <v>3.5197</v>
      </c>
      <c r="D537" s="21" t="n">
        <f aca="false">a26_opx</f>
        <v>6.1141318375</v>
      </c>
      <c r="E537" s="21" t="n">
        <f aca="false">D537*(1+MAX(0,phi*E521))</f>
        <v>7.49657661724978</v>
      </c>
      <c r="F537" s="21" t="n">
        <f aca="false">E537*(1+MAX(0,phi*F521))</f>
        <v>7.837266200226</v>
      </c>
      <c r="G537" s="21" t="n">
        <f aca="false">F537*(1+MAX(0,phi*G521))</f>
        <v>8.17997707915323</v>
      </c>
    </row>
    <row r="538" customFormat="false" ht="15" hidden="false" customHeight="false" outlineLevel="0" collapsed="false">
      <c r="A538" s="4" t="s">
        <v>573</v>
      </c>
      <c r="B538" s="0" t="s">
        <v>239</v>
      </c>
      <c r="C538" s="21" t="n">
        <f aca="false">C537</f>
        <v>3.5197</v>
      </c>
      <c r="D538" s="21" t="n">
        <f aca="false">D537</f>
        <v>6.1141318375</v>
      </c>
      <c r="E538" s="21" t="n">
        <f aca="false">E537+0*E520</f>
        <v>7.49657661724978</v>
      </c>
      <c r="F538" s="21" t="n">
        <f aca="false">F537+0*F520</f>
        <v>7.837266200226</v>
      </c>
      <c r="G538" s="21" t="n">
        <f aca="false">G537+0*G520</f>
        <v>8.17997707915323</v>
      </c>
    </row>
    <row r="539" customFormat="false" ht="15" hidden="false" customHeight="false" outlineLevel="0" collapsed="false">
      <c r="A539" s="4" t="s">
        <v>430</v>
      </c>
      <c r="B539" s="0" t="s">
        <v>239</v>
      </c>
      <c r="C539" s="21" t="n">
        <f aca="false">C535-C538</f>
        <v>9.0011159</v>
      </c>
      <c r="D539" s="21" t="n">
        <f aca="false">D535-D538</f>
        <v>12.527451249</v>
      </c>
      <c r="E539" s="21" t="n">
        <f aca="false">E535-E538</f>
        <v>19.7053168062522</v>
      </c>
      <c r="F539" s="21" t="n">
        <f aca="false">F535-F538</f>
        <v>18.7868321956775</v>
      </c>
      <c r="G539" s="21" t="n">
        <f aca="false">G535-G538</f>
        <v>20.7201517545864</v>
      </c>
    </row>
    <row r="540" customFormat="false" ht="15" hidden="false" customHeight="false" outlineLevel="0" collapsed="false">
      <c r="A540" s="4" t="s">
        <v>432</v>
      </c>
      <c r="B540" s="0" t="s">
        <v>41</v>
      </c>
      <c r="C540" s="14" t="n">
        <f aca="false">C539/C520</f>
        <v>0.25766356459111</v>
      </c>
      <c r="D540" s="14" t="n">
        <f aca="false">D539/D520</f>
        <v>0.264072969124936</v>
      </c>
      <c r="E540" s="14" t="n">
        <f aca="false">E539/E520</f>
        <v>0.30168927710557</v>
      </c>
      <c r="F540" s="14" t="n">
        <f aca="false">F539/F520</f>
        <v>0.267375328579722</v>
      </c>
      <c r="G540" s="14" t="n">
        <f aca="false">G539/G520</f>
        <v>0.274858585729572</v>
      </c>
    </row>
    <row r="541" customFormat="false" ht="17.15" hidden="false" customHeight="false" outlineLevel="0" collapsed="false">
      <c r="A541" s="0" t="s">
        <v>574</v>
      </c>
      <c r="B541" s="0" t="s">
        <v>239</v>
      </c>
      <c r="C541" s="21" t="n">
        <f aca="false">C539+C529</f>
        <v>16.5155</v>
      </c>
      <c r="D541" s="21" t="n">
        <f aca="false">D539+D529</f>
        <v>23.855158189</v>
      </c>
      <c r="E541" s="21" t="n">
        <f aca="false">E539+E529</f>
        <v>36.6488712165609</v>
      </c>
      <c r="F541" s="21" t="n">
        <f aca="false">F539+F529</f>
        <v>40.1140688135517</v>
      </c>
      <c r="G541" s="21" t="n">
        <f aca="false">G539+G529</f>
        <v>43.7605545617269</v>
      </c>
    </row>
    <row r="542" customFormat="false" ht="17.15" hidden="false" customHeight="false" outlineLevel="0" collapsed="false">
      <c r="A542" s="0" t="s">
        <v>575</v>
      </c>
      <c r="B542" s="0" t="s">
        <v>239</v>
      </c>
      <c r="C542" s="21" t="n">
        <f aca="false">C541-C527</f>
        <v>-15.8399</v>
      </c>
      <c r="D542" s="21" t="n">
        <f aca="false">D541-D527</f>
        <v>-18.144841811</v>
      </c>
      <c r="E542" s="21" t="n">
        <f aca="false">E541-E527</f>
        <v>-33.7553618254158</v>
      </c>
      <c r="F542" s="21" t="n">
        <f aca="false">F541-F527</f>
        <v>15.4117577086041</v>
      </c>
      <c r="G542" s="21" t="n">
        <f aca="false">G541-G527</f>
        <v>17.9259925728553</v>
      </c>
    </row>
    <row r="543" customFormat="false" ht="17.15" hidden="false" customHeight="false" outlineLevel="0" collapsed="false">
      <c r="A543" s="4" t="s">
        <v>433</v>
      </c>
      <c r="B543" s="0" t="s">
        <v>239</v>
      </c>
      <c r="C543" s="21" t="n">
        <f aca="false">a25_ni</f>
        <v>11.015</v>
      </c>
      <c r="D543" s="21" t="n">
        <f aca="false">a26_ni</f>
        <v>10.66608446065</v>
      </c>
      <c r="E543" s="21" t="n">
        <f aca="false">E539*nir_f</f>
        <v>16.5524661172519</v>
      </c>
      <c r="F543" s="21" t="n">
        <f aca="false">F539*nir_f</f>
        <v>15.7809390443691</v>
      </c>
      <c r="G543" s="21" t="n">
        <f aca="false">G539*nir_f</f>
        <v>17.4049274738526</v>
      </c>
      <c r="H543" s="8" t="s">
        <v>438</v>
      </c>
    </row>
    <row r="544" customFormat="false" ht="17.15" hidden="false" customHeight="false" outlineLevel="0" collapsed="false">
      <c r="A544" s="4" t="s">
        <v>437</v>
      </c>
      <c r="B544" s="0" t="s">
        <v>41</v>
      </c>
      <c r="C544" s="14" t="n">
        <f aca="false">C543/C539</f>
        <v>1.22373715907824</v>
      </c>
      <c r="D544" s="14" t="n">
        <f aca="false">D543/D539</f>
        <v>0.851416960133963</v>
      </c>
      <c r="E544" s="14" t="n">
        <f aca="false">E543/E539</f>
        <v>0.84</v>
      </c>
      <c r="F544" s="14" t="n">
        <f aca="false">F543/F539</f>
        <v>0.84</v>
      </c>
      <c r="G544" s="14" t="n">
        <f aca="false">G543/G539</f>
        <v>0.84</v>
      </c>
    </row>
    <row r="545" customFormat="false" ht="15" hidden="false" customHeight="false" outlineLevel="0" collapsed="false">
      <c r="A545" s="4" t="s">
        <v>576</v>
      </c>
      <c r="B545" s="4" t="s">
        <v>294</v>
      </c>
      <c r="C545" s="27" t="n">
        <f aca="false">a25_sh</f>
        <v>1.22253052164262</v>
      </c>
      <c r="D545" s="27" t="n">
        <f aca="false">a26_sh</f>
        <v>1.28264705882353</v>
      </c>
      <c r="E545" s="27" t="n">
        <f aca="false">D545*(1+sh_g)</f>
        <v>1.28264705882353</v>
      </c>
      <c r="F545" s="27" t="n">
        <f aca="false">E545*(1+sh_g)</f>
        <v>1.28264705882353</v>
      </c>
      <c r="G545" s="27" t="n">
        <f aca="false">F545*(1+sh_g)</f>
        <v>1.28264705882353</v>
      </c>
    </row>
    <row r="546" customFormat="false" ht="15" hidden="false" customHeight="false" outlineLevel="0" collapsed="false">
      <c r="A546" s="0" t="s">
        <v>442</v>
      </c>
      <c r="B546" s="0" t="s">
        <v>315</v>
      </c>
      <c r="C546" s="21" t="n">
        <f aca="false">C543/C545</f>
        <v>9.01</v>
      </c>
      <c r="D546" s="21" t="n">
        <f aca="false">D543/D545</f>
        <v>8.31568153318276</v>
      </c>
      <c r="E546" s="21" t="n">
        <f aca="false">E543/E545</f>
        <v>12.9049265761652</v>
      </c>
      <c r="F546" s="21" t="n">
        <f aca="false">F543/F545</f>
        <v>12.3034149852912</v>
      </c>
      <c r="G546" s="21" t="n">
        <f aca="false">G543/G545</f>
        <v>13.5695375856682</v>
      </c>
    </row>
    <row r="547" customFormat="false" ht="17.15" hidden="false" customHeight="false" outlineLevel="0" collapsed="false">
      <c r="A547" s="0" t="s">
        <v>577</v>
      </c>
      <c r="B547" s="0" t="s">
        <v>41</v>
      </c>
      <c r="D547" s="14" t="n">
        <f aca="false">D546/C546-1</f>
        <v>-0.0770608731206708</v>
      </c>
      <c r="E547" s="14" t="n">
        <f aca="false">E546/D546-1</f>
        <v>0.551878402830792</v>
      </c>
      <c r="F547" s="14" t="n">
        <f aca="false">F546/E546-1</f>
        <v>-0.0466110045124086</v>
      </c>
      <c r="G547" s="14" t="n">
        <f aca="false">G546/F546-1</f>
        <v>0.102908225227758</v>
      </c>
      <c r="H547" s="8" t="s">
        <v>578</v>
      </c>
    </row>
    <row r="550" customFormat="false" ht="17.15" hidden="false" customHeight="false" outlineLevel="0" collapsed="false">
      <c r="A550" s="1" t="s">
        <v>873</v>
      </c>
    </row>
    <row r="551" customFormat="false" ht="17.15" hidden="false" customHeight="false" outlineLevel="0" collapsed="false">
      <c r="A551" s="5" t="s">
        <v>17</v>
      </c>
      <c r="B551" s="5" t="s">
        <v>18</v>
      </c>
      <c r="C551" s="12" t="s">
        <v>409</v>
      </c>
      <c r="D551" s="12" t="s">
        <v>520</v>
      </c>
      <c r="E551" s="12" t="s">
        <v>521</v>
      </c>
      <c r="F551" s="12" t="s">
        <v>522</v>
      </c>
      <c r="G551" s="12" t="s">
        <v>523</v>
      </c>
      <c r="H551" s="5" t="s">
        <v>488</v>
      </c>
    </row>
    <row r="552" customFormat="false" ht="17.15" hidden="false" customHeight="false" outlineLevel="0" collapsed="false">
      <c r="A552" s="6" t="s">
        <v>543</v>
      </c>
    </row>
    <row r="553" customFormat="false" ht="17.15" hidden="false" customHeight="false" outlineLevel="0" collapsed="false">
      <c r="A553" s="0" t="s">
        <v>491</v>
      </c>
      <c r="B553" s="4" t="s">
        <v>28</v>
      </c>
      <c r="D553" s="16" t="n">
        <f aca="false">u_bw_26*tt_bw</f>
        <v>5.4</v>
      </c>
      <c r="E553" s="16" t="n">
        <f aca="false">u_bw_27*1*tt_bw</f>
        <v>2.4</v>
      </c>
      <c r="F553" s="16" t="n">
        <f aca="false">u_bw_28*um28_A*1*tt_bw</f>
        <v>0.5</v>
      </c>
      <c r="G553" s="16" t="n">
        <f aca="false">u_bw_28*(1+g29_bw)*um29_A*1*tt_bw</f>
        <v>0.25</v>
      </c>
    </row>
    <row r="554" customFormat="false" ht="17.15" hidden="false" customHeight="false" outlineLevel="0" collapsed="false">
      <c r="A554" s="0" t="s">
        <v>493</v>
      </c>
      <c r="B554" s="4" t="s">
        <v>28</v>
      </c>
      <c r="D554" s="16" t="n">
        <f aca="false">u_rb_26*tt_rb</f>
        <v>2.55</v>
      </c>
      <c r="E554" s="16" t="n">
        <f aca="false">u_rb_27*1*tt_rb</f>
        <v>10.5</v>
      </c>
      <c r="F554" s="16" t="n">
        <f aca="false">u_rb_28*um28_A*1*tt_rb</f>
        <v>10.5</v>
      </c>
      <c r="G554" s="16" t="n">
        <f aca="false">u_rb_28*(1+g29_rb)*um29_A*1*tt_rb</f>
        <v>12.075</v>
      </c>
    </row>
    <row r="555" customFormat="false" ht="17.15" hidden="false" customHeight="false" outlineLevel="0" collapsed="false">
      <c r="A555" s="0" t="s">
        <v>494</v>
      </c>
      <c r="B555" s="4" t="s">
        <v>28</v>
      </c>
      <c r="D555" s="16" t="n">
        <f aca="false">u_ru_26*tt_ru</f>
        <v>0</v>
      </c>
      <c r="E555" s="16" t="n">
        <f aca="false">u_ru_27*1*tt_ru</f>
        <v>0.6</v>
      </c>
      <c r="F555" s="16" t="n">
        <f aca="false">u_ru_28*um28_A*1*tt_ru</f>
        <v>4</v>
      </c>
      <c r="G555" s="16" t="n">
        <f aca="false">u_ru_28*(1+g29_ru)*um29_A*1*tt_ru</f>
        <v>4.6</v>
      </c>
    </row>
    <row r="556" customFormat="false" ht="17.15" hidden="false" customHeight="false" outlineLevel="0" collapsed="false">
      <c r="A556" s="0" t="s">
        <v>495</v>
      </c>
      <c r="B556" s="4" t="s">
        <v>28</v>
      </c>
      <c r="D556" s="16" t="n">
        <f aca="false">u_hp_26*tt_hp</f>
        <v>0.3</v>
      </c>
      <c r="E556" s="16" t="n">
        <f aca="false">u_hp_27*1*tt_hp</f>
        <v>0</v>
      </c>
      <c r="F556" s="16" t="n">
        <f aca="false">u_hp_28*um28_A*1*tt_hp</f>
        <v>0</v>
      </c>
      <c r="G556" s="16" t="n">
        <f aca="false">u_hp_28*(1+g29_hp)*um29_A*1*tt_hp</f>
        <v>0</v>
      </c>
    </row>
    <row r="557" customFormat="false" ht="17.15" hidden="false" customHeight="false" outlineLevel="0" collapsed="false">
      <c r="A557" s="0" t="s">
        <v>496</v>
      </c>
      <c r="B557" s="4" t="s">
        <v>28</v>
      </c>
      <c r="D557" s="16" t="n">
        <f aca="false">u_amd_26*tt_amd*ex_amd</f>
        <v>0.165</v>
      </c>
      <c r="E557" s="16" t="n">
        <f aca="false">u_amd_27*1*tt_amd*ex_amd</f>
        <v>0.33</v>
      </c>
      <c r="F557" s="16" t="n">
        <f aca="false">u_amd_28*um28_A*1*tt_amd*ex_amd</f>
        <v>0.44</v>
      </c>
      <c r="G557" s="16" t="n">
        <f aca="false">u_amd_28*(1+g29_amd)*um29_A*1*tt_amd*ex_amd</f>
        <v>0.506</v>
      </c>
    </row>
    <row r="558" customFormat="false" ht="17.15" hidden="false" customHeight="false" outlineLevel="0" collapsed="false">
      <c r="A558" s="0" t="s">
        <v>498</v>
      </c>
      <c r="B558" s="4" t="s">
        <v>28</v>
      </c>
      <c r="D558" s="16" t="n">
        <f aca="false">u_tpu_26*tt_tpu*ex_tpu</f>
        <v>1.7325</v>
      </c>
      <c r="E558" s="16" t="n">
        <f aca="false">u_tpu_27*1*tt_tpu*ex_tpu</f>
        <v>2.475</v>
      </c>
      <c r="F558" s="16" t="n">
        <f aca="false">u_tpu_28*um28_A*1*tt_tpu*ex_tpu</f>
        <v>3.15</v>
      </c>
      <c r="G558" s="16" t="n">
        <f aca="false">u_tpu_28*(1+g29_tpu)*um29_A*1*tt_tpu*ex_tpu</f>
        <v>3.6225</v>
      </c>
    </row>
    <row r="559" customFormat="false" ht="17.15" hidden="false" customHeight="false" outlineLevel="0" collapsed="false">
      <c r="A559" s="0" t="s">
        <v>499</v>
      </c>
      <c r="B559" s="4" t="s">
        <v>28</v>
      </c>
      <c r="D559" s="16" t="n">
        <f aca="false">u_trn_26*tt_trn*ex_trn</f>
        <v>0.64</v>
      </c>
      <c r="E559" s="16" t="n">
        <f aca="false">u_trn_27*1*tt_trn*ex_trn</f>
        <v>0.8</v>
      </c>
      <c r="F559" s="16" t="n">
        <f aca="false">u_trn_28*um28_A*1*tt_trn*ex_trn</f>
        <v>0.96</v>
      </c>
      <c r="G559" s="16" t="n">
        <f aca="false">u_trn_28*(1+g29_trn)*um29_A*1*tt_trn*ex_trn</f>
        <v>1.104</v>
      </c>
    </row>
    <row r="560" customFormat="false" ht="17.15" hidden="false" customHeight="false" outlineLevel="0" collapsed="false">
      <c r="A560" s="4" t="s">
        <v>500</v>
      </c>
      <c r="B560" s="4" t="s">
        <v>28</v>
      </c>
      <c r="D560" s="16" t="n">
        <f aca="false">u_oth_26*tt_oth*ex_oth</f>
        <v>0.28</v>
      </c>
      <c r="E560" s="16" t="n">
        <f aca="false">u_oth_27*1*tt_oth*ex_oth</f>
        <v>1.26</v>
      </c>
      <c r="F560" s="16" t="n">
        <f aca="false">u_oth_28*um28_A*1*tt_oth*ex_oth</f>
        <v>1.4</v>
      </c>
      <c r="G560" s="16" t="n">
        <f aca="false">u_oth_28*(1+g29_oth)*um29_A*1*tt_oth*ex_oth</f>
        <v>1.61</v>
      </c>
    </row>
    <row r="561" customFormat="false" ht="15" hidden="false" customHeight="false" outlineLevel="0" collapsed="false">
      <c r="A561" s="4" t="s">
        <v>489</v>
      </c>
      <c r="B561" s="4" t="s">
        <v>28</v>
      </c>
      <c r="D561" s="16" t="n">
        <f aca="false">u_bw_26+u_rb_26+u_ru_26+u_hp_26+u_amd_26+u_tpu_26+u_trn_26+u_oth_26</f>
        <v>15.2</v>
      </c>
      <c r="E561" s="16" t="n">
        <f aca="false">u_bw_27*1+u_rb_27*1+u_ru_27*1+u_hp_27*1+u_amd_27*1+u_tpu_27*1+u_trn_27*1+u_oth_27*1</f>
        <v>23.7</v>
      </c>
      <c r="F561" s="16" t="n">
        <f aca="false">u_bw_28*um28_A*1+u_rb_28*um28_A*1+u_ru_28*um28_A*1+u_hp_28*um28_A*1+u_amd_28*um28_A*1+u_tpu_28*um28_A*1+u_trn_28*um28_A*1+u_oth_28*um28_A*1</f>
        <v>26.5</v>
      </c>
      <c r="G56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62" customFormat="false" ht="17.15" hidden="false" customHeight="false" outlineLevel="0" collapsed="false">
      <c r="A562" s="0" t="s">
        <v>544</v>
      </c>
      <c r="B562" s="4" t="s">
        <v>28</v>
      </c>
      <c r="D562" s="16" t="n">
        <f aca="false">D553+D554+D555+D556</f>
        <v>8.25</v>
      </c>
      <c r="E562" s="16" t="n">
        <f aca="false">E553+E554+E555+E556</f>
        <v>13.5</v>
      </c>
      <c r="F562" s="16" t="n">
        <f aca="false">F553+F554+F555+F556</f>
        <v>15</v>
      </c>
      <c r="G562" s="16" t="n">
        <f aca="false">G553+G554+G555+G556</f>
        <v>16.925</v>
      </c>
    </row>
    <row r="563" customFormat="false" ht="17.15" hidden="false" customHeight="false" outlineLevel="0" collapsed="false">
      <c r="A563" s="0" t="s">
        <v>545</v>
      </c>
      <c r="B563" s="4" t="s">
        <v>28</v>
      </c>
      <c r="D563" s="16" t="n">
        <f aca="false">D557+D558+D559+D560</f>
        <v>2.8175</v>
      </c>
      <c r="E563" s="16" t="n">
        <f aca="false">E557+E558+E559+E560</f>
        <v>4.865</v>
      </c>
      <c r="F563" s="16" t="n">
        <f aca="false">F557+F558+F559+F560</f>
        <v>5.95</v>
      </c>
      <c r="G563" s="16" t="n">
        <f aca="false">G557+G558+G559+G560</f>
        <v>6.8425</v>
      </c>
    </row>
    <row r="564" customFormat="false" ht="15" hidden="false" customHeight="false" outlineLevel="0" collapsed="false">
      <c r="A564" s="4" t="s">
        <v>546</v>
      </c>
      <c r="B564" s="4" t="s">
        <v>28</v>
      </c>
      <c r="D564" s="16" t="n">
        <f aca="false">D562+D563</f>
        <v>11.0675</v>
      </c>
      <c r="E564" s="16" t="n">
        <f aca="false">E562+E563</f>
        <v>18.365</v>
      </c>
      <c r="F564" s="16" t="n">
        <f aca="false">F562+F563</f>
        <v>20.95</v>
      </c>
      <c r="G564" s="16" t="n">
        <f aca="false">G562+G563</f>
        <v>23.7675</v>
      </c>
    </row>
    <row r="565" customFormat="false" ht="17.15" hidden="false" customHeight="false" outlineLevel="0" collapsed="false">
      <c r="A565" s="0" t="s">
        <v>547</v>
      </c>
      <c r="B565" s="0" t="s">
        <v>239</v>
      </c>
      <c r="D565" s="21" t="n">
        <f aca="false">a26_rev*ai_26_lo</f>
        <v>13.283019316</v>
      </c>
    </row>
    <row r="566" customFormat="false" ht="17.15" hidden="false" customHeight="false" outlineLevel="0" collapsed="false">
      <c r="A566" s="4" t="s">
        <v>548</v>
      </c>
      <c r="B566" s="0" t="s">
        <v>549</v>
      </c>
      <c r="D566" s="27" t="n">
        <f aca="false">D565/D564</f>
        <v>1.2001824545742</v>
      </c>
      <c r="H566" s="8" t="s">
        <v>550</v>
      </c>
    </row>
    <row r="567" customFormat="false" ht="17.15" hidden="false" customHeight="false" outlineLevel="0" collapsed="false">
      <c r="A567" s="4" t="s">
        <v>551</v>
      </c>
      <c r="B567" s="0" t="s">
        <v>131</v>
      </c>
      <c r="D567" s="16" t="n">
        <f aca="false">1</f>
        <v>1</v>
      </c>
      <c r="E567" s="16" t="n">
        <f aca="false">rel_27</f>
        <v>0.95</v>
      </c>
      <c r="F567" s="16" t="n">
        <f aca="false">rel_28</f>
        <v>0.92</v>
      </c>
      <c r="G567" s="16" t="n">
        <f aca="false">rel_29</f>
        <v>0.9</v>
      </c>
    </row>
    <row r="568" customFormat="false" ht="17.15" hidden="false" customHeight="false" outlineLevel="0" collapsed="false">
      <c r="A568" s="4" t="s">
        <v>552</v>
      </c>
      <c r="B568" s="0" t="s">
        <v>131</v>
      </c>
      <c r="D568" s="16" t="n">
        <f aca="false">1</f>
        <v>1</v>
      </c>
      <c r="E568" s="16" t="n">
        <f aca="false">pp_27</f>
        <v>0.98</v>
      </c>
      <c r="F568" s="16" t="n">
        <f aca="false">pp_28</f>
        <v>0.96</v>
      </c>
      <c r="G568" s="16" t="n">
        <f aca="false">pp_29</f>
        <v>0.95</v>
      </c>
    </row>
    <row r="569" customFormat="false" ht="17.15" hidden="false" customHeight="false" outlineLevel="0" collapsed="false">
      <c r="A569" s="0" t="s">
        <v>553</v>
      </c>
      <c r="B569" s="0" t="s">
        <v>239</v>
      </c>
      <c r="C569" s="21" t="n">
        <f aca="false">a25_rev*ai_25</f>
        <v>9.60674</v>
      </c>
      <c r="D569" s="21" t="n">
        <f aca="false">D565</f>
        <v>13.283019316</v>
      </c>
      <c r="E569" s="21" t="n">
        <f aca="false">$D$566*E564*E567*E568</f>
        <v>20.5204975745556</v>
      </c>
      <c r="F569" s="21" t="n">
        <f aca="false">$D$566*F564*F567*F568</f>
        <v>22.2070239642847</v>
      </c>
      <c r="G569" s="21" t="n">
        <f aca="false">$D$566*G564*G567*G568</f>
        <v>24.389162698174</v>
      </c>
    </row>
    <row r="570" customFormat="false" ht="17.15" hidden="false" customHeight="false" outlineLevel="0" collapsed="false">
      <c r="A570" s="4" t="s">
        <v>554</v>
      </c>
      <c r="B570" s="0" t="s">
        <v>239</v>
      </c>
      <c r="C570" s="21" t="n">
        <f aca="false">a25_rev-C569</f>
        <v>25.32686</v>
      </c>
      <c r="D570" s="21" t="n">
        <f aca="false">a26_rev-D569</f>
        <v>34.156335384</v>
      </c>
      <c r="E570" s="21" t="n">
        <f aca="false">D570*(1+g_nai27)</f>
        <v>38.25509563008</v>
      </c>
      <c r="F570" s="21" t="n">
        <f aca="false">E570*(1+g_nai28)</f>
        <v>40.9329523241856</v>
      </c>
      <c r="G570" s="21" t="n">
        <f aca="false">F570*(1+g_nai29)</f>
        <v>42.9795999403949</v>
      </c>
    </row>
    <row r="571" customFormat="false" ht="15" hidden="false" customHeight="false" outlineLevel="0" collapsed="false">
      <c r="A571" s="4" t="s">
        <v>414</v>
      </c>
      <c r="B571" s="0" t="s">
        <v>239</v>
      </c>
      <c r="C571" s="21" t="n">
        <f aca="false">C569+C570</f>
        <v>34.9336</v>
      </c>
      <c r="D571" s="21" t="n">
        <f aca="false">D569+D570</f>
        <v>47.4393547</v>
      </c>
      <c r="E571" s="21" t="n">
        <f aca="false">E569+E570</f>
        <v>58.7755932046356</v>
      </c>
      <c r="F571" s="21" t="n">
        <f aca="false">F569+F570</f>
        <v>63.1399762884703</v>
      </c>
      <c r="G571" s="21" t="n">
        <f aca="false">G569+G570</f>
        <v>67.3687626385689</v>
      </c>
    </row>
    <row r="572" customFormat="false" ht="15" hidden="false" customHeight="false" outlineLevel="0" collapsed="false">
      <c r="A572" s="4" t="s">
        <v>555</v>
      </c>
      <c r="B572" s="0" t="s">
        <v>41</v>
      </c>
      <c r="D572" s="14" t="n">
        <f aca="false">D571/C571-1</f>
        <v>0.357986428538713</v>
      </c>
      <c r="E572" s="14" t="n">
        <f aca="false">E571/D571-1</f>
        <v>0.238962746781116</v>
      </c>
      <c r="F572" s="14" t="n">
        <f aca="false">F571/E571-1</f>
        <v>0.0742550239967703</v>
      </c>
      <c r="G572" s="14" t="n">
        <f aca="false">G571/F571-1</f>
        <v>0.0669747852102189</v>
      </c>
    </row>
    <row r="573" customFormat="false" ht="17.15" hidden="false" customHeight="false" outlineLevel="0" collapsed="false">
      <c r="A573" s="0" t="s">
        <v>556</v>
      </c>
      <c r="B573" s="0" t="s">
        <v>41</v>
      </c>
      <c r="C573" s="14" t="n">
        <f aca="false">C569/C571</f>
        <v>0.275</v>
      </c>
      <c r="D573" s="14" t="n">
        <f aca="false">D569/D571</f>
        <v>0.28</v>
      </c>
      <c r="E573" s="14" t="n">
        <f aca="false">E569/E571</f>
        <v>0.349132972645816</v>
      </c>
      <c r="F573" s="14" t="n">
        <f aca="false">F569/F571</f>
        <v>0.351710996260539</v>
      </c>
      <c r="G573" s="14" t="n">
        <f aca="false">G569/G571</f>
        <v>0.362024798184598</v>
      </c>
    </row>
    <row r="574" customFormat="false" ht="17.15" hidden="false" customHeight="false" outlineLevel="0" collapsed="false">
      <c r="A574" s="0" t="s">
        <v>502</v>
      </c>
      <c r="B574" s="0" t="s">
        <v>41</v>
      </c>
      <c r="D574" s="14" t="n">
        <f aca="false">D562/D564</f>
        <v>0.745425796250282</v>
      </c>
      <c r="E574" s="14" t="n">
        <f aca="false">E562/E564</f>
        <v>0.735093928668663</v>
      </c>
      <c r="F574" s="14" t="n">
        <f aca="false">F562/F564</f>
        <v>0.715990453460621</v>
      </c>
      <c r="G574" s="14" t="n">
        <f aca="false">G562/G564</f>
        <v>0.71210686862312</v>
      </c>
    </row>
    <row r="575" customFormat="false" ht="17.15" hidden="false" customHeight="false" outlineLevel="0" collapsed="false">
      <c r="A575" s="4" t="s">
        <v>506</v>
      </c>
      <c r="B575" s="0" t="s">
        <v>507</v>
      </c>
      <c r="D575" s="22" t="n">
        <f aca="false">D569/D564/fx*1000</f>
        <v>37.5057017054439</v>
      </c>
      <c r="E575" s="22" t="n">
        <f aca="false">E569/E564/fx*1000</f>
        <v>34.9178082877682</v>
      </c>
      <c r="F575" s="22" t="n">
        <f aca="false">F569/F564/fx*1000</f>
        <v>33.125035746248</v>
      </c>
      <c r="G575" s="22" t="n">
        <f aca="false">G569/G564/fx*1000</f>
        <v>32.0673749581545</v>
      </c>
      <c r="H575" s="4" t="s">
        <v>557</v>
      </c>
    </row>
    <row r="576" customFormat="false" ht="17.15" hidden="false" customHeight="false" outlineLevel="0" collapsed="false">
      <c r="A576" s="6" t="s">
        <v>558</v>
      </c>
    </row>
    <row r="577" customFormat="false" ht="17.15" hidden="false" customHeight="false" outlineLevel="0" collapsed="false">
      <c r="A577" s="0" t="s">
        <v>559</v>
      </c>
      <c r="B577" s="0" t="s">
        <v>131</v>
      </c>
      <c r="C577" s="16" t="n">
        <f aca="false">(a25_capex-m_cx*a25_rev)/(a25_rev-rev24)</f>
        <v>3.57284271254522</v>
      </c>
      <c r="H577" s="8" t="s">
        <v>560</v>
      </c>
    </row>
    <row r="578" customFormat="false" ht="17.15" hidden="false" customHeight="false" outlineLevel="0" collapsed="false">
      <c r="A578" s="4" t="s">
        <v>511</v>
      </c>
      <c r="B578" s="0" t="s">
        <v>239</v>
      </c>
      <c r="C578" s="21" t="n">
        <f aca="false">a25_capex</f>
        <v>32.3554</v>
      </c>
      <c r="D578" s="21" t="n">
        <f aca="false">capex_26</f>
        <v>42</v>
      </c>
      <c r="E578" s="21" t="n">
        <f aca="false">m_cx*E571+$C$577*MAX(0,E571-D571)</f>
        <v>46.3801564494255</v>
      </c>
      <c r="F578" s="21" t="n">
        <f aca="false">m_cx*F571+$C$577*MAX(0,F571-E571)</f>
        <v>21.9072519246812</v>
      </c>
      <c r="G578" s="21" t="n">
        <f aca="false">m_cx*G571+$C$577*MAX(0,G571-F571)</f>
        <v>21.8456647577174</v>
      </c>
      <c r="H578" s="8" t="s">
        <v>561</v>
      </c>
    </row>
    <row r="579" customFormat="false" ht="17.15" hidden="false" customHeight="false" outlineLevel="0" collapsed="false">
      <c r="A579" s="4" t="s">
        <v>562</v>
      </c>
      <c r="B579" s="0" t="s">
        <v>41</v>
      </c>
      <c r="C579" s="14" t="n">
        <f aca="false">C578/C571</f>
        <v>0.926197128266197</v>
      </c>
      <c r="D579" s="14" t="n">
        <f aca="false">D578/D571</f>
        <v>0.885340879225746</v>
      </c>
      <c r="E579" s="14" t="n">
        <f aca="false">E578/E571</f>
        <v>0.789105714134545</v>
      </c>
      <c r="F579" s="14" t="n">
        <f aca="false">F578/F571</f>
        <v>0.346963258658708</v>
      </c>
      <c r="G579" s="14" t="n">
        <f aca="false">G578/G571</f>
        <v>0.324269942063782</v>
      </c>
    </row>
    <row r="580" customFormat="false" ht="15" hidden="false" customHeight="false" outlineLevel="0" collapsed="false">
      <c r="A580" s="4" t="s">
        <v>563</v>
      </c>
      <c r="B580" s="0" t="s">
        <v>239</v>
      </c>
      <c r="C580" s="21" t="n">
        <f aca="false">a25_da</f>
        <v>7.5143841</v>
      </c>
      <c r="D580" s="21" t="n">
        <f aca="false">a26_da</f>
        <v>11.32770694</v>
      </c>
      <c r="E580" s="21" t="n">
        <f aca="false">D580*(1-ret)+dr*(D578+E578)/2</f>
        <v>15.6222301977184</v>
      </c>
      <c r="F580" s="21" t="n">
        <f aca="false">E580*(1-ret)+dr*(E578+F578)/2</f>
        <v>18.5969261484084</v>
      </c>
      <c r="G580" s="21" t="n">
        <f aca="false">F580*(1-ret)+dr*(F578+G578)/2</f>
        <v>20.0734902585199</v>
      </c>
    </row>
    <row r="581" customFormat="false" ht="17.15" hidden="false" customHeight="false" outlineLevel="0" collapsed="false">
      <c r="A581" s="4" t="s">
        <v>515</v>
      </c>
      <c r="B581" s="0" t="s">
        <v>41</v>
      </c>
      <c r="C581" s="14" t="n">
        <f aca="false">C580/C571</f>
        <v>0.215104773055168</v>
      </c>
      <c r="D581" s="14" t="n">
        <f aca="false">D580/D571</f>
        <v>0.238782905282647</v>
      </c>
      <c r="E581" s="14" t="n">
        <f aca="false">E580/E571</f>
        <v>0.26579451343566</v>
      </c>
      <c r="F581" s="14" t="n">
        <f aca="false">F580/F571</f>
        <v>0.294534892814083</v>
      </c>
      <c r="G581" s="14" t="n">
        <f aca="false">G580/G571</f>
        <v>0.297964360221568</v>
      </c>
    </row>
    <row r="582" customFormat="false" ht="17.15" hidden="false" customHeight="false" outlineLevel="0" collapsed="false">
      <c r="A582" s="4" t="s">
        <v>564</v>
      </c>
      <c r="B582" s="0" t="s">
        <v>239</v>
      </c>
      <c r="D582" s="16" t="n">
        <f aca="false">C580*(1-ret)+dr*(C578+D578)/2-D580</f>
        <v>-0.0994950449999994</v>
      </c>
      <c r="H582" s="4" t="s">
        <v>565</v>
      </c>
    </row>
    <row r="583" customFormat="false" ht="17.15" hidden="false" customHeight="false" outlineLevel="0" collapsed="false">
      <c r="A583" s="6" t="s">
        <v>566</v>
      </c>
    </row>
    <row r="584" customFormat="false" ht="17.15" hidden="false" customHeight="false" outlineLevel="0" collapsed="false">
      <c r="A584" s="4" t="s">
        <v>567</v>
      </c>
      <c r="B584" s="0" t="s">
        <v>239</v>
      </c>
      <c r="D584" s="21" t="n">
        <f aca="false">a26_cc-v_cc*a26_rev</f>
        <v>7.9821937335</v>
      </c>
      <c r="H584" s="8" t="s">
        <v>568</v>
      </c>
    </row>
    <row r="585" customFormat="false" ht="17.15" hidden="false" customHeight="false" outlineLevel="0" collapsed="false">
      <c r="A585" s="4" t="s">
        <v>569</v>
      </c>
      <c r="B585" s="0" t="s">
        <v>239</v>
      </c>
      <c r="C585" s="21" t="n">
        <f aca="false">a25_cc</f>
        <v>14.8984</v>
      </c>
      <c r="D585" s="21" t="n">
        <f aca="false">a26_cc</f>
        <v>17.4700646735</v>
      </c>
      <c r="E585" s="21" t="n">
        <f aca="false">$D$584+v_cc*(E569/E568+E570)</f>
        <v>19.8210695073845</v>
      </c>
      <c r="F585" s="21" t="n">
        <f aca="false">$D$584+v_cc*(F569/F568+F570)</f>
        <v>20.7952475242298</v>
      </c>
      <c r="G585" s="21" t="n">
        <f aca="false">$D$584+v_cc*(G569/G568+G570)</f>
        <v>21.7126742896156</v>
      </c>
      <c r="H585" s="4" t="s">
        <v>570</v>
      </c>
    </row>
    <row r="586" customFormat="false" ht="15" hidden="false" customHeight="false" outlineLevel="0" collapsed="false">
      <c r="A586" s="4" t="s">
        <v>571</v>
      </c>
      <c r="B586" s="0" t="s">
        <v>239</v>
      </c>
      <c r="C586" s="21" t="n">
        <f aca="false">C571-C585-C580</f>
        <v>12.5208159</v>
      </c>
      <c r="D586" s="21" t="n">
        <f aca="false">D571-D585-D580</f>
        <v>18.6415830865</v>
      </c>
      <c r="E586" s="21" t="n">
        <f aca="false">E571-E585-E580</f>
        <v>23.3322934995327</v>
      </c>
      <c r="F586" s="21" t="n">
        <f aca="false">F571-F585-F580</f>
        <v>23.7478026158322</v>
      </c>
      <c r="G586" s="21" t="n">
        <f aca="false">G571-G585-G580</f>
        <v>25.5825980904334</v>
      </c>
    </row>
    <row r="587" customFormat="false" ht="15" hidden="false" customHeight="false" outlineLevel="0" collapsed="false">
      <c r="A587" s="4" t="s">
        <v>421</v>
      </c>
      <c r="B587" s="0" t="s">
        <v>41</v>
      </c>
      <c r="C587" s="14" t="n">
        <f aca="false">C586/C571</f>
        <v>0.358417566468958</v>
      </c>
      <c r="D587" s="14" t="n">
        <f aca="false">D586/D571</f>
        <v>0.392956084760993</v>
      </c>
      <c r="E587" s="14" t="n">
        <f aca="false">E586/E571</f>
        <v>0.39697248853445</v>
      </c>
      <c r="F587" s="14" t="n">
        <f aca="false">F586/F571</f>
        <v>0.376113581470708</v>
      </c>
      <c r="G587" s="14" t="n">
        <f aca="false">G586/G571</f>
        <v>0.379739764966193</v>
      </c>
    </row>
    <row r="588" customFormat="false" ht="15" hidden="false" customHeight="false" outlineLevel="0" collapsed="false">
      <c r="A588" s="4" t="s">
        <v>572</v>
      </c>
      <c r="B588" s="0" t="s">
        <v>239</v>
      </c>
      <c r="C588" s="21" t="n">
        <f aca="false">a25_opx</f>
        <v>3.5197</v>
      </c>
      <c r="D588" s="21" t="n">
        <f aca="false">a26_opx</f>
        <v>6.1141318375</v>
      </c>
      <c r="E588" s="21" t="n">
        <f aca="false">D588*(1+MAX(0,phi*E572))</f>
        <v>6.99076168034252</v>
      </c>
      <c r="F588" s="21" t="n">
        <f aca="false">E588*(1+MAX(0,phi*F572))</f>
        <v>7.30222118614024</v>
      </c>
      <c r="G588" s="21" t="n">
        <f aca="false">F588*(1+MAX(0,phi*G572))</f>
        <v>7.5956600034398</v>
      </c>
    </row>
    <row r="589" customFormat="false" ht="15" hidden="false" customHeight="false" outlineLevel="0" collapsed="false">
      <c r="A589" s="4" t="s">
        <v>573</v>
      </c>
      <c r="B589" s="0" t="s">
        <v>239</v>
      </c>
      <c r="C589" s="21" t="n">
        <f aca="false">C588</f>
        <v>3.5197</v>
      </c>
      <c r="D589" s="21" t="n">
        <f aca="false">D588</f>
        <v>6.1141318375</v>
      </c>
      <c r="E589" s="21" t="n">
        <f aca="false">E588+0*E571</f>
        <v>6.99076168034252</v>
      </c>
      <c r="F589" s="21" t="n">
        <f aca="false">F588+0*F571</f>
        <v>7.30222118614024</v>
      </c>
      <c r="G589" s="21" t="n">
        <f aca="false">G588+0*G571</f>
        <v>7.5956600034398</v>
      </c>
    </row>
    <row r="590" customFormat="false" ht="15" hidden="false" customHeight="false" outlineLevel="0" collapsed="false">
      <c r="A590" s="4" t="s">
        <v>430</v>
      </c>
      <c r="B590" s="0" t="s">
        <v>239</v>
      </c>
      <c r="C590" s="21" t="n">
        <f aca="false">C586-C589</f>
        <v>9.0011159</v>
      </c>
      <c r="D590" s="21" t="n">
        <f aca="false">D586-D589</f>
        <v>12.527451249</v>
      </c>
      <c r="E590" s="21" t="n">
        <f aca="false">E586-E589</f>
        <v>16.3415318191902</v>
      </c>
      <c r="F590" s="21" t="n">
        <f aca="false">F586-F589</f>
        <v>16.4455814296919</v>
      </c>
      <c r="G590" s="21" t="n">
        <f aca="false">G586-G589</f>
        <v>17.9869380869936</v>
      </c>
    </row>
    <row r="591" customFormat="false" ht="15" hidden="false" customHeight="false" outlineLevel="0" collapsed="false">
      <c r="A591" s="4" t="s">
        <v>432</v>
      </c>
      <c r="B591" s="0" t="s">
        <v>41</v>
      </c>
      <c r="C591" s="14" t="n">
        <f aca="false">C590/C571</f>
        <v>0.25766356459111</v>
      </c>
      <c r="D591" s="14" t="n">
        <f aca="false">D590/D571</f>
        <v>0.264072969124936</v>
      </c>
      <c r="E591" s="14" t="n">
        <f aca="false">E590/E571</f>
        <v>0.278032614018796</v>
      </c>
      <c r="F591" s="14" t="n">
        <f aca="false">F590/F571</f>
        <v>0.260462268065422</v>
      </c>
      <c r="G591" s="14" t="n">
        <f aca="false">G590/G571</f>
        <v>0.266992258466924</v>
      </c>
    </row>
    <row r="592" customFormat="false" ht="17.15" hidden="false" customHeight="false" outlineLevel="0" collapsed="false">
      <c r="A592" s="0" t="s">
        <v>574</v>
      </c>
      <c r="B592" s="0" t="s">
        <v>239</v>
      </c>
      <c r="C592" s="21" t="n">
        <f aca="false">C590+C580</f>
        <v>16.5155</v>
      </c>
      <c r="D592" s="21" t="n">
        <f aca="false">D590+D580</f>
        <v>23.855158189</v>
      </c>
      <c r="E592" s="21" t="n">
        <f aca="false">E590+E580</f>
        <v>31.9637620169086</v>
      </c>
      <c r="F592" s="21" t="n">
        <f aca="false">F590+F580</f>
        <v>35.0425075781003</v>
      </c>
      <c r="G592" s="21" t="n">
        <f aca="false">G590+G580</f>
        <v>38.0604283455135</v>
      </c>
    </row>
    <row r="593" customFormat="false" ht="17.15" hidden="false" customHeight="false" outlineLevel="0" collapsed="false">
      <c r="A593" s="0" t="s">
        <v>575</v>
      </c>
      <c r="B593" s="0" t="s">
        <v>239</v>
      </c>
      <c r="C593" s="21" t="n">
        <f aca="false">C592-C578</f>
        <v>-15.8399</v>
      </c>
      <c r="D593" s="21" t="n">
        <f aca="false">D592-D578</f>
        <v>-18.144841811</v>
      </c>
      <c r="E593" s="21" t="n">
        <f aca="false">E592-E578</f>
        <v>-14.4163944325169</v>
      </c>
      <c r="F593" s="21" t="n">
        <f aca="false">F592-F578</f>
        <v>13.1352556534191</v>
      </c>
      <c r="G593" s="21" t="n">
        <f aca="false">G592-G578</f>
        <v>16.2147635877961</v>
      </c>
    </row>
    <row r="594" customFormat="false" ht="17.15" hidden="false" customHeight="false" outlineLevel="0" collapsed="false">
      <c r="A594" s="4" t="s">
        <v>433</v>
      </c>
      <c r="B594" s="0" t="s">
        <v>239</v>
      </c>
      <c r="C594" s="21" t="n">
        <f aca="false">a25_ni</f>
        <v>11.015</v>
      </c>
      <c r="D594" s="21" t="n">
        <f aca="false">a26_ni</f>
        <v>10.66608446065</v>
      </c>
      <c r="E594" s="21" t="n">
        <f aca="false">E590*nir_f</f>
        <v>13.7268867281198</v>
      </c>
      <c r="F594" s="21" t="n">
        <f aca="false">F590*nir_f</f>
        <v>13.8142884009412</v>
      </c>
      <c r="G594" s="21" t="n">
        <f aca="false">G590*nir_f</f>
        <v>15.1090279930746</v>
      </c>
      <c r="H594" s="8" t="s">
        <v>438</v>
      </c>
    </row>
    <row r="595" customFormat="false" ht="17.15" hidden="false" customHeight="false" outlineLevel="0" collapsed="false">
      <c r="A595" s="4" t="s">
        <v>437</v>
      </c>
      <c r="B595" s="0" t="s">
        <v>41</v>
      </c>
      <c r="C595" s="14" t="n">
        <f aca="false">C594/C590</f>
        <v>1.22373715907824</v>
      </c>
      <c r="D595" s="14" t="n">
        <f aca="false">D594/D590</f>
        <v>0.851416960133963</v>
      </c>
      <c r="E595" s="14" t="n">
        <f aca="false">E594/E590</f>
        <v>0.84</v>
      </c>
      <c r="F595" s="14" t="n">
        <f aca="false">F594/F590</f>
        <v>0.84</v>
      </c>
      <c r="G595" s="14" t="n">
        <f aca="false">G594/G590</f>
        <v>0.84</v>
      </c>
    </row>
    <row r="596" customFormat="false" ht="15" hidden="false" customHeight="false" outlineLevel="0" collapsed="false">
      <c r="A596" s="4" t="s">
        <v>576</v>
      </c>
      <c r="B596" s="4" t="s">
        <v>294</v>
      </c>
      <c r="C596" s="27" t="n">
        <f aca="false">a25_sh</f>
        <v>1.22253052164262</v>
      </c>
      <c r="D596" s="27" t="n">
        <f aca="false">a26_sh</f>
        <v>1.28264705882353</v>
      </c>
      <c r="E596" s="27" t="n">
        <f aca="false">D596*(1+sh_g)</f>
        <v>1.28264705882353</v>
      </c>
      <c r="F596" s="27" t="n">
        <f aca="false">E596*(1+sh_g)</f>
        <v>1.28264705882353</v>
      </c>
      <c r="G596" s="27" t="n">
        <f aca="false">F596*(1+sh_g)</f>
        <v>1.28264705882353</v>
      </c>
    </row>
    <row r="597" customFormat="false" ht="15" hidden="false" customHeight="false" outlineLevel="0" collapsed="false">
      <c r="A597" s="0" t="s">
        <v>442</v>
      </c>
      <c r="B597" s="0" t="s">
        <v>315</v>
      </c>
      <c r="C597" s="21" t="n">
        <f aca="false">C594/C596</f>
        <v>9.01</v>
      </c>
      <c r="D597" s="21" t="n">
        <f aca="false">D594/D596</f>
        <v>8.31568153318276</v>
      </c>
      <c r="E597" s="21" t="n">
        <f aca="false">E594/E596</f>
        <v>10.7019983663397</v>
      </c>
      <c r="F597" s="21" t="n">
        <f aca="false">F594/F596</f>
        <v>10.7701400053199</v>
      </c>
      <c r="G597" s="21" t="n">
        <f aca="false">G594/G596</f>
        <v>11.7795678001499</v>
      </c>
    </row>
    <row r="598" customFormat="false" ht="17.15" hidden="false" customHeight="false" outlineLevel="0" collapsed="false">
      <c r="A598" s="0" t="s">
        <v>577</v>
      </c>
      <c r="B598" s="0" t="s">
        <v>41</v>
      </c>
      <c r="D598" s="14" t="n">
        <f aca="false">D597/C597-1</f>
        <v>-0.0770608731206708</v>
      </c>
      <c r="E598" s="14" t="n">
        <f aca="false">E597/D597-1</f>
        <v>0.286965875693361</v>
      </c>
      <c r="F598" s="14" t="n">
        <f aca="false">F597/E597-1</f>
        <v>0.00636718831826499</v>
      </c>
      <c r="G598" s="14" t="n">
        <f aca="false">G597/F597-1</f>
        <v>0.0937246678623867</v>
      </c>
      <c r="H598" s="8" t="s">
        <v>578</v>
      </c>
    </row>
    <row r="601" customFormat="false" ht="17.15" hidden="false" customHeight="false" outlineLevel="0" collapsed="false">
      <c r="A601" s="1" t="s">
        <v>874</v>
      </c>
    </row>
    <row r="602" customFormat="false" ht="17.15" hidden="false" customHeight="false" outlineLevel="0" collapsed="false">
      <c r="A602" s="5" t="s">
        <v>17</v>
      </c>
      <c r="B602" s="5" t="s">
        <v>18</v>
      </c>
      <c r="C602" s="12" t="s">
        <v>409</v>
      </c>
      <c r="D602" s="12" t="s">
        <v>520</v>
      </c>
      <c r="E602" s="12" t="s">
        <v>521</v>
      </c>
      <c r="F602" s="12" t="s">
        <v>522</v>
      </c>
      <c r="G602" s="12" t="s">
        <v>523</v>
      </c>
      <c r="H602" s="5" t="s">
        <v>488</v>
      </c>
    </row>
    <row r="603" customFormat="false" ht="17.15" hidden="false" customHeight="false" outlineLevel="0" collapsed="false">
      <c r="A603" s="6" t="s">
        <v>543</v>
      </c>
    </row>
    <row r="604" customFormat="false" ht="17.15" hidden="false" customHeight="false" outlineLevel="0" collapsed="false">
      <c r="A604" s="0" t="s">
        <v>491</v>
      </c>
      <c r="B604" s="4" t="s">
        <v>28</v>
      </c>
      <c r="D604" s="16" t="n">
        <f aca="false">u_bw_26*tt_bw</f>
        <v>5.4</v>
      </c>
      <c r="E604" s="16" t="n">
        <f aca="false">u_bw_27*1*tt_bw</f>
        <v>2.4</v>
      </c>
      <c r="F604" s="16" t="n">
        <f aca="false">u_bw_28*um28_A*1*tt_bw</f>
        <v>0.5</v>
      </c>
      <c r="G604" s="16" t="n">
        <f aca="false">u_bw_28*(1+g29_bw)*um29_A*1*tt_bw</f>
        <v>0.25</v>
      </c>
    </row>
    <row r="605" customFormat="false" ht="17.15" hidden="false" customHeight="false" outlineLevel="0" collapsed="false">
      <c r="A605" s="0" t="s">
        <v>493</v>
      </c>
      <c r="B605" s="4" t="s">
        <v>28</v>
      </c>
      <c r="D605" s="16" t="n">
        <f aca="false">u_rb_26*tt_rb</f>
        <v>2.55</v>
      </c>
      <c r="E605" s="16" t="n">
        <f aca="false">u_rb_27*1*tt_rb</f>
        <v>10.5</v>
      </c>
      <c r="F605" s="16" t="n">
        <f aca="false">u_rb_28*um28_A*1*tt_rb</f>
        <v>10.5</v>
      </c>
      <c r="G605" s="16" t="n">
        <f aca="false">u_rb_28*(1+g29_rb)*um29_A*1*tt_rb</f>
        <v>12.075</v>
      </c>
    </row>
    <row r="606" customFormat="false" ht="17.15" hidden="false" customHeight="false" outlineLevel="0" collapsed="false">
      <c r="A606" s="0" t="s">
        <v>494</v>
      </c>
      <c r="B606" s="4" t="s">
        <v>28</v>
      </c>
      <c r="D606" s="16" t="n">
        <f aca="false">u_ru_26*tt_ru</f>
        <v>0</v>
      </c>
      <c r="E606" s="16" t="n">
        <f aca="false">u_ru_27*1*tt_ru</f>
        <v>0.6</v>
      </c>
      <c r="F606" s="16" t="n">
        <f aca="false">u_ru_28*um28_A*1*tt_ru</f>
        <v>4</v>
      </c>
      <c r="G606" s="16" t="n">
        <f aca="false">u_ru_28*(1+g29_ru)*um29_A*1*tt_ru</f>
        <v>4.6</v>
      </c>
    </row>
    <row r="607" customFormat="false" ht="17.15" hidden="false" customHeight="false" outlineLevel="0" collapsed="false">
      <c r="A607" s="0" t="s">
        <v>495</v>
      </c>
      <c r="B607" s="4" t="s">
        <v>28</v>
      </c>
      <c r="D607" s="16" t="n">
        <f aca="false">u_hp_26*tt_hp</f>
        <v>0.3</v>
      </c>
      <c r="E607" s="16" t="n">
        <f aca="false">u_hp_27*1*tt_hp</f>
        <v>0</v>
      </c>
      <c r="F607" s="16" t="n">
        <f aca="false">u_hp_28*um28_A*1*tt_hp</f>
        <v>0</v>
      </c>
      <c r="G607" s="16" t="n">
        <f aca="false">u_hp_28*(1+g29_hp)*um29_A*1*tt_hp</f>
        <v>0</v>
      </c>
    </row>
    <row r="608" customFormat="false" ht="17.15" hidden="false" customHeight="false" outlineLevel="0" collapsed="false">
      <c r="A608" s="0" t="s">
        <v>496</v>
      </c>
      <c r="B608" s="4" t="s">
        <v>28</v>
      </c>
      <c r="D608" s="16" t="n">
        <f aca="false">u_amd_26*tt_amd*ex_amd</f>
        <v>0.165</v>
      </c>
      <c r="E608" s="16" t="n">
        <f aca="false">u_amd_27*1*tt_amd*ex_amd</f>
        <v>0.33</v>
      </c>
      <c r="F608" s="16" t="n">
        <f aca="false">u_amd_28*um28_A*1*tt_amd*ex_amd</f>
        <v>0.44</v>
      </c>
      <c r="G608" s="16" t="n">
        <f aca="false">u_amd_28*(1+g29_amd)*um29_A*1*tt_amd*ex_amd</f>
        <v>0.506</v>
      </c>
    </row>
    <row r="609" customFormat="false" ht="17.15" hidden="false" customHeight="false" outlineLevel="0" collapsed="false">
      <c r="A609" s="0" t="s">
        <v>498</v>
      </c>
      <c r="B609" s="4" t="s">
        <v>28</v>
      </c>
      <c r="D609" s="16" t="n">
        <f aca="false">u_tpu_26*tt_tpu*ex_tpu</f>
        <v>1.7325</v>
      </c>
      <c r="E609" s="16" t="n">
        <f aca="false">u_tpu_27*1*tt_tpu*ex_tpu</f>
        <v>2.475</v>
      </c>
      <c r="F609" s="16" t="n">
        <f aca="false">u_tpu_28*um28_A*1*tt_tpu*ex_tpu</f>
        <v>3.15</v>
      </c>
      <c r="G609" s="16" t="n">
        <f aca="false">u_tpu_28*(1+g29_tpu)*um29_A*1*tt_tpu*ex_tpu</f>
        <v>3.6225</v>
      </c>
    </row>
    <row r="610" customFormat="false" ht="17.15" hidden="false" customHeight="false" outlineLevel="0" collapsed="false">
      <c r="A610" s="0" t="s">
        <v>499</v>
      </c>
      <c r="B610" s="4" t="s">
        <v>28</v>
      </c>
      <c r="D610" s="16" t="n">
        <f aca="false">u_trn_26*tt_trn*ex_trn</f>
        <v>0.64</v>
      </c>
      <c r="E610" s="16" t="n">
        <f aca="false">u_trn_27*1*tt_trn*ex_trn</f>
        <v>0.8</v>
      </c>
      <c r="F610" s="16" t="n">
        <f aca="false">u_trn_28*um28_A*1*tt_trn*ex_trn</f>
        <v>0.96</v>
      </c>
      <c r="G610" s="16" t="n">
        <f aca="false">u_trn_28*(1+g29_trn)*um29_A*1*tt_trn*ex_trn</f>
        <v>1.104</v>
      </c>
    </row>
    <row r="611" customFormat="false" ht="17.15" hidden="false" customHeight="false" outlineLevel="0" collapsed="false">
      <c r="A611" s="4" t="s">
        <v>500</v>
      </c>
      <c r="B611" s="4" t="s">
        <v>28</v>
      </c>
      <c r="D611" s="16" t="n">
        <f aca="false">u_oth_26*tt_oth*ex_oth</f>
        <v>0.28</v>
      </c>
      <c r="E611" s="16" t="n">
        <f aca="false">u_oth_27*1*tt_oth*ex_oth</f>
        <v>1.26</v>
      </c>
      <c r="F611" s="16" t="n">
        <f aca="false">u_oth_28*um28_A*1*tt_oth*ex_oth</f>
        <v>1.4</v>
      </c>
      <c r="G611" s="16" t="n">
        <f aca="false">u_oth_28*(1+g29_oth)*um29_A*1*tt_oth*ex_oth</f>
        <v>1.61</v>
      </c>
    </row>
    <row r="612" customFormat="false" ht="15" hidden="false" customHeight="false" outlineLevel="0" collapsed="false">
      <c r="A612" s="4" t="s">
        <v>489</v>
      </c>
      <c r="B612" s="4" t="s">
        <v>28</v>
      </c>
      <c r="D612" s="16" t="n">
        <f aca="false">u_bw_26+u_rb_26+u_ru_26+u_hp_26+u_amd_26+u_tpu_26+u_trn_26+u_oth_26</f>
        <v>15.2</v>
      </c>
      <c r="E612" s="16" t="n">
        <f aca="false">u_bw_27*1+u_rb_27*1+u_ru_27*1+u_hp_27*1+u_amd_27*1+u_tpu_27*1+u_trn_27*1+u_oth_27*1</f>
        <v>23.7</v>
      </c>
      <c r="F612" s="16" t="n">
        <f aca="false">u_bw_28*um28_A*1+u_rb_28*um28_A*1+u_ru_28*um28_A*1+u_hp_28*um28_A*1+u_amd_28*um28_A*1+u_tpu_28*um28_A*1+u_trn_28*um28_A*1+u_oth_28*um28_A*1</f>
        <v>26.5</v>
      </c>
      <c r="G61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13" customFormat="false" ht="17.15" hidden="false" customHeight="false" outlineLevel="0" collapsed="false">
      <c r="A613" s="0" t="s">
        <v>544</v>
      </c>
      <c r="B613" s="4" t="s">
        <v>28</v>
      </c>
      <c r="D613" s="16" t="n">
        <f aca="false">D604+D605+D606+D607</f>
        <v>8.25</v>
      </c>
      <c r="E613" s="16" t="n">
        <f aca="false">E604+E605+E606+E607</f>
        <v>13.5</v>
      </c>
      <c r="F613" s="16" t="n">
        <f aca="false">F604+F605+F606+F607</f>
        <v>15</v>
      </c>
      <c r="G613" s="16" t="n">
        <f aca="false">G604+G605+G606+G607</f>
        <v>16.925</v>
      </c>
    </row>
    <row r="614" customFormat="false" ht="17.15" hidden="false" customHeight="false" outlineLevel="0" collapsed="false">
      <c r="A614" s="0" t="s">
        <v>545</v>
      </c>
      <c r="B614" s="4" t="s">
        <v>28</v>
      </c>
      <c r="D614" s="16" t="n">
        <f aca="false">D608+D609+D610+D611</f>
        <v>2.8175</v>
      </c>
      <c r="E614" s="16" t="n">
        <f aca="false">E608+E609+E610+E611</f>
        <v>4.865</v>
      </c>
      <c r="F614" s="16" t="n">
        <f aca="false">F608+F609+F610+F611</f>
        <v>5.95</v>
      </c>
      <c r="G614" s="16" t="n">
        <f aca="false">G608+G609+G610+G611</f>
        <v>6.8425</v>
      </c>
    </row>
    <row r="615" customFormat="false" ht="15" hidden="false" customHeight="false" outlineLevel="0" collapsed="false">
      <c r="A615" s="4" t="s">
        <v>546</v>
      </c>
      <c r="B615" s="4" t="s">
        <v>28</v>
      </c>
      <c r="D615" s="16" t="n">
        <f aca="false">D613+D614</f>
        <v>11.0675</v>
      </c>
      <c r="E615" s="16" t="n">
        <f aca="false">E613+E614</f>
        <v>18.365</v>
      </c>
      <c r="F615" s="16" t="n">
        <f aca="false">F613+F614</f>
        <v>20.95</v>
      </c>
      <c r="G615" s="16" t="n">
        <f aca="false">G613+G614</f>
        <v>23.7675</v>
      </c>
    </row>
    <row r="616" customFormat="false" ht="17.15" hidden="false" customHeight="false" outlineLevel="0" collapsed="false">
      <c r="A616" s="0" t="s">
        <v>547</v>
      </c>
      <c r="B616" s="0" t="s">
        <v>239</v>
      </c>
      <c r="D616" s="21" t="n">
        <f aca="false">a26_rev*ai_26_hi</f>
        <v>21.347709615</v>
      </c>
    </row>
    <row r="617" customFormat="false" ht="17.15" hidden="false" customHeight="false" outlineLevel="0" collapsed="false">
      <c r="A617" s="4" t="s">
        <v>548</v>
      </c>
      <c r="B617" s="0" t="s">
        <v>549</v>
      </c>
      <c r="D617" s="27" t="n">
        <f aca="false">D616/D615</f>
        <v>1.92886465913711</v>
      </c>
      <c r="H617" s="8" t="s">
        <v>550</v>
      </c>
    </row>
    <row r="618" customFormat="false" ht="17.15" hidden="false" customHeight="false" outlineLevel="0" collapsed="false">
      <c r="A618" s="4" t="s">
        <v>551</v>
      </c>
      <c r="B618" s="0" t="s">
        <v>131</v>
      </c>
      <c r="D618" s="16" t="n">
        <f aca="false">1</f>
        <v>1</v>
      </c>
      <c r="E618" s="16" t="n">
        <f aca="false">rel_27</f>
        <v>0.95</v>
      </c>
      <c r="F618" s="16" t="n">
        <f aca="false">rel_28</f>
        <v>0.92</v>
      </c>
      <c r="G618" s="16" t="n">
        <f aca="false">rel_29</f>
        <v>0.9</v>
      </c>
    </row>
    <row r="619" customFormat="false" ht="17.15" hidden="false" customHeight="false" outlineLevel="0" collapsed="false">
      <c r="A619" s="4" t="s">
        <v>552</v>
      </c>
      <c r="B619" s="0" t="s">
        <v>131</v>
      </c>
      <c r="D619" s="16" t="n">
        <f aca="false">1</f>
        <v>1</v>
      </c>
      <c r="E619" s="16" t="n">
        <f aca="false">pp_27</f>
        <v>0.98</v>
      </c>
      <c r="F619" s="16" t="n">
        <f aca="false">pp_28</f>
        <v>0.96</v>
      </c>
      <c r="G619" s="16" t="n">
        <f aca="false">pp_29</f>
        <v>0.95</v>
      </c>
    </row>
    <row r="620" customFormat="false" ht="17.15" hidden="false" customHeight="false" outlineLevel="0" collapsed="false">
      <c r="A620" s="0" t="s">
        <v>553</v>
      </c>
      <c r="B620" s="0" t="s">
        <v>239</v>
      </c>
      <c r="C620" s="21" t="n">
        <f aca="false">a25_rev*ai_25</f>
        <v>9.60674</v>
      </c>
      <c r="D620" s="21" t="n">
        <f aca="false">D616</f>
        <v>21.347709615</v>
      </c>
      <c r="E620" s="21" t="n">
        <f aca="false">$D$617*E615*E618*E619</f>
        <v>32.9793711019644</v>
      </c>
      <c r="F620" s="21" t="n">
        <f aca="false">$D$617*F615*F618*F619</f>
        <v>35.6898599426004</v>
      </c>
      <c r="G620" s="21" t="n">
        <f aca="false">$D$617*G615*G618*G619</f>
        <v>39.1968686220653</v>
      </c>
    </row>
    <row r="621" customFormat="false" ht="17.15" hidden="false" customHeight="false" outlineLevel="0" collapsed="false">
      <c r="A621" s="4" t="s">
        <v>554</v>
      </c>
      <c r="B621" s="0" t="s">
        <v>239</v>
      </c>
      <c r="C621" s="21" t="n">
        <f aca="false">a25_rev-C620</f>
        <v>25.32686</v>
      </c>
      <c r="D621" s="21" t="n">
        <f aca="false">a26_rev-D620</f>
        <v>26.091645085</v>
      </c>
      <c r="E621" s="21" t="n">
        <f aca="false">D621*(1+g_nai27)</f>
        <v>29.2226424952</v>
      </c>
      <c r="F621" s="21" t="n">
        <f aca="false">E621*(1+g_nai28)</f>
        <v>31.268227469864</v>
      </c>
      <c r="G621" s="21" t="n">
        <f aca="false">F621*(1+g_nai29)</f>
        <v>32.8316388433572</v>
      </c>
    </row>
    <row r="622" customFormat="false" ht="15" hidden="false" customHeight="false" outlineLevel="0" collapsed="false">
      <c r="A622" s="4" t="s">
        <v>414</v>
      </c>
      <c r="B622" s="0" t="s">
        <v>239</v>
      </c>
      <c r="C622" s="21" t="n">
        <f aca="false">C620+C621</f>
        <v>34.9336</v>
      </c>
      <c r="D622" s="21" t="n">
        <f aca="false">D620+D621</f>
        <v>47.4393547</v>
      </c>
      <c r="E622" s="21" t="n">
        <f aca="false">E620+E621</f>
        <v>62.2020135971644</v>
      </c>
      <c r="F622" s="21" t="n">
        <f aca="false">F620+F621</f>
        <v>66.9580874124644</v>
      </c>
      <c r="G622" s="21" t="n">
        <f aca="false">G620+G621</f>
        <v>72.0285074654225</v>
      </c>
    </row>
    <row r="623" customFormat="false" ht="15" hidden="false" customHeight="false" outlineLevel="0" collapsed="false">
      <c r="A623" s="4" t="s">
        <v>555</v>
      </c>
      <c r="B623" s="0" t="s">
        <v>41</v>
      </c>
      <c r="D623" s="14" t="n">
        <f aca="false">D622/C622-1</f>
        <v>0.357986428538713</v>
      </c>
      <c r="E623" s="14" t="n">
        <f aca="false">E622/D622-1</f>
        <v>0.311190128755365</v>
      </c>
      <c r="F623" s="14" t="n">
        <f aca="false">F622/E622-1</f>
        <v>0.0764617339577052</v>
      </c>
      <c r="G623" s="14" t="n">
        <f aca="false">G622/F622-1</f>
        <v>0.0757252820219339</v>
      </c>
    </row>
    <row r="624" customFormat="false" ht="17.15" hidden="false" customHeight="false" outlineLevel="0" collapsed="false">
      <c r="A624" s="0" t="s">
        <v>556</v>
      </c>
      <c r="B624" s="0" t="s">
        <v>41</v>
      </c>
      <c r="C624" s="14" t="n">
        <f aca="false">C620/C622</f>
        <v>0.275</v>
      </c>
      <c r="D624" s="14" t="n">
        <f aca="false">D620/D622</f>
        <v>0.45</v>
      </c>
      <c r="E624" s="14" t="n">
        <f aca="false">E620/E622</f>
        <v>0.530197805420689</v>
      </c>
      <c r="F624" s="14" t="n">
        <f aca="false">F620/F622</f>
        <v>0.533017911977525</v>
      </c>
      <c r="G624" s="14" t="n">
        <f aca="false">G620/G622</f>
        <v>0.544185489903173</v>
      </c>
    </row>
    <row r="625" customFormat="false" ht="17.15" hidden="false" customHeight="false" outlineLevel="0" collapsed="false">
      <c r="A625" s="0" t="s">
        <v>502</v>
      </c>
      <c r="B625" s="0" t="s">
        <v>41</v>
      </c>
      <c r="D625" s="14" t="n">
        <f aca="false">D613/D615</f>
        <v>0.745425796250282</v>
      </c>
      <c r="E625" s="14" t="n">
        <f aca="false">E613/E615</f>
        <v>0.735093928668663</v>
      </c>
      <c r="F625" s="14" t="n">
        <f aca="false">F613/F615</f>
        <v>0.715990453460621</v>
      </c>
      <c r="G625" s="14" t="n">
        <f aca="false">G613/G615</f>
        <v>0.71210686862312</v>
      </c>
    </row>
    <row r="626" customFormat="false" ht="17.15" hidden="false" customHeight="false" outlineLevel="0" collapsed="false">
      <c r="A626" s="4" t="s">
        <v>506</v>
      </c>
      <c r="B626" s="0" t="s">
        <v>507</v>
      </c>
      <c r="D626" s="22" t="n">
        <f aca="false">D620/D615/fx*1000</f>
        <v>60.2770205980348</v>
      </c>
      <c r="E626" s="22" t="n">
        <f aca="false">E620/E615/fx*1000</f>
        <v>56.1179061767704</v>
      </c>
      <c r="F626" s="22" t="n">
        <f aca="false">F620/F615/fx*1000</f>
        <v>53.2366645921843</v>
      </c>
      <c r="G626" s="22" t="n">
        <f aca="false">G620/G615/fx*1000</f>
        <v>51.5368526113197</v>
      </c>
      <c r="H626" s="4" t="s">
        <v>557</v>
      </c>
    </row>
    <row r="627" customFormat="false" ht="17.15" hidden="false" customHeight="false" outlineLevel="0" collapsed="false">
      <c r="A627" s="6" t="s">
        <v>558</v>
      </c>
    </row>
    <row r="628" customFormat="false" ht="17.15" hidden="false" customHeight="false" outlineLevel="0" collapsed="false">
      <c r="A628" s="0" t="s">
        <v>559</v>
      </c>
      <c r="B628" s="0" t="s">
        <v>131</v>
      </c>
      <c r="C628" s="16" t="n">
        <f aca="false">(a25_capex-m_cx*a25_rev)/(a25_rev-rev24)</f>
        <v>3.57284271254522</v>
      </c>
      <c r="H628" s="8" t="s">
        <v>560</v>
      </c>
    </row>
    <row r="629" customFormat="false" ht="17.15" hidden="false" customHeight="false" outlineLevel="0" collapsed="false">
      <c r="A629" s="4" t="s">
        <v>511</v>
      </c>
      <c r="B629" s="0" t="s">
        <v>239</v>
      </c>
      <c r="C629" s="21" t="n">
        <f aca="false">a25_capex</f>
        <v>32.3554</v>
      </c>
      <c r="D629" s="21" t="n">
        <f aca="false">capex_26</f>
        <v>42</v>
      </c>
      <c r="E629" s="21" t="n">
        <f aca="false">m_cx*E622+$C$628*MAX(0,E622-D622)</f>
        <v>58.9648596182412</v>
      </c>
      <c r="F629" s="21" t="n">
        <f aca="false">m_cx*F622+$C$628*MAX(0,F622-E622)</f>
        <v>23.688512412568</v>
      </c>
      <c r="G629" s="21" t="n">
        <f aca="false">m_cx*G622+$C$628*MAX(0,G622-F622)</f>
        <v>25.318664082297</v>
      </c>
      <c r="H629" s="8" t="s">
        <v>561</v>
      </c>
    </row>
    <row r="630" customFormat="false" ht="17.15" hidden="false" customHeight="false" outlineLevel="0" collapsed="false">
      <c r="A630" s="4" t="s">
        <v>562</v>
      </c>
      <c r="B630" s="0" t="s">
        <v>41</v>
      </c>
      <c r="C630" s="14" t="n">
        <f aca="false">C629/C622</f>
        <v>0.926197128266197</v>
      </c>
      <c r="D630" s="14" t="n">
        <f aca="false">D629/D622</f>
        <v>0.885340879225746</v>
      </c>
      <c r="E630" s="14" t="n">
        <f aca="false">E629/E622</f>
        <v>0.947957408583461</v>
      </c>
      <c r="F630" s="14" t="n">
        <f aca="false">F629/F622</f>
        <v>0.353781198477876</v>
      </c>
      <c r="G630" s="14" t="n">
        <f aca="false">G629/G622</f>
        <v>0.351508936853249</v>
      </c>
    </row>
    <row r="631" customFormat="false" ht="15" hidden="false" customHeight="false" outlineLevel="0" collapsed="false">
      <c r="A631" s="4" t="s">
        <v>563</v>
      </c>
      <c r="B631" s="0" t="s">
        <v>239</v>
      </c>
      <c r="C631" s="21" t="n">
        <f aca="false">a25_da</f>
        <v>7.5143841</v>
      </c>
      <c r="D631" s="21" t="n">
        <f aca="false">a26_da</f>
        <v>11.32770694</v>
      </c>
      <c r="E631" s="21" t="n">
        <f aca="false">D631*(1-ret)+dr*(D629+E629)/2</f>
        <v>16.3143888720033</v>
      </c>
      <c r="F631" s="21" t="n">
        <f aca="false">E631*(1-ret)+dr*(E629+F629)/2</f>
        <v>20.0446048900976</v>
      </c>
      <c r="G631" s="21" t="n">
        <f aca="false">F631*(1-ret)+dr*(F629+G629)/2</f>
        <v>21.7377693528103</v>
      </c>
    </row>
    <row r="632" customFormat="false" ht="17.15" hidden="false" customHeight="false" outlineLevel="0" collapsed="false">
      <c r="A632" s="4" t="s">
        <v>515</v>
      </c>
      <c r="B632" s="0" t="s">
        <v>41</v>
      </c>
      <c r="C632" s="14" t="n">
        <f aca="false">C631/C622</f>
        <v>0.215104773055168</v>
      </c>
      <c r="D632" s="14" t="n">
        <f aca="false">D631/D622</f>
        <v>0.238782905282647</v>
      </c>
      <c r="E632" s="14" t="n">
        <f aca="false">E631/E622</f>
        <v>0.262280719361583</v>
      </c>
      <c r="F632" s="14" t="n">
        <f aca="false">F631/F622</f>
        <v>0.299360475555732</v>
      </c>
      <c r="G632" s="14" t="n">
        <f aca="false">G631/G622</f>
        <v>0.30179397182769</v>
      </c>
    </row>
    <row r="633" customFormat="false" ht="17.15" hidden="false" customHeight="false" outlineLevel="0" collapsed="false">
      <c r="A633" s="4" t="s">
        <v>564</v>
      </c>
      <c r="B633" s="0" t="s">
        <v>239</v>
      </c>
      <c r="D633" s="16" t="n">
        <f aca="false">C631*(1-ret)+dr*(C629+D629)/2-D631</f>
        <v>-0.0994950449999994</v>
      </c>
      <c r="H633" s="4" t="s">
        <v>565</v>
      </c>
    </row>
    <row r="634" customFormat="false" ht="17.15" hidden="false" customHeight="false" outlineLevel="0" collapsed="false">
      <c r="A634" s="6" t="s">
        <v>566</v>
      </c>
    </row>
    <row r="635" customFormat="false" ht="17.15" hidden="false" customHeight="false" outlineLevel="0" collapsed="false">
      <c r="A635" s="4" t="s">
        <v>567</v>
      </c>
      <c r="B635" s="0" t="s">
        <v>239</v>
      </c>
      <c r="D635" s="21" t="n">
        <f aca="false">a26_cc-v_cc*a26_rev</f>
        <v>7.9821937335</v>
      </c>
      <c r="H635" s="8" t="s">
        <v>568</v>
      </c>
    </row>
    <row r="636" customFormat="false" ht="17.15" hidden="false" customHeight="false" outlineLevel="0" collapsed="false">
      <c r="A636" s="4" t="s">
        <v>569</v>
      </c>
      <c r="B636" s="0" t="s">
        <v>239</v>
      </c>
      <c r="C636" s="21" t="n">
        <f aca="false">a25_cc</f>
        <v>14.8984</v>
      </c>
      <c r="D636" s="21" t="n">
        <f aca="false">a26_cc</f>
        <v>17.4700646735</v>
      </c>
      <c r="E636" s="21" t="n">
        <f aca="false">$D$635+v_cc*(E620/E619+E621)</f>
        <v>20.5572061309001</v>
      </c>
      <c r="F636" s="21" t="n">
        <f aca="false">$D$635+v_cc*(F620/F619+F621)</f>
        <v>21.6712267155145</v>
      </c>
      <c r="G636" s="21" t="n">
        <f aca="false">$D$635+v_cc*(G620/G619+G621)</f>
        <v>22.8004938436589</v>
      </c>
      <c r="H636" s="4" t="s">
        <v>570</v>
      </c>
    </row>
    <row r="637" customFormat="false" ht="15" hidden="false" customHeight="false" outlineLevel="0" collapsed="false">
      <c r="A637" s="4" t="s">
        <v>571</v>
      </c>
      <c r="B637" s="0" t="s">
        <v>239</v>
      </c>
      <c r="C637" s="21" t="n">
        <f aca="false">C622-C636-C631</f>
        <v>12.5208159</v>
      </c>
      <c r="D637" s="21" t="n">
        <f aca="false">D622-D636-D631</f>
        <v>18.6415830865</v>
      </c>
      <c r="E637" s="21" t="n">
        <f aca="false">E622-E636-E631</f>
        <v>25.3304185942611</v>
      </c>
      <c r="F637" s="21" t="n">
        <f aca="false">F622-F636-F631</f>
        <v>25.2422558068522</v>
      </c>
      <c r="G637" s="21" t="n">
        <f aca="false">G622-G636-G631</f>
        <v>27.4902442689534</v>
      </c>
    </row>
    <row r="638" customFormat="false" ht="15" hidden="false" customHeight="false" outlineLevel="0" collapsed="false">
      <c r="A638" s="4" t="s">
        <v>421</v>
      </c>
      <c r="B638" s="0" t="s">
        <v>41</v>
      </c>
      <c r="C638" s="14" t="n">
        <f aca="false">C637/C622</f>
        <v>0.358417566468958</v>
      </c>
      <c r="D638" s="14" t="n">
        <f aca="false">D637/D622</f>
        <v>0.392956084760993</v>
      </c>
      <c r="E638" s="14" t="n">
        <f aca="false">E637/E622</f>
        <v>0.407228273320975</v>
      </c>
      <c r="F638" s="14" t="n">
        <f aca="false">F637/F622</f>
        <v>0.376985914358022</v>
      </c>
      <c r="G638" s="14" t="n">
        <f aca="false">G637/G622</f>
        <v>0.381657835713868</v>
      </c>
    </row>
    <row r="639" customFormat="false" ht="15" hidden="false" customHeight="false" outlineLevel="0" collapsed="false">
      <c r="A639" s="4" t="s">
        <v>572</v>
      </c>
      <c r="B639" s="0" t="s">
        <v>239</v>
      </c>
      <c r="C639" s="21" t="n">
        <f aca="false">a25_opx</f>
        <v>3.5197</v>
      </c>
      <c r="D639" s="21" t="n">
        <f aca="false">a26_opx</f>
        <v>6.1141318375</v>
      </c>
      <c r="E639" s="21" t="n">
        <f aca="false">D639*(1+MAX(0,phi*E623))</f>
        <v>7.25572632174334</v>
      </c>
      <c r="F639" s="21" t="n">
        <f aca="false">E639*(1+MAX(0,phi*F623))</f>
        <v>7.58859757115318</v>
      </c>
      <c r="G639" s="21" t="n">
        <f aca="false">F639*(1+MAX(0,phi*G623))</f>
        <v>7.9333867858891</v>
      </c>
    </row>
    <row r="640" customFormat="false" ht="15" hidden="false" customHeight="false" outlineLevel="0" collapsed="false">
      <c r="A640" s="4" t="s">
        <v>573</v>
      </c>
      <c r="B640" s="0" t="s">
        <v>239</v>
      </c>
      <c r="C640" s="21" t="n">
        <f aca="false">C639</f>
        <v>3.5197</v>
      </c>
      <c r="D640" s="21" t="n">
        <f aca="false">D639</f>
        <v>6.1141318375</v>
      </c>
      <c r="E640" s="21" t="n">
        <f aca="false">E639+0*E622</f>
        <v>7.25572632174334</v>
      </c>
      <c r="F640" s="21" t="n">
        <f aca="false">F639+0*F622</f>
        <v>7.58859757115318</v>
      </c>
      <c r="G640" s="21" t="n">
        <f aca="false">G639+0*G622</f>
        <v>7.9333867858891</v>
      </c>
    </row>
    <row r="641" customFormat="false" ht="15" hidden="false" customHeight="false" outlineLevel="0" collapsed="false">
      <c r="A641" s="4" t="s">
        <v>430</v>
      </c>
      <c r="B641" s="0" t="s">
        <v>239</v>
      </c>
      <c r="C641" s="21" t="n">
        <f aca="false">C637-C640</f>
        <v>9.0011159</v>
      </c>
      <c r="D641" s="21" t="n">
        <f aca="false">D637-D640</f>
        <v>12.527451249</v>
      </c>
      <c r="E641" s="21" t="n">
        <f aca="false">E637-E640</f>
        <v>18.0746922725177</v>
      </c>
      <c r="F641" s="21" t="n">
        <f aca="false">F637-F640</f>
        <v>17.653658235699</v>
      </c>
      <c r="G641" s="21" t="n">
        <f aca="false">G637-G640</f>
        <v>19.5568574830643</v>
      </c>
    </row>
    <row r="642" customFormat="false" ht="15" hidden="false" customHeight="false" outlineLevel="0" collapsed="false">
      <c r="A642" s="4" t="s">
        <v>432</v>
      </c>
      <c r="B642" s="0" t="s">
        <v>41</v>
      </c>
      <c r="C642" s="14" t="n">
        <f aca="false">C641/C622</f>
        <v>0.25766356459111</v>
      </c>
      <c r="D642" s="14" t="n">
        <f aca="false">D641/D622</f>
        <v>0.264072969124936</v>
      </c>
      <c r="E642" s="14" t="n">
        <f aca="false">E641/E622</f>
        <v>0.290580500971784</v>
      </c>
      <c r="F642" s="14" t="n">
        <f aca="false">F641/F622</f>
        <v>0.263652366994174</v>
      </c>
      <c r="G642" s="14" t="n">
        <f aca="false">G641/G622</f>
        <v>0.271515517553277</v>
      </c>
    </row>
    <row r="643" customFormat="false" ht="17.15" hidden="false" customHeight="false" outlineLevel="0" collapsed="false">
      <c r="A643" s="0" t="s">
        <v>574</v>
      </c>
      <c r="B643" s="0" t="s">
        <v>239</v>
      </c>
      <c r="C643" s="21" t="n">
        <f aca="false">C641+C631</f>
        <v>16.5155</v>
      </c>
      <c r="D643" s="21" t="n">
        <f aca="false">D641+D631</f>
        <v>23.855158189</v>
      </c>
      <c r="E643" s="21" t="n">
        <f aca="false">E641+E631</f>
        <v>34.389081144521</v>
      </c>
      <c r="F643" s="21" t="n">
        <f aca="false">F641+F631</f>
        <v>37.6982631257966</v>
      </c>
      <c r="G643" s="21" t="n">
        <f aca="false">G641+G631</f>
        <v>41.2946268358746</v>
      </c>
    </row>
    <row r="644" customFormat="false" ht="17.15" hidden="false" customHeight="false" outlineLevel="0" collapsed="false">
      <c r="A644" s="0" t="s">
        <v>575</v>
      </c>
      <c r="B644" s="0" t="s">
        <v>239</v>
      </c>
      <c r="C644" s="21" t="n">
        <f aca="false">C643-C629</f>
        <v>-15.8399</v>
      </c>
      <c r="D644" s="21" t="n">
        <f aca="false">D643-D629</f>
        <v>-18.144841811</v>
      </c>
      <c r="E644" s="21" t="n">
        <f aca="false">E643-E629</f>
        <v>-24.5757784737202</v>
      </c>
      <c r="F644" s="21" t="n">
        <f aca="false">F643-F629</f>
        <v>14.0097507132287</v>
      </c>
      <c r="G644" s="21" t="n">
        <f aca="false">G643-G629</f>
        <v>15.9759627535776</v>
      </c>
    </row>
    <row r="645" customFormat="false" ht="17.15" hidden="false" customHeight="false" outlineLevel="0" collapsed="false">
      <c r="A645" s="4" t="s">
        <v>433</v>
      </c>
      <c r="B645" s="0" t="s">
        <v>239</v>
      </c>
      <c r="C645" s="21" t="n">
        <f aca="false">a25_ni</f>
        <v>11.015</v>
      </c>
      <c r="D645" s="21" t="n">
        <f aca="false">a26_ni</f>
        <v>10.66608446065</v>
      </c>
      <c r="E645" s="21" t="n">
        <f aca="false">E641*nir_f</f>
        <v>15.1827415089149</v>
      </c>
      <c r="F645" s="21" t="n">
        <f aca="false">F641*nir_f</f>
        <v>14.8290729179872</v>
      </c>
      <c r="G645" s="21" t="n">
        <f aca="false">G641*nir_f</f>
        <v>16.427760285774</v>
      </c>
      <c r="H645" s="8" t="s">
        <v>438</v>
      </c>
    </row>
    <row r="646" customFormat="false" ht="17.15" hidden="false" customHeight="false" outlineLevel="0" collapsed="false">
      <c r="A646" s="4" t="s">
        <v>437</v>
      </c>
      <c r="B646" s="0" t="s">
        <v>41</v>
      </c>
      <c r="C646" s="14" t="n">
        <f aca="false">C645/C641</f>
        <v>1.22373715907824</v>
      </c>
      <c r="D646" s="14" t="n">
        <f aca="false">D645/D641</f>
        <v>0.851416960133963</v>
      </c>
      <c r="E646" s="14" t="n">
        <f aca="false">E645/E641</f>
        <v>0.84</v>
      </c>
      <c r="F646" s="14" t="n">
        <f aca="false">F645/F641</f>
        <v>0.84</v>
      </c>
      <c r="G646" s="14" t="n">
        <f aca="false">G645/G641</f>
        <v>0.84</v>
      </c>
    </row>
    <row r="647" customFormat="false" ht="15" hidden="false" customHeight="false" outlineLevel="0" collapsed="false">
      <c r="A647" s="4" t="s">
        <v>576</v>
      </c>
      <c r="B647" s="4" t="s">
        <v>294</v>
      </c>
      <c r="C647" s="27" t="n">
        <f aca="false">a25_sh</f>
        <v>1.22253052164262</v>
      </c>
      <c r="D647" s="27" t="n">
        <f aca="false">a26_sh</f>
        <v>1.28264705882353</v>
      </c>
      <c r="E647" s="27" t="n">
        <f aca="false">D647*(1+sh_g)</f>
        <v>1.28264705882353</v>
      </c>
      <c r="F647" s="27" t="n">
        <f aca="false">E647*(1+sh_g)</f>
        <v>1.28264705882353</v>
      </c>
      <c r="G647" s="27" t="n">
        <f aca="false">F647*(1+sh_g)</f>
        <v>1.28264705882353</v>
      </c>
    </row>
    <row r="648" customFormat="false" ht="15" hidden="false" customHeight="false" outlineLevel="0" collapsed="false">
      <c r="A648" s="0" t="s">
        <v>442</v>
      </c>
      <c r="B648" s="0" t="s">
        <v>315</v>
      </c>
      <c r="C648" s="21" t="n">
        <f aca="false">C645/C647</f>
        <v>9.01</v>
      </c>
      <c r="D648" s="21" t="n">
        <f aca="false">D645/D647</f>
        <v>8.31568153318276</v>
      </c>
      <c r="E648" s="21" t="n">
        <f aca="false">E645/E647</f>
        <v>11.8370376359346</v>
      </c>
      <c r="F648" s="21" t="n">
        <f aca="false">F645/F647</f>
        <v>11.5613042699281</v>
      </c>
      <c r="G648" s="21" t="n">
        <f aca="false">G645/G647</f>
        <v>12.8077012088126</v>
      </c>
    </row>
    <row r="649" customFormat="false" ht="17.15" hidden="false" customHeight="false" outlineLevel="0" collapsed="false">
      <c r="A649" s="0" t="s">
        <v>577</v>
      </c>
      <c r="B649" s="0" t="s">
        <v>41</v>
      </c>
      <c r="D649" s="14" t="n">
        <f aca="false">D648/C648-1</f>
        <v>-0.0770608731206708</v>
      </c>
      <c r="E649" s="14" t="n">
        <f aca="false">E648/D648-1</f>
        <v>0.423459711474069</v>
      </c>
      <c r="F649" s="14" t="n">
        <f aca="false">F648/E648-1</f>
        <v>-0.0232941192287328</v>
      </c>
      <c r="G649" s="14" t="n">
        <f aca="false">G648/F648-1</f>
        <v>0.107807640884119</v>
      </c>
      <c r="H649" s="8" t="s">
        <v>578</v>
      </c>
    </row>
    <row r="652" customFormat="false" ht="17.15" hidden="false" customHeight="false" outlineLevel="0" collapsed="false">
      <c r="A652" s="1" t="s">
        <v>875</v>
      </c>
    </row>
    <row r="653" customFormat="false" ht="17.15" hidden="false" customHeight="false" outlineLevel="0" collapsed="false">
      <c r="A653" s="5" t="s">
        <v>17</v>
      </c>
      <c r="B653" s="5" t="s">
        <v>18</v>
      </c>
      <c r="C653" s="12" t="s">
        <v>409</v>
      </c>
      <c r="D653" s="12" t="s">
        <v>520</v>
      </c>
      <c r="E653" s="12" t="s">
        <v>521</v>
      </c>
      <c r="F653" s="12" t="s">
        <v>522</v>
      </c>
      <c r="G653" s="12" t="s">
        <v>523</v>
      </c>
      <c r="H653" s="5" t="s">
        <v>488</v>
      </c>
    </row>
    <row r="654" customFormat="false" ht="17.15" hidden="false" customHeight="false" outlineLevel="0" collapsed="false">
      <c r="A654" s="6" t="s">
        <v>543</v>
      </c>
    </row>
    <row r="655" customFormat="false" ht="17.15" hidden="false" customHeight="false" outlineLevel="0" collapsed="false">
      <c r="A655" s="0" t="s">
        <v>491</v>
      </c>
      <c r="B655" s="4" t="s">
        <v>28</v>
      </c>
      <c r="D655" s="16" t="n">
        <f aca="false">u_bw_26*tt_bw</f>
        <v>5.4</v>
      </c>
      <c r="E655" s="16" t="n">
        <f aca="false">u_bw_27*1*tt_bw</f>
        <v>2.4</v>
      </c>
      <c r="F655" s="16" t="n">
        <f aca="false">u_bw_28*um28_A*1*tt_bw</f>
        <v>0.5</v>
      </c>
      <c r="G655" s="16" t="n">
        <f aca="false">u_bw_28*(1+g29_bw)*um29_A*1*tt_bw</f>
        <v>0.25</v>
      </c>
    </row>
    <row r="656" customFormat="false" ht="17.15" hidden="false" customHeight="false" outlineLevel="0" collapsed="false">
      <c r="A656" s="0" t="s">
        <v>493</v>
      </c>
      <c r="B656" s="4" t="s">
        <v>28</v>
      </c>
      <c r="D656" s="16" t="n">
        <f aca="false">u_rb_26*tt_rb</f>
        <v>2.55</v>
      </c>
      <c r="E656" s="16" t="n">
        <f aca="false">u_rb_27*1*tt_rb</f>
        <v>10.5</v>
      </c>
      <c r="F656" s="16" t="n">
        <f aca="false">u_rb_28*um28_A*1*tt_rb</f>
        <v>10.5</v>
      </c>
      <c r="G656" s="16" t="n">
        <f aca="false">u_rb_28*(1+g29_rb)*um29_A*1*tt_rb</f>
        <v>12.075</v>
      </c>
    </row>
    <row r="657" customFormat="false" ht="17.15" hidden="false" customHeight="false" outlineLevel="0" collapsed="false">
      <c r="A657" s="0" t="s">
        <v>494</v>
      </c>
      <c r="B657" s="4" t="s">
        <v>28</v>
      </c>
      <c r="D657" s="16" t="n">
        <f aca="false">u_ru_26*tt_ru</f>
        <v>0</v>
      </c>
      <c r="E657" s="16" t="n">
        <f aca="false">u_ru_27*1*tt_ru</f>
        <v>0.6</v>
      </c>
      <c r="F657" s="16" t="n">
        <f aca="false">u_ru_28*um28_A*1*tt_ru</f>
        <v>4</v>
      </c>
      <c r="G657" s="16" t="n">
        <f aca="false">u_ru_28*(1+g29_ru)*um29_A*1*tt_ru</f>
        <v>4.6</v>
      </c>
    </row>
    <row r="658" customFormat="false" ht="17.15" hidden="false" customHeight="false" outlineLevel="0" collapsed="false">
      <c r="A658" s="0" t="s">
        <v>495</v>
      </c>
      <c r="B658" s="4" t="s">
        <v>28</v>
      </c>
      <c r="D658" s="16" t="n">
        <f aca="false">u_hp_26*tt_hp</f>
        <v>0.3</v>
      </c>
      <c r="E658" s="16" t="n">
        <f aca="false">u_hp_27*1*tt_hp</f>
        <v>0</v>
      </c>
      <c r="F658" s="16" t="n">
        <f aca="false">u_hp_28*um28_A*1*tt_hp</f>
        <v>0</v>
      </c>
      <c r="G658" s="16" t="n">
        <f aca="false">u_hp_28*(1+g29_hp)*um29_A*1*tt_hp</f>
        <v>0</v>
      </c>
    </row>
    <row r="659" customFormat="false" ht="17.15" hidden="false" customHeight="false" outlineLevel="0" collapsed="false">
      <c r="A659" s="0" t="s">
        <v>496</v>
      </c>
      <c r="B659" s="4" t="s">
        <v>28</v>
      </c>
      <c r="D659" s="16" t="n">
        <f aca="false">u_amd_26*tt_amd*ex_amd</f>
        <v>0.165</v>
      </c>
      <c r="E659" s="16" t="n">
        <f aca="false">u_amd_27*1*tt_amd*ex_amd</f>
        <v>0.33</v>
      </c>
      <c r="F659" s="16" t="n">
        <f aca="false">u_amd_28*um28_A*1*tt_amd*ex_amd</f>
        <v>0.44</v>
      </c>
      <c r="G659" s="16" t="n">
        <f aca="false">u_amd_28*(1+g29_amd)*um29_A*1*tt_amd*ex_amd</f>
        <v>0.506</v>
      </c>
    </row>
    <row r="660" customFormat="false" ht="17.15" hidden="false" customHeight="false" outlineLevel="0" collapsed="false">
      <c r="A660" s="0" t="s">
        <v>498</v>
      </c>
      <c r="B660" s="4" t="s">
        <v>28</v>
      </c>
      <c r="D660" s="16" t="n">
        <f aca="false">u_tpu_26*tt_tpu*ex_tpu</f>
        <v>1.7325</v>
      </c>
      <c r="E660" s="16" t="n">
        <f aca="false">u_tpu_27*1*tt_tpu*ex_tpu</f>
        <v>2.475</v>
      </c>
      <c r="F660" s="16" t="n">
        <f aca="false">u_tpu_28*um28_A*1*tt_tpu*ex_tpu</f>
        <v>3.15</v>
      </c>
      <c r="G660" s="16" t="n">
        <f aca="false">u_tpu_28*(1+g29_tpu)*um29_A*1*tt_tpu*ex_tpu</f>
        <v>3.6225</v>
      </c>
    </row>
    <row r="661" customFormat="false" ht="17.15" hidden="false" customHeight="false" outlineLevel="0" collapsed="false">
      <c r="A661" s="0" t="s">
        <v>499</v>
      </c>
      <c r="B661" s="4" t="s">
        <v>28</v>
      </c>
      <c r="D661" s="16" t="n">
        <f aca="false">u_trn_26*tt_trn*ex_trn</f>
        <v>0.64</v>
      </c>
      <c r="E661" s="16" t="n">
        <f aca="false">u_trn_27*1*tt_trn*ex_trn</f>
        <v>0.8</v>
      </c>
      <c r="F661" s="16" t="n">
        <f aca="false">u_trn_28*um28_A*1*tt_trn*ex_trn</f>
        <v>0.96</v>
      </c>
      <c r="G661" s="16" t="n">
        <f aca="false">u_trn_28*(1+g29_trn)*um29_A*1*tt_trn*ex_trn</f>
        <v>1.104</v>
      </c>
    </row>
    <row r="662" customFormat="false" ht="17.15" hidden="false" customHeight="false" outlineLevel="0" collapsed="false">
      <c r="A662" s="4" t="s">
        <v>500</v>
      </c>
      <c r="B662" s="4" t="s">
        <v>28</v>
      </c>
      <c r="D662" s="16" t="n">
        <f aca="false">u_oth_26*tt_oth*ex_oth</f>
        <v>0.28</v>
      </c>
      <c r="E662" s="16" t="n">
        <f aca="false">u_oth_27*1*tt_oth*ex_oth</f>
        <v>1.26</v>
      </c>
      <c r="F662" s="16" t="n">
        <f aca="false">u_oth_28*um28_A*1*tt_oth*ex_oth</f>
        <v>1.4</v>
      </c>
      <c r="G662" s="16" t="n">
        <f aca="false">u_oth_28*(1+g29_oth)*um29_A*1*tt_oth*ex_oth</f>
        <v>1.61</v>
      </c>
    </row>
    <row r="663" customFormat="false" ht="15" hidden="false" customHeight="false" outlineLevel="0" collapsed="false">
      <c r="A663" s="4" t="s">
        <v>489</v>
      </c>
      <c r="B663" s="4" t="s">
        <v>28</v>
      </c>
      <c r="D663" s="16" t="n">
        <f aca="false">u_bw_26+u_rb_26+u_ru_26+u_hp_26+u_amd_26+u_tpu_26+u_trn_26+u_oth_26</f>
        <v>15.2</v>
      </c>
      <c r="E663" s="16" t="n">
        <f aca="false">u_bw_27*1+u_rb_27*1+u_ru_27*1+u_hp_27*1+u_amd_27*1+u_tpu_27*1+u_trn_27*1+u_oth_27*1</f>
        <v>23.7</v>
      </c>
      <c r="F663" s="16" t="n">
        <f aca="false">u_bw_28*um28_A*1+u_rb_28*um28_A*1+u_ru_28*um28_A*1+u_hp_28*um28_A*1+u_amd_28*um28_A*1+u_tpu_28*um28_A*1+u_trn_28*um28_A*1+u_oth_28*um28_A*1</f>
        <v>26.5</v>
      </c>
      <c r="G66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64" customFormat="false" ht="17.15" hidden="false" customHeight="false" outlineLevel="0" collapsed="false">
      <c r="A664" s="0" t="s">
        <v>544</v>
      </c>
      <c r="B664" s="4" t="s">
        <v>28</v>
      </c>
      <c r="D664" s="16" t="n">
        <f aca="false">D655+D656+D657+D658</f>
        <v>8.25</v>
      </c>
      <c r="E664" s="16" t="n">
        <f aca="false">E655+E656+E657+E658</f>
        <v>13.5</v>
      </c>
      <c r="F664" s="16" t="n">
        <f aca="false">F655+F656+F657+F658</f>
        <v>15</v>
      </c>
      <c r="G664" s="16" t="n">
        <f aca="false">G655+G656+G657+G658</f>
        <v>16.925</v>
      </c>
    </row>
    <row r="665" customFormat="false" ht="17.15" hidden="false" customHeight="false" outlineLevel="0" collapsed="false">
      <c r="A665" s="0" t="s">
        <v>545</v>
      </c>
      <c r="B665" s="4" t="s">
        <v>28</v>
      </c>
      <c r="D665" s="16" t="n">
        <f aca="false">D659+D660+D661+D662</f>
        <v>2.8175</v>
      </c>
      <c r="E665" s="16" t="n">
        <f aca="false">E659+E660+E661+E662</f>
        <v>4.865</v>
      </c>
      <c r="F665" s="16" t="n">
        <f aca="false">F659+F660+F661+F662</f>
        <v>5.95</v>
      </c>
      <c r="G665" s="16" t="n">
        <f aca="false">G659+G660+G661+G662</f>
        <v>6.8425</v>
      </c>
    </row>
    <row r="666" customFormat="false" ht="15" hidden="false" customHeight="false" outlineLevel="0" collapsed="false">
      <c r="A666" s="4" t="s">
        <v>546</v>
      </c>
      <c r="B666" s="4" t="s">
        <v>28</v>
      </c>
      <c r="D666" s="16" t="n">
        <f aca="false">D664+D665</f>
        <v>11.0675</v>
      </c>
      <c r="E666" s="16" t="n">
        <f aca="false">E664+E665</f>
        <v>18.365</v>
      </c>
      <c r="F666" s="16" t="n">
        <f aca="false">F664+F665</f>
        <v>20.95</v>
      </c>
      <c r="G666" s="16" t="n">
        <f aca="false">G664+G665</f>
        <v>23.7675</v>
      </c>
    </row>
    <row r="667" customFormat="false" ht="17.15" hidden="false" customHeight="false" outlineLevel="0" collapsed="false">
      <c r="A667" s="0" t="s">
        <v>547</v>
      </c>
      <c r="B667" s="0" t="s">
        <v>239</v>
      </c>
      <c r="D667" s="21" t="n">
        <f aca="false">a26_rev*ai_26</f>
        <v>16.603774145</v>
      </c>
    </row>
    <row r="668" customFormat="false" ht="17.15" hidden="false" customHeight="false" outlineLevel="0" collapsed="false">
      <c r="A668" s="4" t="s">
        <v>548</v>
      </c>
      <c r="B668" s="0" t="s">
        <v>549</v>
      </c>
      <c r="D668" s="27" t="n">
        <f aca="false">D667/D666</f>
        <v>1.50022806821775</v>
      </c>
      <c r="H668" s="8" t="s">
        <v>550</v>
      </c>
    </row>
    <row r="669" customFormat="false" ht="17.15" hidden="false" customHeight="false" outlineLevel="0" collapsed="false">
      <c r="A669" s="4" t="s">
        <v>551</v>
      </c>
      <c r="B669" s="0" t="s">
        <v>131</v>
      </c>
      <c r="D669" s="16" t="n">
        <f aca="false">1</f>
        <v>1</v>
      </c>
      <c r="E669" s="16" t="n">
        <f aca="false">rel_27</f>
        <v>0.95</v>
      </c>
      <c r="F669" s="16" t="n">
        <f aca="false">rel_28</f>
        <v>0.92</v>
      </c>
      <c r="G669" s="16" t="n">
        <f aca="false">rel_29</f>
        <v>0.9</v>
      </c>
    </row>
    <row r="670" customFormat="false" ht="17.15" hidden="false" customHeight="false" outlineLevel="0" collapsed="false">
      <c r="A670" s="4" t="s">
        <v>552</v>
      </c>
      <c r="B670" s="0" t="s">
        <v>131</v>
      </c>
      <c r="D670" s="16" t="n">
        <f aca="false">1</f>
        <v>1</v>
      </c>
      <c r="E670" s="16" t="n">
        <f aca="false">pp_27</f>
        <v>0.98</v>
      </c>
      <c r="F670" s="16" t="n">
        <f aca="false">pp_28</f>
        <v>0.96</v>
      </c>
      <c r="G670" s="16" t="n">
        <f aca="false">pp_29</f>
        <v>0.95</v>
      </c>
    </row>
    <row r="671" customFormat="false" ht="17.15" hidden="false" customHeight="false" outlineLevel="0" collapsed="false">
      <c r="A671" s="0" t="s">
        <v>553</v>
      </c>
      <c r="B671" s="0" t="s">
        <v>239</v>
      </c>
      <c r="C671" s="21" t="n">
        <f aca="false">a25_rev*ai_25</f>
        <v>9.60674</v>
      </c>
      <c r="D671" s="21" t="n">
        <f aca="false">D667</f>
        <v>16.603774145</v>
      </c>
      <c r="E671" s="21" t="n">
        <f aca="false">$D$668*E666*E669*E670</f>
        <v>25.6506219681945</v>
      </c>
      <c r="F671" s="21" t="n">
        <f aca="false">$D$668*F666*F669*F670</f>
        <v>27.7587799553558</v>
      </c>
      <c r="G671" s="21" t="n">
        <f aca="false">$D$668*G666*G669*G670</f>
        <v>30.4864533727175</v>
      </c>
    </row>
    <row r="672" customFormat="false" ht="17.15" hidden="false" customHeight="false" outlineLevel="0" collapsed="false">
      <c r="A672" s="4" t="s">
        <v>554</v>
      </c>
      <c r="B672" s="0" t="s">
        <v>239</v>
      </c>
      <c r="C672" s="21" t="n">
        <f aca="false">a25_rev-C671</f>
        <v>25.32686</v>
      </c>
      <c r="D672" s="21" t="n">
        <f aca="false">a26_rev-D671</f>
        <v>30.835580555</v>
      </c>
      <c r="E672" s="21" t="n">
        <f aca="false">D672*(1+g_nai27)</f>
        <v>34.5358502216</v>
      </c>
      <c r="F672" s="21" t="n">
        <f aca="false">E672*(1+g_nai28)</f>
        <v>36.953359737112</v>
      </c>
      <c r="G672" s="21" t="n">
        <f aca="false">F672*(1+g_nai29)</f>
        <v>38.8010277239676</v>
      </c>
    </row>
    <row r="673" customFormat="false" ht="15" hidden="false" customHeight="false" outlineLevel="0" collapsed="false">
      <c r="A673" s="4" t="s">
        <v>414</v>
      </c>
      <c r="B673" s="0" t="s">
        <v>239</v>
      </c>
      <c r="C673" s="21" t="n">
        <f aca="false">C671+C672</f>
        <v>34.9336</v>
      </c>
      <c r="D673" s="21" t="n">
        <f aca="false">D671+D672</f>
        <v>47.4393547</v>
      </c>
      <c r="E673" s="21" t="n">
        <f aca="false">E671+E672</f>
        <v>60.1864721897945</v>
      </c>
      <c r="F673" s="21" t="n">
        <f aca="false">F671+F672</f>
        <v>64.7121396924678</v>
      </c>
      <c r="G673" s="21" t="n">
        <f aca="false">G671+G672</f>
        <v>69.2874810966851</v>
      </c>
    </row>
    <row r="674" customFormat="false" ht="15" hidden="false" customHeight="false" outlineLevel="0" collapsed="false">
      <c r="A674" s="4" t="s">
        <v>555</v>
      </c>
      <c r="B674" s="0" t="s">
        <v>41</v>
      </c>
      <c r="D674" s="14" t="n">
        <f aca="false">D673/C673-1</f>
        <v>0.357986428538713</v>
      </c>
      <c r="E674" s="14" t="n">
        <f aca="false">E673/D673-1</f>
        <v>0.268703433476395</v>
      </c>
      <c r="F674" s="14" t="n">
        <f aca="false">F673/E673-1</f>
        <v>0.0751940982419084</v>
      </c>
      <c r="G674" s="14" t="n">
        <f aca="false">G673/F673-1</f>
        <v>0.070702984416227</v>
      </c>
    </row>
    <row r="675" customFormat="false" ht="17.15" hidden="false" customHeight="false" outlineLevel="0" collapsed="false">
      <c r="A675" s="0" t="s">
        <v>556</v>
      </c>
      <c r="B675" s="0" t="s">
        <v>41</v>
      </c>
      <c r="C675" s="14" t="n">
        <f aca="false">C671/C673</f>
        <v>0.275</v>
      </c>
      <c r="D675" s="14" t="n">
        <f aca="false">D671/D673</f>
        <v>0.35</v>
      </c>
      <c r="E675" s="14" t="n">
        <f aca="false">E671/E673</f>
        <v>0.426185836034829</v>
      </c>
      <c r="F675" s="14" t="n">
        <f aca="false">F671/F673</f>
        <v>0.42895784449833</v>
      </c>
      <c r="G675" s="14" t="n">
        <f aca="false">G671/G673</f>
        <v>0.439999447088805</v>
      </c>
    </row>
    <row r="676" customFormat="false" ht="17.15" hidden="false" customHeight="false" outlineLevel="0" collapsed="false">
      <c r="A676" s="0" t="s">
        <v>502</v>
      </c>
      <c r="B676" s="0" t="s">
        <v>41</v>
      </c>
      <c r="D676" s="14" t="n">
        <f aca="false">D664/D666</f>
        <v>0.745425796250282</v>
      </c>
      <c r="E676" s="14" t="n">
        <f aca="false">E664/E666</f>
        <v>0.735093928668663</v>
      </c>
      <c r="F676" s="14" t="n">
        <f aca="false">F664/F666</f>
        <v>0.715990453460621</v>
      </c>
      <c r="G676" s="14" t="n">
        <f aca="false">G664/G666</f>
        <v>0.71210686862312</v>
      </c>
    </row>
    <row r="677" customFormat="false" ht="17.15" hidden="false" customHeight="false" outlineLevel="0" collapsed="false">
      <c r="A677" s="4" t="s">
        <v>506</v>
      </c>
      <c r="B677" s="0" t="s">
        <v>507</v>
      </c>
      <c r="D677" s="22" t="n">
        <f aca="false">D671/D666/fx*1000</f>
        <v>46.8821271318048</v>
      </c>
      <c r="E677" s="22" t="n">
        <f aca="false">E671/E666/fx*1000</f>
        <v>43.6472603597103</v>
      </c>
      <c r="F677" s="22" t="n">
        <f aca="false">F671/F666/fx*1000</f>
        <v>41.40629468281</v>
      </c>
      <c r="G677" s="22" t="n">
        <f aca="false">G671/G666/fx*1000</f>
        <v>40.0842186976931</v>
      </c>
      <c r="H677" s="4" t="s">
        <v>557</v>
      </c>
    </row>
    <row r="678" customFormat="false" ht="17.15" hidden="false" customHeight="false" outlineLevel="0" collapsed="false">
      <c r="A678" s="6" t="s">
        <v>558</v>
      </c>
    </row>
    <row r="679" customFormat="false" ht="17.15" hidden="false" customHeight="false" outlineLevel="0" collapsed="false">
      <c r="A679" s="0" t="s">
        <v>559</v>
      </c>
      <c r="B679" s="0" t="s">
        <v>131</v>
      </c>
      <c r="C679" s="16" t="n">
        <f aca="false">(a25_capex-m_cx*a25_rev)/(a25_rev-rev24)</f>
        <v>3.57284271254522</v>
      </c>
      <c r="H679" s="8" t="s">
        <v>560</v>
      </c>
    </row>
    <row r="680" customFormat="false" ht="17.15" hidden="false" customHeight="false" outlineLevel="0" collapsed="false">
      <c r="A680" s="4" t="s">
        <v>511</v>
      </c>
      <c r="B680" s="0" t="s">
        <v>239</v>
      </c>
      <c r="C680" s="21" t="n">
        <f aca="false">a25_capex</f>
        <v>32.3554</v>
      </c>
      <c r="D680" s="21" t="n">
        <f aca="false">capex_26</f>
        <v>42</v>
      </c>
      <c r="E680" s="21" t="n">
        <f aca="false">m_cx*E673+$C$679*MAX(0,E673-D673)</f>
        <v>51.5620930483496</v>
      </c>
      <c r="F680" s="21" t="n">
        <f aca="false">m_cx*F673+$C$679*MAX(0,F673-E673)</f>
        <v>22.6407121255758</v>
      </c>
      <c r="G680" s="21" t="n">
        <f aca="false">m_cx*G673+$C$679*MAX(0,G673-F673)</f>
        <v>23.2757233031325</v>
      </c>
      <c r="H680" s="8" t="s">
        <v>561</v>
      </c>
    </row>
    <row r="681" customFormat="false" ht="17.15" hidden="false" customHeight="false" outlineLevel="0" collapsed="false">
      <c r="A681" s="4" t="s">
        <v>562</v>
      </c>
      <c r="B681" s="0" t="s">
        <v>41</v>
      </c>
      <c r="C681" s="14" t="n">
        <f aca="false">C680/C673</f>
        <v>0.926197128266197</v>
      </c>
      <c r="D681" s="14" t="n">
        <f aca="false">D680/D673</f>
        <v>0.885340879225746</v>
      </c>
      <c r="E681" s="14" t="n">
        <f aca="false">E680/E673</f>
        <v>0.85670568771254</v>
      </c>
      <c r="F681" s="14" t="n">
        <f aca="false">F680/F673</f>
        <v>0.34986808090679</v>
      </c>
      <c r="G681" s="14" t="n">
        <f aca="false">G680/G673</f>
        <v>0.335929708148188</v>
      </c>
    </row>
    <row r="682" customFormat="false" ht="15" hidden="false" customHeight="false" outlineLevel="0" collapsed="false">
      <c r="A682" s="4" t="s">
        <v>563</v>
      </c>
      <c r="B682" s="0" t="s">
        <v>239</v>
      </c>
      <c r="C682" s="21" t="n">
        <f aca="false">a25_da</f>
        <v>7.5143841</v>
      </c>
      <c r="D682" s="21" t="n">
        <f aca="false">a26_da</f>
        <v>11.32770694</v>
      </c>
      <c r="E682" s="21" t="n">
        <f aca="false">D682*(1-ret)+dr*(D680+E680)/2</f>
        <v>15.9072367106592</v>
      </c>
      <c r="F682" s="21" t="n">
        <f aca="false">E682*(1-ret)+dr*(E680+F680)/2</f>
        <v>19.1930291596922</v>
      </c>
      <c r="G682" s="21" t="n">
        <f aca="false">F682*(1-ret)+dr*(F680+G680)/2</f>
        <v>20.7587816502865</v>
      </c>
    </row>
    <row r="683" customFormat="false" ht="17.15" hidden="false" customHeight="false" outlineLevel="0" collapsed="false">
      <c r="A683" s="4" t="s">
        <v>515</v>
      </c>
      <c r="B683" s="0" t="s">
        <v>41</v>
      </c>
      <c r="C683" s="14" t="n">
        <f aca="false">C682/C673</f>
        <v>0.215104773055168</v>
      </c>
      <c r="D683" s="14" t="n">
        <f aca="false">D682/D673</f>
        <v>0.238782905282647</v>
      </c>
      <c r="E683" s="14" t="n">
        <f aca="false">E682/E673</f>
        <v>0.264299204321142</v>
      </c>
      <c r="F683" s="14" t="n">
        <f aca="false">F682/F673</f>
        <v>0.296590859936071</v>
      </c>
      <c r="G683" s="14" t="n">
        <f aca="false">G682/G673</f>
        <v>0.299603641548454</v>
      </c>
    </row>
    <row r="684" customFormat="false" ht="17.15" hidden="false" customHeight="false" outlineLevel="0" collapsed="false">
      <c r="A684" s="4" t="s">
        <v>564</v>
      </c>
      <c r="B684" s="0" t="s">
        <v>239</v>
      </c>
      <c r="D684" s="16" t="n">
        <f aca="false">C682*(1-ret)+dr*(C680+D680)/2-D682</f>
        <v>-0.0994950449999994</v>
      </c>
      <c r="H684" s="4" t="s">
        <v>565</v>
      </c>
    </row>
    <row r="685" customFormat="false" ht="17.15" hidden="false" customHeight="false" outlineLevel="0" collapsed="false">
      <c r="A685" s="6" t="s">
        <v>566</v>
      </c>
    </row>
    <row r="686" customFormat="false" ht="17.15" hidden="false" customHeight="false" outlineLevel="0" collapsed="false">
      <c r="A686" s="4" t="s">
        <v>567</v>
      </c>
      <c r="B686" s="0" t="s">
        <v>239</v>
      </c>
      <c r="D686" s="21" t="n">
        <f aca="false">a26_cc-v_cc_lo*a26_rev</f>
        <v>12.7261292035</v>
      </c>
      <c r="H686" s="8" t="s">
        <v>568</v>
      </c>
    </row>
    <row r="687" customFormat="false" ht="17.15" hidden="false" customHeight="false" outlineLevel="0" collapsed="false">
      <c r="A687" s="4" t="s">
        <v>569</v>
      </c>
      <c r="B687" s="0" t="s">
        <v>239</v>
      </c>
      <c r="C687" s="21" t="n">
        <f aca="false">a25_cc</f>
        <v>14.8984</v>
      </c>
      <c r="D687" s="21" t="n">
        <f aca="false">a26_cc</f>
        <v>17.4700646735</v>
      </c>
      <c r="E687" s="21" t="n">
        <f aca="false">$D$686+v_cc_lo*(E671/E670+E672)</f>
        <v>18.7971246305778</v>
      </c>
      <c r="F687" s="21" t="n">
        <f aca="false">$D$686+v_cc_lo*(F671/F670+F672)</f>
        <v>19.3130047558941</v>
      </c>
      <c r="G687" s="21" t="n">
        <f aca="false">$D$686+v_cc_lo*(G671/G670+G672)</f>
        <v>19.8153323309197</v>
      </c>
      <c r="H687" s="4" t="s">
        <v>570</v>
      </c>
    </row>
    <row r="688" customFormat="false" ht="15" hidden="false" customHeight="false" outlineLevel="0" collapsed="false">
      <c r="A688" s="4" t="s">
        <v>571</v>
      </c>
      <c r="B688" s="0" t="s">
        <v>239</v>
      </c>
      <c r="C688" s="21" t="n">
        <f aca="false">C673-C687-C682</f>
        <v>12.5208159</v>
      </c>
      <c r="D688" s="21" t="n">
        <f aca="false">D673-D687-D682</f>
        <v>18.6415830865</v>
      </c>
      <c r="E688" s="21" t="n">
        <f aca="false">E673-E687-E682</f>
        <v>25.4821108485575</v>
      </c>
      <c r="F688" s="21" t="n">
        <f aca="false">F673-F687-F682</f>
        <v>26.2061057768816</v>
      </c>
      <c r="G688" s="21" t="n">
        <f aca="false">G673-G687-G682</f>
        <v>28.7133671154789</v>
      </c>
    </row>
    <row r="689" customFormat="false" ht="15" hidden="false" customHeight="false" outlineLevel="0" collapsed="false">
      <c r="A689" s="4" t="s">
        <v>421</v>
      </c>
      <c r="B689" s="0" t="s">
        <v>41</v>
      </c>
      <c r="C689" s="14" t="n">
        <f aca="false">C688/C673</f>
        <v>0.358417566468958</v>
      </c>
      <c r="D689" s="14" t="n">
        <f aca="false">D688/D673</f>
        <v>0.392956084760993</v>
      </c>
      <c r="E689" s="14" t="n">
        <f aca="false">E688/E673</f>
        <v>0.423386018841595</v>
      </c>
      <c r="F689" s="14" t="n">
        <f aca="false">F688/F673</f>
        <v>0.404964291111701</v>
      </c>
      <c r="G689" s="14" t="n">
        <f aca="false">G688/G673</f>
        <v>0.414409163978869</v>
      </c>
    </row>
    <row r="690" customFormat="false" ht="15" hidden="false" customHeight="false" outlineLevel="0" collapsed="false">
      <c r="A690" s="4" t="s">
        <v>572</v>
      </c>
      <c r="B690" s="0" t="s">
        <v>239</v>
      </c>
      <c r="C690" s="21" t="n">
        <f aca="false">a25_opx</f>
        <v>3.5197</v>
      </c>
      <c r="D690" s="21" t="n">
        <f aca="false">a26_opx</f>
        <v>6.1141318375</v>
      </c>
      <c r="E690" s="21" t="n">
        <f aca="false">D690*(1+MAX(0,phi*E674))</f>
        <v>7.09986476797815</v>
      </c>
      <c r="F690" s="21" t="n">
        <f aca="false">E690*(1+MAX(0,phi*F674))</f>
        <v>7.42018552529872</v>
      </c>
      <c r="G690" s="21" t="n">
        <f aca="false">F690*(1+MAX(0,phi*G674))</f>
        <v>7.73496308223515</v>
      </c>
    </row>
    <row r="691" customFormat="false" ht="15" hidden="false" customHeight="false" outlineLevel="0" collapsed="false">
      <c r="A691" s="4" t="s">
        <v>573</v>
      </c>
      <c r="B691" s="0" t="s">
        <v>239</v>
      </c>
      <c r="C691" s="21" t="n">
        <f aca="false">C690</f>
        <v>3.5197</v>
      </c>
      <c r="D691" s="21" t="n">
        <f aca="false">D690</f>
        <v>6.1141318375</v>
      </c>
      <c r="E691" s="21" t="n">
        <f aca="false">E690+0*E673</f>
        <v>7.09986476797815</v>
      </c>
      <c r="F691" s="21" t="n">
        <f aca="false">F690+0*F673</f>
        <v>7.42018552529872</v>
      </c>
      <c r="G691" s="21" t="n">
        <f aca="false">G690+0*G673</f>
        <v>7.73496308223515</v>
      </c>
    </row>
    <row r="692" customFormat="false" ht="15" hidden="false" customHeight="false" outlineLevel="0" collapsed="false">
      <c r="A692" s="4" t="s">
        <v>430</v>
      </c>
      <c r="B692" s="0" t="s">
        <v>239</v>
      </c>
      <c r="C692" s="21" t="n">
        <f aca="false">C688-C691</f>
        <v>9.0011159</v>
      </c>
      <c r="D692" s="21" t="n">
        <f aca="false">D688-D691</f>
        <v>12.527451249</v>
      </c>
      <c r="E692" s="21" t="n">
        <f aca="false">E688-E691</f>
        <v>18.3822460805794</v>
      </c>
      <c r="F692" s="21" t="n">
        <f aca="false">F688-F691</f>
        <v>18.7859202515829</v>
      </c>
      <c r="G692" s="21" t="n">
        <f aca="false">G688-G691</f>
        <v>20.9784040332438</v>
      </c>
    </row>
    <row r="693" customFormat="false" ht="15" hidden="false" customHeight="false" outlineLevel="0" collapsed="false">
      <c r="A693" s="4" t="s">
        <v>432</v>
      </c>
      <c r="B693" s="0" t="s">
        <v>41</v>
      </c>
      <c r="C693" s="14" t="n">
        <f aca="false">C692/C673</f>
        <v>0.25766356459111</v>
      </c>
      <c r="D693" s="14" t="n">
        <f aca="false">D692/D673</f>
        <v>0.264072969124936</v>
      </c>
      <c r="E693" s="14" t="n">
        <f aca="false">E692/E673</f>
        <v>0.305421557565494</v>
      </c>
      <c r="F693" s="14" t="n">
        <f aca="false">F692/F673</f>
        <v>0.290299785184965</v>
      </c>
      <c r="G693" s="14" t="n">
        <f aca="false">G692/G673</f>
        <v>0.30277336830834</v>
      </c>
    </row>
    <row r="694" customFormat="false" ht="17.15" hidden="false" customHeight="false" outlineLevel="0" collapsed="false">
      <c r="A694" s="0" t="s">
        <v>574</v>
      </c>
      <c r="B694" s="0" t="s">
        <v>239</v>
      </c>
      <c r="C694" s="21" t="n">
        <f aca="false">C692+C682</f>
        <v>16.5155</v>
      </c>
      <c r="D694" s="21" t="n">
        <f aca="false">D692+D682</f>
        <v>23.855158189</v>
      </c>
      <c r="E694" s="21" t="n">
        <f aca="false">E692+E682</f>
        <v>34.2894827912386</v>
      </c>
      <c r="F694" s="21" t="n">
        <f aca="false">F692+F682</f>
        <v>37.978949411275</v>
      </c>
      <c r="G694" s="21" t="n">
        <f aca="false">G692+G682</f>
        <v>41.7371856835303</v>
      </c>
    </row>
    <row r="695" customFormat="false" ht="17.15" hidden="false" customHeight="false" outlineLevel="0" collapsed="false">
      <c r="A695" s="0" t="s">
        <v>575</v>
      </c>
      <c r="B695" s="0" t="s">
        <v>239</v>
      </c>
      <c r="C695" s="21" t="n">
        <f aca="false">C694-C680</f>
        <v>-15.8399</v>
      </c>
      <c r="D695" s="21" t="n">
        <f aca="false">D694-D680</f>
        <v>-18.144841811</v>
      </c>
      <c r="E695" s="21" t="n">
        <f aca="false">E694-E680</f>
        <v>-17.272610257111</v>
      </c>
      <c r="F695" s="21" t="n">
        <f aca="false">F694-F680</f>
        <v>15.3382372856992</v>
      </c>
      <c r="G695" s="21" t="n">
        <f aca="false">G694-G680</f>
        <v>18.4614623803978</v>
      </c>
    </row>
    <row r="696" customFormat="false" ht="17.15" hidden="false" customHeight="false" outlineLevel="0" collapsed="false">
      <c r="A696" s="4" t="s">
        <v>433</v>
      </c>
      <c r="B696" s="0" t="s">
        <v>239</v>
      </c>
      <c r="C696" s="21" t="n">
        <f aca="false">a25_ni</f>
        <v>11.015</v>
      </c>
      <c r="D696" s="21" t="n">
        <f aca="false">a26_ni</f>
        <v>10.66608446065</v>
      </c>
      <c r="E696" s="21" t="n">
        <f aca="false">E692*nir_f</f>
        <v>15.4410867076867</v>
      </c>
      <c r="F696" s="21" t="n">
        <f aca="false">F692*nir_f</f>
        <v>15.7801730113296</v>
      </c>
      <c r="G696" s="21" t="n">
        <f aca="false">G692*nir_f</f>
        <v>17.6218593879248</v>
      </c>
      <c r="H696" s="8" t="s">
        <v>438</v>
      </c>
    </row>
    <row r="697" customFormat="false" ht="17.15" hidden="false" customHeight="false" outlineLevel="0" collapsed="false">
      <c r="A697" s="4" t="s">
        <v>437</v>
      </c>
      <c r="B697" s="0" t="s">
        <v>41</v>
      </c>
      <c r="C697" s="14" t="n">
        <f aca="false">C696/C692</f>
        <v>1.22373715907824</v>
      </c>
      <c r="D697" s="14" t="n">
        <f aca="false">D696/D692</f>
        <v>0.851416960133963</v>
      </c>
      <c r="E697" s="14" t="n">
        <f aca="false">E696/E692</f>
        <v>0.84</v>
      </c>
      <c r="F697" s="14" t="n">
        <f aca="false">F696/F692</f>
        <v>0.84</v>
      </c>
      <c r="G697" s="14" t="n">
        <f aca="false">G696/G692</f>
        <v>0.84</v>
      </c>
    </row>
    <row r="698" customFormat="false" ht="15" hidden="false" customHeight="false" outlineLevel="0" collapsed="false">
      <c r="A698" s="4" t="s">
        <v>576</v>
      </c>
      <c r="B698" s="4" t="s">
        <v>294</v>
      </c>
      <c r="C698" s="27" t="n">
        <f aca="false">a25_sh</f>
        <v>1.22253052164262</v>
      </c>
      <c r="D698" s="27" t="n">
        <f aca="false">a26_sh</f>
        <v>1.28264705882353</v>
      </c>
      <c r="E698" s="27" t="n">
        <f aca="false">D698*(1+sh_g)</f>
        <v>1.28264705882353</v>
      </c>
      <c r="F698" s="27" t="n">
        <f aca="false">E698*(1+sh_g)</f>
        <v>1.28264705882353</v>
      </c>
      <c r="G698" s="27" t="n">
        <f aca="false">F698*(1+sh_g)</f>
        <v>1.28264705882353</v>
      </c>
    </row>
    <row r="699" customFormat="false" ht="15" hidden="false" customHeight="false" outlineLevel="0" collapsed="false">
      <c r="A699" s="0" t="s">
        <v>442</v>
      </c>
      <c r="B699" s="0" t="s">
        <v>315</v>
      </c>
      <c r="C699" s="21" t="n">
        <f aca="false">C696/C698</f>
        <v>9.01</v>
      </c>
      <c r="D699" s="21" t="n">
        <f aca="false">D696/D698</f>
        <v>8.31568153318276</v>
      </c>
      <c r="E699" s="21" t="n">
        <f aca="false">E696/E698</f>
        <v>12.0384532919364</v>
      </c>
      <c r="F699" s="21" t="n">
        <f aca="false">F696/F698</f>
        <v>12.3028177570559</v>
      </c>
      <c r="G699" s="21" t="n">
        <f aca="false">G696/G698</f>
        <v>13.7386658837295</v>
      </c>
    </row>
    <row r="700" customFormat="false" ht="17.15" hidden="false" customHeight="false" outlineLevel="0" collapsed="false">
      <c r="A700" s="0" t="s">
        <v>577</v>
      </c>
      <c r="B700" s="0" t="s">
        <v>41</v>
      </c>
      <c r="D700" s="14" t="n">
        <f aca="false">D699/C699-1</f>
        <v>-0.0770608731206708</v>
      </c>
      <c r="E700" s="14" t="n">
        <f aca="false">E699/D699-1</f>
        <v>0.447680895895106</v>
      </c>
      <c r="F700" s="14" t="n">
        <f aca="false">F699/E699-1</f>
        <v>0.0219600025608402</v>
      </c>
      <c r="G700" s="14" t="n">
        <f aca="false">G699/F699-1</f>
        <v>0.116708883690496</v>
      </c>
      <c r="H700" s="8" t="s">
        <v>578</v>
      </c>
    </row>
    <row r="703" customFormat="false" ht="17.15" hidden="false" customHeight="false" outlineLevel="0" collapsed="false">
      <c r="A703" s="1" t="s">
        <v>876</v>
      </c>
    </row>
    <row r="704" customFormat="false" ht="17.15" hidden="false" customHeight="false" outlineLevel="0" collapsed="false">
      <c r="A704" s="5" t="s">
        <v>17</v>
      </c>
      <c r="B704" s="5" t="s">
        <v>18</v>
      </c>
      <c r="C704" s="12" t="s">
        <v>409</v>
      </c>
      <c r="D704" s="12" t="s">
        <v>520</v>
      </c>
      <c r="E704" s="12" t="s">
        <v>521</v>
      </c>
      <c r="F704" s="12" t="s">
        <v>522</v>
      </c>
      <c r="G704" s="12" t="s">
        <v>523</v>
      </c>
      <c r="H704" s="5" t="s">
        <v>488</v>
      </c>
    </row>
    <row r="705" customFormat="false" ht="17.15" hidden="false" customHeight="false" outlineLevel="0" collapsed="false">
      <c r="A705" s="6" t="s">
        <v>543</v>
      </c>
    </row>
    <row r="706" customFormat="false" ht="17.15" hidden="false" customHeight="false" outlineLevel="0" collapsed="false">
      <c r="A706" s="0" t="s">
        <v>491</v>
      </c>
      <c r="B706" s="4" t="s">
        <v>28</v>
      </c>
      <c r="D706" s="16" t="n">
        <f aca="false">u_bw_26*tt_bw</f>
        <v>5.4</v>
      </c>
      <c r="E706" s="16" t="n">
        <f aca="false">u_bw_27*1*tt_bw</f>
        <v>2.4</v>
      </c>
      <c r="F706" s="16" t="n">
        <f aca="false">u_bw_28*um28_A*1*tt_bw</f>
        <v>0.5</v>
      </c>
      <c r="G706" s="16" t="n">
        <f aca="false">u_bw_28*(1+g29_bw)*um29_A*1*tt_bw</f>
        <v>0.25</v>
      </c>
    </row>
    <row r="707" customFormat="false" ht="17.15" hidden="false" customHeight="false" outlineLevel="0" collapsed="false">
      <c r="A707" s="0" t="s">
        <v>493</v>
      </c>
      <c r="B707" s="4" t="s">
        <v>28</v>
      </c>
      <c r="D707" s="16" t="n">
        <f aca="false">u_rb_26*tt_rb</f>
        <v>2.55</v>
      </c>
      <c r="E707" s="16" t="n">
        <f aca="false">u_rb_27*1*tt_rb</f>
        <v>10.5</v>
      </c>
      <c r="F707" s="16" t="n">
        <f aca="false">u_rb_28*um28_A*1*tt_rb</f>
        <v>10.5</v>
      </c>
      <c r="G707" s="16" t="n">
        <f aca="false">u_rb_28*(1+g29_rb)*um29_A*1*tt_rb</f>
        <v>12.075</v>
      </c>
    </row>
    <row r="708" customFormat="false" ht="17.15" hidden="false" customHeight="false" outlineLevel="0" collapsed="false">
      <c r="A708" s="0" t="s">
        <v>494</v>
      </c>
      <c r="B708" s="4" t="s">
        <v>28</v>
      </c>
      <c r="D708" s="16" t="n">
        <f aca="false">u_ru_26*tt_ru</f>
        <v>0</v>
      </c>
      <c r="E708" s="16" t="n">
        <f aca="false">u_ru_27*1*tt_ru</f>
        <v>0.6</v>
      </c>
      <c r="F708" s="16" t="n">
        <f aca="false">u_ru_28*um28_A*1*tt_ru</f>
        <v>4</v>
      </c>
      <c r="G708" s="16" t="n">
        <f aca="false">u_ru_28*(1+g29_ru)*um29_A*1*tt_ru</f>
        <v>4.6</v>
      </c>
    </row>
    <row r="709" customFormat="false" ht="17.15" hidden="false" customHeight="false" outlineLevel="0" collapsed="false">
      <c r="A709" s="0" t="s">
        <v>495</v>
      </c>
      <c r="B709" s="4" t="s">
        <v>28</v>
      </c>
      <c r="D709" s="16" t="n">
        <f aca="false">u_hp_26*tt_hp</f>
        <v>0.3</v>
      </c>
      <c r="E709" s="16" t="n">
        <f aca="false">u_hp_27*1*tt_hp</f>
        <v>0</v>
      </c>
      <c r="F709" s="16" t="n">
        <f aca="false">u_hp_28*um28_A*1*tt_hp</f>
        <v>0</v>
      </c>
      <c r="G709" s="16" t="n">
        <f aca="false">u_hp_28*(1+g29_hp)*um29_A*1*tt_hp</f>
        <v>0</v>
      </c>
    </row>
    <row r="710" customFormat="false" ht="17.15" hidden="false" customHeight="false" outlineLevel="0" collapsed="false">
      <c r="A710" s="0" t="s">
        <v>496</v>
      </c>
      <c r="B710" s="4" t="s">
        <v>28</v>
      </c>
      <c r="D710" s="16" t="n">
        <f aca="false">u_amd_26*tt_amd*ex_amd</f>
        <v>0.165</v>
      </c>
      <c r="E710" s="16" t="n">
        <f aca="false">u_amd_27*1*tt_amd*ex_amd</f>
        <v>0.33</v>
      </c>
      <c r="F710" s="16" t="n">
        <f aca="false">u_amd_28*um28_A*1*tt_amd*ex_amd</f>
        <v>0.44</v>
      </c>
      <c r="G710" s="16" t="n">
        <f aca="false">u_amd_28*(1+g29_amd)*um29_A*1*tt_amd*ex_amd</f>
        <v>0.506</v>
      </c>
    </row>
    <row r="711" customFormat="false" ht="17.15" hidden="false" customHeight="false" outlineLevel="0" collapsed="false">
      <c r="A711" s="0" t="s">
        <v>498</v>
      </c>
      <c r="B711" s="4" t="s">
        <v>28</v>
      </c>
      <c r="D711" s="16" t="n">
        <f aca="false">u_tpu_26*tt_tpu*ex_tpu</f>
        <v>1.7325</v>
      </c>
      <c r="E711" s="16" t="n">
        <f aca="false">u_tpu_27*1*tt_tpu*ex_tpu</f>
        <v>2.475</v>
      </c>
      <c r="F711" s="16" t="n">
        <f aca="false">u_tpu_28*um28_A*1*tt_tpu*ex_tpu</f>
        <v>3.15</v>
      </c>
      <c r="G711" s="16" t="n">
        <f aca="false">u_tpu_28*(1+g29_tpu)*um29_A*1*tt_tpu*ex_tpu</f>
        <v>3.6225</v>
      </c>
    </row>
    <row r="712" customFormat="false" ht="17.15" hidden="false" customHeight="false" outlineLevel="0" collapsed="false">
      <c r="A712" s="0" t="s">
        <v>499</v>
      </c>
      <c r="B712" s="4" t="s">
        <v>28</v>
      </c>
      <c r="D712" s="16" t="n">
        <f aca="false">u_trn_26*tt_trn*ex_trn</f>
        <v>0.64</v>
      </c>
      <c r="E712" s="16" t="n">
        <f aca="false">u_trn_27*1*tt_trn*ex_trn</f>
        <v>0.8</v>
      </c>
      <c r="F712" s="16" t="n">
        <f aca="false">u_trn_28*um28_A*1*tt_trn*ex_trn</f>
        <v>0.96</v>
      </c>
      <c r="G712" s="16" t="n">
        <f aca="false">u_trn_28*(1+g29_trn)*um29_A*1*tt_trn*ex_trn</f>
        <v>1.104</v>
      </c>
    </row>
    <row r="713" customFormat="false" ht="17.15" hidden="false" customHeight="false" outlineLevel="0" collapsed="false">
      <c r="A713" s="4" t="s">
        <v>500</v>
      </c>
      <c r="B713" s="4" t="s">
        <v>28</v>
      </c>
      <c r="D713" s="16" t="n">
        <f aca="false">u_oth_26*tt_oth*ex_oth</f>
        <v>0.28</v>
      </c>
      <c r="E713" s="16" t="n">
        <f aca="false">u_oth_27*1*tt_oth*ex_oth</f>
        <v>1.26</v>
      </c>
      <c r="F713" s="16" t="n">
        <f aca="false">u_oth_28*um28_A*1*tt_oth*ex_oth</f>
        <v>1.4</v>
      </c>
      <c r="G713" s="16" t="n">
        <f aca="false">u_oth_28*(1+g29_oth)*um29_A*1*tt_oth*ex_oth</f>
        <v>1.61</v>
      </c>
    </row>
    <row r="714" customFormat="false" ht="15" hidden="false" customHeight="false" outlineLevel="0" collapsed="false">
      <c r="A714" s="4" t="s">
        <v>489</v>
      </c>
      <c r="B714" s="4" t="s">
        <v>28</v>
      </c>
      <c r="D714" s="16" t="n">
        <f aca="false">u_bw_26+u_rb_26+u_ru_26+u_hp_26+u_amd_26+u_tpu_26+u_trn_26+u_oth_26</f>
        <v>15.2</v>
      </c>
      <c r="E714" s="16" t="n">
        <f aca="false">u_bw_27*1+u_rb_27*1+u_ru_27*1+u_hp_27*1+u_amd_27*1+u_tpu_27*1+u_trn_27*1+u_oth_27*1</f>
        <v>23.7</v>
      </c>
      <c r="F714" s="16" t="n">
        <f aca="false">u_bw_28*um28_A*1+u_rb_28*um28_A*1+u_ru_28*um28_A*1+u_hp_28*um28_A*1+u_amd_28*um28_A*1+u_tpu_28*um28_A*1+u_trn_28*um28_A*1+u_oth_28*um28_A*1</f>
        <v>26.5</v>
      </c>
      <c r="G71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15" customFormat="false" ht="17.15" hidden="false" customHeight="false" outlineLevel="0" collapsed="false">
      <c r="A715" s="0" t="s">
        <v>544</v>
      </c>
      <c r="B715" s="4" t="s">
        <v>28</v>
      </c>
      <c r="D715" s="16" t="n">
        <f aca="false">D706+D707+D708+D709</f>
        <v>8.25</v>
      </c>
      <c r="E715" s="16" t="n">
        <f aca="false">E706+E707+E708+E709</f>
        <v>13.5</v>
      </c>
      <c r="F715" s="16" t="n">
        <f aca="false">F706+F707+F708+F709</f>
        <v>15</v>
      </c>
      <c r="G715" s="16" t="n">
        <f aca="false">G706+G707+G708+G709</f>
        <v>16.925</v>
      </c>
    </row>
    <row r="716" customFormat="false" ht="17.15" hidden="false" customHeight="false" outlineLevel="0" collapsed="false">
      <c r="A716" s="0" t="s">
        <v>545</v>
      </c>
      <c r="B716" s="4" t="s">
        <v>28</v>
      </c>
      <c r="D716" s="16" t="n">
        <f aca="false">D710+D711+D712+D713</f>
        <v>2.8175</v>
      </c>
      <c r="E716" s="16" t="n">
        <f aca="false">E710+E711+E712+E713</f>
        <v>4.865</v>
      </c>
      <c r="F716" s="16" t="n">
        <f aca="false">F710+F711+F712+F713</f>
        <v>5.95</v>
      </c>
      <c r="G716" s="16" t="n">
        <f aca="false">G710+G711+G712+G713</f>
        <v>6.8425</v>
      </c>
    </row>
    <row r="717" customFormat="false" ht="15" hidden="false" customHeight="false" outlineLevel="0" collapsed="false">
      <c r="A717" s="4" t="s">
        <v>546</v>
      </c>
      <c r="B717" s="4" t="s">
        <v>28</v>
      </c>
      <c r="D717" s="16" t="n">
        <f aca="false">D715+D716</f>
        <v>11.0675</v>
      </c>
      <c r="E717" s="16" t="n">
        <f aca="false">E715+E716</f>
        <v>18.365</v>
      </c>
      <c r="F717" s="16" t="n">
        <f aca="false">F715+F716</f>
        <v>20.95</v>
      </c>
      <c r="G717" s="16" t="n">
        <f aca="false">G715+G716</f>
        <v>23.7675</v>
      </c>
    </row>
    <row r="718" customFormat="false" ht="17.15" hidden="false" customHeight="false" outlineLevel="0" collapsed="false">
      <c r="A718" s="0" t="s">
        <v>547</v>
      </c>
      <c r="B718" s="0" t="s">
        <v>239</v>
      </c>
      <c r="D718" s="21" t="n">
        <f aca="false">a26_rev*ai_26</f>
        <v>16.603774145</v>
      </c>
    </row>
    <row r="719" customFormat="false" ht="17.15" hidden="false" customHeight="false" outlineLevel="0" collapsed="false">
      <c r="A719" s="4" t="s">
        <v>548</v>
      </c>
      <c r="B719" s="0" t="s">
        <v>549</v>
      </c>
      <c r="D719" s="27" t="n">
        <f aca="false">D718/D717</f>
        <v>1.50022806821775</v>
      </c>
      <c r="H719" s="8" t="s">
        <v>550</v>
      </c>
    </row>
    <row r="720" customFormat="false" ht="17.15" hidden="false" customHeight="false" outlineLevel="0" collapsed="false">
      <c r="A720" s="4" t="s">
        <v>551</v>
      </c>
      <c r="B720" s="0" t="s">
        <v>131</v>
      </c>
      <c r="D720" s="16" t="n">
        <f aca="false">1</f>
        <v>1</v>
      </c>
      <c r="E720" s="16" t="n">
        <f aca="false">rel_27</f>
        <v>0.95</v>
      </c>
      <c r="F720" s="16" t="n">
        <f aca="false">rel_28</f>
        <v>0.92</v>
      </c>
      <c r="G720" s="16" t="n">
        <f aca="false">rel_29</f>
        <v>0.9</v>
      </c>
    </row>
    <row r="721" customFormat="false" ht="17.15" hidden="false" customHeight="false" outlineLevel="0" collapsed="false">
      <c r="A721" s="4" t="s">
        <v>552</v>
      </c>
      <c r="B721" s="0" t="s">
        <v>131</v>
      </c>
      <c r="D721" s="16" t="n">
        <f aca="false">1</f>
        <v>1</v>
      </c>
      <c r="E721" s="16" t="n">
        <f aca="false">pp_27</f>
        <v>0.98</v>
      </c>
      <c r="F721" s="16" t="n">
        <f aca="false">pp_28</f>
        <v>0.96</v>
      </c>
      <c r="G721" s="16" t="n">
        <f aca="false">pp_29</f>
        <v>0.95</v>
      </c>
    </row>
    <row r="722" customFormat="false" ht="17.15" hidden="false" customHeight="false" outlineLevel="0" collapsed="false">
      <c r="A722" s="0" t="s">
        <v>553</v>
      </c>
      <c r="B722" s="0" t="s">
        <v>239</v>
      </c>
      <c r="C722" s="21" t="n">
        <f aca="false">a25_rev*ai_25</f>
        <v>9.60674</v>
      </c>
      <c r="D722" s="21" t="n">
        <f aca="false">D718</f>
        <v>16.603774145</v>
      </c>
      <c r="E722" s="21" t="n">
        <f aca="false">$D$719*E717*E720*E721</f>
        <v>25.6506219681945</v>
      </c>
      <c r="F722" s="21" t="n">
        <f aca="false">$D$719*F717*F720*F721</f>
        <v>27.7587799553558</v>
      </c>
      <c r="G722" s="21" t="n">
        <f aca="false">$D$719*G717*G720*G721</f>
        <v>30.4864533727175</v>
      </c>
    </row>
    <row r="723" customFormat="false" ht="17.15" hidden="false" customHeight="false" outlineLevel="0" collapsed="false">
      <c r="A723" s="4" t="s">
        <v>554</v>
      </c>
      <c r="B723" s="0" t="s">
        <v>239</v>
      </c>
      <c r="C723" s="21" t="n">
        <f aca="false">a25_rev-C722</f>
        <v>25.32686</v>
      </c>
      <c r="D723" s="21" t="n">
        <f aca="false">a26_rev-D722</f>
        <v>30.835580555</v>
      </c>
      <c r="E723" s="21" t="n">
        <f aca="false">D723*(1+g_nai27)</f>
        <v>34.5358502216</v>
      </c>
      <c r="F723" s="21" t="n">
        <f aca="false">E723*(1+g_nai28)</f>
        <v>36.953359737112</v>
      </c>
      <c r="G723" s="21" t="n">
        <f aca="false">F723*(1+g_nai29)</f>
        <v>38.8010277239676</v>
      </c>
    </row>
    <row r="724" customFormat="false" ht="15" hidden="false" customHeight="false" outlineLevel="0" collapsed="false">
      <c r="A724" s="4" t="s">
        <v>414</v>
      </c>
      <c r="B724" s="0" t="s">
        <v>239</v>
      </c>
      <c r="C724" s="21" t="n">
        <f aca="false">C722+C723</f>
        <v>34.9336</v>
      </c>
      <c r="D724" s="21" t="n">
        <f aca="false">D722+D723</f>
        <v>47.4393547</v>
      </c>
      <c r="E724" s="21" t="n">
        <f aca="false">E722+E723</f>
        <v>60.1864721897945</v>
      </c>
      <c r="F724" s="21" t="n">
        <f aca="false">F722+F723</f>
        <v>64.7121396924678</v>
      </c>
      <c r="G724" s="21" t="n">
        <f aca="false">G722+G723</f>
        <v>69.2874810966851</v>
      </c>
    </row>
    <row r="725" customFormat="false" ht="15" hidden="false" customHeight="false" outlineLevel="0" collapsed="false">
      <c r="A725" s="4" t="s">
        <v>555</v>
      </c>
      <c r="B725" s="0" t="s">
        <v>41</v>
      </c>
      <c r="D725" s="14" t="n">
        <f aca="false">D724/C724-1</f>
        <v>0.357986428538713</v>
      </c>
      <c r="E725" s="14" t="n">
        <f aca="false">E724/D724-1</f>
        <v>0.268703433476395</v>
      </c>
      <c r="F725" s="14" t="n">
        <f aca="false">F724/E724-1</f>
        <v>0.0751940982419084</v>
      </c>
      <c r="G725" s="14" t="n">
        <f aca="false">G724/F724-1</f>
        <v>0.070702984416227</v>
      </c>
    </row>
    <row r="726" customFormat="false" ht="17.15" hidden="false" customHeight="false" outlineLevel="0" collapsed="false">
      <c r="A726" s="0" t="s">
        <v>556</v>
      </c>
      <c r="B726" s="0" t="s">
        <v>41</v>
      </c>
      <c r="C726" s="14" t="n">
        <f aca="false">C722/C724</f>
        <v>0.275</v>
      </c>
      <c r="D726" s="14" t="n">
        <f aca="false">D722/D724</f>
        <v>0.35</v>
      </c>
      <c r="E726" s="14" t="n">
        <f aca="false">E722/E724</f>
        <v>0.426185836034829</v>
      </c>
      <c r="F726" s="14" t="n">
        <f aca="false">F722/F724</f>
        <v>0.42895784449833</v>
      </c>
      <c r="G726" s="14" t="n">
        <f aca="false">G722/G724</f>
        <v>0.439999447088805</v>
      </c>
    </row>
    <row r="727" customFormat="false" ht="17.15" hidden="false" customHeight="false" outlineLevel="0" collapsed="false">
      <c r="A727" s="0" t="s">
        <v>502</v>
      </c>
      <c r="B727" s="0" t="s">
        <v>41</v>
      </c>
      <c r="D727" s="14" t="n">
        <f aca="false">D715/D717</f>
        <v>0.745425796250282</v>
      </c>
      <c r="E727" s="14" t="n">
        <f aca="false">E715/E717</f>
        <v>0.735093928668663</v>
      </c>
      <c r="F727" s="14" t="n">
        <f aca="false">F715/F717</f>
        <v>0.715990453460621</v>
      </c>
      <c r="G727" s="14" t="n">
        <f aca="false">G715/G717</f>
        <v>0.71210686862312</v>
      </c>
    </row>
    <row r="728" customFormat="false" ht="17.15" hidden="false" customHeight="false" outlineLevel="0" collapsed="false">
      <c r="A728" s="4" t="s">
        <v>506</v>
      </c>
      <c r="B728" s="0" t="s">
        <v>507</v>
      </c>
      <c r="D728" s="22" t="n">
        <f aca="false">D722/D717/fx*1000</f>
        <v>46.8821271318048</v>
      </c>
      <c r="E728" s="22" t="n">
        <f aca="false">E722/E717/fx*1000</f>
        <v>43.6472603597103</v>
      </c>
      <c r="F728" s="22" t="n">
        <f aca="false">F722/F717/fx*1000</f>
        <v>41.40629468281</v>
      </c>
      <c r="G728" s="22" t="n">
        <f aca="false">G722/G717/fx*1000</f>
        <v>40.0842186976931</v>
      </c>
      <c r="H728" s="4" t="s">
        <v>557</v>
      </c>
    </row>
    <row r="729" customFormat="false" ht="17.15" hidden="false" customHeight="false" outlineLevel="0" collapsed="false">
      <c r="A729" s="6" t="s">
        <v>558</v>
      </c>
    </row>
    <row r="730" customFormat="false" ht="17.15" hidden="false" customHeight="false" outlineLevel="0" collapsed="false">
      <c r="A730" s="0" t="s">
        <v>559</v>
      </c>
      <c r="B730" s="0" t="s">
        <v>131</v>
      </c>
      <c r="C730" s="16" t="n">
        <f aca="false">(a25_capex-m_cx*a25_rev)/(a25_rev-rev24)</f>
        <v>3.57284271254522</v>
      </c>
      <c r="H730" s="8" t="s">
        <v>560</v>
      </c>
    </row>
    <row r="731" customFormat="false" ht="17.15" hidden="false" customHeight="false" outlineLevel="0" collapsed="false">
      <c r="A731" s="4" t="s">
        <v>511</v>
      </c>
      <c r="B731" s="0" t="s">
        <v>239</v>
      </c>
      <c r="C731" s="21" t="n">
        <f aca="false">a25_capex</f>
        <v>32.3554</v>
      </c>
      <c r="D731" s="21" t="n">
        <f aca="false">capex_26</f>
        <v>42</v>
      </c>
      <c r="E731" s="21" t="n">
        <f aca="false">m_cx*E724+$C$730*MAX(0,E724-D724)</f>
        <v>51.5620930483496</v>
      </c>
      <c r="F731" s="21" t="n">
        <f aca="false">m_cx*F724+$C$730*MAX(0,F724-E724)</f>
        <v>22.6407121255758</v>
      </c>
      <c r="G731" s="21" t="n">
        <f aca="false">m_cx*G724+$C$730*MAX(0,G724-F724)</f>
        <v>23.2757233031325</v>
      </c>
      <c r="H731" s="8" t="s">
        <v>561</v>
      </c>
    </row>
    <row r="732" customFormat="false" ht="17.15" hidden="false" customHeight="false" outlineLevel="0" collapsed="false">
      <c r="A732" s="4" t="s">
        <v>562</v>
      </c>
      <c r="B732" s="0" t="s">
        <v>41</v>
      </c>
      <c r="C732" s="14" t="n">
        <f aca="false">C731/C724</f>
        <v>0.926197128266197</v>
      </c>
      <c r="D732" s="14" t="n">
        <f aca="false">D731/D724</f>
        <v>0.885340879225746</v>
      </c>
      <c r="E732" s="14" t="n">
        <f aca="false">E731/E724</f>
        <v>0.85670568771254</v>
      </c>
      <c r="F732" s="14" t="n">
        <f aca="false">F731/F724</f>
        <v>0.34986808090679</v>
      </c>
      <c r="G732" s="14" t="n">
        <f aca="false">G731/G724</f>
        <v>0.335929708148188</v>
      </c>
    </row>
    <row r="733" customFormat="false" ht="15" hidden="false" customHeight="false" outlineLevel="0" collapsed="false">
      <c r="A733" s="4" t="s">
        <v>563</v>
      </c>
      <c r="B733" s="0" t="s">
        <v>239</v>
      </c>
      <c r="C733" s="21" t="n">
        <f aca="false">a25_da</f>
        <v>7.5143841</v>
      </c>
      <c r="D733" s="21" t="n">
        <f aca="false">a26_da</f>
        <v>11.32770694</v>
      </c>
      <c r="E733" s="21" t="n">
        <f aca="false">D733*(1-ret)+dr*(D731+E731)/2</f>
        <v>15.9072367106592</v>
      </c>
      <c r="F733" s="21" t="n">
        <f aca="false">E733*(1-ret)+dr*(E731+F731)/2</f>
        <v>19.1930291596922</v>
      </c>
      <c r="G733" s="21" t="n">
        <f aca="false">F733*(1-ret)+dr*(F731+G731)/2</f>
        <v>20.7587816502865</v>
      </c>
    </row>
    <row r="734" customFormat="false" ht="17.15" hidden="false" customHeight="false" outlineLevel="0" collapsed="false">
      <c r="A734" s="4" t="s">
        <v>515</v>
      </c>
      <c r="B734" s="0" t="s">
        <v>41</v>
      </c>
      <c r="C734" s="14" t="n">
        <f aca="false">C733/C724</f>
        <v>0.215104773055168</v>
      </c>
      <c r="D734" s="14" t="n">
        <f aca="false">D733/D724</f>
        <v>0.238782905282647</v>
      </c>
      <c r="E734" s="14" t="n">
        <f aca="false">E733/E724</f>
        <v>0.264299204321142</v>
      </c>
      <c r="F734" s="14" t="n">
        <f aca="false">F733/F724</f>
        <v>0.296590859936071</v>
      </c>
      <c r="G734" s="14" t="n">
        <f aca="false">G733/G724</f>
        <v>0.299603641548454</v>
      </c>
    </row>
    <row r="735" customFormat="false" ht="17.15" hidden="false" customHeight="false" outlineLevel="0" collapsed="false">
      <c r="A735" s="4" t="s">
        <v>564</v>
      </c>
      <c r="B735" s="0" t="s">
        <v>239</v>
      </c>
      <c r="D735" s="16" t="n">
        <f aca="false">C733*(1-ret)+dr*(C731+D731)/2-D733</f>
        <v>-0.0994950449999994</v>
      </c>
      <c r="H735" s="4" t="s">
        <v>565</v>
      </c>
    </row>
    <row r="736" customFormat="false" ht="17.15" hidden="false" customHeight="false" outlineLevel="0" collapsed="false">
      <c r="A736" s="6" t="s">
        <v>566</v>
      </c>
    </row>
    <row r="737" customFormat="false" ht="17.15" hidden="false" customHeight="false" outlineLevel="0" collapsed="false">
      <c r="A737" s="4" t="s">
        <v>567</v>
      </c>
      <c r="B737" s="0" t="s">
        <v>239</v>
      </c>
      <c r="D737" s="21" t="n">
        <f aca="false">a26_cc-v_cc_hi*a26_rev</f>
        <v>3.2382582635</v>
      </c>
      <c r="H737" s="8" t="s">
        <v>568</v>
      </c>
    </row>
    <row r="738" customFormat="false" ht="17.15" hidden="false" customHeight="false" outlineLevel="0" collapsed="false">
      <c r="A738" s="4" t="s">
        <v>569</v>
      </c>
      <c r="B738" s="0" t="s">
        <v>239</v>
      </c>
      <c r="C738" s="21" t="n">
        <f aca="false">a25_cc</f>
        <v>14.8984</v>
      </c>
      <c r="D738" s="21" t="n">
        <f aca="false">a26_cc</f>
        <v>17.4700646735</v>
      </c>
      <c r="E738" s="21" t="n">
        <f aca="false">$D$737+v_cc_hi*(E722/E721+E723)</f>
        <v>21.4512445447334</v>
      </c>
      <c r="F738" s="21" t="n">
        <f aca="false">$D$737+v_cc_hi*(F722/F721+F723)</f>
        <v>22.9988849206823</v>
      </c>
      <c r="G738" s="21" t="n">
        <f aca="false">$D$737+v_cc_hi*(G722/G721+G723)</f>
        <v>24.505867645759</v>
      </c>
      <c r="H738" s="4" t="s">
        <v>570</v>
      </c>
    </row>
    <row r="739" customFormat="false" ht="15" hidden="false" customHeight="false" outlineLevel="0" collapsed="false">
      <c r="A739" s="4" t="s">
        <v>571</v>
      </c>
      <c r="B739" s="0" t="s">
        <v>239</v>
      </c>
      <c r="C739" s="21" t="n">
        <f aca="false">C724-C738-C733</f>
        <v>12.5208159</v>
      </c>
      <c r="D739" s="21" t="n">
        <f aca="false">D724-D738-D733</f>
        <v>18.6415830865</v>
      </c>
      <c r="E739" s="21" t="n">
        <f aca="false">E724-E738-E733</f>
        <v>22.8279909344019</v>
      </c>
      <c r="F739" s="21" t="n">
        <f aca="false">F724-F738-F733</f>
        <v>22.5202256120934</v>
      </c>
      <c r="G739" s="21" t="n">
        <f aca="false">G724-G738-G733</f>
        <v>24.0228318006396</v>
      </c>
    </row>
    <row r="740" customFormat="false" ht="15" hidden="false" customHeight="false" outlineLevel="0" collapsed="false">
      <c r="A740" s="4" t="s">
        <v>421</v>
      </c>
      <c r="B740" s="0" t="s">
        <v>41</v>
      </c>
      <c r="C740" s="14" t="n">
        <f aca="false">C739/C724</f>
        <v>0.358417566468958</v>
      </c>
      <c r="D740" s="14" t="n">
        <f aca="false">D739/D724</f>
        <v>0.392956084760993</v>
      </c>
      <c r="E740" s="14" t="n">
        <f aca="false">E739/E724</f>
        <v>0.379287738653549</v>
      </c>
      <c r="F740" s="14" t="n">
        <f aca="false">F739/F724</f>
        <v>0.3480061966598</v>
      </c>
      <c r="G740" s="14" t="n">
        <f aca="false">G739/G724</f>
        <v>0.346712442426904</v>
      </c>
    </row>
    <row r="741" customFormat="false" ht="15" hidden="false" customHeight="false" outlineLevel="0" collapsed="false">
      <c r="A741" s="4" t="s">
        <v>572</v>
      </c>
      <c r="B741" s="0" t="s">
        <v>239</v>
      </c>
      <c r="C741" s="21" t="n">
        <f aca="false">a25_opx</f>
        <v>3.5197</v>
      </c>
      <c r="D741" s="21" t="n">
        <f aca="false">a26_opx</f>
        <v>6.1141318375</v>
      </c>
      <c r="E741" s="21" t="n">
        <f aca="false">D741*(1+MAX(0,phi*E725))</f>
        <v>7.09986476797815</v>
      </c>
      <c r="F741" s="21" t="n">
        <f aca="false">E741*(1+MAX(0,phi*F725))</f>
        <v>7.42018552529872</v>
      </c>
      <c r="G741" s="21" t="n">
        <f aca="false">F741*(1+MAX(0,phi*G725))</f>
        <v>7.73496308223515</v>
      </c>
    </row>
    <row r="742" customFormat="false" ht="15" hidden="false" customHeight="false" outlineLevel="0" collapsed="false">
      <c r="A742" s="4" t="s">
        <v>573</v>
      </c>
      <c r="B742" s="0" t="s">
        <v>239</v>
      </c>
      <c r="C742" s="21" t="n">
        <f aca="false">C741</f>
        <v>3.5197</v>
      </c>
      <c r="D742" s="21" t="n">
        <f aca="false">D741</f>
        <v>6.1141318375</v>
      </c>
      <c r="E742" s="21" t="n">
        <f aca="false">E741+0*E724</f>
        <v>7.09986476797815</v>
      </c>
      <c r="F742" s="21" t="n">
        <f aca="false">F741+0*F724</f>
        <v>7.42018552529872</v>
      </c>
      <c r="G742" s="21" t="n">
        <f aca="false">G741+0*G724</f>
        <v>7.73496308223515</v>
      </c>
    </row>
    <row r="743" customFormat="false" ht="15" hidden="false" customHeight="false" outlineLevel="0" collapsed="false">
      <c r="A743" s="4" t="s">
        <v>430</v>
      </c>
      <c r="B743" s="0" t="s">
        <v>239</v>
      </c>
      <c r="C743" s="21" t="n">
        <f aca="false">C739-C742</f>
        <v>9.0011159</v>
      </c>
      <c r="D743" s="21" t="n">
        <f aca="false">D739-D742</f>
        <v>12.527451249</v>
      </c>
      <c r="E743" s="21" t="n">
        <f aca="false">E739-E742</f>
        <v>15.7281261664237</v>
      </c>
      <c r="F743" s="21" t="n">
        <f aca="false">F739-F742</f>
        <v>15.1000400867947</v>
      </c>
      <c r="G743" s="21" t="n">
        <f aca="false">G739-G742</f>
        <v>16.2878687184045</v>
      </c>
    </row>
    <row r="744" customFormat="false" ht="15" hidden="false" customHeight="false" outlineLevel="0" collapsed="false">
      <c r="A744" s="4" t="s">
        <v>432</v>
      </c>
      <c r="B744" s="0" t="s">
        <v>41</v>
      </c>
      <c r="C744" s="14" t="n">
        <f aca="false">C743/C724</f>
        <v>0.25766356459111</v>
      </c>
      <c r="D744" s="14" t="n">
        <f aca="false">D743/D724</f>
        <v>0.264072969124936</v>
      </c>
      <c r="E744" s="14" t="n">
        <f aca="false">E743/E724</f>
        <v>0.261323277377448</v>
      </c>
      <c r="F744" s="14" t="n">
        <f aca="false">F743/F724</f>
        <v>0.233341690733064</v>
      </c>
      <c r="G744" s="14" t="n">
        <f aca="false">G743/G724</f>
        <v>0.235076646756375</v>
      </c>
    </row>
    <row r="745" customFormat="false" ht="17.15" hidden="false" customHeight="false" outlineLevel="0" collapsed="false">
      <c r="A745" s="0" t="s">
        <v>574</v>
      </c>
      <c r="B745" s="0" t="s">
        <v>239</v>
      </c>
      <c r="C745" s="21" t="n">
        <f aca="false">C743+C733</f>
        <v>16.5155</v>
      </c>
      <c r="D745" s="21" t="n">
        <f aca="false">D743+D733</f>
        <v>23.855158189</v>
      </c>
      <c r="E745" s="21" t="n">
        <f aca="false">E743+E733</f>
        <v>31.635362877083</v>
      </c>
      <c r="F745" s="21" t="n">
        <f aca="false">F743+F733</f>
        <v>34.2930692464868</v>
      </c>
      <c r="G745" s="21" t="n">
        <f aca="false">G743+G733</f>
        <v>37.046650368691</v>
      </c>
    </row>
    <row r="746" customFormat="false" ht="17.15" hidden="false" customHeight="false" outlineLevel="0" collapsed="false">
      <c r="A746" s="0" t="s">
        <v>575</v>
      </c>
      <c r="B746" s="0" t="s">
        <v>239</v>
      </c>
      <c r="C746" s="21" t="n">
        <f aca="false">C745-C731</f>
        <v>-15.8399</v>
      </c>
      <c r="D746" s="21" t="n">
        <f aca="false">D745-D731</f>
        <v>-18.144841811</v>
      </c>
      <c r="E746" s="21" t="n">
        <f aca="false">E745-E731</f>
        <v>-19.9267301712666</v>
      </c>
      <c r="F746" s="21" t="n">
        <f aca="false">F745-F731</f>
        <v>11.652357120911</v>
      </c>
      <c r="G746" s="21" t="n">
        <f aca="false">G745-G731</f>
        <v>13.7709270655585</v>
      </c>
    </row>
    <row r="747" customFormat="false" ht="17.15" hidden="false" customHeight="false" outlineLevel="0" collapsed="false">
      <c r="A747" s="4" t="s">
        <v>433</v>
      </c>
      <c r="B747" s="0" t="s">
        <v>239</v>
      </c>
      <c r="C747" s="21" t="n">
        <f aca="false">a25_ni</f>
        <v>11.015</v>
      </c>
      <c r="D747" s="21" t="n">
        <f aca="false">a26_ni</f>
        <v>10.66608446065</v>
      </c>
      <c r="E747" s="21" t="n">
        <f aca="false">E743*nir_f</f>
        <v>13.2116259797959</v>
      </c>
      <c r="F747" s="21" t="n">
        <f aca="false">F743*nir_f</f>
        <v>12.6840336729075</v>
      </c>
      <c r="G747" s="21" t="n">
        <f aca="false">G743*nir_f</f>
        <v>13.6818097234598</v>
      </c>
      <c r="H747" s="8" t="s">
        <v>438</v>
      </c>
    </row>
    <row r="748" customFormat="false" ht="17.15" hidden="false" customHeight="false" outlineLevel="0" collapsed="false">
      <c r="A748" s="4" t="s">
        <v>437</v>
      </c>
      <c r="B748" s="0" t="s">
        <v>41</v>
      </c>
      <c r="C748" s="14" t="n">
        <f aca="false">C747/C743</f>
        <v>1.22373715907824</v>
      </c>
      <c r="D748" s="14" t="n">
        <f aca="false">D747/D743</f>
        <v>0.851416960133963</v>
      </c>
      <c r="E748" s="14" t="n">
        <f aca="false">E747/E743</f>
        <v>0.84</v>
      </c>
      <c r="F748" s="14" t="n">
        <f aca="false">F747/F743</f>
        <v>0.84</v>
      </c>
      <c r="G748" s="14" t="n">
        <f aca="false">G747/G743</f>
        <v>0.84</v>
      </c>
    </row>
    <row r="749" customFormat="false" ht="15" hidden="false" customHeight="false" outlineLevel="0" collapsed="false">
      <c r="A749" s="4" t="s">
        <v>576</v>
      </c>
      <c r="B749" s="4" t="s">
        <v>294</v>
      </c>
      <c r="C749" s="27" t="n">
        <f aca="false">a25_sh</f>
        <v>1.22253052164262</v>
      </c>
      <c r="D749" s="27" t="n">
        <f aca="false">a26_sh</f>
        <v>1.28264705882353</v>
      </c>
      <c r="E749" s="27" t="n">
        <f aca="false">D749*(1+sh_g)</f>
        <v>1.28264705882353</v>
      </c>
      <c r="F749" s="27" t="n">
        <f aca="false">E749*(1+sh_g)</f>
        <v>1.28264705882353</v>
      </c>
      <c r="G749" s="27" t="n">
        <f aca="false">F749*(1+sh_g)</f>
        <v>1.28264705882353</v>
      </c>
    </row>
    <row r="750" customFormat="false" ht="15" hidden="false" customHeight="false" outlineLevel="0" collapsed="false">
      <c r="A750" s="0" t="s">
        <v>442</v>
      </c>
      <c r="B750" s="0" t="s">
        <v>315</v>
      </c>
      <c r="C750" s="21" t="n">
        <f aca="false">C747/C749</f>
        <v>9.01</v>
      </c>
      <c r="D750" s="21" t="n">
        <f aca="false">D747/D749</f>
        <v>8.31568153318276</v>
      </c>
      <c r="E750" s="21" t="n">
        <f aca="false">E747/E749</f>
        <v>10.3002816627623</v>
      </c>
      <c r="F750" s="21" t="n">
        <f aca="false">F747/F749</f>
        <v>9.88895081125558</v>
      </c>
      <c r="G750" s="21" t="n">
        <f aca="false">G747/G749</f>
        <v>10.6668546342039</v>
      </c>
    </row>
    <row r="751" customFormat="false" ht="17.15" hidden="false" customHeight="false" outlineLevel="0" collapsed="false">
      <c r="A751" s="0" t="s">
        <v>577</v>
      </c>
      <c r="B751" s="0" t="s">
        <v>41</v>
      </c>
      <c r="D751" s="14" t="n">
        <f aca="false">D750/C750-1</f>
        <v>-0.0770608731206708</v>
      </c>
      <c r="E751" s="14" t="n">
        <f aca="false">E750/D750-1</f>
        <v>0.238657543781611</v>
      </c>
      <c r="F751" s="14" t="n">
        <f aca="false">F750/E750-1</f>
        <v>-0.0399339420973045</v>
      </c>
      <c r="G751" s="14" t="n">
        <f aca="false">G750/F750-1</f>
        <v>0.0786639389552748</v>
      </c>
      <c r="H751" s="8" t="s">
        <v>578</v>
      </c>
    </row>
    <row r="754" customFormat="false" ht="17.15" hidden="false" customHeight="false" outlineLevel="0" collapsed="false">
      <c r="A754" s="1" t="s">
        <v>877</v>
      </c>
    </row>
    <row r="755" customFormat="false" ht="17.15" hidden="false" customHeight="false" outlineLevel="0" collapsed="false">
      <c r="A755" s="5" t="s">
        <v>17</v>
      </c>
      <c r="B755" s="5" t="s">
        <v>18</v>
      </c>
      <c r="C755" s="12" t="s">
        <v>409</v>
      </c>
      <c r="D755" s="12" t="s">
        <v>520</v>
      </c>
      <c r="E755" s="12" t="s">
        <v>521</v>
      </c>
      <c r="F755" s="12" t="s">
        <v>522</v>
      </c>
      <c r="G755" s="12" t="s">
        <v>523</v>
      </c>
      <c r="H755" s="5" t="s">
        <v>488</v>
      </c>
    </row>
    <row r="756" customFormat="false" ht="17.15" hidden="false" customHeight="false" outlineLevel="0" collapsed="false">
      <c r="A756" s="6" t="s">
        <v>543</v>
      </c>
    </row>
    <row r="757" customFormat="false" ht="17.15" hidden="false" customHeight="false" outlineLevel="0" collapsed="false">
      <c r="A757" s="0" t="s">
        <v>491</v>
      </c>
      <c r="B757" s="4" t="s">
        <v>28</v>
      </c>
      <c r="D757" s="16" t="n">
        <f aca="false">u_bw_26*tt_bw</f>
        <v>5.4</v>
      </c>
      <c r="E757" s="16" t="n">
        <f aca="false">u_bw_27*1*tt_bw</f>
        <v>2.4</v>
      </c>
      <c r="F757" s="16" t="n">
        <f aca="false">u_bw_28*um28_A*1*tt_bw</f>
        <v>0.5</v>
      </c>
      <c r="G757" s="16" t="n">
        <f aca="false">u_bw_28*(1+g29_bw)*um29_A*1*tt_bw</f>
        <v>0.25</v>
      </c>
    </row>
    <row r="758" customFormat="false" ht="17.15" hidden="false" customHeight="false" outlineLevel="0" collapsed="false">
      <c r="A758" s="0" t="s">
        <v>493</v>
      </c>
      <c r="B758" s="4" t="s">
        <v>28</v>
      </c>
      <c r="D758" s="16" t="n">
        <f aca="false">u_rb_26*tt_rb</f>
        <v>2.55</v>
      </c>
      <c r="E758" s="16" t="n">
        <f aca="false">u_rb_27*1*tt_rb</f>
        <v>10.5</v>
      </c>
      <c r="F758" s="16" t="n">
        <f aca="false">u_rb_28*um28_A*1*tt_rb</f>
        <v>10.5</v>
      </c>
      <c r="G758" s="16" t="n">
        <f aca="false">u_rb_28*(1+g29_rb)*um29_A*1*tt_rb</f>
        <v>12.075</v>
      </c>
    </row>
    <row r="759" customFormat="false" ht="17.15" hidden="false" customHeight="false" outlineLevel="0" collapsed="false">
      <c r="A759" s="0" t="s">
        <v>494</v>
      </c>
      <c r="B759" s="4" t="s">
        <v>28</v>
      </c>
      <c r="D759" s="16" t="n">
        <f aca="false">u_ru_26*tt_ru</f>
        <v>0</v>
      </c>
      <c r="E759" s="16" t="n">
        <f aca="false">u_ru_27*1*tt_ru</f>
        <v>0.6</v>
      </c>
      <c r="F759" s="16" t="n">
        <f aca="false">u_ru_28*um28_A*1*tt_ru</f>
        <v>4</v>
      </c>
      <c r="G759" s="16" t="n">
        <f aca="false">u_ru_28*(1+g29_ru)*um29_A*1*tt_ru</f>
        <v>4.6</v>
      </c>
    </row>
    <row r="760" customFormat="false" ht="17.15" hidden="false" customHeight="false" outlineLevel="0" collapsed="false">
      <c r="A760" s="0" t="s">
        <v>495</v>
      </c>
      <c r="B760" s="4" t="s">
        <v>28</v>
      </c>
      <c r="D760" s="16" t="n">
        <f aca="false">u_hp_26*tt_hp</f>
        <v>0.3</v>
      </c>
      <c r="E760" s="16" t="n">
        <f aca="false">u_hp_27*1*tt_hp</f>
        <v>0</v>
      </c>
      <c r="F760" s="16" t="n">
        <f aca="false">u_hp_28*um28_A*1*tt_hp</f>
        <v>0</v>
      </c>
      <c r="G760" s="16" t="n">
        <f aca="false">u_hp_28*(1+g29_hp)*um29_A*1*tt_hp</f>
        <v>0</v>
      </c>
    </row>
    <row r="761" customFormat="false" ht="17.15" hidden="false" customHeight="false" outlineLevel="0" collapsed="false">
      <c r="A761" s="0" t="s">
        <v>496</v>
      </c>
      <c r="B761" s="4" t="s">
        <v>28</v>
      </c>
      <c r="D761" s="16" t="n">
        <f aca="false">u_amd_26*tt_amd*ex_amd</f>
        <v>0.165</v>
      </c>
      <c r="E761" s="16" t="n">
        <f aca="false">u_amd_27*1*tt_amd*ex_amd</f>
        <v>0.33</v>
      </c>
      <c r="F761" s="16" t="n">
        <f aca="false">u_amd_28*um28_A*1*tt_amd*ex_amd</f>
        <v>0.44</v>
      </c>
      <c r="G761" s="16" t="n">
        <f aca="false">u_amd_28*(1+g29_amd)*um29_A*1*tt_amd*ex_amd</f>
        <v>0.506</v>
      </c>
    </row>
    <row r="762" customFormat="false" ht="17.15" hidden="false" customHeight="false" outlineLevel="0" collapsed="false">
      <c r="A762" s="0" t="s">
        <v>498</v>
      </c>
      <c r="B762" s="4" t="s">
        <v>28</v>
      </c>
      <c r="D762" s="16" t="n">
        <f aca="false">u_tpu_26*tt_tpu*ex_tpu</f>
        <v>1.7325</v>
      </c>
      <c r="E762" s="16" t="n">
        <f aca="false">u_tpu_27*1*tt_tpu*ex_tpu</f>
        <v>2.475</v>
      </c>
      <c r="F762" s="16" t="n">
        <f aca="false">u_tpu_28*um28_A*1*tt_tpu*ex_tpu</f>
        <v>3.15</v>
      </c>
      <c r="G762" s="16" t="n">
        <f aca="false">u_tpu_28*(1+g29_tpu)*um29_A*1*tt_tpu*ex_tpu</f>
        <v>3.6225</v>
      </c>
    </row>
    <row r="763" customFormat="false" ht="17.15" hidden="false" customHeight="false" outlineLevel="0" collapsed="false">
      <c r="A763" s="0" t="s">
        <v>499</v>
      </c>
      <c r="B763" s="4" t="s">
        <v>28</v>
      </c>
      <c r="D763" s="16" t="n">
        <f aca="false">u_trn_26*tt_trn*ex_trn</f>
        <v>0.64</v>
      </c>
      <c r="E763" s="16" t="n">
        <f aca="false">u_trn_27*1*tt_trn*ex_trn</f>
        <v>0.8</v>
      </c>
      <c r="F763" s="16" t="n">
        <f aca="false">u_trn_28*um28_A*1*tt_trn*ex_trn</f>
        <v>0.96</v>
      </c>
      <c r="G763" s="16" t="n">
        <f aca="false">u_trn_28*(1+g29_trn)*um29_A*1*tt_trn*ex_trn</f>
        <v>1.104</v>
      </c>
    </row>
    <row r="764" customFormat="false" ht="17.15" hidden="false" customHeight="false" outlineLevel="0" collapsed="false">
      <c r="A764" s="4" t="s">
        <v>500</v>
      </c>
      <c r="B764" s="4" t="s">
        <v>28</v>
      </c>
      <c r="D764" s="16" t="n">
        <f aca="false">u_oth_26*tt_oth*ex_oth</f>
        <v>0.28</v>
      </c>
      <c r="E764" s="16" t="n">
        <f aca="false">u_oth_27*1*tt_oth*ex_oth</f>
        <v>1.26</v>
      </c>
      <c r="F764" s="16" t="n">
        <f aca="false">u_oth_28*um28_A*1*tt_oth*ex_oth</f>
        <v>1.4</v>
      </c>
      <c r="G764" s="16" t="n">
        <f aca="false">u_oth_28*(1+g29_oth)*um29_A*1*tt_oth*ex_oth</f>
        <v>1.61</v>
      </c>
    </row>
    <row r="765" customFormat="false" ht="15" hidden="false" customHeight="false" outlineLevel="0" collapsed="false">
      <c r="A765" s="4" t="s">
        <v>489</v>
      </c>
      <c r="B765" s="4" t="s">
        <v>28</v>
      </c>
      <c r="D765" s="16" t="n">
        <f aca="false">u_bw_26+u_rb_26+u_ru_26+u_hp_26+u_amd_26+u_tpu_26+u_trn_26+u_oth_26</f>
        <v>15.2</v>
      </c>
      <c r="E765" s="16" t="n">
        <f aca="false">u_bw_27*1+u_rb_27*1+u_ru_27*1+u_hp_27*1+u_amd_27*1+u_tpu_27*1+u_trn_27*1+u_oth_27*1</f>
        <v>23.7</v>
      </c>
      <c r="F765" s="16" t="n">
        <f aca="false">u_bw_28*um28_A*1+u_rb_28*um28_A*1+u_ru_28*um28_A*1+u_hp_28*um28_A*1+u_amd_28*um28_A*1+u_tpu_28*um28_A*1+u_trn_28*um28_A*1+u_oth_28*um28_A*1</f>
        <v>26.5</v>
      </c>
      <c r="G76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66" customFormat="false" ht="17.15" hidden="false" customHeight="false" outlineLevel="0" collapsed="false">
      <c r="A766" s="0" t="s">
        <v>544</v>
      </c>
      <c r="B766" s="4" t="s">
        <v>28</v>
      </c>
      <c r="D766" s="16" t="n">
        <f aca="false">D757+D758+D759+D760</f>
        <v>8.25</v>
      </c>
      <c r="E766" s="16" t="n">
        <f aca="false">E757+E758+E759+E760</f>
        <v>13.5</v>
      </c>
      <c r="F766" s="16" t="n">
        <f aca="false">F757+F758+F759+F760</f>
        <v>15</v>
      </c>
      <c r="G766" s="16" t="n">
        <f aca="false">G757+G758+G759+G760</f>
        <v>16.925</v>
      </c>
    </row>
    <row r="767" customFormat="false" ht="17.15" hidden="false" customHeight="false" outlineLevel="0" collapsed="false">
      <c r="A767" s="0" t="s">
        <v>545</v>
      </c>
      <c r="B767" s="4" t="s">
        <v>28</v>
      </c>
      <c r="D767" s="16" t="n">
        <f aca="false">D761+D762+D763+D764</f>
        <v>2.8175</v>
      </c>
      <c r="E767" s="16" t="n">
        <f aca="false">E761+E762+E763+E764</f>
        <v>4.865</v>
      </c>
      <c r="F767" s="16" t="n">
        <f aca="false">F761+F762+F763+F764</f>
        <v>5.95</v>
      </c>
      <c r="G767" s="16" t="n">
        <f aca="false">G761+G762+G763+G764</f>
        <v>6.8425</v>
      </c>
    </row>
    <row r="768" customFormat="false" ht="15" hidden="false" customHeight="false" outlineLevel="0" collapsed="false">
      <c r="A768" s="4" t="s">
        <v>546</v>
      </c>
      <c r="B768" s="4" t="s">
        <v>28</v>
      </c>
      <c r="D768" s="16" t="n">
        <f aca="false">D766+D767</f>
        <v>11.0675</v>
      </c>
      <c r="E768" s="16" t="n">
        <f aca="false">E766+E767</f>
        <v>18.365</v>
      </c>
      <c r="F768" s="16" t="n">
        <f aca="false">F766+F767</f>
        <v>20.95</v>
      </c>
      <c r="G768" s="16" t="n">
        <f aca="false">G766+G767</f>
        <v>23.7675</v>
      </c>
    </row>
    <row r="769" customFormat="false" ht="17.15" hidden="false" customHeight="false" outlineLevel="0" collapsed="false">
      <c r="A769" s="0" t="s">
        <v>547</v>
      </c>
      <c r="B769" s="0" t="s">
        <v>239</v>
      </c>
      <c r="D769" s="21" t="n">
        <f aca="false">a26_rev*ai_26</f>
        <v>16.603774145</v>
      </c>
    </row>
    <row r="770" customFormat="false" ht="17.15" hidden="false" customHeight="false" outlineLevel="0" collapsed="false">
      <c r="A770" s="4" t="s">
        <v>548</v>
      </c>
      <c r="B770" s="0" t="s">
        <v>549</v>
      </c>
      <c r="D770" s="27" t="n">
        <f aca="false">D769/D768</f>
        <v>1.50022806821775</v>
      </c>
      <c r="H770" s="8" t="s">
        <v>550</v>
      </c>
    </row>
    <row r="771" customFormat="false" ht="17.15" hidden="false" customHeight="false" outlineLevel="0" collapsed="false">
      <c r="A771" s="4" t="s">
        <v>551</v>
      </c>
      <c r="B771" s="0" t="s">
        <v>131</v>
      </c>
      <c r="D771" s="16" t="n">
        <f aca="false">1</f>
        <v>1</v>
      </c>
      <c r="E771" s="16" t="n">
        <f aca="false">rel_27</f>
        <v>0.95</v>
      </c>
      <c r="F771" s="16" t="n">
        <f aca="false">rel_28</f>
        <v>0.92</v>
      </c>
      <c r="G771" s="16" t="n">
        <f aca="false">rel_29</f>
        <v>0.9</v>
      </c>
    </row>
    <row r="772" customFormat="false" ht="17.15" hidden="false" customHeight="false" outlineLevel="0" collapsed="false">
      <c r="A772" s="4" t="s">
        <v>552</v>
      </c>
      <c r="B772" s="0" t="s">
        <v>131</v>
      </c>
      <c r="D772" s="16" t="n">
        <f aca="false">1</f>
        <v>1</v>
      </c>
      <c r="E772" s="16" t="n">
        <f aca="false">pp_27</f>
        <v>0.98</v>
      </c>
      <c r="F772" s="16" t="n">
        <f aca="false">pp_28</f>
        <v>0.96</v>
      </c>
      <c r="G772" s="16" t="n">
        <f aca="false">pp_29</f>
        <v>0.95</v>
      </c>
    </row>
    <row r="773" customFormat="false" ht="17.15" hidden="false" customHeight="false" outlineLevel="0" collapsed="false">
      <c r="A773" s="0" t="s">
        <v>553</v>
      </c>
      <c r="B773" s="0" t="s">
        <v>239</v>
      </c>
      <c r="C773" s="21" t="n">
        <f aca="false">a25_rev*ai_25</f>
        <v>9.60674</v>
      </c>
      <c r="D773" s="21" t="n">
        <f aca="false">D769</f>
        <v>16.603774145</v>
      </c>
      <c r="E773" s="21" t="n">
        <f aca="false">$D$770*E768*E771*E772</f>
        <v>25.6506219681945</v>
      </c>
      <c r="F773" s="21" t="n">
        <f aca="false">$D$770*F768*F771*F772</f>
        <v>27.7587799553558</v>
      </c>
      <c r="G773" s="21" t="n">
        <f aca="false">$D$770*G768*G771*G772</f>
        <v>30.4864533727175</v>
      </c>
    </row>
    <row r="774" customFormat="false" ht="17.15" hidden="false" customHeight="false" outlineLevel="0" collapsed="false">
      <c r="A774" s="4" t="s">
        <v>554</v>
      </c>
      <c r="B774" s="0" t="s">
        <v>239</v>
      </c>
      <c r="C774" s="21" t="n">
        <f aca="false">a25_rev-C773</f>
        <v>25.32686</v>
      </c>
      <c r="D774" s="21" t="n">
        <f aca="false">a26_rev-D773</f>
        <v>30.835580555</v>
      </c>
      <c r="E774" s="21" t="n">
        <f aca="false">D774*(1+g_nai27)</f>
        <v>34.5358502216</v>
      </c>
      <c r="F774" s="21" t="n">
        <f aca="false">E774*(1+g_nai28)</f>
        <v>36.953359737112</v>
      </c>
      <c r="G774" s="21" t="n">
        <f aca="false">F774*(1+g_nai29)</f>
        <v>38.8010277239676</v>
      </c>
    </row>
    <row r="775" customFormat="false" ht="15" hidden="false" customHeight="false" outlineLevel="0" collapsed="false">
      <c r="A775" s="4" t="s">
        <v>414</v>
      </c>
      <c r="B775" s="0" t="s">
        <v>239</v>
      </c>
      <c r="C775" s="21" t="n">
        <f aca="false">C773+C774</f>
        <v>34.9336</v>
      </c>
      <c r="D775" s="21" t="n">
        <f aca="false">D773+D774</f>
        <v>47.4393547</v>
      </c>
      <c r="E775" s="21" t="n">
        <f aca="false">E773+E774</f>
        <v>60.1864721897945</v>
      </c>
      <c r="F775" s="21" t="n">
        <f aca="false">F773+F774</f>
        <v>64.7121396924678</v>
      </c>
      <c r="G775" s="21" t="n">
        <f aca="false">G773+G774</f>
        <v>69.2874810966851</v>
      </c>
    </row>
    <row r="776" customFormat="false" ht="15" hidden="false" customHeight="false" outlineLevel="0" collapsed="false">
      <c r="A776" s="4" t="s">
        <v>555</v>
      </c>
      <c r="B776" s="0" t="s">
        <v>41</v>
      </c>
      <c r="D776" s="14" t="n">
        <f aca="false">D775/C775-1</f>
        <v>0.357986428538713</v>
      </c>
      <c r="E776" s="14" t="n">
        <f aca="false">E775/D775-1</f>
        <v>0.268703433476395</v>
      </c>
      <c r="F776" s="14" t="n">
        <f aca="false">F775/E775-1</f>
        <v>0.0751940982419084</v>
      </c>
      <c r="G776" s="14" t="n">
        <f aca="false">G775/F775-1</f>
        <v>0.070702984416227</v>
      </c>
    </row>
    <row r="777" customFormat="false" ht="17.15" hidden="false" customHeight="false" outlineLevel="0" collapsed="false">
      <c r="A777" s="0" t="s">
        <v>556</v>
      </c>
      <c r="B777" s="0" t="s">
        <v>41</v>
      </c>
      <c r="C777" s="14" t="n">
        <f aca="false">C773/C775</f>
        <v>0.275</v>
      </c>
      <c r="D777" s="14" t="n">
        <f aca="false">D773/D775</f>
        <v>0.35</v>
      </c>
      <c r="E777" s="14" t="n">
        <f aca="false">E773/E775</f>
        <v>0.426185836034829</v>
      </c>
      <c r="F777" s="14" t="n">
        <f aca="false">F773/F775</f>
        <v>0.42895784449833</v>
      </c>
      <c r="G777" s="14" t="n">
        <f aca="false">G773/G775</f>
        <v>0.439999447088805</v>
      </c>
    </row>
    <row r="778" customFormat="false" ht="17.15" hidden="false" customHeight="false" outlineLevel="0" collapsed="false">
      <c r="A778" s="0" t="s">
        <v>502</v>
      </c>
      <c r="B778" s="0" t="s">
        <v>41</v>
      </c>
      <c r="D778" s="14" t="n">
        <f aca="false">D766/D768</f>
        <v>0.745425796250282</v>
      </c>
      <c r="E778" s="14" t="n">
        <f aca="false">E766/E768</f>
        <v>0.735093928668663</v>
      </c>
      <c r="F778" s="14" t="n">
        <f aca="false">F766/F768</f>
        <v>0.715990453460621</v>
      </c>
      <c r="G778" s="14" t="n">
        <f aca="false">G766/G768</f>
        <v>0.71210686862312</v>
      </c>
    </row>
    <row r="779" customFormat="false" ht="17.15" hidden="false" customHeight="false" outlineLevel="0" collapsed="false">
      <c r="A779" s="4" t="s">
        <v>506</v>
      </c>
      <c r="B779" s="0" t="s">
        <v>507</v>
      </c>
      <c r="D779" s="22" t="n">
        <f aca="false">D773/D768/fx*1000</f>
        <v>46.8821271318048</v>
      </c>
      <c r="E779" s="22" t="n">
        <f aca="false">E773/E768/fx*1000</f>
        <v>43.6472603597103</v>
      </c>
      <c r="F779" s="22" t="n">
        <f aca="false">F773/F768/fx*1000</f>
        <v>41.40629468281</v>
      </c>
      <c r="G779" s="22" t="n">
        <f aca="false">G773/G768/fx*1000</f>
        <v>40.0842186976931</v>
      </c>
      <c r="H779" s="4" t="s">
        <v>557</v>
      </c>
    </row>
    <row r="780" customFormat="false" ht="17.15" hidden="false" customHeight="false" outlineLevel="0" collapsed="false">
      <c r="A780" s="6" t="s">
        <v>558</v>
      </c>
    </row>
    <row r="781" customFormat="false" ht="17.15" hidden="false" customHeight="false" outlineLevel="0" collapsed="false">
      <c r="A781" s="0" t="s">
        <v>559</v>
      </c>
      <c r="B781" s="0" t="s">
        <v>131</v>
      </c>
      <c r="C781" s="16" t="n">
        <f aca="false">(a25_capex-m_cx*a25_rev)/(a25_rev-rev24)</f>
        <v>3.57284271254522</v>
      </c>
      <c r="H781" s="8" t="s">
        <v>560</v>
      </c>
    </row>
    <row r="782" customFormat="false" ht="17.15" hidden="false" customHeight="false" outlineLevel="0" collapsed="false">
      <c r="A782" s="4" t="s">
        <v>511</v>
      </c>
      <c r="B782" s="0" t="s">
        <v>239</v>
      </c>
      <c r="C782" s="21" t="n">
        <f aca="false">a25_capex</f>
        <v>32.3554</v>
      </c>
      <c r="D782" s="21" t="n">
        <f aca="false">capex_26</f>
        <v>42</v>
      </c>
      <c r="E782" s="21" t="n">
        <f aca="false">m_cx*E775+$C$781*MAX(0,E775-D775)</f>
        <v>51.5620930483496</v>
      </c>
      <c r="F782" s="21" t="n">
        <f aca="false">m_cx*F775+$C$781*MAX(0,F775-E775)</f>
        <v>22.6407121255758</v>
      </c>
      <c r="G782" s="21" t="n">
        <f aca="false">m_cx*G775+$C$781*MAX(0,G775-F775)</f>
        <v>23.2757233031325</v>
      </c>
      <c r="H782" s="8" t="s">
        <v>561</v>
      </c>
    </row>
    <row r="783" customFormat="false" ht="17.15" hidden="false" customHeight="false" outlineLevel="0" collapsed="false">
      <c r="A783" s="4" t="s">
        <v>562</v>
      </c>
      <c r="B783" s="0" t="s">
        <v>41</v>
      </c>
      <c r="C783" s="14" t="n">
        <f aca="false">C782/C775</f>
        <v>0.926197128266197</v>
      </c>
      <c r="D783" s="14" t="n">
        <f aca="false">D782/D775</f>
        <v>0.885340879225746</v>
      </c>
      <c r="E783" s="14" t="n">
        <f aca="false">E782/E775</f>
        <v>0.85670568771254</v>
      </c>
      <c r="F783" s="14" t="n">
        <f aca="false">F782/F775</f>
        <v>0.34986808090679</v>
      </c>
      <c r="G783" s="14" t="n">
        <f aca="false">G782/G775</f>
        <v>0.335929708148188</v>
      </c>
    </row>
    <row r="784" customFormat="false" ht="15" hidden="false" customHeight="false" outlineLevel="0" collapsed="false">
      <c r="A784" s="4" t="s">
        <v>563</v>
      </c>
      <c r="B784" s="0" t="s">
        <v>239</v>
      </c>
      <c r="C784" s="21" t="n">
        <f aca="false">a25_da</f>
        <v>7.5143841</v>
      </c>
      <c r="D784" s="21" t="n">
        <f aca="false">a26_da</f>
        <v>11.32770694</v>
      </c>
      <c r="E784" s="21" t="n">
        <f aca="false">D784*(1-ret)+dr_lo*(D782+E782)/2</f>
        <v>14.9716157801757</v>
      </c>
      <c r="F784" s="21" t="n">
        <f aca="false">E784*(1-ret)+dr_lo*(E782+F782)/2</f>
        <v>17.5621612239936</v>
      </c>
      <c r="G784" s="21" t="n">
        <f aca="false">F784*(1-ret)+dr_lo*(F782+G782)/2</f>
        <v>18.7502927570858</v>
      </c>
    </row>
    <row r="785" customFormat="false" ht="17.15" hidden="false" customHeight="false" outlineLevel="0" collapsed="false">
      <c r="A785" s="4" t="s">
        <v>515</v>
      </c>
      <c r="B785" s="0" t="s">
        <v>41</v>
      </c>
      <c r="C785" s="14" t="n">
        <f aca="false">C784/C775</f>
        <v>0.215104773055168</v>
      </c>
      <c r="D785" s="14" t="n">
        <f aca="false">D784/D775</f>
        <v>0.238782905282647</v>
      </c>
      <c r="E785" s="14" t="n">
        <f aca="false">E784/E775</f>
        <v>0.24875383513032</v>
      </c>
      <c r="F785" s="14" t="n">
        <f aca="false">F784/F775</f>
        <v>0.271388974425114</v>
      </c>
      <c r="G785" s="14" t="n">
        <f aca="false">G784/G775</f>
        <v>0.270615881257413</v>
      </c>
    </row>
    <row r="786" customFormat="false" ht="17.15" hidden="false" customHeight="false" outlineLevel="0" collapsed="false">
      <c r="A786" s="4" t="s">
        <v>564</v>
      </c>
      <c r="B786" s="0" t="s">
        <v>239</v>
      </c>
      <c r="D786" s="16" t="n">
        <f aca="false">C784*(1-ret)+dr_lo*(C782+D782)/2-D784</f>
        <v>-0.843049044999999</v>
      </c>
      <c r="H786" s="4" t="s">
        <v>565</v>
      </c>
    </row>
    <row r="787" customFormat="false" ht="17.15" hidden="false" customHeight="false" outlineLevel="0" collapsed="false">
      <c r="A787" s="6" t="s">
        <v>566</v>
      </c>
    </row>
    <row r="788" customFormat="false" ht="17.15" hidden="false" customHeight="false" outlineLevel="0" collapsed="false">
      <c r="A788" s="4" t="s">
        <v>567</v>
      </c>
      <c r="B788" s="0" t="s">
        <v>239</v>
      </c>
      <c r="D788" s="21" t="n">
        <f aca="false">a26_cc-v_cc*a26_rev</f>
        <v>7.9821937335</v>
      </c>
      <c r="H788" s="8" t="s">
        <v>568</v>
      </c>
    </row>
    <row r="789" customFormat="false" ht="17.15" hidden="false" customHeight="false" outlineLevel="0" collapsed="false">
      <c r="A789" s="4" t="s">
        <v>569</v>
      </c>
      <c r="B789" s="0" t="s">
        <v>239</v>
      </c>
      <c r="C789" s="21" t="n">
        <f aca="false">a25_cc</f>
        <v>14.8984</v>
      </c>
      <c r="D789" s="21" t="n">
        <f aca="false">a26_cc</f>
        <v>17.4700646735</v>
      </c>
      <c r="E789" s="21" t="n">
        <f aca="false">$D$788+v_cc*(E773/E772+E774)</f>
        <v>20.1241845876556</v>
      </c>
      <c r="F789" s="21" t="n">
        <f aca="false">$D$788+v_cc*(F773/F772+F774)</f>
        <v>21.1559448382882</v>
      </c>
      <c r="G789" s="21" t="n">
        <f aca="false">$D$788+v_cc*(G773/G772+G774)</f>
        <v>22.1605999883393</v>
      </c>
      <c r="H789" s="4" t="s">
        <v>570</v>
      </c>
    </row>
    <row r="790" customFormat="false" ht="15" hidden="false" customHeight="false" outlineLevel="0" collapsed="false">
      <c r="A790" s="4" t="s">
        <v>571</v>
      </c>
      <c r="B790" s="0" t="s">
        <v>239</v>
      </c>
      <c r="C790" s="21" t="n">
        <f aca="false">C775-C789-C784</f>
        <v>12.5208159</v>
      </c>
      <c r="D790" s="21" t="n">
        <f aca="false">D775-D789-D784</f>
        <v>18.6415830865</v>
      </c>
      <c r="E790" s="21" t="n">
        <f aca="false">E775-E789-E784</f>
        <v>25.0906718219632</v>
      </c>
      <c r="F790" s="21" t="n">
        <f aca="false">F775-F789-F784</f>
        <v>25.9940336301861</v>
      </c>
      <c r="G790" s="21" t="n">
        <f aca="false">G775-G789-G784</f>
        <v>28.37658835126</v>
      </c>
    </row>
    <row r="791" customFormat="false" ht="15" hidden="false" customHeight="false" outlineLevel="0" collapsed="false">
      <c r="A791" s="4" t="s">
        <v>421</v>
      </c>
      <c r="B791" s="0" t="s">
        <v>41</v>
      </c>
      <c r="C791" s="14" t="n">
        <f aca="false">C790/C775</f>
        <v>0.358417566468958</v>
      </c>
      <c r="D791" s="14" t="n">
        <f aca="false">D790/D775</f>
        <v>0.392956084760993</v>
      </c>
      <c r="E791" s="14" t="n">
        <f aca="false">E790/E775</f>
        <v>0.416882247938394</v>
      </c>
      <c r="F791" s="14" t="n">
        <f aca="false">F790/F775</f>
        <v>0.401687129396706</v>
      </c>
      <c r="G791" s="14" t="n">
        <f aca="false">G790/G775</f>
        <v>0.409548563493927</v>
      </c>
    </row>
    <row r="792" customFormat="false" ht="15" hidden="false" customHeight="false" outlineLevel="0" collapsed="false">
      <c r="A792" s="4" t="s">
        <v>572</v>
      </c>
      <c r="B792" s="0" t="s">
        <v>239</v>
      </c>
      <c r="C792" s="21" t="n">
        <f aca="false">a25_opx</f>
        <v>3.5197</v>
      </c>
      <c r="D792" s="21" t="n">
        <f aca="false">a26_opx</f>
        <v>6.1141318375</v>
      </c>
      <c r="E792" s="21" t="n">
        <f aca="false">D792*(1+MAX(0,phi*E776))</f>
        <v>7.09986476797815</v>
      </c>
      <c r="F792" s="21" t="n">
        <f aca="false">E792*(1+MAX(0,phi*F776))</f>
        <v>7.42018552529872</v>
      </c>
      <c r="G792" s="21" t="n">
        <f aca="false">F792*(1+MAX(0,phi*G776))</f>
        <v>7.73496308223515</v>
      </c>
    </row>
    <row r="793" customFormat="false" ht="15" hidden="false" customHeight="false" outlineLevel="0" collapsed="false">
      <c r="A793" s="4" t="s">
        <v>573</v>
      </c>
      <c r="B793" s="0" t="s">
        <v>239</v>
      </c>
      <c r="C793" s="21" t="n">
        <f aca="false">C792</f>
        <v>3.5197</v>
      </c>
      <c r="D793" s="21" t="n">
        <f aca="false">D792</f>
        <v>6.1141318375</v>
      </c>
      <c r="E793" s="21" t="n">
        <f aca="false">E792+0*E775</f>
        <v>7.09986476797815</v>
      </c>
      <c r="F793" s="21" t="n">
        <f aca="false">F792+0*F775</f>
        <v>7.42018552529872</v>
      </c>
      <c r="G793" s="21" t="n">
        <f aca="false">G792+0*G775</f>
        <v>7.73496308223515</v>
      </c>
    </row>
    <row r="794" customFormat="false" ht="15" hidden="false" customHeight="false" outlineLevel="0" collapsed="false">
      <c r="A794" s="4" t="s">
        <v>430</v>
      </c>
      <c r="B794" s="0" t="s">
        <v>239</v>
      </c>
      <c r="C794" s="21" t="n">
        <f aca="false">C790-C793</f>
        <v>9.0011159</v>
      </c>
      <c r="D794" s="21" t="n">
        <f aca="false">D790-D793</f>
        <v>12.527451249</v>
      </c>
      <c r="E794" s="21" t="n">
        <f aca="false">E790-E793</f>
        <v>17.990807053985</v>
      </c>
      <c r="F794" s="21" t="n">
        <f aca="false">F790-F793</f>
        <v>18.5738481048873</v>
      </c>
      <c r="G794" s="21" t="n">
        <f aca="false">G790-G793</f>
        <v>20.6416252690249</v>
      </c>
    </row>
    <row r="795" customFormat="false" ht="15" hidden="false" customHeight="false" outlineLevel="0" collapsed="false">
      <c r="A795" s="4" t="s">
        <v>432</v>
      </c>
      <c r="B795" s="0" t="s">
        <v>41</v>
      </c>
      <c r="C795" s="14" t="n">
        <f aca="false">C794/C775</f>
        <v>0.25766356459111</v>
      </c>
      <c r="D795" s="14" t="n">
        <f aca="false">D794/D775</f>
        <v>0.264072969124936</v>
      </c>
      <c r="E795" s="14" t="n">
        <f aca="false">E794/E775</f>
        <v>0.298917786662293</v>
      </c>
      <c r="F795" s="14" t="n">
        <f aca="false">F794/F775</f>
        <v>0.287022623469971</v>
      </c>
      <c r="G795" s="14" t="n">
        <f aca="false">G794/G775</f>
        <v>0.297912767823399</v>
      </c>
    </row>
    <row r="796" customFormat="false" ht="17.15" hidden="false" customHeight="false" outlineLevel="0" collapsed="false">
      <c r="A796" s="0" t="s">
        <v>574</v>
      </c>
      <c r="B796" s="0" t="s">
        <v>239</v>
      </c>
      <c r="C796" s="21" t="n">
        <f aca="false">C794+C784</f>
        <v>16.5155</v>
      </c>
      <c r="D796" s="21" t="n">
        <f aca="false">D794+D784</f>
        <v>23.855158189</v>
      </c>
      <c r="E796" s="21" t="n">
        <f aca="false">E794+E784</f>
        <v>32.9624228341608</v>
      </c>
      <c r="F796" s="21" t="n">
        <f aca="false">F794+F784</f>
        <v>36.1360093288809</v>
      </c>
      <c r="G796" s="21" t="n">
        <f aca="false">G794+G784</f>
        <v>39.3919180261106</v>
      </c>
    </row>
    <row r="797" customFormat="false" ht="17.15" hidden="false" customHeight="false" outlineLevel="0" collapsed="false">
      <c r="A797" s="0" t="s">
        <v>575</v>
      </c>
      <c r="B797" s="0" t="s">
        <v>239</v>
      </c>
      <c r="C797" s="21" t="n">
        <f aca="false">C796-C782</f>
        <v>-15.8399</v>
      </c>
      <c r="D797" s="21" t="n">
        <f aca="false">D796-D782</f>
        <v>-18.144841811</v>
      </c>
      <c r="E797" s="21" t="n">
        <f aca="false">E796-E782</f>
        <v>-18.5996702141888</v>
      </c>
      <c r="F797" s="21" t="n">
        <f aca="false">F796-F782</f>
        <v>13.4952972033051</v>
      </c>
      <c r="G797" s="21" t="n">
        <f aca="false">G796-G782</f>
        <v>16.1161947229781</v>
      </c>
    </row>
    <row r="798" customFormat="false" ht="17.15" hidden="false" customHeight="false" outlineLevel="0" collapsed="false">
      <c r="A798" s="4" t="s">
        <v>433</v>
      </c>
      <c r="B798" s="0" t="s">
        <v>239</v>
      </c>
      <c r="C798" s="21" t="n">
        <f aca="false">a25_ni</f>
        <v>11.015</v>
      </c>
      <c r="D798" s="21" t="n">
        <f aca="false">a26_ni</f>
        <v>10.66608446065</v>
      </c>
      <c r="E798" s="21" t="n">
        <f aca="false">E794*nir_f</f>
        <v>15.1122779253474</v>
      </c>
      <c r="F798" s="21" t="n">
        <f aca="false">F794*nir_f</f>
        <v>15.6020324081054</v>
      </c>
      <c r="G798" s="21" t="n">
        <f aca="false">G794*nir_f</f>
        <v>17.3389652259809</v>
      </c>
      <c r="H798" s="8" t="s">
        <v>438</v>
      </c>
    </row>
    <row r="799" customFormat="false" ht="17.15" hidden="false" customHeight="false" outlineLevel="0" collapsed="false">
      <c r="A799" s="4" t="s">
        <v>437</v>
      </c>
      <c r="B799" s="0" t="s">
        <v>41</v>
      </c>
      <c r="C799" s="14" t="n">
        <f aca="false">C798/C794</f>
        <v>1.22373715907824</v>
      </c>
      <c r="D799" s="14" t="n">
        <f aca="false">D798/D794</f>
        <v>0.851416960133963</v>
      </c>
      <c r="E799" s="14" t="n">
        <f aca="false">E798/E794</f>
        <v>0.84</v>
      </c>
      <c r="F799" s="14" t="n">
        <f aca="false">F798/F794</f>
        <v>0.84</v>
      </c>
      <c r="G799" s="14" t="n">
        <f aca="false">G798/G794</f>
        <v>0.84</v>
      </c>
    </row>
    <row r="800" customFormat="false" ht="15" hidden="false" customHeight="false" outlineLevel="0" collapsed="false">
      <c r="A800" s="4" t="s">
        <v>576</v>
      </c>
      <c r="B800" s="4" t="s">
        <v>294</v>
      </c>
      <c r="C800" s="27" t="n">
        <f aca="false">a25_sh</f>
        <v>1.22253052164262</v>
      </c>
      <c r="D800" s="27" t="n">
        <f aca="false">a26_sh</f>
        <v>1.28264705882353</v>
      </c>
      <c r="E800" s="27" t="n">
        <f aca="false">D800*(1+sh_g)</f>
        <v>1.28264705882353</v>
      </c>
      <c r="F800" s="27" t="n">
        <f aca="false">E800*(1+sh_g)</f>
        <v>1.28264705882353</v>
      </c>
      <c r="G800" s="27" t="n">
        <f aca="false">F800*(1+sh_g)</f>
        <v>1.28264705882353</v>
      </c>
    </row>
    <row r="801" customFormat="false" ht="15" hidden="false" customHeight="false" outlineLevel="0" collapsed="false">
      <c r="A801" s="0" t="s">
        <v>442</v>
      </c>
      <c r="B801" s="0" t="s">
        <v>315</v>
      </c>
      <c r="C801" s="21" t="n">
        <f aca="false">C798/C800</f>
        <v>9.01</v>
      </c>
      <c r="D801" s="21" t="n">
        <f aca="false">D798/D800</f>
        <v>8.31568153318276</v>
      </c>
      <c r="E801" s="21" t="n">
        <f aca="false">E798/E800</f>
        <v>11.782101569865</v>
      </c>
      <c r="F801" s="21" t="n">
        <f aca="false">F798/F800</f>
        <v>12.1639326272777</v>
      </c>
      <c r="G801" s="21" t="n">
        <f aca="false">G798/G800</f>
        <v>13.5181109305973</v>
      </c>
    </row>
    <row r="802" customFormat="false" ht="17.15" hidden="false" customHeight="false" outlineLevel="0" collapsed="false">
      <c r="A802" s="0" t="s">
        <v>577</v>
      </c>
      <c r="B802" s="0" t="s">
        <v>41</v>
      </c>
      <c r="D802" s="14" t="n">
        <f aca="false">D801/C801-1</f>
        <v>-0.0770608731206708</v>
      </c>
      <c r="E802" s="14" t="n">
        <f aca="false">E801/D801-1</f>
        <v>0.416853389929605</v>
      </c>
      <c r="F802" s="14" t="n">
        <f aca="false">F801/E801-1</f>
        <v>0.0324077207405298</v>
      </c>
      <c r="G802" s="14" t="n">
        <f aca="false">G801/F801-1</f>
        <v>0.111327343287223</v>
      </c>
      <c r="H802" s="8" t="s">
        <v>578</v>
      </c>
    </row>
    <row r="805" customFormat="false" ht="17.15" hidden="false" customHeight="false" outlineLevel="0" collapsed="false">
      <c r="A805" s="1" t="s">
        <v>878</v>
      </c>
    </row>
    <row r="806" customFormat="false" ht="17.15" hidden="false" customHeight="false" outlineLevel="0" collapsed="false">
      <c r="A806" s="5" t="s">
        <v>17</v>
      </c>
      <c r="B806" s="5" t="s">
        <v>18</v>
      </c>
      <c r="C806" s="12" t="s">
        <v>409</v>
      </c>
      <c r="D806" s="12" t="s">
        <v>520</v>
      </c>
      <c r="E806" s="12" t="s">
        <v>521</v>
      </c>
      <c r="F806" s="12" t="s">
        <v>522</v>
      </c>
      <c r="G806" s="12" t="s">
        <v>523</v>
      </c>
      <c r="H806" s="5" t="s">
        <v>488</v>
      </c>
    </row>
    <row r="807" customFormat="false" ht="17.15" hidden="false" customHeight="false" outlineLevel="0" collapsed="false">
      <c r="A807" s="6" t="s">
        <v>543</v>
      </c>
    </row>
    <row r="808" customFormat="false" ht="17.15" hidden="false" customHeight="false" outlineLevel="0" collapsed="false">
      <c r="A808" s="0" t="s">
        <v>491</v>
      </c>
      <c r="B808" s="4" t="s">
        <v>28</v>
      </c>
      <c r="D808" s="16" t="n">
        <f aca="false">u_bw_26*tt_bw</f>
        <v>5.4</v>
      </c>
      <c r="E808" s="16" t="n">
        <f aca="false">u_bw_27*1*tt_bw</f>
        <v>2.4</v>
      </c>
      <c r="F808" s="16" t="n">
        <f aca="false">u_bw_28*um28_A*1*tt_bw</f>
        <v>0.5</v>
      </c>
      <c r="G808" s="16" t="n">
        <f aca="false">u_bw_28*(1+g29_bw)*um29_A*1*tt_bw</f>
        <v>0.25</v>
      </c>
    </row>
    <row r="809" customFormat="false" ht="17.15" hidden="false" customHeight="false" outlineLevel="0" collapsed="false">
      <c r="A809" s="0" t="s">
        <v>493</v>
      </c>
      <c r="B809" s="4" t="s">
        <v>28</v>
      </c>
      <c r="D809" s="16" t="n">
        <f aca="false">u_rb_26*tt_rb</f>
        <v>2.55</v>
      </c>
      <c r="E809" s="16" t="n">
        <f aca="false">u_rb_27*1*tt_rb</f>
        <v>10.5</v>
      </c>
      <c r="F809" s="16" t="n">
        <f aca="false">u_rb_28*um28_A*1*tt_rb</f>
        <v>10.5</v>
      </c>
      <c r="G809" s="16" t="n">
        <f aca="false">u_rb_28*(1+g29_rb)*um29_A*1*tt_rb</f>
        <v>12.075</v>
      </c>
    </row>
    <row r="810" customFormat="false" ht="17.15" hidden="false" customHeight="false" outlineLevel="0" collapsed="false">
      <c r="A810" s="0" t="s">
        <v>494</v>
      </c>
      <c r="B810" s="4" t="s">
        <v>28</v>
      </c>
      <c r="D810" s="16" t="n">
        <f aca="false">u_ru_26*tt_ru</f>
        <v>0</v>
      </c>
      <c r="E810" s="16" t="n">
        <f aca="false">u_ru_27*1*tt_ru</f>
        <v>0.6</v>
      </c>
      <c r="F810" s="16" t="n">
        <f aca="false">u_ru_28*um28_A*1*tt_ru</f>
        <v>4</v>
      </c>
      <c r="G810" s="16" t="n">
        <f aca="false">u_ru_28*(1+g29_ru)*um29_A*1*tt_ru</f>
        <v>4.6</v>
      </c>
    </row>
    <row r="811" customFormat="false" ht="17.15" hidden="false" customHeight="false" outlineLevel="0" collapsed="false">
      <c r="A811" s="0" t="s">
        <v>495</v>
      </c>
      <c r="B811" s="4" t="s">
        <v>28</v>
      </c>
      <c r="D811" s="16" t="n">
        <f aca="false">u_hp_26*tt_hp</f>
        <v>0.3</v>
      </c>
      <c r="E811" s="16" t="n">
        <f aca="false">u_hp_27*1*tt_hp</f>
        <v>0</v>
      </c>
      <c r="F811" s="16" t="n">
        <f aca="false">u_hp_28*um28_A*1*tt_hp</f>
        <v>0</v>
      </c>
      <c r="G811" s="16" t="n">
        <f aca="false">u_hp_28*(1+g29_hp)*um29_A*1*tt_hp</f>
        <v>0</v>
      </c>
    </row>
    <row r="812" customFormat="false" ht="17.15" hidden="false" customHeight="false" outlineLevel="0" collapsed="false">
      <c r="A812" s="0" t="s">
        <v>496</v>
      </c>
      <c r="B812" s="4" t="s">
        <v>28</v>
      </c>
      <c r="D812" s="16" t="n">
        <f aca="false">u_amd_26*tt_amd*ex_amd</f>
        <v>0.165</v>
      </c>
      <c r="E812" s="16" t="n">
        <f aca="false">u_amd_27*1*tt_amd*ex_amd</f>
        <v>0.33</v>
      </c>
      <c r="F812" s="16" t="n">
        <f aca="false">u_amd_28*um28_A*1*tt_amd*ex_amd</f>
        <v>0.44</v>
      </c>
      <c r="G812" s="16" t="n">
        <f aca="false">u_amd_28*(1+g29_amd)*um29_A*1*tt_amd*ex_amd</f>
        <v>0.506</v>
      </c>
    </row>
    <row r="813" customFormat="false" ht="17.15" hidden="false" customHeight="false" outlineLevel="0" collapsed="false">
      <c r="A813" s="0" t="s">
        <v>498</v>
      </c>
      <c r="B813" s="4" t="s">
        <v>28</v>
      </c>
      <c r="D813" s="16" t="n">
        <f aca="false">u_tpu_26*tt_tpu*ex_tpu</f>
        <v>1.7325</v>
      </c>
      <c r="E813" s="16" t="n">
        <f aca="false">u_tpu_27*1*tt_tpu*ex_tpu</f>
        <v>2.475</v>
      </c>
      <c r="F813" s="16" t="n">
        <f aca="false">u_tpu_28*um28_A*1*tt_tpu*ex_tpu</f>
        <v>3.15</v>
      </c>
      <c r="G813" s="16" t="n">
        <f aca="false">u_tpu_28*(1+g29_tpu)*um29_A*1*tt_tpu*ex_tpu</f>
        <v>3.6225</v>
      </c>
    </row>
    <row r="814" customFormat="false" ht="17.15" hidden="false" customHeight="false" outlineLevel="0" collapsed="false">
      <c r="A814" s="0" t="s">
        <v>499</v>
      </c>
      <c r="B814" s="4" t="s">
        <v>28</v>
      </c>
      <c r="D814" s="16" t="n">
        <f aca="false">u_trn_26*tt_trn*ex_trn</f>
        <v>0.64</v>
      </c>
      <c r="E814" s="16" t="n">
        <f aca="false">u_trn_27*1*tt_trn*ex_trn</f>
        <v>0.8</v>
      </c>
      <c r="F814" s="16" t="n">
        <f aca="false">u_trn_28*um28_A*1*tt_trn*ex_trn</f>
        <v>0.96</v>
      </c>
      <c r="G814" s="16" t="n">
        <f aca="false">u_trn_28*(1+g29_trn)*um29_A*1*tt_trn*ex_trn</f>
        <v>1.104</v>
      </c>
    </row>
    <row r="815" customFormat="false" ht="17.15" hidden="false" customHeight="false" outlineLevel="0" collapsed="false">
      <c r="A815" s="4" t="s">
        <v>500</v>
      </c>
      <c r="B815" s="4" t="s">
        <v>28</v>
      </c>
      <c r="D815" s="16" t="n">
        <f aca="false">u_oth_26*tt_oth*ex_oth</f>
        <v>0.28</v>
      </c>
      <c r="E815" s="16" t="n">
        <f aca="false">u_oth_27*1*tt_oth*ex_oth</f>
        <v>1.26</v>
      </c>
      <c r="F815" s="16" t="n">
        <f aca="false">u_oth_28*um28_A*1*tt_oth*ex_oth</f>
        <v>1.4</v>
      </c>
      <c r="G815" s="16" t="n">
        <f aca="false">u_oth_28*(1+g29_oth)*um29_A*1*tt_oth*ex_oth</f>
        <v>1.61</v>
      </c>
    </row>
    <row r="816" customFormat="false" ht="15" hidden="false" customHeight="false" outlineLevel="0" collapsed="false">
      <c r="A816" s="4" t="s">
        <v>489</v>
      </c>
      <c r="B816" s="4" t="s">
        <v>28</v>
      </c>
      <c r="D816" s="16" t="n">
        <f aca="false">u_bw_26+u_rb_26+u_ru_26+u_hp_26+u_amd_26+u_tpu_26+u_trn_26+u_oth_26</f>
        <v>15.2</v>
      </c>
      <c r="E816" s="16" t="n">
        <f aca="false">u_bw_27*1+u_rb_27*1+u_ru_27*1+u_hp_27*1+u_amd_27*1+u_tpu_27*1+u_trn_27*1+u_oth_27*1</f>
        <v>23.7</v>
      </c>
      <c r="F816" s="16" t="n">
        <f aca="false">u_bw_28*um28_A*1+u_rb_28*um28_A*1+u_ru_28*um28_A*1+u_hp_28*um28_A*1+u_amd_28*um28_A*1+u_tpu_28*um28_A*1+u_trn_28*um28_A*1+u_oth_28*um28_A*1</f>
        <v>26.5</v>
      </c>
      <c r="G81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17" customFormat="false" ht="17.15" hidden="false" customHeight="false" outlineLevel="0" collapsed="false">
      <c r="A817" s="0" t="s">
        <v>544</v>
      </c>
      <c r="B817" s="4" t="s">
        <v>28</v>
      </c>
      <c r="D817" s="16" t="n">
        <f aca="false">D808+D809+D810+D811</f>
        <v>8.25</v>
      </c>
      <c r="E817" s="16" t="n">
        <f aca="false">E808+E809+E810+E811</f>
        <v>13.5</v>
      </c>
      <c r="F817" s="16" t="n">
        <f aca="false">F808+F809+F810+F811</f>
        <v>15</v>
      </c>
      <c r="G817" s="16" t="n">
        <f aca="false">G808+G809+G810+G811</f>
        <v>16.925</v>
      </c>
    </row>
    <row r="818" customFormat="false" ht="17.15" hidden="false" customHeight="false" outlineLevel="0" collapsed="false">
      <c r="A818" s="0" t="s">
        <v>545</v>
      </c>
      <c r="B818" s="4" t="s">
        <v>28</v>
      </c>
      <c r="D818" s="16" t="n">
        <f aca="false">D812+D813+D814+D815</f>
        <v>2.8175</v>
      </c>
      <c r="E818" s="16" t="n">
        <f aca="false">E812+E813+E814+E815</f>
        <v>4.865</v>
      </c>
      <c r="F818" s="16" t="n">
        <f aca="false">F812+F813+F814+F815</f>
        <v>5.95</v>
      </c>
      <c r="G818" s="16" t="n">
        <f aca="false">G812+G813+G814+G815</f>
        <v>6.8425</v>
      </c>
    </row>
    <row r="819" customFormat="false" ht="15" hidden="false" customHeight="false" outlineLevel="0" collapsed="false">
      <c r="A819" s="4" t="s">
        <v>546</v>
      </c>
      <c r="B819" s="4" t="s">
        <v>28</v>
      </c>
      <c r="D819" s="16" t="n">
        <f aca="false">D817+D818</f>
        <v>11.0675</v>
      </c>
      <c r="E819" s="16" t="n">
        <f aca="false">E817+E818</f>
        <v>18.365</v>
      </c>
      <c r="F819" s="16" t="n">
        <f aca="false">F817+F818</f>
        <v>20.95</v>
      </c>
      <c r="G819" s="16" t="n">
        <f aca="false">G817+G818</f>
        <v>23.7675</v>
      </c>
    </row>
    <row r="820" customFormat="false" ht="17.15" hidden="false" customHeight="false" outlineLevel="0" collapsed="false">
      <c r="A820" s="0" t="s">
        <v>547</v>
      </c>
      <c r="B820" s="0" t="s">
        <v>239</v>
      </c>
      <c r="D820" s="21" t="n">
        <f aca="false">a26_rev*ai_26</f>
        <v>16.603774145</v>
      </c>
    </row>
    <row r="821" customFormat="false" ht="17.15" hidden="false" customHeight="false" outlineLevel="0" collapsed="false">
      <c r="A821" s="4" t="s">
        <v>548</v>
      </c>
      <c r="B821" s="0" t="s">
        <v>549</v>
      </c>
      <c r="D821" s="27" t="n">
        <f aca="false">D820/D819</f>
        <v>1.50022806821775</v>
      </c>
      <c r="H821" s="8" t="s">
        <v>550</v>
      </c>
    </row>
    <row r="822" customFormat="false" ht="17.15" hidden="false" customHeight="false" outlineLevel="0" collapsed="false">
      <c r="A822" s="4" t="s">
        <v>551</v>
      </c>
      <c r="B822" s="0" t="s">
        <v>131</v>
      </c>
      <c r="D822" s="16" t="n">
        <f aca="false">1</f>
        <v>1</v>
      </c>
      <c r="E822" s="16" t="n">
        <f aca="false">rel_27</f>
        <v>0.95</v>
      </c>
      <c r="F822" s="16" t="n">
        <f aca="false">rel_28</f>
        <v>0.92</v>
      </c>
      <c r="G822" s="16" t="n">
        <f aca="false">rel_29</f>
        <v>0.9</v>
      </c>
    </row>
    <row r="823" customFormat="false" ht="17.15" hidden="false" customHeight="false" outlineLevel="0" collapsed="false">
      <c r="A823" s="4" t="s">
        <v>552</v>
      </c>
      <c r="B823" s="0" t="s">
        <v>131</v>
      </c>
      <c r="D823" s="16" t="n">
        <f aca="false">1</f>
        <v>1</v>
      </c>
      <c r="E823" s="16" t="n">
        <f aca="false">pp_27</f>
        <v>0.98</v>
      </c>
      <c r="F823" s="16" t="n">
        <f aca="false">pp_28</f>
        <v>0.96</v>
      </c>
      <c r="G823" s="16" t="n">
        <f aca="false">pp_29</f>
        <v>0.95</v>
      </c>
    </row>
    <row r="824" customFormat="false" ht="17.15" hidden="false" customHeight="false" outlineLevel="0" collapsed="false">
      <c r="A824" s="0" t="s">
        <v>553</v>
      </c>
      <c r="B824" s="0" t="s">
        <v>239</v>
      </c>
      <c r="C824" s="21" t="n">
        <f aca="false">a25_rev*ai_25</f>
        <v>9.60674</v>
      </c>
      <c r="D824" s="21" t="n">
        <f aca="false">D820</f>
        <v>16.603774145</v>
      </c>
      <c r="E824" s="21" t="n">
        <f aca="false">$D$821*E819*E822*E823</f>
        <v>25.6506219681945</v>
      </c>
      <c r="F824" s="21" t="n">
        <f aca="false">$D$821*F819*F822*F823</f>
        <v>27.7587799553558</v>
      </c>
      <c r="G824" s="21" t="n">
        <f aca="false">$D$821*G819*G822*G823</f>
        <v>30.4864533727175</v>
      </c>
    </row>
    <row r="825" customFormat="false" ht="17.15" hidden="false" customHeight="false" outlineLevel="0" collapsed="false">
      <c r="A825" s="4" t="s">
        <v>554</v>
      </c>
      <c r="B825" s="0" t="s">
        <v>239</v>
      </c>
      <c r="C825" s="21" t="n">
        <f aca="false">a25_rev-C824</f>
        <v>25.32686</v>
      </c>
      <c r="D825" s="21" t="n">
        <f aca="false">a26_rev-D824</f>
        <v>30.835580555</v>
      </c>
      <c r="E825" s="21" t="n">
        <f aca="false">D825*(1+g_nai27)</f>
        <v>34.5358502216</v>
      </c>
      <c r="F825" s="21" t="n">
        <f aca="false">E825*(1+g_nai28)</f>
        <v>36.953359737112</v>
      </c>
      <c r="G825" s="21" t="n">
        <f aca="false">F825*(1+g_nai29)</f>
        <v>38.8010277239676</v>
      </c>
    </row>
    <row r="826" customFormat="false" ht="15" hidden="false" customHeight="false" outlineLevel="0" collapsed="false">
      <c r="A826" s="4" t="s">
        <v>414</v>
      </c>
      <c r="B826" s="0" t="s">
        <v>239</v>
      </c>
      <c r="C826" s="21" t="n">
        <f aca="false">C824+C825</f>
        <v>34.9336</v>
      </c>
      <c r="D826" s="21" t="n">
        <f aca="false">D824+D825</f>
        <v>47.4393547</v>
      </c>
      <c r="E826" s="21" t="n">
        <f aca="false">E824+E825</f>
        <v>60.1864721897945</v>
      </c>
      <c r="F826" s="21" t="n">
        <f aca="false">F824+F825</f>
        <v>64.7121396924678</v>
      </c>
      <c r="G826" s="21" t="n">
        <f aca="false">G824+G825</f>
        <v>69.2874810966851</v>
      </c>
    </row>
    <row r="827" customFormat="false" ht="15" hidden="false" customHeight="false" outlineLevel="0" collapsed="false">
      <c r="A827" s="4" t="s">
        <v>555</v>
      </c>
      <c r="B827" s="0" t="s">
        <v>41</v>
      </c>
      <c r="D827" s="14" t="n">
        <f aca="false">D826/C826-1</f>
        <v>0.357986428538713</v>
      </c>
      <c r="E827" s="14" t="n">
        <f aca="false">E826/D826-1</f>
        <v>0.268703433476395</v>
      </c>
      <c r="F827" s="14" t="n">
        <f aca="false">F826/E826-1</f>
        <v>0.0751940982419084</v>
      </c>
      <c r="G827" s="14" t="n">
        <f aca="false">G826/F826-1</f>
        <v>0.070702984416227</v>
      </c>
    </row>
    <row r="828" customFormat="false" ht="17.15" hidden="false" customHeight="false" outlineLevel="0" collapsed="false">
      <c r="A828" s="0" t="s">
        <v>556</v>
      </c>
      <c r="B828" s="0" t="s">
        <v>41</v>
      </c>
      <c r="C828" s="14" t="n">
        <f aca="false">C824/C826</f>
        <v>0.275</v>
      </c>
      <c r="D828" s="14" t="n">
        <f aca="false">D824/D826</f>
        <v>0.35</v>
      </c>
      <c r="E828" s="14" t="n">
        <f aca="false">E824/E826</f>
        <v>0.426185836034829</v>
      </c>
      <c r="F828" s="14" t="n">
        <f aca="false">F824/F826</f>
        <v>0.42895784449833</v>
      </c>
      <c r="G828" s="14" t="n">
        <f aca="false">G824/G826</f>
        <v>0.439999447088805</v>
      </c>
    </row>
    <row r="829" customFormat="false" ht="17.15" hidden="false" customHeight="false" outlineLevel="0" collapsed="false">
      <c r="A829" s="0" t="s">
        <v>502</v>
      </c>
      <c r="B829" s="0" t="s">
        <v>41</v>
      </c>
      <c r="D829" s="14" t="n">
        <f aca="false">D817/D819</f>
        <v>0.745425796250282</v>
      </c>
      <c r="E829" s="14" t="n">
        <f aca="false">E817/E819</f>
        <v>0.735093928668663</v>
      </c>
      <c r="F829" s="14" t="n">
        <f aca="false">F817/F819</f>
        <v>0.715990453460621</v>
      </c>
      <c r="G829" s="14" t="n">
        <f aca="false">G817/G819</f>
        <v>0.71210686862312</v>
      </c>
    </row>
    <row r="830" customFormat="false" ht="17.15" hidden="false" customHeight="false" outlineLevel="0" collapsed="false">
      <c r="A830" s="4" t="s">
        <v>506</v>
      </c>
      <c r="B830" s="0" t="s">
        <v>507</v>
      </c>
      <c r="D830" s="22" t="n">
        <f aca="false">D824/D819/fx*1000</f>
        <v>46.8821271318048</v>
      </c>
      <c r="E830" s="22" t="n">
        <f aca="false">E824/E819/fx*1000</f>
        <v>43.6472603597103</v>
      </c>
      <c r="F830" s="22" t="n">
        <f aca="false">F824/F819/fx*1000</f>
        <v>41.40629468281</v>
      </c>
      <c r="G830" s="22" t="n">
        <f aca="false">G824/G819/fx*1000</f>
        <v>40.0842186976931</v>
      </c>
      <c r="H830" s="4" t="s">
        <v>557</v>
      </c>
    </row>
    <row r="831" customFormat="false" ht="17.15" hidden="false" customHeight="false" outlineLevel="0" collapsed="false">
      <c r="A831" s="6" t="s">
        <v>558</v>
      </c>
    </row>
    <row r="832" customFormat="false" ht="17.15" hidden="false" customHeight="false" outlineLevel="0" collapsed="false">
      <c r="A832" s="0" t="s">
        <v>559</v>
      </c>
      <c r="B832" s="0" t="s">
        <v>131</v>
      </c>
      <c r="C832" s="16" t="n">
        <f aca="false">(a25_capex-m_cx*a25_rev)/(a25_rev-rev24)</f>
        <v>3.57284271254522</v>
      </c>
      <c r="H832" s="8" t="s">
        <v>560</v>
      </c>
    </row>
    <row r="833" customFormat="false" ht="17.15" hidden="false" customHeight="false" outlineLevel="0" collapsed="false">
      <c r="A833" s="4" t="s">
        <v>511</v>
      </c>
      <c r="B833" s="0" t="s">
        <v>239</v>
      </c>
      <c r="C833" s="21" t="n">
        <f aca="false">a25_capex</f>
        <v>32.3554</v>
      </c>
      <c r="D833" s="21" t="n">
        <f aca="false">capex_26</f>
        <v>42</v>
      </c>
      <c r="E833" s="21" t="n">
        <f aca="false">m_cx*E826+$C$832*MAX(0,E826-D826)</f>
        <v>51.5620930483496</v>
      </c>
      <c r="F833" s="21" t="n">
        <f aca="false">m_cx*F826+$C$832*MAX(0,F826-E826)</f>
        <v>22.6407121255758</v>
      </c>
      <c r="G833" s="21" t="n">
        <f aca="false">m_cx*G826+$C$832*MAX(0,G826-F826)</f>
        <v>23.2757233031325</v>
      </c>
      <c r="H833" s="8" t="s">
        <v>561</v>
      </c>
    </row>
    <row r="834" customFormat="false" ht="17.15" hidden="false" customHeight="false" outlineLevel="0" collapsed="false">
      <c r="A834" s="4" t="s">
        <v>562</v>
      </c>
      <c r="B834" s="0" t="s">
        <v>41</v>
      </c>
      <c r="C834" s="14" t="n">
        <f aca="false">C833/C826</f>
        <v>0.926197128266197</v>
      </c>
      <c r="D834" s="14" t="n">
        <f aca="false">D833/D826</f>
        <v>0.885340879225746</v>
      </c>
      <c r="E834" s="14" t="n">
        <f aca="false">E833/E826</f>
        <v>0.85670568771254</v>
      </c>
      <c r="F834" s="14" t="n">
        <f aca="false">F833/F826</f>
        <v>0.34986808090679</v>
      </c>
      <c r="G834" s="14" t="n">
        <f aca="false">G833/G826</f>
        <v>0.335929708148188</v>
      </c>
    </row>
    <row r="835" customFormat="false" ht="15" hidden="false" customHeight="false" outlineLevel="0" collapsed="false">
      <c r="A835" s="4" t="s">
        <v>563</v>
      </c>
      <c r="B835" s="0" t="s">
        <v>239</v>
      </c>
      <c r="C835" s="21" t="n">
        <f aca="false">a25_da</f>
        <v>7.5143841</v>
      </c>
      <c r="D835" s="21" t="n">
        <f aca="false">a26_da</f>
        <v>11.32770694</v>
      </c>
      <c r="E835" s="21" t="n">
        <f aca="false">D835*(1-ret)+dr_hi*(D833+E833)/2</f>
        <v>17.3106681063845</v>
      </c>
      <c r="F835" s="21" t="n">
        <f aca="false">E835*(1-ret)+dr_hi*(E833+F833)/2</f>
        <v>21.63933106324</v>
      </c>
      <c r="G835" s="21" t="n">
        <f aca="false">F835*(1-ret)+dr_hi*(F833+G833)/2</f>
        <v>23.7715149900876</v>
      </c>
    </row>
    <row r="836" customFormat="false" ht="17.15" hidden="false" customHeight="false" outlineLevel="0" collapsed="false">
      <c r="A836" s="4" t="s">
        <v>515</v>
      </c>
      <c r="B836" s="0" t="s">
        <v>41</v>
      </c>
      <c r="C836" s="14" t="n">
        <f aca="false">C835/C826</f>
        <v>0.215104773055168</v>
      </c>
      <c r="D836" s="14" t="n">
        <f aca="false">D835/D826</f>
        <v>0.238782905282647</v>
      </c>
      <c r="E836" s="14" t="n">
        <f aca="false">E835/E826</f>
        <v>0.287617258107375</v>
      </c>
      <c r="F836" s="14" t="n">
        <f aca="false">F835/F826</f>
        <v>0.334393688202505</v>
      </c>
      <c r="G836" s="14" t="n">
        <f aca="false">G835/G826</f>
        <v>0.343085281985015</v>
      </c>
    </row>
    <row r="837" customFormat="false" ht="17.15" hidden="false" customHeight="false" outlineLevel="0" collapsed="false">
      <c r="A837" s="4" t="s">
        <v>564</v>
      </c>
      <c r="B837" s="0" t="s">
        <v>239</v>
      </c>
      <c r="D837" s="16" t="n">
        <f aca="false">C835*(1-ret)+dr_hi*(C833+D833)/2-D835</f>
        <v>1.015835955</v>
      </c>
      <c r="H837" s="4" t="s">
        <v>565</v>
      </c>
    </row>
    <row r="838" customFormat="false" ht="17.15" hidden="false" customHeight="false" outlineLevel="0" collapsed="false">
      <c r="A838" s="6" t="s">
        <v>566</v>
      </c>
    </row>
    <row r="839" customFormat="false" ht="17.15" hidden="false" customHeight="false" outlineLevel="0" collapsed="false">
      <c r="A839" s="4" t="s">
        <v>567</v>
      </c>
      <c r="B839" s="0" t="s">
        <v>239</v>
      </c>
      <c r="D839" s="21" t="n">
        <f aca="false">a26_cc-v_cc*a26_rev</f>
        <v>7.9821937335</v>
      </c>
      <c r="H839" s="8" t="s">
        <v>568</v>
      </c>
    </row>
    <row r="840" customFormat="false" ht="17.15" hidden="false" customHeight="false" outlineLevel="0" collapsed="false">
      <c r="A840" s="4" t="s">
        <v>569</v>
      </c>
      <c r="B840" s="0" t="s">
        <v>239</v>
      </c>
      <c r="C840" s="21" t="n">
        <f aca="false">a25_cc</f>
        <v>14.8984</v>
      </c>
      <c r="D840" s="21" t="n">
        <f aca="false">a26_cc</f>
        <v>17.4700646735</v>
      </c>
      <c r="E840" s="21" t="n">
        <f aca="false">$D$839+v_cc*(E824/E823+E825)</f>
        <v>20.1241845876556</v>
      </c>
      <c r="F840" s="21" t="n">
        <f aca="false">$D$839+v_cc*(F824/F823+F825)</f>
        <v>21.1559448382882</v>
      </c>
      <c r="G840" s="21" t="n">
        <f aca="false">$D$839+v_cc*(G824/G823+G825)</f>
        <v>22.1605999883393</v>
      </c>
      <c r="H840" s="4" t="s">
        <v>570</v>
      </c>
    </row>
    <row r="841" customFormat="false" ht="15" hidden="false" customHeight="false" outlineLevel="0" collapsed="false">
      <c r="A841" s="4" t="s">
        <v>571</v>
      </c>
      <c r="B841" s="0" t="s">
        <v>239</v>
      </c>
      <c r="C841" s="21" t="n">
        <f aca="false">C826-C840-C835</f>
        <v>12.5208159</v>
      </c>
      <c r="D841" s="21" t="n">
        <f aca="false">D826-D840-D835</f>
        <v>18.6415830865</v>
      </c>
      <c r="E841" s="21" t="n">
        <f aca="false">E826-E840-E835</f>
        <v>22.7516194957545</v>
      </c>
      <c r="F841" s="21" t="n">
        <f aca="false">F826-F840-F835</f>
        <v>21.9168637909396</v>
      </c>
      <c r="G841" s="21" t="n">
        <f aca="false">G826-G840-G835</f>
        <v>23.3553661182582</v>
      </c>
    </row>
    <row r="842" customFormat="false" ht="15" hidden="false" customHeight="false" outlineLevel="0" collapsed="false">
      <c r="A842" s="4" t="s">
        <v>421</v>
      </c>
      <c r="B842" s="0" t="s">
        <v>41</v>
      </c>
      <c r="C842" s="14" t="n">
        <f aca="false">C841/C826</f>
        <v>0.358417566468958</v>
      </c>
      <c r="D842" s="14" t="n">
        <f aca="false">D841/D826</f>
        <v>0.392956084760993</v>
      </c>
      <c r="E842" s="14" t="n">
        <f aca="false">E841/E826</f>
        <v>0.378018824961339</v>
      </c>
      <c r="F842" s="14" t="n">
        <f aca="false">F841/F826</f>
        <v>0.338682415619316</v>
      </c>
      <c r="G842" s="14" t="n">
        <f aca="false">G841/G826</f>
        <v>0.337079162766325</v>
      </c>
    </row>
    <row r="843" customFormat="false" ht="15" hidden="false" customHeight="false" outlineLevel="0" collapsed="false">
      <c r="A843" s="4" t="s">
        <v>572</v>
      </c>
      <c r="B843" s="0" t="s">
        <v>239</v>
      </c>
      <c r="C843" s="21" t="n">
        <f aca="false">a25_opx</f>
        <v>3.5197</v>
      </c>
      <c r="D843" s="21" t="n">
        <f aca="false">a26_opx</f>
        <v>6.1141318375</v>
      </c>
      <c r="E843" s="21" t="n">
        <f aca="false">D843*(1+MAX(0,phi*E827))</f>
        <v>7.09986476797815</v>
      </c>
      <c r="F843" s="21" t="n">
        <f aca="false">E843*(1+MAX(0,phi*F827))</f>
        <v>7.42018552529872</v>
      </c>
      <c r="G843" s="21" t="n">
        <f aca="false">F843*(1+MAX(0,phi*G827))</f>
        <v>7.73496308223515</v>
      </c>
    </row>
    <row r="844" customFormat="false" ht="15" hidden="false" customHeight="false" outlineLevel="0" collapsed="false">
      <c r="A844" s="4" t="s">
        <v>573</v>
      </c>
      <c r="B844" s="0" t="s">
        <v>239</v>
      </c>
      <c r="C844" s="21" t="n">
        <f aca="false">C843</f>
        <v>3.5197</v>
      </c>
      <c r="D844" s="21" t="n">
        <f aca="false">D843</f>
        <v>6.1141318375</v>
      </c>
      <c r="E844" s="21" t="n">
        <f aca="false">E843+0*E826</f>
        <v>7.09986476797815</v>
      </c>
      <c r="F844" s="21" t="n">
        <f aca="false">F843+0*F826</f>
        <v>7.42018552529872</v>
      </c>
      <c r="G844" s="21" t="n">
        <f aca="false">G843+0*G826</f>
        <v>7.73496308223515</v>
      </c>
    </row>
    <row r="845" customFormat="false" ht="15" hidden="false" customHeight="false" outlineLevel="0" collapsed="false">
      <c r="A845" s="4" t="s">
        <v>430</v>
      </c>
      <c r="B845" s="0" t="s">
        <v>239</v>
      </c>
      <c r="C845" s="21" t="n">
        <f aca="false">C841-C844</f>
        <v>9.0011159</v>
      </c>
      <c r="D845" s="21" t="n">
        <f aca="false">D841-D844</f>
        <v>12.527451249</v>
      </c>
      <c r="E845" s="21" t="n">
        <f aca="false">E841-E844</f>
        <v>15.6517547277763</v>
      </c>
      <c r="F845" s="21" t="n">
        <f aca="false">F841-F844</f>
        <v>14.4966782656409</v>
      </c>
      <c r="G845" s="21" t="n">
        <f aca="false">G841-G844</f>
        <v>15.620403036023</v>
      </c>
    </row>
    <row r="846" customFormat="false" ht="15" hidden="false" customHeight="false" outlineLevel="0" collapsed="false">
      <c r="A846" s="4" t="s">
        <v>432</v>
      </c>
      <c r="B846" s="0" t="s">
        <v>41</v>
      </c>
      <c r="C846" s="14" t="n">
        <f aca="false">C845/C826</f>
        <v>0.25766356459111</v>
      </c>
      <c r="D846" s="14" t="n">
        <f aca="false">D845/D826</f>
        <v>0.264072969124936</v>
      </c>
      <c r="E846" s="14" t="n">
        <f aca="false">E845/E826</f>
        <v>0.260054363685238</v>
      </c>
      <c r="F846" s="14" t="n">
        <f aca="false">F845/F826</f>
        <v>0.22401790969258</v>
      </c>
      <c r="G846" s="14" t="n">
        <f aca="false">G845/G826</f>
        <v>0.225443367095796</v>
      </c>
    </row>
    <row r="847" customFormat="false" ht="17.15" hidden="false" customHeight="false" outlineLevel="0" collapsed="false">
      <c r="A847" s="0" t="s">
        <v>574</v>
      </c>
      <c r="B847" s="0" t="s">
        <v>239</v>
      </c>
      <c r="C847" s="21" t="n">
        <f aca="false">C845+C835</f>
        <v>16.5155</v>
      </c>
      <c r="D847" s="21" t="n">
        <f aca="false">D845+D835</f>
        <v>23.855158189</v>
      </c>
      <c r="E847" s="21" t="n">
        <f aca="false">E845+E835</f>
        <v>32.9624228341608</v>
      </c>
      <c r="F847" s="21" t="n">
        <f aca="false">F845+F835</f>
        <v>36.1360093288809</v>
      </c>
      <c r="G847" s="21" t="n">
        <f aca="false">G845+G835</f>
        <v>39.3919180261106</v>
      </c>
    </row>
    <row r="848" customFormat="false" ht="17.15" hidden="false" customHeight="false" outlineLevel="0" collapsed="false">
      <c r="A848" s="0" t="s">
        <v>575</v>
      </c>
      <c r="B848" s="0" t="s">
        <v>239</v>
      </c>
      <c r="C848" s="21" t="n">
        <f aca="false">C847-C833</f>
        <v>-15.8399</v>
      </c>
      <c r="D848" s="21" t="n">
        <f aca="false">D847-D833</f>
        <v>-18.144841811</v>
      </c>
      <c r="E848" s="21" t="n">
        <f aca="false">E847-E833</f>
        <v>-18.5996702141888</v>
      </c>
      <c r="F848" s="21" t="n">
        <f aca="false">F847-F833</f>
        <v>13.4952972033051</v>
      </c>
      <c r="G848" s="21" t="n">
        <f aca="false">G847-G833</f>
        <v>16.1161947229781</v>
      </c>
    </row>
    <row r="849" customFormat="false" ht="17.15" hidden="false" customHeight="false" outlineLevel="0" collapsed="false">
      <c r="A849" s="4" t="s">
        <v>433</v>
      </c>
      <c r="B849" s="0" t="s">
        <v>239</v>
      </c>
      <c r="C849" s="21" t="n">
        <f aca="false">a25_ni</f>
        <v>11.015</v>
      </c>
      <c r="D849" s="21" t="n">
        <f aca="false">a26_ni</f>
        <v>10.66608446065</v>
      </c>
      <c r="E849" s="21" t="n">
        <f aca="false">E845*nir_f</f>
        <v>13.1474739713321</v>
      </c>
      <c r="F849" s="21" t="n">
        <f aca="false">F845*nir_f</f>
        <v>12.1772097431384</v>
      </c>
      <c r="G849" s="21" t="n">
        <f aca="false">G845*nir_f</f>
        <v>13.1211385502594</v>
      </c>
      <c r="H849" s="8" t="s">
        <v>438</v>
      </c>
    </row>
    <row r="850" customFormat="false" ht="17.15" hidden="false" customHeight="false" outlineLevel="0" collapsed="false">
      <c r="A850" s="4" t="s">
        <v>437</v>
      </c>
      <c r="B850" s="0" t="s">
        <v>41</v>
      </c>
      <c r="C850" s="14" t="n">
        <f aca="false">C849/C845</f>
        <v>1.22373715907824</v>
      </c>
      <c r="D850" s="14" t="n">
        <f aca="false">D849/D845</f>
        <v>0.851416960133963</v>
      </c>
      <c r="E850" s="14" t="n">
        <f aca="false">E849/E845</f>
        <v>0.84</v>
      </c>
      <c r="F850" s="14" t="n">
        <f aca="false">F849/F845</f>
        <v>0.84</v>
      </c>
      <c r="G850" s="14" t="n">
        <f aca="false">G849/G845</f>
        <v>0.84</v>
      </c>
    </row>
    <row r="851" customFormat="false" ht="15" hidden="false" customHeight="false" outlineLevel="0" collapsed="false">
      <c r="A851" s="4" t="s">
        <v>576</v>
      </c>
      <c r="B851" s="4" t="s">
        <v>294</v>
      </c>
      <c r="C851" s="27" t="n">
        <f aca="false">a25_sh</f>
        <v>1.22253052164262</v>
      </c>
      <c r="D851" s="27" t="n">
        <f aca="false">a26_sh</f>
        <v>1.28264705882353</v>
      </c>
      <c r="E851" s="27" t="n">
        <f aca="false">D851*(1+sh_g)</f>
        <v>1.28264705882353</v>
      </c>
      <c r="F851" s="27" t="n">
        <f aca="false">E851*(1+sh_g)</f>
        <v>1.28264705882353</v>
      </c>
      <c r="G851" s="27" t="n">
        <f aca="false">F851*(1+sh_g)</f>
        <v>1.28264705882353</v>
      </c>
    </row>
    <row r="852" customFormat="false" ht="15" hidden="false" customHeight="false" outlineLevel="0" collapsed="false">
      <c r="A852" s="0" t="s">
        <v>442</v>
      </c>
      <c r="B852" s="0" t="s">
        <v>315</v>
      </c>
      <c r="C852" s="21" t="n">
        <f aca="false">C849/C851</f>
        <v>9.01</v>
      </c>
      <c r="D852" s="21" t="n">
        <f aca="false">D849/D851</f>
        <v>8.31568153318276</v>
      </c>
      <c r="E852" s="21" t="n">
        <f aca="false">E849/E851</f>
        <v>10.2502663385758</v>
      </c>
      <c r="F852" s="21" t="n">
        <f aca="false">F849/F851</f>
        <v>9.49381176947269</v>
      </c>
      <c r="G852" s="21" t="n">
        <f aca="false">G849/G851</f>
        <v>10.2297342515207</v>
      </c>
    </row>
    <row r="853" customFormat="false" ht="17.15" hidden="false" customHeight="false" outlineLevel="0" collapsed="false">
      <c r="A853" s="0" t="s">
        <v>577</v>
      </c>
      <c r="B853" s="0" t="s">
        <v>41</v>
      </c>
      <c r="D853" s="14" t="n">
        <f aca="false">D852/C852-1</f>
        <v>-0.0770608731206708</v>
      </c>
      <c r="E853" s="14" t="n">
        <f aca="false">E852/D852-1</f>
        <v>0.232642964701488</v>
      </c>
      <c r="F853" s="14" t="n">
        <f aca="false">F852/E852-1</f>
        <v>-0.0737985281666566</v>
      </c>
      <c r="G853" s="14" t="n">
        <f aca="false">G852/F852-1</f>
        <v>0.0775160177932293</v>
      </c>
      <c r="H853" s="8" t="s">
        <v>578</v>
      </c>
    </row>
    <row r="856" customFormat="false" ht="17.15" hidden="false" customHeight="false" outlineLevel="0" collapsed="false">
      <c r="A856" s="1" t="s">
        <v>879</v>
      </c>
    </row>
    <row r="857" customFormat="false" ht="17.15" hidden="false" customHeight="false" outlineLevel="0" collapsed="false">
      <c r="A857" s="5" t="s">
        <v>17</v>
      </c>
      <c r="B857" s="5" t="s">
        <v>18</v>
      </c>
      <c r="C857" s="12" t="s">
        <v>409</v>
      </c>
      <c r="D857" s="12" t="s">
        <v>520</v>
      </c>
      <c r="E857" s="12" t="s">
        <v>521</v>
      </c>
      <c r="F857" s="12" t="s">
        <v>522</v>
      </c>
      <c r="G857" s="12" t="s">
        <v>523</v>
      </c>
      <c r="H857" s="5" t="s">
        <v>488</v>
      </c>
    </row>
    <row r="858" customFormat="false" ht="17.15" hidden="false" customHeight="false" outlineLevel="0" collapsed="false">
      <c r="A858" s="6" t="s">
        <v>543</v>
      </c>
    </row>
    <row r="859" customFormat="false" ht="17.15" hidden="false" customHeight="false" outlineLevel="0" collapsed="false">
      <c r="A859" s="0" t="s">
        <v>491</v>
      </c>
      <c r="B859" s="4" t="s">
        <v>28</v>
      </c>
      <c r="D859" s="16" t="n">
        <f aca="false">u_bw_26*tt_bw</f>
        <v>5.4</v>
      </c>
      <c r="E859" s="16" t="n">
        <f aca="false">u_bw_27*1*tt_bw</f>
        <v>2.4</v>
      </c>
      <c r="F859" s="16" t="n">
        <f aca="false">u_bw_28*um28_A*1*tt_bw</f>
        <v>0.5</v>
      </c>
      <c r="G859" s="16" t="n">
        <f aca="false">u_bw_28*(1+g29_bw)*um29_A*1*tt_bw</f>
        <v>0.25</v>
      </c>
    </row>
    <row r="860" customFormat="false" ht="17.15" hidden="false" customHeight="false" outlineLevel="0" collapsed="false">
      <c r="A860" s="0" t="s">
        <v>493</v>
      </c>
      <c r="B860" s="4" t="s">
        <v>28</v>
      </c>
      <c r="D860" s="16" t="n">
        <f aca="false">u_rb_26*tt_rb</f>
        <v>2.55</v>
      </c>
      <c r="E860" s="16" t="n">
        <f aca="false">u_rb_27*1*tt_rb</f>
        <v>10.5</v>
      </c>
      <c r="F860" s="16" t="n">
        <f aca="false">u_rb_28*um28_A*1*tt_rb</f>
        <v>10.5</v>
      </c>
      <c r="G860" s="16" t="n">
        <f aca="false">u_rb_28*(1+g29_rb)*um29_A*1*tt_rb</f>
        <v>12.075</v>
      </c>
    </row>
    <row r="861" customFormat="false" ht="17.15" hidden="false" customHeight="false" outlineLevel="0" collapsed="false">
      <c r="A861" s="0" t="s">
        <v>494</v>
      </c>
      <c r="B861" s="4" t="s">
        <v>28</v>
      </c>
      <c r="D861" s="16" t="n">
        <f aca="false">u_ru_26*tt_ru</f>
        <v>0</v>
      </c>
      <c r="E861" s="16" t="n">
        <f aca="false">u_ru_27*1*tt_ru</f>
        <v>0.6</v>
      </c>
      <c r="F861" s="16" t="n">
        <f aca="false">u_ru_28*um28_A*1*tt_ru</f>
        <v>4</v>
      </c>
      <c r="G861" s="16" t="n">
        <f aca="false">u_ru_28*(1+g29_ru)*um29_A*1*tt_ru</f>
        <v>4.6</v>
      </c>
    </row>
    <row r="862" customFormat="false" ht="17.15" hidden="false" customHeight="false" outlineLevel="0" collapsed="false">
      <c r="A862" s="0" t="s">
        <v>495</v>
      </c>
      <c r="B862" s="4" t="s">
        <v>28</v>
      </c>
      <c r="D862" s="16" t="n">
        <f aca="false">u_hp_26*tt_hp</f>
        <v>0.3</v>
      </c>
      <c r="E862" s="16" t="n">
        <f aca="false">u_hp_27*1*tt_hp</f>
        <v>0</v>
      </c>
      <c r="F862" s="16" t="n">
        <f aca="false">u_hp_28*um28_A*1*tt_hp</f>
        <v>0</v>
      </c>
      <c r="G862" s="16" t="n">
        <f aca="false">u_hp_28*(1+g29_hp)*um29_A*1*tt_hp</f>
        <v>0</v>
      </c>
    </row>
    <row r="863" customFormat="false" ht="17.15" hidden="false" customHeight="false" outlineLevel="0" collapsed="false">
      <c r="A863" s="0" t="s">
        <v>496</v>
      </c>
      <c r="B863" s="4" t="s">
        <v>28</v>
      </c>
      <c r="D863" s="16" t="n">
        <f aca="false">u_amd_26*tt_amd*ex_amd</f>
        <v>0.165</v>
      </c>
      <c r="E863" s="16" t="n">
        <f aca="false">u_amd_27*1*tt_amd*ex_amd</f>
        <v>0.33</v>
      </c>
      <c r="F863" s="16" t="n">
        <f aca="false">u_amd_28*um28_A*1*tt_amd*ex_amd</f>
        <v>0.44</v>
      </c>
      <c r="G863" s="16" t="n">
        <f aca="false">u_amd_28*(1+g29_amd)*um29_A*1*tt_amd*ex_amd</f>
        <v>0.506</v>
      </c>
    </row>
    <row r="864" customFormat="false" ht="17.15" hidden="false" customHeight="false" outlineLevel="0" collapsed="false">
      <c r="A864" s="0" t="s">
        <v>498</v>
      </c>
      <c r="B864" s="4" t="s">
        <v>28</v>
      </c>
      <c r="D864" s="16" t="n">
        <f aca="false">u_tpu_26*tt_tpu*ex_tpu</f>
        <v>1.7325</v>
      </c>
      <c r="E864" s="16" t="n">
        <f aca="false">u_tpu_27*1*tt_tpu*ex_tpu</f>
        <v>2.475</v>
      </c>
      <c r="F864" s="16" t="n">
        <f aca="false">u_tpu_28*um28_A*1*tt_tpu*ex_tpu</f>
        <v>3.15</v>
      </c>
      <c r="G864" s="16" t="n">
        <f aca="false">u_tpu_28*(1+g29_tpu)*um29_A*1*tt_tpu*ex_tpu</f>
        <v>3.6225</v>
      </c>
    </row>
    <row r="865" customFormat="false" ht="17.15" hidden="false" customHeight="false" outlineLevel="0" collapsed="false">
      <c r="A865" s="0" t="s">
        <v>499</v>
      </c>
      <c r="B865" s="4" t="s">
        <v>28</v>
      </c>
      <c r="D865" s="16" t="n">
        <f aca="false">u_trn_26*tt_trn*ex_trn</f>
        <v>0.64</v>
      </c>
      <c r="E865" s="16" t="n">
        <f aca="false">u_trn_27*1*tt_trn*ex_trn</f>
        <v>0.8</v>
      </c>
      <c r="F865" s="16" t="n">
        <f aca="false">u_trn_28*um28_A*1*tt_trn*ex_trn</f>
        <v>0.96</v>
      </c>
      <c r="G865" s="16" t="n">
        <f aca="false">u_trn_28*(1+g29_trn)*um29_A*1*tt_trn*ex_trn</f>
        <v>1.104</v>
      </c>
    </row>
    <row r="866" customFormat="false" ht="17.15" hidden="false" customHeight="false" outlineLevel="0" collapsed="false">
      <c r="A866" s="4" t="s">
        <v>500</v>
      </c>
      <c r="B866" s="4" t="s">
        <v>28</v>
      </c>
      <c r="D866" s="16" t="n">
        <f aca="false">u_oth_26*tt_oth*ex_oth</f>
        <v>0.28</v>
      </c>
      <c r="E866" s="16" t="n">
        <f aca="false">u_oth_27*1*tt_oth*ex_oth</f>
        <v>1.26</v>
      </c>
      <c r="F866" s="16" t="n">
        <f aca="false">u_oth_28*um28_A*1*tt_oth*ex_oth</f>
        <v>1.4</v>
      </c>
      <c r="G866" s="16" t="n">
        <f aca="false">u_oth_28*(1+g29_oth)*um29_A*1*tt_oth*ex_oth</f>
        <v>1.61</v>
      </c>
    </row>
    <row r="867" customFormat="false" ht="15" hidden="false" customHeight="false" outlineLevel="0" collapsed="false">
      <c r="A867" s="4" t="s">
        <v>489</v>
      </c>
      <c r="B867" s="4" t="s">
        <v>28</v>
      </c>
      <c r="D867" s="16" t="n">
        <f aca="false">u_bw_26+u_rb_26+u_ru_26+u_hp_26+u_amd_26+u_tpu_26+u_trn_26+u_oth_26</f>
        <v>15.2</v>
      </c>
      <c r="E867" s="16" t="n">
        <f aca="false">u_bw_27*1+u_rb_27*1+u_ru_27*1+u_hp_27*1+u_amd_27*1+u_tpu_27*1+u_trn_27*1+u_oth_27*1</f>
        <v>23.7</v>
      </c>
      <c r="F867" s="16" t="n">
        <f aca="false">u_bw_28*um28_A*1+u_rb_28*um28_A*1+u_ru_28*um28_A*1+u_hp_28*um28_A*1+u_amd_28*um28_A*1+u_tpu_28*um28_A*1+u_trn_28*um28_A*1+u_oth_28*um28_A*1</f>
        <v>26.5</v>
      </c>
      <c r="G86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68" customFormat="false" ht="17.15" hidden="false" customHeight="false" outlineLevel="0" collapsed="false">
      <c r="A868" s="0" t="s">
        <v>544</v>
      </c>
      <c r="B868" s="4" t="s">
        <v>28</v>
      </c>
      <c r="D868" s="16" t="n">
        <f aca="false">D859+D860+D861+D862</f>
        <v>8.25</v>
      </c>
      <c r="E868" s="16" t="n">
        <f aca="false">E859+E860+E861+E862</f>
        <v>13.5</v>
      </c>
      <c r="F868" s="16" t="n">
        <f aca="false">F859+F860+F861+F862</f>
        <v>15</v>
      </c>
      <c r="G868" s="16" t="n">
        <f aca="false">G859+G860+G861+G862</f>
        <v>16.925</v>
      </c>
    </row>
    <row r="869" customFormat="false" ht="17.15" hidden="false" customHeight="false" outlineLevel="0" collapsed="false">
      <c r="A869" s="0" t="s">
        <v>545</v>
      </c>
      <c r="B869" s="4" t="s">
        <v>28</v>
      </c>
      <c r="D869" s="16" t="n">
        <f aca="false">D863+D864+D865+D866</f>
        <v>2.8175</v>
      </c>
      <c r="E869" s="16" t="n">
        <f aca="false">E863+E864+E865+E866</f>
        <v>4.865</v>
      </c>
      <c r="F869" s="16" t="n">
        <f aca="false">F863+F864+F865+F866</f>
        <v>5.95</v>
      </c>
      <c r="G869" s="16" t="n">
        <f aca="false">G863+G864+G865+G866</f>
        <v>6.8425</v>
      </c>
    </row>
    <row r="870" customFormat="false" ht="15" hidden="false" customHeight="false" outlineLevel="0" collapsed="false">
      <c r="A870" s="4" t="s">
        <v>546</v>
      </c>
      <c r="B870" s="4" t="s">
        <v>28</v>
      </c>
      <c r="D870" s="16" t="n">
        <f aca="false">D868+D869</f>
        <v>11.0675</v>
      </c>
      <c r="E870" s="16" t="n">
        <f aca="false">E868+E869</f>
        <v>18.365</v>
      </c>
      <c r="F870" s="16" t="n">
        <f aca="false">F868+F869</f>
        <v>20.95</v>
      </c>
      <c r="G870" s="16" t="n">
        <f aca="false">G868+G869</f>
        <v>23.7675</v>
      </c>
    </row>
    <row r="871" customFormat="false" ht="17.15" hidden="false" customHeight="false" outlineLevel="0" collapsed="false">
      <c r="A871" s="0" t="s">
        <v>547</v>
      </c>
      <c r="B871" s="0" t="s">
        <v>239</v>
      </c>
      <c r="D871" s="21" t="n">
        <f aca="false">a26_rev*ai_26</f>
        <v>16.603774145</v>
      </c>
    </row>
    <row r="872" customFormat="false" ht="17.15" hidden="false" customHeight="false" outlineLevel="0" collapsed="false">
      <c r="A872" s="4" t="s">
        <v>548</v>
      </c>
      <c r="B872" s="0" t="s">
        <v>549</v>
      </c>
      <c r="D872" s="27" t="n">
        <f aca="false">D871/D870</f>
        <v>1.50022806821775</v>
      </c>
      <c r="H872" s="8" t="s">
        <v>550</v>
      </c>
    </row>
    <row r="873" customFormat="false" ht="17.15" hidden="false" customHeight="false" outlineLevel="0" collapsed="false">
      <c r="A873" s="4" t="s">
        <v>551</v>
      </c>
      <c r="B873" s="0" t="s">
        <v>131</v>
      </c>
      <c r="D873" s="16" t="n">
        <f aca="false">1</f>
        <v>1</v>
      </c>
      <c r="E873" s="16" t="n">
        <f aca="false">rel_27</f>
        <v>0.95</v>
      </c>
      <c r="F873" s="16" t="n">
        <f aca="false">rel_28</f>
        <v>0.92</v>
      </c>
      <c r="G873" s="16" t="n">
        <f aca="false">rel_29</f>
        <v>0.9</v>
      </c>
    </row>
    <row r="874" customFormat="false" ht="17.15" hidden="false" customHeight="false" outlineLevel="0" collapsed="false">
      <c r="A874" s="4" t="s">
        <v>552</v>
      </c>
      <c r="B874" s="0" t="s">
        <v>131</v>
      </c>
      <c r="D874" s="16" t="n">
        <f aca="false">1</f>
        <v>1</v>
      </c>
      <c r="E874" s="16" t="n">
        <f aca="false">pp_27</f>
        <v>0.98</v>
      </c>
      <c r="F874" s="16" t="n">
        <f aca="false">pp_28</f>
        <v>0.96</v>
      </c>
      <c r="G874" s="16" t="n">
        <f aca="false">pp_29</f>
        <v>0.95</v>
      </c>
    </row>
    <row r="875" customFormat="false" ht="17.15" hidden="false" customHeight="false" outlineLevel="0" collapsed="false">
      <c r="A875" s="0" t="s">
        <v>553</v>
      </c>
      <c r="B875" s="0" t="s">
        <v>239</v>
      </c>
      <c r="C875" s="21" t="n">
        <f aca="false">a25_rev*ai_25</f>
        <v>9.60674</v>
      </c>
      <c r="D875" s="21" t="n">
        <f aca="false">D871</f>
        <v>16.603774145</v>
      </c>
      <c r="E875" s="21" t="n">
        <f aca="false">$D$872*E870*E873*E874</f>
        <v>25.6506219681945</v>
      </c>
      <c r="F875" s="21" t="n">
        <f aca="false">$D$872*F870*F873*F874</f>
        <v>27.7587799553558</v>
      </c>
      <c r="G875" s="21" t="n">
        <f aca="false">$D$872*G870*G873*G874</f>
        <v>30.4864533727175</v>
      </c>
    </row>
    <row r="876" customFormat="false" ht="17.15" hidden="false" customHeight="false" outlineLevel="0" collapsed="false">
      <c r="A876" s="4" t="s">
        <v>554</v>
      </c>
      <c r="B876" s="0" t="s">
        <v>239</v>
      </c>
      <c r="C876" s="21" t="n">
        <f aca="false">a25_rev-C875</f>
        <v>25.32686</v>
      </c>
      <c r="D876" s="21" t="n">
        <f aca="false">a26_rev-D875</f>
        <v>30.835580555</v>
      </c>
      <c r="E876" s="21" t="n">
        <f aca="false">D876*(1+g_nai27)</f>
        <v>34.5358502216</v>
      </c>
      <c r="F876" s="21" t="n">
        <f aca="false">E876*(1+g_nai28)</f>
        <v>36.953359737112</v>
      </c>
      <c r="G876" s="21" t="n">
        <f aca="false">F876*(1+g_nai29)</f>
        <v>38.8010277239676</v>
      </c>
    </row>
    <row r="877" customFormat="false" ht="15" hidden="false" customHeight="false" outlineLevel="0" collapsed="false">
      <c r="A877" s="4" t="s">
        <v>414</v>
      </c>
      <c r="B877" s="0" t="s">
        <v>239</v>
      </c>
      <c r="C877" s="21" t="n">
        <f aca="false">C875+C876</f>
        <v>34.9336</v>
      </c>
      <c r="D877" s="21" t="n">
        <f aca="false">D875+D876</f>
        <v>47.4393547</v>
      </c>
      <c r="E877" s="21" t="n">
        <f aca="false">E875+E876</f>
        <v>60.1864721897945</v>
      </c>
      <c r="F877" s="21" t="n">
        <f aca="false">F875+F876</f>
        <v>64.7121396924678</v>
      </c>
      <c r="G877" s="21" t="n">
        <f aca="false">G875+G876</f>
        <v>69.2874810966851</v>
      </c>
    </row>
    <row r="878" customFormat="false" ht="15" hidden="false" customHeight="false" outlineLevel="0" collapsed="false">
      <c r="A878" s="4" t="s">
        <v>555</v>
      </c>
      <c r="B878" s="0" t="s">
        <v>41</v>
      </c>
      <c r="D878" s="14" t="n">
        <f aca="false">D877/C877-1</f>
        <v>0.357986428538713</v>
      </c>
      <c r="E878" s="14" t="n">
        <f aca="false">E877/D877-1</f>
        <v>0.268703433476395</v>
      </c>
      <c r="F878" s="14" t="n">
        <f aca="false">F877/E877-1</f>
        <v>0.0751940982419084</v>
      </c>
      <c r="G878" s="14" t="n">
        <f aca="false">G877/F877-1</f>
        <v>0.070702984416227</v>
      </c>
    </row>
    <row r="879" customFormat="false" ht="17.15" hidden="false" customHeight="false" outlineLevel="0" collapsed="false">
      <c r="A879" s="0" t="s">
        <v>556</v>
      </c>
      <c r="B879" s="0" t="s">
        <v>41</v>
      </c>
      <c r="C879" s="14" t="n">
        <f aca="false">C875/C877</f>
        <v>0.275</v>
      </c>
      <c r="D879" s="14" t="n">
        <f aca="false">D875/D877</f>
        <v>0.35</v>
      </c>
      <c r="E879" s="14" t="n">
        <f aca="false">E875/E877</f>
        <v>0.426185836034829</v>
      </c>
      <c r="F879" s="14" t="n">
        <f aca="false">F875/F877</f>
        <v>0.42895784449833</v>
      </c>
      <c r="G879" s="14" t="n">
        <f aca="false">G875/G877</f>
        <v>0.439999447088805</v>
      </c>
    </row>
    <row r="880" customFormat="false" ht="17.15" hidden="false" customHeight="false" outlineLevel="0" collapsed="false">
      <c r="A880" s="0" t="s">
        <v>502</v>
      </c>
      <c r="B880" s="0" t="s">
        <v>41</v>
      </c>
      <c r="D880" s="14" t="n">
        <f aca="false">D868/D870</f>
        <v>0.745425796250282</v>
      </c>
      <c r="E880" s="14" t="n">
        <f aca="false">E868/E870</f>
        <v>0.735093928668663</v>
      </c>
      <c r="F880" s="14" t="n">
        <f aca="false">F868/F870</f>
        <v>0.715990453460621</v>
      </c>
      <c r="G880" s="14" t="n">
        <f aca="false">G868/G870</f>
        <v>0.71210686862312</v>
      </c>
    </row>
    <row r="881" customFormat="false" ht="17.15" hidden="false" customHeight="false" outlineLevel="0" collapsed="false">
      <c r="A881" s="4" t="s">
        <v>506</v>
      </c>
      <c r="B881" s="0" t="s">
        <v>507</v>
      </c>
      <c r="D881" s="22" t="n">
        <f aca="false">D875/D870/fx*1000</f>
        <v>46.8821271318048</v>
      </c>
      <c r="E881" s="22" t="n">
        <f aca="false">E875/E870/fx*1000</f>
        <v>43.6472603597103</v>
      </c>
      <c r="F881" s="22" t="n">
        <f aca="false">F875/F870/fx*1000</f>
        <v>41.40629468281</v>
      </c>
      <c r="G881" s="22" t="n">
        <f aca="false">G875/G870/fx*1000</f>
        <v>40.0842186976931</v>
      </c>
      <c r="H881" s="4" t="s">
        <v>557</v>
      </c>
    </row>
    <row r="882" customFormat="false" ht="17.15" hidden="false" customHeight="false" outlineLevel="0" collapsed="false">
      <c r="A882" s="6" t="s">
        <v>558</v>
      </c>
    </row>
    <row r="883" customFormat="false" ht="17.15" hidden="false" customHeight="false" outlineLevel="0" collapsed="false">
      <c r="A883" s="0" t="s">
        <v>559</v>
      </c>
      <c r="B883" s="0" t="s">
        <v>131</v>
      </c>
      <c r="C883" s="16" t="n">
        <f aca="false">(a25_capex-m_cx_lo*a25_rev)/(a25_rev-rev24)</f>
        <v>3.74582044826032</v>
      </c>
      <c r="H883" s="8" t="s">
        <v>560</v>
      </c>
    </row>
    <row r="884" customFormat="false" ht="17.15" hidden="false" customHeight="false" outlineLevel="0" collapsed="false">
      <c r="A884" s="4" t="s">
        <v>511</v>
      </c>
      <c r="B884" s="0" t="s">
        <v>239</v>
      </c>
      <c r="C884" s="21" t="n">
        <f aca="false">a25_capex</f>
        <v>32.3554</v>
      </c>
      <c r="D884" s="21" t="n">
        <f aca="false">capex_26</f>
        <v>42</v>
      </c>
      <c r="E884" s="21" t="n">
        <f aca="false">m_cx_lo*E877+$C$883*MAX(0,E877-D877)</f>
        <v>51.3596016810369</v>
      </c>
      <c r="F884" s="21" t="n">
        <f aca="false">m_cx_lo*F877+$C$883*MAX(0,F877-E877)</f>
        <v>20.8350662550889</v>
      </c>
      <c r="G884" s="21" t="n">
        <f aca="false">m_cx_lo*G877+$C$883*MAX(0,G877-F877)</f>
        <v>21.2956562554902</v>
      </c>
      <c r="H884" s="8" t="s">
        <v>561</v>
      </c>
    </row>
    <row r="885" customFormat="false" ht="17.15" hidden="false" customHeight="false" outlineLevel="0" collapsed="false">
      <c r="A885" s="4" t="s">
        <v>562</v>
      </c>
      <c r="B885" s="0" t="s">
        <v>41</v>
      </c>
      <c r="C885" s="14" t="n">
        <f aca="false">C884/C877</f>
        <v>0.926197128266197</v>
      </c>
      <c r="D885" s="14" t="n">
        <f aca="false">D884/D877</f>
        <v>0.885340879225746</v>
      </c>
      <c r="E885" s="14" t="n">
        <f aca="false">E884/E877</f>
        <v>0.853341287707932</v>
      </c>
      <c r="F885" s="14" t="n">
        <f aca="false">F884/F877</f>
        <v>0.321965343042336</v>
      </c>
      <c r="G885" s="14" t="n">
        <f aca="false">G884/G877</f>
        <v>0.307352149600789</v>
      </c>
    </row>
    <row r="886" customFormat="false" ht="15" hidden="false" customHeight="false" outlineLevel="0" collapsed="false">
      <c r="A886" s="4" t="s">
        <v>563</v>
      </c>
      <c r="B886" s="0" t="s">
        <v>239</v>
      </c>
      <c r="C886" s="21" t="n">
        <f aca="false">a25_da</f>
        <v>7.5143841</v>
      </c>
      <c r="D886" s="21" t="n">
        <f aca="false">a26_da</f>
        <v>11.32770694</v>
      </c>
      <c r="E886" s="21" t="n">
        <f aca="false">D886*(1-ret)+dr*(D884+E884)/2</f>
        <v>15.896099685457</v>
      </c>
      <c r="F886" s="21" t="n">
        <f aca="false">E886*(1-ret)+dr*(E884+F884)/2</f>
        <v>19.0720014376711</v>
      </c>
      <c r="G886" s="21" t="n">
        <f aca="false">F886*(1-ret)+dr*(F884+G884)/2</f>
        <v>20.4355911038694</v>
      </c>
    </row>
    <row r="887" customFormat="false" ht="17.15" hidden="false" customHeight="false" outlineLevel="0" collapsed="false">
      <c r="A887" s="4" t="s">
        <v>515</v>
      </c>
      <c r="B887" s="0" t="s">
        <v>41</v>
      </c>
      <c r="C887" s="14" t="n">
        <f aca="false">C886/C877</f>
        <v>0.215104773055168</v>
      </c>
      <c r="D887" s="14" t="n">
        <f aca="false">D886/D877</f>
        <v>0.238782905282647</v>
      </c>
      <c r="E887" s="14" t="n">
        <f aca="false">E886/E877</f>
        <v>0.264114162320888</v>
      </c>
      <c r="F887" s="14" t="n">
        <f aca="false">F886/F877</f>
        <v>0.294720612365889</v>
      </c>
      <c r="G887" s="14" t="n">
        <f aca="false">G886/G877</f>
        <v>0.294939154669993</v>
      </c>
    </row>
    <row r="888" customFormat="false" ht="17.15" hidden="false" customHeight="false" outlineLevel="0" collapsed="false">
      <c r="A888" s="4" t="s">
        <v>564</v>
      </c>
      <c r="B888" s="0" t="s">
        <v>239</v>
      </c>
      <c r="D888" s="16" t="n">
        <f aca="false">C886*(1-ret)+dr*(C884+D884)/2-D886</f>
        <v>-0.0994950449999994</v>
      </c>
      <c r="H888" s="4" t="s">
        <v>565</v>
      </c>
    </row>
    <row r="889" customFormat="false" ht="17.15" hidden="false" customHeight="false" outlineLevel="0" collapsed="false">
      <c r="A889" s="6" t="s">
        <v>566</v>
      </c>
    </row>
    <row r="890" customFormat="false" ht="17.15" hidden="false" customHeight="false" outlineLevel="0" collapsed="false">
      <c r="A890" s="4" t="s">
        <v>567</v>
      </c>
      <c r="B890" s="0" t="s">
        <v>239</v>
      </c>
      <c r="D890" s="21" t="n">
        <f aca="false">a26_cc-v_cc*a26_rev</f>
        <v>7.9821937335</v>
      </c>
      <c r="H890" s="8" t="s">
        <v>568</v>
      </c>
    </row>
    <row r="891" customFormat="false" ht="17.15" hidden="false" customHeight="false" outlineLevel="0" collapsed="false">
      <c r="A891" s="4" t="s">
        <v>569</v>
      </c>
      <c r="B891" s="0" t="s">
        <v>239</v>
      </c>
      <c r="C891" s="21" t="n">
        <f aca="false">a25_cc</f>
        <v>14.8984</v>
      </c>
      <c r="D891" s="21" t="n">
        <f aca="false">a26_cc</f>
        <v>17.4700646735</v>
      </c>
      <c r="E891" s="21" t="n">
        <f aca="false">$D$890+v_cc*(E875/E874+E876)</f>
        <v>20.1241845876556</v>
      </c>
      <c r="F891" s="21" t="n">
        <f aca="false">$D$890+v_cc*(F875/F874+F876)</f>
        <v>21.1559448382882</v>
      </c>
      <c r="G891" s="21" t="n">
        <f aca="false">$D$890+v_cc*(G875/G874+G876)</f>
        <v>22.1605999883393</v>
      </c>
      <c r="H891" s="4" t="s">
        <v>570</v>
      </c>
    </row>
    <row r="892" customFormat="false" ht="15" hidden="false" customHeight="false" outlineLevel="0" collapsed="false">
      <c r="A892" s="4" t="s">
        <v>571</v>
      </c>
      <c r="B892" s="0" t="s">
        <v>239</v>
      </c>
      <c r="C892" s="21" t="n">
        <f aca="false">C877-C891-C886</f>
        <v>12.5208159</v>
      </c>
      <c r="D892" s="21" t="n">
        <f aca="false">D877-D891-D886</f>
        <v>18.6415830865</v>
      </c>
      <c r="E892" s="21" t="n">
        <f aca="false">E877-E891-E886</f>
        <v>24.1661879166819</v>
      </c>
      <c r="F892" s="21" t="n">
        <f aca="false">F877-F891-F886</f>
        <v>24.4841934165086</v>
      </c>
      <c r="G892" s="21" t="n">
        <f aca="false">G877-G891-G886</f>
        <v>26.6912900044764</v>
      </c>
    </row>
    <row r="893" customFormat="false" ht="15" hidden="false" customHeight="false" outlineLevel="0" collapsed="false">
      <c r="A893" s="4" t="s">
        <v>421</v>
      </c>
      <c r="B893" s="0" t="s">
        <v>41</v>
      </c>
      <c r="C893" s="14" t="n">
        <f aca="false">C892/C877</f>
        <v>0.358417566468958</v>
      </c>
      <c r="D893" s="14" t="n">
        <f aca="false">D892/D877</f>
        <v>0.392956084760993</v>
      </c>
      <c r="E893" s="14" t="n">
        <f aca="false">E892/E877</f>
        <v>0.401521920747826</v>
      </c>
      <c r="F893" s="14" t="n">
        <f aca="false">F892/F877</f>
        <v>0.378355491455931</v>
      </c>
      <c r="G893" s="14" t="n">
        <f aca="false">G892/G877</f>
        <v>0.385225290081348</v>
      </c>
    </row>
    <row r="894" customFormat="false" ht="15" hidden="false" customHeight="false" outlineLevel="0" collapsed="false">
      <c r="A894" s="4" t="s">
        <v>572</v>
      </c>
      <c r="B894" s="0" t="s">
        <v>239</v>
      </c>
      <c r="C894" s="21" t="n">
        <f aca="false">a25_opx</f>
        <v>3.5197</v>
      </c>
      <c r="D894" s="21" t="n">
        <f aca="false">a26_opx</f>
        <v>6.1141318375</v>
      </c>
      <c r="E894" s="21" t="n">
        <f aca="false">D894*(1+MAX(0,phi*E878))</f>
        <v>7.09986476797815</v>
      </c>
      <c r="F894" s="21" t="n">
        <f aca="false">E894*(1+MAX(0,phi*F878))</f>
        <v>7.42018552529872</v>
      </c>
      <c r="G894" s="21" t="n">
        <f aca="false">F894*(1+MAX(0,phi*G878))</f>
        <v>7.73496308223515</v>
      </c>
    </row>
    <row r="895" customFormat="false" ht="15" hidden="false" customHeight="false" outlineLevel="0" collapsed="false">
      <c r="A895" s="4" t="s">
        <v>573</v>
      </c>
      <c r="B895" s="0" t="s">
        <v>239</v>
      </c>
      <c r="C895" s="21" t="n">
        <f aca="false">C894</f>
        <v>3.5197</v>
      </c>
      <c r="D895" s="21" t="n">
        <f aca="false">D894</f>
        <v>6.1141318375</v>
      </c>
      <c r="E895" s="21" t="n">
        <f aca="false">E894+0*E877</f>
        <v>7.09986476797815</v>
      </c>
      <c r="F895" s="21" t="n">
        <f aca="false">F894+0*F877</f>
        <v>7.42018552529872</v>
      </c>
      <c r="G895" s="21" t="n">
        <f aca="false">G894+0*G877</f>
        <v>7.73496308223515</v>
      </c>
    </row>
    <row r="896" customFormat="false" ht="15" hidden="false" customHeight="false" outlineLevel="0" collapsed="false">
      <c r="A896" s="4" t="s">
        <v>430</v>
      </c>
      <c r="B896" s="0" t="s">
        <v>239</v>
      </c>
      <c r="C896" s="21" t="n">
        <f aca="false">C892-C895</f>
        <v>9.0011159</v>
      </c>
      <c r="D896" s="21" t="n">
        <f aca="false">D892-D895</f>
        <v>12.527451249</v>
      </c>
      <c r="E896" s="21" t="n">
        <f aca="false">E892-E895</f>
        <v>17.0663231487037</v>
      </c>
      <c r="F896" s="21" t="n">
        <f aca="false">F892-F895</f>
        <v>17.0640078912098</v>
      </c>
      <c r="G896" s="21" t="n">
        <f aca="false">G892-G895</f>
        <v>18.9563269222413</v>
      </c>
    </row>
    <row r="897" customFormat="false" ht="15" hidden="false" customHeight="false" outlineLevel="0" collapsed="false">
      <c r="A897" s="4" t="s">
        <v>432</v>
      </c>
      <c r="B897" s="0" t="s">
        <v>41</v>
      </c>
      <c r="C897" s="14" t="n">
        <f aca="false">C896/C877</f>
        <v>0.25766356459111</v>
      </c>
      <c r="D897" s="14" t="n">
        <f aca="false">D896/D877</f>
        <v>0.264072969124936</v>
      </c>
      <c r="E897" s="14" t="n">
        <f aca="false">E896/E877</f>
        <v>0.283557459471725</v>
      </c>
      <c r="F897" s="14" t="n">
        <f aca="false">F896/F877</f>
        <v>0.263690985529196</v>
      </c>
      <c r="G897" s="14" t="n">
        <f aca="false">G896/G877</f>
        <v>0.273589494410819</v>
      </c>
    </row>
    <row r="898" customFormat="false" ht="17.15" hidden="false" customHeight="false" outlineLevel="0" collapsed="false">
      <c r="A898" s="0" t="s">
        <v>574</v>
      </c>
      <c r="B898" s="0" t="s">
        <v>239</v>
      </c>
      <c r="C898" s="21" t="n">
        <f aca="false">C896+C886</f>
        <v>16.5155</v>
      </c>
      <c r="D898" s="21" t="n">
        <f aca="false">D896+D886</f>
        <v>23.855158189</v>
      </c>
      <c r="E898" s="21" t="n">
        <f aca="false">E896+E886</f>
        <v>32.9624228341608</v>
      </c>
      <c r="F898" s="21" t="n">
        <f aca="false">F896+F886</f>
        <v>36.1360093288809</v>
      </c>
      <c r="G898" s="21" t="n">
        <f aca="false">G896+G886</f>
        <v>39.3919180261106</v>
      </c>
    </row>
    <row r="899" customFormat="false" ht="17.15" hidden="false" customHeight="false" outlineLevel="0" collapsed="false">
      <c r="A899" s="0" t="s">
        <v>575</v>
      </c>
      <c r="B899" s="0" t="s">
        <v>239</v>
      </c>
      <c r="C899" s="21" t="n">
        <f aca="false">C898-C884</f>
        <v>-15.8399</v>
      </c>
      <c r="D899" s="21" t="n">
        <f aca="false">D898-D884</f>
        <v>-18.144841811</v>
      </c>
      <c r="E899" s="21" t="n">
        <f aca="false">E898-E884</f>
        <v>-18.3971788468761</v>
      </c>
      <c r="F899" s="21" t="n">
        <f aca="false">F898-F884</f>
        <v>15.300943073792</v>
      </c>
      <c r="G899" s="21" t="n">
        <f aca="false">G898-G884</f>
        <v>18.0962617706204</v>
      </c>
    </row>
    <row r="900" customFormat="false" ht="17.15" hidden="false" customHeight="false" outlineLevel="0" collapsed="false">
      <c r="A900" s="4" t="s">
        <v>433</v>
      </c>
      <c r="B900" s="0" t="s">
        <v>239</v>
      </c>
      <c r="C900" s="21" t="n">
        <f aca="false">a25_ni</f>
        <v>11.015</v>
      </c>
      <c r="D900" s="21" t="n">
        <f aca="false">a26_ni</f>
        <v>10.66608446065</v>
      </c>
      <c r="E900" s="21" t="n">
        <f aca="false">E896*nir_f</f>
        <v>14.3357114449111</v>
      </c>
      <c r="F900" s="21" t="n">
        <f aca="false">F896*nir_f</f>
        <v>14.3337666286163</v>
      </c>
      <c r="G900" s="21" t="n">
        <f aca="false">G896*nir_f</f>
        <v>15.9233146146827</v>
      </c>
      <c r="H900" s="8" t="s">
        <v>438</v>
      </c>
    </row>
    <row r="901" customFormat="false" ht="17.15" hidden="false" customHeight="false" outlineLevel="0" collapsed="false">
      <c r="A901" s="4" t="s">
        <v>437</v>
      </c>
      <c r="B901" s="0" t="s">
        <v>41</v>
      </c>
      <c r="C901" s="14" t="n">
        <f aca="false">C900/C896</f>
        <v>1.22373715907824</v>
      </c>
      <c r="D901" s="14" t="n">
        <f aca="false">D900/D896</f>
        <v>0.851416960133963</v>
      </c>
      <c r="E901" s="14" t="n">
        <f aca="false">E900/E896</f>
        <v>0.84</v>
      </c>
      <c r="F901" s="14" t="n">
        <f aca="false">F900/F896</f>
        <v>0.84</v>
      </c>
      <c r="G901" s="14" t="n">
        <f aca="false">G900/G896</f>
        <v>0.84</v>
      </c>
    </row>
    <row r="902" customFormat="false" ht="15" hidden="false" customHeight="false" outlineLevel="0" collapsed="false">
      <c r="A902" s="4" t="s">
        <v>576</v>
      </c>
      <c r="B902" s="4" t="s">
        <v>294</v>
      </c>
      <c r="C902" s="27" t="n">
        <f aca="false">a25_sh</f>
        <v>1.22253052164262</v>
      </c>
      <c r="D902" s="27" t="n">
        <f aca="false">a26_sh</f>
        <v>1.28264705882353</v>
      </c>
      <c r="E902" s="27" t="n">
        <f aca="false">D902*(1+sh_g)</f>
        <v>1.28264705882353</v>
      </c>
      <c r="F902" s="27" t="n">
        <f aca="false">E902*(1+sh_g)</f>
        <v>1.28264705882353</v>
      </c>
      <c r="G902" s="27" t="n">
        <f aca="false">F902*(1+sh_g)</f>
        <v>1.28264705882353</v>
      </c>
    </row>
    <row r="903" customFormat="false" ht="15" hidden="false" customHeight="false" outlineLevel="0" collapsed="false">
      <c r="A903" s="0" t="s">
        <v>442</v>
      </c>
      <c r="B903" s="0" t="s">
        <v>315</v>
      </c>
      <c r="C903" s="21" t="n">
        <f aca="false">C900/C902</f>
        <v>9.01</v>
      </c>
      <c r="D903" s="21" t="n">
        <f aca="false">D900/D902</f>
        <v>8.31568153318276</v>
      </c>
      <c r="E903" s="21" t="n">
        <f aca="false">E900/E902</f>
        <v>11.1766610668878</v>
      </c>
      <c r="F903" s="21" t="n">
        <f aca="false">F900/F902</f>
        <v>11.1751448147891</v>
      </c>
      <c r="G903" s="21" t="n">
        <f aca="false">G900/G902</f>
        <v>12.41441634715</v>
      </c>
    </row>
    <row r="904" customFormat="false" ht="17.15" hidden="false" customHeight="false" outlineLevel="0" collapsed="false">
      <c r="A904" s="0" t="s">
        <v>577</v>
      </c>
      <c r="B904" s="0" t="s">
        <v>41</v>
      </c>
      <c r="D904" s="14" t="n">
        <f aca="false">D903/C903-1</f>
        <v>-0.0770608731206708</v>
      </c>
      <c r="E904" s="14" t="n">
        <f aca="false">E903/D903-1</f>
        <v>0.344046308446119</v>
      </c>
      <c r="F904" s="14" t="n">
        <f aca="false">F903/E903-1</f>
        <v>-0.000135662349396326</v>
      </c>
      <c r="G904" s="14" t="n">
        <f aca="false">G903/F903-1</f>
        <v>0.110895344346753</v>
      </c>
      <c r="H904" s="8" t="s">
        <v>578</v>
      </c>
    </row>
    <row r="907" customFormat="false" ht="17.15" hidden="false" customHeight="false" outlineLevel="0" collapsed="false">
      <c r="A907" s="1" t="s">
        <v>880</v>
      </c>
    </row>
    <row r="908" customFormat="false" ht="17.15" hidden="false" customHeight="false" outlineLevel="0" collapsed="false">
      <c r="A908" s="5" t="s">
        <v>17</v>
      </c>
      <c r="B908" s="5" t="s">
        <v>18</v>
      </c>
      <c r="C908" s="12" t="s">
        <v>409</v>
      </c>
      <c r="D908" s="12" t="s">
        <v>520</v>
      </c>
      <c r="E908" s="12" t="s">
        <v>521</v>
      </c>
      <c r="F908" s="12" t="s">
        <v>522</v>
      </c>
      <c r="G908" s="12" t="s">
        <v>523</v>
      </c>
      <c r="H908" s="5" t="s">
        <v>488</v>
      </c>
    </row>
    <row r="909" customFormat="false" ht="17.15" hidden="false" customHeight="false" outlineLevel="0" collapsed="false">
      <c r="A909" s="6" t="s">
        <v>543</v>
      </c>
    </row>
    <row r="910" customFormat="false" ht="17.15" hidden="false" customHeight="false" outlineLevel="0" collapsed="false">
      <c r="A910" s="0" t="s">
        <v>491</v>
      </c>
      <c r="B910" s="4" t="s">
        <v>28</v>
      </c>
      <c r="D910" s="16" t="n">
        <f aca="false">u_bw_26*tt_bw</f>
        <v>5.4</v>
      </c>
      <c r="E910" s="16" t="n">
        <f aca="false">u_bw_27*1*tt_bw</f>
        <v>2.4</v>
      </c>
      <c r="F910" s="16" t="n">
        <f aca="false">u_bw_28*um28_A*1*tt_bw</f>
        <v>0.5</v>
      </c>
      <c r="G910" s="16" t="n">
        <f aca="false">u_bw_28*(1+g29_bw)*um29_A*1*tt_bw</f>
        <v>0.25</v>
      </c>
    </row>
    <row r="911" customFormat="false" ht="17.15" hidden="false" customHeight="false" outlineLevel="0" collapsed="false">
      <c r="A911" s="0" t="s">
        <v>493</v>
      </c>
      <c r="B911" s="4" t="s">
        <v>28</v>
      </c>
      <c r="D911" s="16" t="n">
        <f aca="false">u_rb_26*tt_rb</f>
        <v>2.55</v>
      </c>
      <c r="E911" s="16" t="n">
        <f aca="false">u_rb_27*1*tt_rb</f>
        <v>10.5</v>
      </c>
      <c r="F911" s="16" t="n">
        <f aca="false">u_rb_28*um28_A*1*tt_rb</f>
        <v>10.5</v>
      </c>
      <c r="G911" s="16" t="n">
        <f aca="false">u_rb_28*(1+g29_rb)*um29_A*1*tt_rb</f>
        <v>12.075</v>
      </c>
    </row>
    <row r="912" customFormat="false" ht="17.15" hidden="false" customHeight="false" outlineLevel="0" collapsed="false">
      <c r="A912" s="0" t="s">
        <v>494</v>
      </c>
      <c r="B912" s="4" t="s">
        <v>28</v>
      </c>
      <c r="D912" s="16" t="n">
        <f aca="false">u_ru_26*tt_ru</f>
        <v>0</v>
      </c>
      <c r="E912" s="16" t="n">
        <f aca="false">u_ru_27*1*tt_ru</f>
        <v>0.6</v>
      </c>
      <c r="F912" s="16" t="n">
        <f aca="false">u_ru_28*um28_A*1*tt_ru</f>
        <v>4</v>
      </c>
      <c r="G912" s="16" t="n">
        <f aca="false">u_ru_28*(1+g29_ru)*um29_A*1*tt_ru</f>
        <v>4.6</v>
      </c>
    </row>
    <row r="913" customFormat="false" ht="17.15" hidden="false" customHeight="false" outlineLevel="0" collapsed="false">
      <c r="A913" s="0" t="s">
        <v>495</v>
      </c>
      <c r="B913" s="4" t="s">
        <v>28</v>
      </c>
      <c r="D913" s="16" t="n">
        <f aca="false">u_hp_26*tt_hp</f>
        <v>0.3</v>
      </c>
      <c r="E913" s="16" t="n">
        <f aca="false">u_hp_27*1*tt_hp</f>
        <v>0</v>
      </c>
      <c r="F913" s="16" t="n">
        <f aca="false">u_hp_28*um28_A*1*tt_hp</f>
        <v>0</v>
      </c>
      <c r="G913" s="16" t="n">
        <f aca="false">u_hp_28*(1+g29_hp)*um29_A*1*tt_hp</f>
        <v>0</v>
      </c>
    </row>
    <row r="914" customFormat="false" ht="17.15" hidden="false" customHeight="false" outlineLevel="0" collapsed="false">
      <c r="A914" s="0" t="s">
        <v>496</v>
      </c>
      <c r="B914" s="4" t="s">
        <v>28</v>
      </c>
      <c r="D914" s="16" t="n">
        <f aca="false">u_amd_26*tt_amd*ex_amd</f>
        <v>0.165</v>
      </c>
      <c r="E914" s="16" t="n">
        <f aca="false">u_amd_27*1*tt_amd*ex_amd</f>
        <v>0.33</v>
      </c>
      <c r="F914" s="16" t="n">
        <f aca="false">u_amd_28*um28_A*1*tt_amd*ex_amd</f>
        <v>0.44</v>
      </c>
      <c r="G914" s="16" t="n">
        <f aca="false">u_amd_28*(1+g29_amd)*um29_A*1*tt_amd*ex_amd</f>
        <v>0.506</v>
      </c>
    </row>
    <row r="915" customFormat="false" ht="17.15" hidden="false" customHeight="false" outlineLevel="0" collapsed="false">
      <c r="A915" s="0" t="s">
        <v>498</v>
      </c>
      <c r="B915" s="4" t="s">
        <v>28</v>
      </c>
      <c r="D915" s="16" t="n">
        <f aca="false">u_tpu_26*tt_tpu*ex_tpu</f>
        <v>1.7325</v>
      </c>
      <c r="E915" s="16" t="n">
        <f aca="false">u_tpu_27*1*tt_tpu*ex_tpu</f>
        <v>2.475</v>
      </c>
      <c r="F915" s="16" t="n">
        <f aca="false">u_tpu_28*um28_A*1*tt_tpu*ex_tpu</f>
        <v>3.15</v>
      </c>
      <c r="G915" s="16" t="n">
        <f aca="false">u_tpu_28*(1+g29_tpu)*um29_A*1*tt_tpu*ex_tpu</f>
        <v>3.6225</v>
      </c>
    </row>
    <row r="916" customFormat="false" ht="17.15" hidden="false" customHeight="false" outlineLevel="0" collapsed="false">
      <c r="A916" s="0" t="s">
        <v>499</v>
      </c>
      <c r="B916" s="4" t="s">
        <v>28</v>
      </c>
      <c r="D916" s="16" t="n">
        <f aca="false">u_trn_26*tt_trn*ex_trn</f>
        <v>0.64</v>
      </c>
      <c r="E916" s="16" t="n">
        <f aca="false">u_trn_27*1*tt_trn*ex_trn</f>
        <v>0.8</v>
      </c>
      <c r="F916" s="16" t="n">
        <f aca="false">u_trn_28*um28_A*1*tt_trn*ex_trn</f>
        <v>0.96</v>
      </c>
      <c r="G916" s="16" t="n">
        <f aca="false">u_trn_28*(1+g29_trn)*um29_A*1*tt_trn*ex_trn</f>
        <v>1.104</v>
      </c>
    </row>
    <row r="917" customFormat="false" ht="17.15" hidden="false" customHeight="false" outlineLevel="0" collapsed="false">
      <c r="A917" s="4" t="s">
        <v>500</v>
      </c>
      <c r="B917" s="4" t="s">
        <v>28</v>
      </c>
      <c r="D917" s="16" t="n">
        <f aca="false">u_oth_26*tt_oth*ex_oth</f>
        <v>0.28</v>
      </c>
      <c r="E917" s="16" t="n">
        <f aca="false">u_oth_27*1*tt_oth*ex_oth</f>
        <v>1.26</v>
      </c>
      <c r="F917" s="16" t="n">
        <f aca="false">u_oth_28*um28_A*1*tt_oth*ex_oth</f>
        <v>1.4</v>
      </c>
      <c r="G917" s="16" t="n">
        <f aca="false">u_oth_28*(1+g29_oth)*um29_A*1*tt_oth*ex_oth</f>
        <v>1.61</v>
      </c>
    </row>
    <row r="918" customFormat="false" ht="15" hidden="false" customHeight="false" outlineLevel="0" collapsed="false">
      <c r="A918" s="4" t="s">
        <v>489</v>
      </c>
      <c r="B918" s="4" t="s">
        <v>28</v>
      </c>
      <c r="D918" s="16" t="n">
        <f aca="false">u_bw_26+u_rb_26+u_ru_26+u_hp_26+u_amd_26+u_tpu_26+u_trn_26+u_oth_26</f>
        <v>15.2</v>
      </c>
      <c r="E918" s="16" t="n">
        <f aca="false">u_bw_27*1+u_rb_27*1+u_ru_27*1+u_hp_27*1+u_amd_27*1+u_tpu_27*1+u_trn_27*1+u_oth_27*1</f>
        <v>23.7</v>
      </c>
      <c r="F918" s="16" t="n">
        <f aca="false">u_bw_28*um28_A*1+u_rb_28*um28_A*1+u_ru_28*um28_A*1+u_hp_28*um28_A*1+u_amd_28*um28_A*1+u_tpu_28*um28_A*1+u_trn_28*um28_A*1+u_oth_28*um28_A*1</f>
        <v>26.5</v>
      </c>
      <c r="G91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19" customFormat="false" ht="17.15" hidden="false" customHeight="false" outlineLevel="0" collapsed="false">
      <c r="A919" s="0" t="s">
        <v>544</v>
      </c>
      <c r="B919" s="4" t="s">
        <v>28</v>
      </c>
      <c r="D919" s="16" t="n">
        <f aca="false">D910+D911+D912+D913</f>
        <v>8.25</v>
      </c>
      <c r="E919" s="16" t="n">
        <f aca="false">E910+E911+E912+E913</f>
        <v>13.5</v>
      </c>
      <c r="F919" s="16" t="n">
        <f aca="false">F910+F911+F912+F913</f>
        <v>15</v>
      </c>
      <c r="G919" s="16" t="n">
        <f aca="false">G910+G911+G912+G913</f>
        <v>16.925</v>
      </c>
    </row>
    <row r="920" customFormat="false" ht="17.15" hidden="false" customHeight="false" outlineLevel="0" collapsed="false">
      <c r="A920" s="0" t="s">
        <v>545</v>
      </c>
      <c r="B920" s="4" t="s">
        <v>28</v>
      </c>
      <c r="D920" s="16" t="n">
        <f aca="false">D914+D915+D916+D917</f>
        <v>2.8175</v>
      </c>
      <c r="E920" s="16" t="n">
        <f aca="false">E914+E915+E916+E917</f>
        <v>4.865</v>
      </c>
      <c r="F920" s="16" t="n">
        <f aca="false">F914+F915+F916+F917</f>
        <v>5.95</v>
      </c>
      <c r="G920" s="16" t="n">
        <f aca="false">G914+G915+G916+G917</f>
        <v>6.8425</v>
      </c>
    </row>
    <row r="921" customFormat="false" ht="15" hidden="false" customHeight="false" outlineLevel="0" collapsed="false">
      <c r="A921" s="4" t="s">
        <v>546</v>
      </c>
      <c r="B921" s="4" t="s">
        <v>28</v>
      </c>
      <c r="D921" s="16" t="n">
        <f aca="false">D919+D920</f>
        <v>11.0675</v>
      </c>
      <c r="E921" s="16" t="n">
        <f aca="false">E919+E920</f>
        <v>18.365</v>
      </c>
      <c r="F921" s="16" t="n">
        <f aca="false">F919+F920</f>
        <v>20.95</v>
      </c>
      <c r="G921" s="16" t="n">
        <f aca="false">G919+G920</f>
        <v>23.7675</v>
      </c>
    </row>
    <row r="922" customFormat="false" ht="17.15" hidden="false" customHeight="false" outlineLevel="0" collapsed="false">
      <c r="A922" s="0" t="s">
        <v>547</v>
      </c>
      <c r="B922" s="0" t="s">
        <v>239</v>
      </c>
      <c r="D922" s="21" t="n">
        <f aca="false">a26_rev*ai_26</f>
        <v>16.603774145</v>
      </c>
    </row>
    <row r="923" customFormat="false" ht="17.15" hidden="false" customHeight="false" outlineLevel="0" collapsed="false">
      <c r="A923" s="4" t="s">
        <v>548</v>
      </c>
      <c r="B923" s="0" t="s">
        <v>549</v>
      </c>
      <c r="D923" s="27" t="n">
        <f aca="false">D922/D921</f>
        <v>1.50022806821775</v>
      </c>
      <c r="H923" s="8" t="s">
        <v>550</v>
      </c>
    </row>
    <row r="924" customFormat="false" ht="17.15" hidden="false" customHeight="false" outlineLevel="0" collapsed="false">
      <c r="A924" s="4" t="s">
        <v>551</v>
      </c>
      <c r="B924" s="0" t="s">
        <v>131</v>
      </c>
      <c r="D924" s="16" t="n">
        <f aca="false">1</f>
        <v>1</v>
      </c>
      <c r="E924" s="16" t="n">
        <f aca="false">rel_27</f>
        <v>0.95</v>
      </c>
      <c r="F924" s="16" t="n">
        <f aca="false">rel_28</f>
        <v>0.92</v>
      </c>
      <c r="G924" s="16" t="n">
        <f aca="false">rel_29</f>
        <v>0.9</v>
      </c>
    </row>
    <row r="925" customFormat="false" ht="17.15" hidden="false" customHeight="false" outlineLevel="0" collapsed="false">
      <c r="A925" s="4" t="s">
        <v>552</v>
      </c>
      <c r="B925" s="0" t="s">
        <v>131</v>
      </c>
      <c r="D925" s="16" t="n">
        <f aca="false">1</f>
        <v>1</v>
      </c>
      <c r="E925" s="16" t="n">
        <f aca="false">pp_27</f>
        <v>0.98</v>
      </c>
      <c r="F925" s="16" t="n">
        <f aca="false">pp_28</f>
        <v>0.96</v>
      </c>
      <c r="G925" s="16" t="n">
        <f aca="false">pp_29</f>
        <v>0.95</v>
      </c>
    </row>
    <row r="926" customFormat="false" ht="17.15" hidden="false" customHeight="false" outlineLevel="0" collapsed="false">
      <c r="A926" s="0" t="s">
        <v>553</v>
      </c>
      <c r="B926" s="0" t="s">
        <v>239</v>
      </c>
      <c r="C926" s="21" t="n">
        <f aca="false">a25_rev*ai_25</f>
        <v>9.60674</v>
      </c>
      <c r="D926" s="21" t="n">
        <f aca="false">D922</f>
        <v>16.603774145</v>
      </c>
      <c r="E926" s="21" t="n">
        <f aca="false">$D$923*E921*E924*E925</f>
        <v>25.6506219681945</v>
      </c>
      <c r="F926" s="21" t="n">
        <f aca="false">$D$923*F921*F924*F925</f>
        <v>27.7587799553558</v>
      </c>
      <c r="G926" s="21" t="n">
        <f aca="false">$D$923*G921*G924*G925</f>
        <v>30.4864533727175</v>
      </c>
    </row>
    <row r="927" customFormat="false" ht="17.15" hidden="false" customHeight="false" outlineLevel="0" collapsed="false">
      <c r="A927" s="4" t="s">
        <v>554</v>
      </c>
      <c r="B927" s="0" t="s">
        <v>239</v>
      </c>
      <c r="C927" s="21" t="n">
        <f aca="false">a25_rev-C926</f>
        <v>25.32686</v>
      </c>
      <c r="D927" s="21" t="n">
        <f aca="false">a26_rev-D926</f>
        <v>30.835580555</v>
      </c>
      <c r="E927" s="21" t="n">
        <f aca="false">D927*(1+g_nai27)</f>
        <v>34.5358502216</v>
      </c>
      <c r="F927" s="21" t="n">
        <f aca="false">E927*(1+g_nai28)</f>
        <v>36.953359737112</v>
      </c>
      <c r="G927" s="21" t="n">
        <f aca="false">F927*(1+g_nai29)</f>
        <v>38.8010277239676</v>
      </c>
    </row>
    <row r="928" customFormat="false" ht="15" hidden="false" customHeight="false" outlineLevel="0" collapsed="false">
      <c r="A928" s="4" t="s">
        <v>414</v>
      </c>
      <c r="B928" s="0" t="s">
        <v>239</v>
      </c>
      <c r="C928" s="21" t="n">
        <f aca="false">C926+C927</f>
        <v>34.9336</v>
      </c>
      <c r="D928" s="21" t="n">
        <f aca="false">D926+D927</f>
        <v>47.4393547</v>
      </c>
      <c r="E928" s="21" t="n">
        <f aca="false">E926+E927</f>
        <v>60.1864721897945</v>
      </c>
      <c r="F928" s="21" t="n">
        <f aca="false">F926+F927</f>
        <v>64.7121396924678</v>
      </c>
      <c r="G928" s="21" t="n">
        <f aca="false">G926+G927</f>
        <v>69.2874810966851</v>
      </c>
    </row>
    <row r="929" customFormat="false" ht="15" hidden="false" customHeight="false" outlineLevel="0" collapsed="false">
      <c r="A929" s="4" t="s">
        <v>555</v>
      </c>
      <c r="B929" s="0" t="s">
        <v>41</v>
      </c>
      <c r="D929" s="14" t="n">
        <f aca="false">D928/C928-1</f>
        <v>0.357986428538713</v>
      </c>
      <c r="E929" s="14" t="n">
        <f aca="false">E928/D928-1</f>
        <v>0.268703433476395</v>
      </c>
      <c r="F929" s="14" t="n">
        <f aca="false">F928/E928-1</f>
        <v>0.0751940982419084</v>
      </c>
      <c r="G929" s="14" t="n">
        <f aca="false">G928/F928-1</f>
        <v>0.070702984416227</v>
      </c>
    </row>
    <row r="930" customFormat="false" ht="17.15" hidden="false" customHeight="false" outlineLevel="0" collapsed="false">
      <c r="A930" s="0" t="s">
        <v>556</v>
      </c>
      <c r="B930" s="0" t="s">
        <v>41</v>
      </c>
      <c r="C930" s="14" t="n">
        <f aca="false">C926/C928</f>
        <v>0.275</v>
      </c>
      <c r="D930" s="14" t="n">
        <f aca="false">D926/D928</f>
        <v>0.35</v>
      </c>
      <c r="E930" s="14" t="n">
        <f aca="false">E926/E928</f>
        <v>0.426185836034829</v>
      </c>
      <c r="F930" s="14" t="n">
        <f aca="false">F926/F928</f>
        <v>0.42895784449833</v>
      </c>
      <c r="G930" s="14" t="n">
        <f aca="false">G926/G928</f>
        <v>0.439999447088805</v>
      </c>
    </row>
    <row r="931" customFormat="false" ht="17.15" hidden="false" customHeight="false" outlineLevel="0" collapsed="false">
      <c r="A931" s="0" t="s">
        <v>502</v>
      </c>
      <c r="B931" s="0" t="s">
        <v>41</v>
      </c>
      <c r="D931" s="14" t="n">
        <f aca="false">D919/D921</f>
        <v>0.745425796250282</v>
      </c>
      <c r="E931" s="14" t="n">
        <f aca="false">E919/E921</f>
        <v>0.735093928668663</v>
      </c>
      <c r="F931" s="14" t="n">
        <f aca="false">F919/F921</f>
        <v>0.715990453460621</v>
      </c>
      <c r="G931" s="14" t="n">
        <f aca="false">G919/G921</f>
        <v>0.71210686862312</v>
      </c>
    </row>
    <row r="932" customFormat="false" ht="17.15" hidden="false" customHeight="false" outlineLevel="0" collapsed="false">
      <c r="A932" s="4" t="s">
        <v>506</v>
      </c>
      <c r="B932" s="0" t="s">
        <v>507</v>
      </c>
      <c r="D932" s="22" t="n">
        <f aca="false">D926/D921/fx*1000</f>
        <v>46.8821271318048</v>
      </c>
      <c r="E932" s="22" t="n">
        <f aca="false">E926/E921/fx*1000</f>
        <v>43.6472603597103</v>
      </c>
      <c r="F932" s="22" t="n">
        <f aca="false">F926/F921/fx*1000</f>
        <v>41.40629468281</v>
      </c>
      <c r="G932" s="22" t="n">
        <f aca="false">G926/G921/fx*1000</f>
        <v>40.0842186976931</v>
      </c>
      <c r="H932" s="4" t="s">
        <v>557</v>
      </c>
    </row>
    <row r="933" customFormat="false" ht="17.15" hidden="false" customHeight="false" outlineLevel="0" collapsed="false">
      <c r="A933" s="6" t="s">
        <v>558</v>
      </c>
    </row>
    <row r="934" customFormat="false" ht="17.15" hidden="false" customHeight="false" outlineLevel="0" collapsed="false">
      <c r="A934" s="0" t="s">
        <v>559</v>
      </c>
      <c r="B934" s="0" t="s">
        <v>131</v>
      </c>
      <c r="C934" s="16" t="n">
        <f aca="false">(a25_capex-m_cx_hi*a25_rev)/(a25_rev-rev24)</f>
        <v>3.35662054290134</v>
      </c>
      <c r="H934" s="8" t="s">
        <v>560</v>
      </c>
    </row>
    <row r="935" customFormat="false" ht="17.15" hidden="false" customHeight="false" outlineLevel="0" collapsed="false">
      <c r="A935" s="4" t="s">
        <v>511</v>
      </c>
      <c r="B935" s="0" t="s">
        <v>239</v>
      </c>
      <c r="C935" s="21" t="n">
        <f aca="false">a25_capex</f>
        <v>32.3554</v>
      </c>
      <c r="D935" s="21" t="n">
        <f aca="false">capex_26</f>
        <v>42</v>
      </c>
      <c r="E935" s="21" t="n">
        <f aca="false">m_cx_hi*E928+$C$934*MAX(0,E928-D928)</f>
        <v>51.8152072574905</v>
      </c>
      <c r="F935" s="21" t="n">
        <f aca="false">m_cx_hi*F928+$C$934*MAX(0,F928-E928)</f>
        <v>24.8977694636844</v>
      </c>
      <c r="G935" s="21" t="n">
        <f aca="false">m_cx_hi*G928+$C$934*MAX(0,G928-F928)</f>
        <v>25.7508071126855</v>
      </c>
      <c r="H935" s="8" t="s">
        <v>561</v>
      </c>
    </row>
    <row r="936" customFormat="false" ht="17.15" hidden="false" customHeight="false" outlineLevel="0" collapsed="false">
      <c r="A936" s="4" t="s">
        <v>562</v>
      </c>
      <c r="B936" s="0" t="s">
        <v>41</v>
      </c>
      <c r="C936" s="14" t="n">
        <f aca="false">C935/C928</f>
        <v>0.926197128266197</v>
      </c>
      <c r="D936" s="14" t="n">
        <f aca="false">D935/D928</f>
        <v>0.885340879225746</v>
      </c>
      <c r="E936" s="14" t="n">
        <f aca="false">E935/E928</f>
        <v>0.8609111877183</v>
      </c>
      <c r="F936" s="14" t="n">
        <f aca="false">F935/F928</f>
        <v>0.384746503237357</v>
      </c>
      <c r="G936" s="14" t="n">
        <f aca="false">G935/G928</f>
        <v>0.371651656332437</v>
      </c>
    </row>
    <row r="937" customFormat="false" ht="15" hidden="false" customHeight="false" outlineLevel="0" collapsed="false">
      <c r="A937" s="4" t="s">
        <v>563</v>
      </c>
      <c r="B937" s="0" t="s">
        <v>239</v>
      </c>
      <c r="C937" s="21" t="n">
        <f aca="false">a25_da</f>
        <v>7.5143841</v>
      </c>
      <c r="D937" s="21" t="n">
        <f aca="false">a26_da</f>
        <v>11.32770694</v>
      </c>
      <c r="E937" s="21" t="n">
        <f aca="false">D937*(1-ret)+dr*(D935+E935)/2</f>
        <v>15.921157992162</v>
      </c>
      <c r="F937" s="21" t="n">
        <f aca="false">E937*(1-ret)+dr*(E935+F935)/2</f>
        <v>19.3443138122185</v>
      </c>
      <c r="G937" s="21" t="n">
        <f aca="false">F937*(1-ret)+dr*(F935+G935)/2</f>
        <v>21.1627698333079</v>
      </c>
    </row>
    <row r="938" customFormat="false" ht="17.15" hidden="false" customHeight="false" outlineLevel="0" collapsed="false">
      <c r="A938" s="4" t="s">
        <v>515</v>
      </c>
      <c r="B938" s="0" t="s">
        <v>41</v>
      </c>
      <c r="C938" s="14" t="n">
        <f aca="false">C937/C928</f>
        <v>0.215104773055168</v>
      </c>
      <c r="D938" s="14" t="n">
        <f aca="false">D937/D928</f>
        <v>0.238782905282647</v>
      </c>
      <c r="E938" s="14" t="n">
        <f aca="false">E937/E928</f>
        <v>0.264530506821459</v>
      </c>
      <c r="F938" s="14" t="n">
        <f aca="false">F937/F928</f>
        <v>0.298928669398797</v>
      </c>
      <c r="G938" s="14" t="n">
        <f aca="false">G937/G928</f>
        <v>0.30543425014653</v>
      </c>
    </row>
    <row r="939" customFormat="false" ht="17.15" hidden="false" customHeight="false" outlineLevel="0" collapsed="false">
      <c r="A939" s="4" t="s">
        <v>564</v>
      </c>
      <c r="B939" s="0" t="s">
        <v>239</v>
      </c>
      <c r="D939" s="16" t="n">
        <f aca="false">C937*(1-ret)+dr*(C935+D935)/2-D937</f>
        <v>-0.0994950449999994</v>
      </c>
      <c r="H939" s="4" t="s">
        <v>565</v>
      </c>
    </row>
    <row r="940" customFormat="false" ht="17.15" hidden="false" customHeight="false" outlineLevel="0" collapsed="false">
      <c r="A940" s="6" t="s">
        <v>566</v>
      </c>
    </row>
    <row r="941" customFormat="false" ht="17.15" hidden="false" customHeight="false" outlineLevel="0" collapsed="false">
      <c r="A941" s="4" t="s">
        <v>567</v>
      </c>
      <c r="B941" s="0" t="s">
        <v>239</v>
      </c>
      <c r="D941" s="21" t="n">
        <f aca="false">a26_cc-v_cc*a26_rev</f>
        <v>7.9821937335</v>
      </c>
      <c r="H941" s="8" t="s">
        <v>568</v>
      </c>
    </row>
    <row r="942" customFormat="false" ht="17.15" hidden="false" customHeight="false" outlineLevel="0" collapsed="false">
      <c r="A942" s="4" t="s">
        <v>569</v>
      </c>
      <c r="B942" s="0" t="s">
        <v>239</v>
      </c>
      <c r="C942" s="21" t="n">
        <f aca="false">a25_cc</f>
        <v>14.8984</v>
      </c>
      <c r="D942" s="21" t="n">
        <f aca="false">a26_cc</f>
        <v>17.4700646735</v>
      </c>
      <c r="E942" s="21" t="n">
        <f aca="false">$D$941+v_cc*(E926/E925+E927)</f>
        <v>20.1241845876556</v>
      </c>
      <c r="F942" s="21" t="n">
        <f aca="false">$D$941+v_cc*(F926/F925+F927)</f>
        <v>21.1559448382882</v>
      </c>
      <c r="G942" s="21" t="n">
        <f aca="false">$D$941+v_cc*(G926/G925+G927)</f>
        <v>22.1605999883393</v>
      </c>
      <c r="H942" s="4" t="s">
        <v>570</v>
      </c>
    </row>
    <row r="943" customFormat="false" ht="15" hidden="false" customHeight="false" outlineLevel="0" collapsed="false">
      <c r="A943" s="4" t="s">
        <v>571</v>
      </c>
      <c r="B943" s="0" t="s">
        <v>239</v>
      </c>
      <c r="C943" s="21" t="n">
        <f aca="false">C928-C942-C937</f>
        <v>12.5208159</v>
      </c>
      <c r="D943" s="21" t="n">
        <f aca="false">D928-D942-D937</f>
        <v>18.6415830865</v>
      </c>
      <c r="E943" s="21" t="n">
        <f aca="false">E928-E942-E937</f>
        <v>24.1411296099769</v>
      </c>
      <c r="F943" s="21" t="n">
        <f aca="false">F928-F942-F937</f>
        <v>24.2118810419612</v>
      </c>
      <c r="G943" s="21" t="n">
        <f aca="false">G928-G942-G937</f>
        <v>25.9641112750379</v>
      </c>
    </row>
    <row r="944" customFormat="false" ht="15" hidden="false" customHeight="false" outlineLevel="0" collapsed="false">
      <c r="A944" s="4" t="s">
        <v>421</v>
      </c>
      <c r="B944" s="0" t="s">
        <v>41</v>
      </c>
      <c r="C944" s="14" t="n">
        <f aca="false">C943/C928</f>
        <v>0.358417566468958</v>
      </c>
      <c r="D944" s="14" t="n">
        <f aca="false">D943/D928</f>
        <v>0.392956084760993</v>
      </c>
      <c r="E944" s="14" t="n">
        <f aca="false">E943/E928</f>
        <v>0.401105576247255</v>
      </c>
      <c r="F944" s="14" t="n">
        <f aca="false">F943/F928</f>
        <v>0.374147434423024</v>
      </c>
      <c r="G944" s="14" t="n">
        <f aca="false">G943/G928</f>
        <v>0.37473019460481</v>
      </c>
    </row>
    <row r="945" customFormat="false" ht="15" hidden="false" customHeight="false" outlineLevel="0" collapsed="false">
      <c r="A945" s="4" t="s">
        <v>572</v>
      </c>
      <c r="B945" s="0" t="s">
        <v>239</v>
      </c>
      <c r="C945" s="21" t="n">
        <f aca="false">a25_opx</f>
        <v>3.5197</v>
      </c>
      <c r="D945" s="21" t="n">
        <f aca="false">a26_opx</f>
        <v>6.1141318375</v>
      </c>
      <c r="E945" s="21" t="n">
        <f aca="false">D945*(1+MAX(0,phi*E929))</f>
        <v>7.09986476797815</v>
      </c>
      <c r="F945" s="21" t="n">
        <f aca="false">E945*(1+MAX(0,phi*F929))</f>
        <v>7.42018552529872</v>
      </c>
      <c r="G945" s="21" t="n">
        <f aca="false">F945*(1+MAX(0,phi*G929))</f>
        <v>7.73496308223515</v>
      </c>
    </row>
    <row r="946" customFormat="false" ht="15" hidden="false" customHeight="false" outlineLevel="0" collapsed="false">
      <c r="A946" s="4" t="s">
        <v>573</v>
      </c>
      <c r="B946" s="0" t="s">
        <v>239</v>
      </c>
      <c r="C946" s="21" t="n">
        <f aca="false">C945</f>
        <v>3.5197</v>
      </c>
      <c r="D946" s="21" t="n">
        <f aca="false">D945</f>
        <v>6.1141318375</v>
      </c>
      <c r="E946" s="21" t="n">
        <f aca="false">E945+0*E928</f>
        <v>7.09986476797815</v>
      </c>
      <c r="F946" s="21" t="n">
        <f aca="false">F945+0*F928</f>
        <v>7.42018552529872</v>
      </c>
      <c r="G946" s="21" t="n">
        <f aca="false">G945+0*G928</f>
        <v>7.73496308223515</v>
      </c>
    </row>
    <row r="947" customFormat="false" ht="15" hidden="false" customHeight="false" outlineLevel="0" collapsed="false">
      <c r="A947" s="4" t="s">
        <v>430</v>
      </c>
      <c r="B947" s="0" t="s">
        <v>239</v>
      </c>
      <c r="C947" s="21" t="n">
        <f aca="false">C943-C946</f>
        <v>9.0011159</v>
      </c>
      <c r="D947" s="21" t="n">
        <f aca="false">D943-D946</f>
        <v>12.527451249</v>
      </c>
      <c r="E947" s="21" t="n">
        <f aca="false">E943-E946</f>
        <v>17.0412648419988</v>
      </c>
      <c r="F947" s="21" t="n">
        <f aca="false">F943-F946</f>
        <v>16.7916955166624</v>
      </c>
      <c r="G947" s="21" t="n">
        <f aca="false">G943-G946</f>
        <v>18.2291481928027</v>
      </c>
    </row>
    <row r="948" customFormat="false" ht="15" hidden="false" customHeight="false" outlineLevel="0" collapsed="false">
      <c r="A948" s="4" t="s">
        <v>432</v>
      </c>
      <c r="B948" s="0" t="s">
        <v>41</v>
      </c>
      <c r="C948" s="14" t="n">
        <f aca="false">C947/C928</f>
        <v>0.25766356459111</v>
      </c>
      <c r="D948" s="14" t="n">
        <f aca="false">D947/D928</f>
        <v>0.264072969124936</v>
      </c>
      <c r="E948" s="14" t="n">
        <f aca="false">E947/E928</f>
        <v>0.283141114971154</v>
      </c>
      <c r="F948" s="14" t="n">
        <f aca="false">F947/F928</f>
        <v>0.259482928496288</v>
      </c>
      <c r="G948" s="14" t="n">
        <f aca="false">G947/G928</f>
        <v>0.263094398934281</v>
      </c>
    </row>
    <row r="949" customFormat="false" ht="17.15" hidden="false" customHeight="false" outlineLevel="0" collapsed="false">
      <c r="A949" s="0" t="s">
        <v>574</v>
      </c>
      <c r="B949" s="0" t="s">
        <v>239</v>
      </c>
      <c r="C949" s="21" t="n">
        <f aca="false">C947+C937</f>
        <v>16.5155</v>
      </c>
      <c r="D949" s="21" t="n">
        <f aca="false">D947+D937</f>
        <v>23.855158189</v>
      </c>
      <c r="E949" s="21" t="n">
        <f aca="false">E947+E937</f>
        <v>32.9624228341608</v>
      </c>
      <c r="F949" s="21" t="n">
        <f aca="false">F947+F937</f>
        <v>36.1360093288809</v>
      </c>
      <c r="G949" s="21" t="n">
        <f aca="false">G947+G937</f>
        <v>39.3919180261106</v>
      </c>
    </row>
    <row r="950" customFormat="false" ht="17.15" hidden="false" customHeight="false" outlineLevel="0" collapsed="false">
      <c r="A950" s="0" t="s">
        <v>575</v>
      </c>
      <c r="B950" s="0" t="s">
        <v>239</v>
      </c>
      <c r="C950" s="21" t="n">
        <f aca="false">C949-C935</f>
        <v>-15.8399</v>
      </c>
      <c r="D950" s="21" t="n">
        <f aca="false">D949-D935</f>
        <v>-18.144841811</v>
      </c>
      <c r="E950" s="21" t="n">
        <f aca="false">E949-E935</f>
        <v>-18.8527844233297</v>
      </c>
      <c r="F950" s="21" t="n">
        <f aca="false">F949-F935</f>
        <v>11.2382398651966</v>
      </c>
      <c r="G950" s="21" t="n">
        <f aca="false">G949-G935</f>
        <v>13.6411109134252</v>
      </c>
    </row>
    <row r="951" customFormat="false" ht="17.15" hidden="false" customHeight="false" outlineLevel="0" collapsed="false">
      <c r="A951" s="4" t="s">
        <v>433</v>
      </c>
      <c r="B951" s="0" t="s">
        <v>239</v>
      </c>
      <c r="C951" s="21" t="n">
        <f aca="false">a25_ni</f>
        <v>11.015</v>
      </c>
      <c r="D951" s="21" t="n">
        <f aca="false">a26_ni</f>
        <v>10.66608446065</v>
      </c>
      <c r="E951" s="21" t="n">
        <f aca="false">E947*nir_f</f>
        <v>14.314662467279</v>
      </c>
      <c r="F951" s="21" t="n">
        <f aca="false">F947*nir_f</f>
        <v>14.1050242339964</v>
      </c>
      <c r="G951" s="21" t="n">
        <f aca="false">G947*nir_f</f>
        <v>15.3124844819543</v>
      </c>
      <c r="H951" s="8" t="s">
        <v>438</v>
      </c>
    </row>
    <row r="952" customFormat="false" ht="17.15" hidden="false" customHeight="false" outlineLevel="0" collapsed="false">
      <c r="A952" s="4" t="s">
        <v>437</v>
      </c>
      <c r="B952" s="0" t="s">
        <v>41</v>
      </c>
      <c r="C952" s="14" t="n">
        <f aca="false">C951/C947</f>
        <v>1.22373715907824</v>
      </c>
      <c r="D952" s="14" t="n">
        <f aca="false">D951/D947</f>
        <v>0.851416960133963</v>
      </c>
      <c r="E952" s="14" t="n">
        <f aca="false">E951/E947</f>
        <v>0.84</v>
      </c>
      <c r="F952" s="14" t="n">
        <f aca="false">F951/F947</f>
        <v>0.84</v>
      </c>
      <c r="G952" s="14" t="n">
        <f aca="false">G951/G947</f>
        <v>0.84</v>
      </c>
    </row>
    <row r="953" customFormat="false" ht="15" hidden="false" customHeight="false" outlineLevel="0" collapsed="false">
      <c r="A953" s="4" t="s">
        <v>576</v>
      </c>
      <c r="B953" s="4" t="s">
        <v>294</v>
      </c>
      <c r="C953" s="27" t="n">
        <f aca="false">a25_sh</f>
        <v>1.22253052164262</v>
      </c>
      <c r="D953" s="27" t="n">
        <f aca="false">a26_sh</f>
        <v>1.28264705882353</v>
      </c>
      <c r="E953" s="27" t="n">
        <f aca="false">D953*(1+sh_g)</f>
        <v>1.28264705882353</v>
      </c>
      <c r="F953" s="27" t="n">
        <f aca="false">E953*(1+sh_g)</f>
        <v>1.28264705882353</v>
      </c>
      <c r="G953" s="27" t="n">
        <f aca="false">F953*(1+sh_g)</f>
        <v>1.28264705882353</v>
      </c>
    </row>
    <row r="954" customFormat="false" ht="15" hidden="false" customHeight="false" outlineLevel="0" collapsed="false">
      <c r="A954" s="0" t="s">
        <v>442</v>
      </c>
      <c r="B954" s="0" t="s">
        <v>315</v>
      </c>
      <c r="C954" s="21" t="n">
        <f aca="false">C951/C953</f>
        <v>9.01</v>
      </c>
      <c r="D954" s="21" t="n">
        <f aca="false">D951/D953</f>
        <v>8.31568153318276</v>
      </c>
      <c r="E954" s="21" t="n">
        <f aca="false">E951/E953</f>
        <v>11.1602504904262</v>
      </c>
      <c r="F954" s="21" t="n">
        <f aca="false">F951/F953</f>
        <v>10.996808620864</v>
      </c>
      <c r="G954" s="21" t="n">
        <f aca="false">G951/G953</f>
        <v>11.9381901487376</v>
      </c>
    </row>
    <row r="955" customFormat="false" ht="17.15" hidden="false" customHeight="false" outlineLevel="0" collapsed="false">
      <c r="A955" s="0" t="s">
        <v>577</v>
      </c>
      <c r="B955" s="0" t="s">
        <v>41</v>
      </c>
      <c r="D955" s="14" t="n">
        <f aca="false">D954/C954-1</f>
        <v>-0.0770608731206708</v>
      </c>
      <c r="E955" s="14" t="n">
        <f aca="false">E954/D954-1</f>
        <v>0.342072859078658</v>
      </c>
      <c r="F955" s="14" t="n">
        <f aca="false">F954/E954-1</f>
        <v>-0.014645000101242</v>
      </c>
      <c r="G955" s="14" t="n">
        <f aca="false">G954/F954-1</f>
        <v>0.0856049750731791</v>
      </c>
      <c r="H955" s="8" t="s">
        <v>578</v>
      </c>
    </row>
    <row r="958" customFormat="false" ht="17.15" hidden="false" customHeight="false" outlineLevel="0" collapsed="false">
      <c r="A958" s="1" t="s">
        <v>881</v>
      </c>
    </row>
    <row r="959" customFormat="false" ht="17.15" hidden="false" customHeight="false" outlineLevel="0" collapsed="false">
      <c r="A959" s="5" t="s">
        <v>17</v>
      </c>
      <c r="B959" s="5" t="s">
        <v>18</v>
      </c>
      <c r="C959" s="12" t="s">
        <v>409</v>
      </c>
      <c r="D959" s="12" t="s">
        <v>520</v>
      </c>
      <c r="E959" s="12" t="s">
        <v>521</v>
      </c>
      <c r="F959" s="12" t="s">
        <v>522</v>
      </c>
      <c r="G959" s="12" t="s">
        <v>523</v>
      </c>
      <c r="H959" s="5" t="s">
        <v>488</v>
      </c>
    </row>
    <row r="960" customFormat="false" ht="17.15" hidden="false" customHeight="false" outlineLevel="0" collapsed="false">
      <c r="A960" s="6" t="s">
        <v>543</v>
      </c>
    </row>
    <row r="961" customFormat="false" ht="17.15" hidden="false" customHeight="false" outlineLevel="0" collapsed="false">
      <c r="A961" s="0" t="s">
        <v>491</v>
      </c>
      <c r="B961" s="4" t="s">
        <v>28</v>
      </c>
      <c r="D961" s="16" t="n">
        <f aca="false">u_bw_26*tt_bw</f>
        <v>5.4</v>
      </c>
      <c r="E961" s="16" t="n">
        <f aca="false">u_bw_27*1*tt_bw</f>
        <v>2.4</v>
      </c>
      <c r="F961" s="16" t="n">
        <f aca="false">u_bw_28*um28_A*1*tt_bw</f>
        <v>0.5</v>
      </c>
      <c r="G961" s="16" t="n">
        <f aca="false">u_bw_28*(1+g29_bw)*um29_A*1*tt_bw</f>
        <v>0.25</v>
      </c>
    </row>
    <row r="962" customFormat="false" ht="17.15" hidden="false" customHeight="false" outlineLevel="0" collapsed="false">
      <c r="A962" s="0" t="s">
        <v>493</v>
      </c>
      <c r="B962" s="4" t="s">
        <v>28</v>
      </c>
      <c r="D962" s="16" t="n">
        <f aca="false">u_rb_26*tt_rb</f>
        <v>2.55</v>
      </c>
      <c r="E962" s="16" t="n">
        <f aca="false">u_rb_27*1*tt_rb</f>
        <v>10.5</v>
      </c>
      <c r="F962" s="16" t="n">
        <f aca="false">u_rb_28*um28_A*1*tt_rb</f>
        <v>10.5</v>
      </c>
      <c r="G962" s="16" t="n">
        <f aca="false">u_rb_28*(1+g29_rb)*um29_A*1*tt_rb</f>
        <v>12.075</v>
      </c>
    </row>
    <row r="963" customFormat="false" ht="17.15" hidden="false" customHeight="false" outlineLevel="0" collapsed="false">
      <c r="A963" s="0" t="s">
        <v>494</v>
      </c>
      <c r="B963" s="4" t="s">
        <v>28</v>
      </c>
      <c r="D963" s="16" t="n">
        <f aca="false">u_ru_26*tt_ru</f>
        <v>0</v>
      </c>
      <c r="E963" s="16" t="n">
        <f aca="false">u_ru_27*1*tt_ru</f>
        <v>0.6</v>
      </c>
      <c r="F963" s="16" t="n">
        <f aca="false">u_ru_28*um28_A*1*tt_ru</f>
        <v>4</v>
      </c>
      <c r="G963" s="16" t="n">
        <f aca="false">u_ru_28*(1+g29_ru)*um29_A*1*tt_ru</f>
        <v>4.6</v>
      </c>
    </row>
    <row r="964" customFormat="false" ht="17.15" hidden="false" customHeight="false" outlineLevel="0" collapsed="false">
      <c r="A964" s="0" t="s">
        <v>495</v>
      </c>
      <c r="B964" s="4" t="s">
        <v>28</v>
      </c>
      <c r="D964" s="16" t="n">
        <f aca="false">u_hp_26*tt_hp</f>
        <v>0.3</v>
      </c>
      <c r="E964" s="16" t="n">
        <f aca="false">u_hp_27*1*tt_hp</f>
        <v>0</v>
      </c>
      <c r="F964" s="16" t="n">
        <f aca="false">u_hp_28*um28_A*1*tt_hp</f>
        <v>0</v>
      </c>
      <c r="G964" s="16" t="n">
        <f aca="false">u_hp_28*(1+g29_hp)*um29_A*1*tt_hp</f>
        <v>0</v>
      </c>
    </row>
    <row r="965" customFormat="false" ht="17.15" hidden="false" customHeight="false" outlineLevel="0" collapsed="false">
      <c r="A965" s="0" t="s">
        <v>496</v>
      </c>
      <c r="B965" s="4" t="s">
        <v>28</v>
      </c>
      <c r="D965" s="16" t="n">
        <f aca="false">u_amd_26*tt_amd*ex_amd</f>
        <v>0.165</v>
      </c>
      <c r="E965" s="16" t="n">
        <f aca="false">u_amd_27*1*tt_amd*ex_amd</f>
        <v>0.33</v>
      </c>
      <c r="F965" s="16" t="n">
        <f aca="false">u_amd_28*um28_A*1*tt_amd*ex_amd</f>
        <v>0.44</v>
      </c>
      <c r="G965" s="16" t="n">
        <f aca="false">u_amd_28*(1+g29_amd)*um29_A*1*tt_amd*ex_amd</f>
        <v>0.506</v>
      </c>
    </row>
    <row r="966" customFormat="false" ht="17.15" hidden="false" customHeight="false" outlineLevel="0" collapsed="false">
      <c r="A966" s="0" t="s">
        <v>498</v>
      </c>
      <c r="B966" s="4" t="s">
        <v>28</v>
      </c>
      <c r="D966" s="16" t="n">
        <f aca="false">u_tpu_26*tt_tpu*ex_tpu</f>
        <v>1.7325</v>
      </c>
      <c r="E966" s="16" t="n">
        <f aca="false">u_tpu_27*1*tt_tpu*ex_tpu</f>
        <v>2.475</v>
      </c>
      <c r="F966" s="16" t="n">
        <f aca="false">u_tpu_28*um28_A*1*tt_tpu*ex_tpu</f>
        <v>3.15</v>
      </c>
      <c r="G966" s="16" t="n">
        <f aca="false">u_tpu_28*(1+g29_tpu)*um29_A*1*tt_tpu*ex_tpu</f>
        <v>3.6225</v>
      </c>
    </row>
    <row r="967" customFormat="false" ht="17.15" hidden="false" customHeight="false" outlineLevel="0" collapsed="false">
      <c r="A967" s="0" t="s">
        <v>499</v>
      </c>
      <c r="B967" s="4" t="s">
        <v>28</v>
      </c>
      <c r="D967" s="16" t="n">
        <f aca="false">u_trn_26*tt_trn*ex_trn</f>
        <v>0.64</v>
      </c>
      <c r="E967" s="16" t="n">
        <f aca="false">u_trn_27*1*tt_trn*ex_trn</f>
        <v>0.8</v>
      </c>
      <c r="F967" s="16" t="n">
        <f aca="false">u_trn_28*um28_A*1*tt_trn*ex_trn</f>
        <v>0.96</v>
      </c>
      <c r="G967" s="16" t="n">
        <f aca="false">u_trn_28*(1+g29_trn)*um29_A*1*tt_trn*ex_trn</f>
        <v>1.104</v>
      </c>
    </row>
    <row r="968" customFormat="false" ht="17.15" hidden="false" customHeight="false" outlineLevel="0" collapsed="false">
      <c r="A968" s="4" t="s">
        <v>500</v>
      </c>
      <c r="B968" s="4" t="s">
        <v>28</v>
      </c>
      <c r="D968" s="16" t="n">
        <f aca="false">u_oth_26*tt_oth*ex_oth</f>
        <v>0.28</v>
      </c>
      <c r="E968" s="16" t="n">
        <f aca="false">u_oth_27*1*tt_oth*ex_oth</f>
        <v>1.26</v>
      </c>
      <c r="F968" s="16" t="n">
        <f aca="false">u_oth_28*um28_A*1*tt_oth*ex_oth</f>
        <v>1.4</v>
      </c>
      <c r="G968" s="16" t="n">
        <f aca="false">u_oth_28*(1+g29_oth)*um29_A*1*tt_oth*ex_oth</f>
        <v>1.61</v>
      </c>
    </row>
    <row r="969" customFormat="false" ht="15" hidden="false" customHeight="false" outlineLevel="0" collapsed="false">
      <c r="A969" s="4" t="s">
        <v>489</v>
      </c>
      <c r="B969" s="4" t="s">
        <v>28</v>
      </c>
      <c r="D969" s="16" t="n">
        <f aca="false">u_bw_26+u_rb_26+u_ru_26+u_hp_26+u_amd_26+u_tpu_26+u_trn_26+u_oth_26</f>
        <v>15.2</v>
      </c>
      <c r="E969" s="16" t="n">
        <f aca="false">u_bw_27*1+u_rb_27*1+u_ru_27*1+u_hp_27*1+u_amd_27*1+u_tpu_27*1+u_trn_27*1+u_oth_27*1</f>
        <v>23.7</v>
      </c>
      <c r="F969" s="16" t="n">
        <f aca="false">u_bw_28*um28_A*1+u_rb_28*um28_A*1+u_ru_28*um28_A*1+u_hp_28*um28_A*1+u_amd_28*um28_A*1+u_tpu_28*um28_A*1+u_trn_28*um28_A*1+u_oth_28*um28_A*1</f>
        <v>26.5</v>
      </c>
      <c r="G969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70" customFormat="false" ht="17.15" hidden="false" customHeight="false" outlineLevel="0" collapsed="false">
      <c r="A970" s="0" t="s">
        <v>544</v>
      </c>
      <c r="B970" s="4" t="s">
        <v>28</v>
      </c>
      <c r="D970" s="16" t="n">
        <f aca="false">D961+D962+D963+D964</f>
        <v>8.25</v>
      </c>
      <c r="E970" s="16" t="n">
        <f aca="false">E961+E962+E963+E964</f>
        <v>13.5</v>
      </c>
      <c r="F970" s="16" t="n">
        <f aca="false">F961+F962+F963+F964</f>
        <v>15</v>
      </c>
      <c r="G970" s="16" t="n">
        <f aca="false">G961+G962+G963+G964</f>
        <v>16.925</v>
      </c>
    </row>
    <row r="971" customFormat="false" ht="17.15" hidden="false" customHeight="false" outlineLevel="0" collapsed="false">
      <c r="A971" s="0" t="s">
        <v>545</v>
      </c>
      <c r="B971" s="4" t="s">
        <v>28</v>
      </c>
      <c r="D971" s="16" t="n">
        <f aca="false">D965+D966+D967+D968</f>
        <v>2.8175</v>
      </c>
      <c r="E971" s="16" t="n">
        <f aca="false">E965+E966+E967+E968</f>
        <v>4.865</v>
      </c>
      <c r="F971" s="16" t="n">
        <f aca="false">F965+F966+F967+F968</f>
        <v>5.95</v>
      </c>
      <c r="G971" s="16" t="n">
        <f aca="false">G965+G966+G967+G968</f>
        <v>6.8425</v>
      </c>
    </row>
    <row r="972" customFormat="false" ht="15" hidden="false" customHeight="false" outlineLevel="0" collapsed="false">
      <c r="A972" s="4" t="s">
        <v>546</v>
      </c>
      <c r="B972" s="4" t="s">
        <v>28</v>
      </c>
      <c r="D972" s="16" t="n">
        <f aca="false">D970+D971</f>
        <v>11.0675</v>
      </c>
      <c r="E972" s="16" t="n">
        <f aca="false">E970+E971</f>
        <v>18.365</v>
      </c>
      <c r="F972" s="16" t="n">
        <f aca="false">F970+F971</f>
        <v>20.95</v>
      </c>
      <c r="G972" s="16" t="n">
        <f aca="false">G970+G971</f>
        <v>23.7675</v>
      </c>
    </row>
    <row r="973" customFormat="false" ht="17.15" hidden="false" customHeight="false" outlineLevel="0" collapsed="false">
      <c r="A973" s="0" t="s">
        <v>547</v>
      </c>
      <c r="B973" s="0" t="s">
        <v>239</v>
      </c>
      <c r="D973" s="21" t="n">
        <f aca="false">a26_rev*ai_26</f>
        <v>16.603774145</v>
      </c>
    </row>
    <row r="974" customFormat="false" ht="17.15" hidden="false" customHeight="false" outlineLevel="0" collapsed="false">
      <c r="A974" s="4" t="s">
        <v>548</v>
      </c>
      <c r="B974" s="0" t="s">
        <v>549</v>
      </c>
      <c r="D974" s="27" t="n">
        <f aca="false">D973/D972</f>
        <v>1.50022806821775</v>
      </c>
      <c r="H974" s="8" t="s">
        <v>550</v>
      </c>
    </row>
    <row r="975" customFormat="false" ht="17.15" hidden="false" customHeight="false" outlineLevel="0" collapsed="false">
      <c r="A975" s="4" t="s">
        <v>551</v>
      </c>
      <c r="B975" s="0" t="s">
        <v>131</v>
      </c>
      <c r="D975" s="16" t="n">
        <f aca="false">1</f>
        <v>1</v>
      </c>
      <c r="E975" s="16" t="n">
        <f aca="false">rel_27</f>
        <v>0.95</v>
      </c>
      <c r="F975" s="16" t="n">
        <f aca="false">rel_28</f>
        <v>0.92</v>
      </c>
      <c r="G975" s="16" t="n">
        <f aca="false">rel_29</f>
        <v>0.9</v>
      </c>
    </row>
    <row r="976" customFormat="false" ht="17.15" hidden="false" customHeight="false" outlineLevel="0" collapsed="false">
      <c r="A976" s="4" t="s">
        <v>552</v>
      </c>
      <c r="B976" s="0" t="s">
        <v>131</v>
      </c>
      <c r="D976" s="16" t="n">
        <f aca="false">1</f>
        <v>1</v>
      </c>
      <c r="E976" s="16" t="n">
        <f aca="false">pp_27</f>
        <v>0.98</v>
      </c>
      <c r="F976" s="16" t="n">
        <f aca="false">pp_28</f>
        <v>0.96</v>
      </c>
      <c r="G976" s="16" t="n">
        <f aca="false">pp_29</f>
        <v>0.95</v>
      </c>
    </row>
    <row r="977" customFormat="false" ht="17.15" hidden="false" customHeight="false" outlineLevel="0" collapsed="false">
      <c r="A977" s="0" t="s">
        <v>553</v>
      </c>
      <c r="B977" s="0" t="s">
        <v>239</v>
      </c>
      <c r="C977" s="21" t="n">
        <f aca="false">a25_rev*ai_25</f>
        <v>9.60674</v>
      </c>
      <c r="D977" s="21" t="n">
        <f aca="false">D973</f>
        <v>16.603774145</v>
      </c>
      <c r="E977" s="21" t="n">
        <f aca="false">$D$974*E972*E975*E976</f>
        <v>25.6506219681945</v>
      </c>
      <c r="F977" s="21" t="n">
        <f aca="false">$D$974*F972*F975*F976</f>
        <v>27.7587799553558</v>
      </c>
      <c r="G977" s="21" t="n">
        <f aca="false">$D$974*G972*G975*G976</f>
        <v>30.4864533727175</v>
      </c>
    </row>
    <row r="978" customFormat="false" ht="17.15" hidden="false" customHeight="false" outlineLevel="0" collapsed="false">
      <c r="A978" s="4" t="s">
        <v>554</v>
      </c>
      <c r="B978" s="0" t="s">
        <v>239</v>
      </c>
      <c r="C978" s="21" t="n">
        <f aca="false">a25_rev-C977</f>
        <v>25.32686</v>
      </c>
      <c r="D978" s="21" t="n">
        <f aca="false">a26_rev-D977</f>
        <v>30.835580555</v>
      </c>
      <c r="E978" s="21" t="n">
        <f aca="false">D978*(1+g_nai27)</f>
        <v>34.5358502216</v>
      </c>
      <c r="F978" s="21" t="n">
        <f aca="false">E978*(1+g_nai28)</f>
        <v>36.953359737112</v>
      </c>
      <c r="G978" s="21" t="n">
        <f aca="false">F978*(1+g_nai29)</f>
        <v>38.8010277239676</v>
      </c>
    </row>
    <row r="979" customFormat="false" ht="15" hidden="false" customHeight="false" outlineLevel="0" collapsed="false">
      <c r="A979" s="4" t="s">
        <v>414</v>
      </c>
      <c r="B979" s="0" t="s">
        <v>239</v>
      </c>
      <c r="C979" s="21" t="n">
        <f aca="false">C977+C978</f>
        <v>34.9336</v>
      </c>
      <c r="D979" s="21" t="n">
        <f aca="false">D977+D978</f>
        <v>47.4393547</v>
      </c>
      <c r="E979" s="21" t="n">
        <f aca="false">E977+E978</f>
        <v>60.1864721897945</v>
      </c>
      <c r="F979" s="21" t="n">
        <f aca="false">F977+F978</f>
        <v>64.7121396924678</v>
      </c>
      <c r="G979" s="21" t="n">
        <f aca="false">G977+G978</f>
        <v>69.2874810966851</v>
      </c>
    </row>
    <row r="980" customFormat="false" ht="15" hidden="false" customHeight="false" outlineLevel="0" collapsed="false">
      <c r="A980" s="4" t="s">
        <v>555</v>
      </c>
      <c r="B980" s="0" t="s">
        <v>41</v>
      </c>
      <c r="D980" s="14" t="n">
        <f aca="false">D979/C979-1</f>
        <v>0.357986428538713</v>
      </c>
      <c r="E980" s="14" t="n">
        <f aca="false">E979/D979-1</f>
        <v>0.268703433476395</v>
      </c>
      <c r="F980" s="14" t="n">
        <f aca="false">F979/E979-1</f>
        <v>0.0751940982419084</v>
      </c>
      <c r="G980" s="14" t="n">
        <f aca="false">G979/F979-1</f>
        <v>0.070702984416227</v>
      </c>
    </row>
    <row r="981" customFormat="false" ht="17.15" hidden="false" customHeight="false" outlineLevel="0" collapsed="false">
      <c r="A981" s="0" t="s">
        <v>556</v>
      </c>
      <c r="B981" s="0" t="s">
        <v>41</v>
      </c>
      <c r="C981" s="14" t="n">
        <f aca="false">C977/C979</f>
        <v>0.275</v>
      </c>
      <c r="D981" s="14" t="n">
        <f aca="false">D977/D979</f>
        <v>0.35</v>
      </c>
      <c r="E981" s="14" t="n">
        <f aca="false">E977/E979</f>
        <v>0.426185836034829</v>
      </c>
      <c r="F981" s="14" t="n">
        <f aca="false">F977/F979</f>
        <v>0.42895784449833</v>
      </c>
      <c r="G981" s="14" t="n">
        <f aca="false">G977/G979</f>
        <v>0.439999447088805</v>
      </c>
    </row>
    <row r="982" customFormat="false" ht="17.15" hidden="false" customHeight="false" outlineLevel="0" collapsed="false">
      <c r="A982" s="0" t="s">
        <v>502</v>
      </c>
      <c r="B982" s="0" t="s">
        <v>41</v>
      </c>
      <c r="D982" s="14" t="n">
        <f aca="false">D970/D972</f>
        <v>0.745425796250282</v>
      </c>
      <c r="E982" s="14" t="n">
        <f aca="false">E970/E972</f>
        <v>0.735093928668663</v>
      </c>
      <c r="F982" s="14" t="n">
        <f aca="false">F970/F972</f>
        <v>0.715990453460621</v>
      </c>
      <c r="G982" s="14" t="n">
        <f aca="false">G970/G972</f>
        <v>0.71210686862312</v>
      </c>
    </row>
    <row r="983" customFormat="false" ht="17.15" hidden="false" customHeight="false" outlineLevel="0" collapsed="false">
      <c r="A983" s="4" t="s">
        <v>506</v>
      </c>
      <c r="B983" s="0" t="s">
        <v>507</v>
      </c>
      <c r="D983" s="22" t="n">
        <f aca="false">D977/D972/fx*1000</f>
        <v>46.8821271318048</v>
      </c>
      <c r="E983" s="22" t="n">
        <f aca="false">E977/E972/fx*1000</f>
        <v>43.6472603597103</v>
      </c>
      <c r="F983" s="22" t="n">
        <f aca="false">F977/F972/fx*1000</f>
        <v>41.40629468281</v>
      </c>
      <c r="G983" s="22" t="n">
        <f aca="false">G977/G972/fx*1000</f>
        <v>40.0842186976931</v>
      </c>
      <c r="H983" s="4" t="s">
        <v>557</v>
      </c>
    </row>
    <row r="984" customFormat="false" ht="17.15" hidden="false" customHeight="false" outlineLevel="0" collapsed="false">
      <c r="A984" s="6" t="s">
        <v>558</v>
      </c>
    </row>
    <row r="985" customFormat="false" ht="17.15" hidden="false" customHeight="false" outlineLevel="0" collapsed="false">
      <c r="A985" s="0" t="s">
        <v>559</v>
      </c>
      <c r="B985" s="0" t="s">
        <v>131</v>
      </c>
      <c r="C985" s="16" t="n">
        <f aca="false">(a25_capex-m_cx*a25_rev)/(a25_rev-rev24)</f>
        <v>3.57284271254522</v>
      </c>
      <c r="H985" s="8" t="s">
        <v>560</v>
      </c>
    </row>
    <row r="986" customFormat="false" ht="17.15" hidden="false" customHeight="false" outlineLevel="0" collapsed="false">
      <c r="A986" s="4" t="s">
        <v>511</v>
      </c>
      <c r="B986" s="0" t="s">
        <v>239</v>
      </c>
      <c r="C986" s="21" t="n">
        <f aca="false">a25_capex</f>
        <v>32.3554</v>
      </c>
      <c r="D986" s="21" t="n">
        <f aca="false">capex_26</f>
        <v>42</v>
      </c>
      <c r="E986" s="21" t="n">
        <f aca="false">m_cx*E979+$C$985*MAX(0,E979-D979)</f>
        <v>51.5620930483496</v>
      </c>
      <c r="F986" s="21" t="n">
        <f aca="false">m_cx*F979+$C$985*MAX(0,F979-E979)</f>
        <v>22.6407121255758</v>
      </c>
      <c r="G986" s="21" t="n">
        <f aca="false">m_cx*G979+$C$985*MAX(0,G979-F979)</f>
        <v>23.2757233031325</v>
      </c>
      <c r="H986" s="8" t="s">
        <v>561</v>
      </c>
    </row>
    <row r="987" customFormat="false" ht="17.15" hidden="false" customHeight="false" outlineLevel="0" collapsed="false">
      <c r="A987" s="4" t="s">
        <v>562</v>
      </c>
      <c r="B987" s="0" t="s">
        <v>41</v>
      </c>
      <c r="C987" s="14" t="n">
        <f aca="false">C986/C979</f>
        <v>0.926197128266197</v>
      </c>
      <c r="D987" s="14" t="n">
        <f aca="false">D986/D979</f>
        <v>0.885340879225746</v>
      </c>
      <c r="E987" s="14" t="n">
        <f aca="false">E986/E979</f>
        <v>0.85670568771254</v>
      </c>
      <c r="F987" s="14" t="n">
        <f aca="false">F986/F979</f>
        <v>0.34986808090679</v>
      </c>
      <c r="G987" s="14" t="n">
        <f aca="false">G986/G979</f>
        <v>0.335929708148188</v>
      </c>
    </row>
    <row r="988" customFormat="false" ht="15" hidden="false" customHeight="false" outlineLevel="0" collapsed="false">
      <c r="A988" s="4" t="s">
        <v>563</v>
      </c>
      <c r="B988" s="0" t="s">
        <v>239</v>
      </c>
      <c r="C988" s="21" t="n">
        <f aca="false">a25_da</f>
        <v>7.5143841</v>
      </c>
      <c r="D988" s="21" t="n">
        <f aca="false">a26_da</f>
        <v>11.32770694</v>
      </c>
      <c r="E988" s="21" t="n">
        <f aca="false">D988*(1-ret)+dr*(D986+E986)/2</f>
        <v>15.9072367106592</v>
      </c>
      <c r="F988" s="21" t="n">
        <f aca="false">E988*(1-ret)+dr*(E986+F986)/2</f>
        <v>19.1930291596922</v>
      </c>
      <c r="G988" s="21" t="n">
        <f aca="false">F988*(1-ret)+dr*(F986+G986)/2</f>
        <v>20.7587816502865</v>
      </c>
    </row>
    <row r="989" customFormat="false" ht="17.15" hidden="false" customHeight="false" outlineLevel="0" collapsed="false">
      <c r="A989" s="4" t="s">
        <v>515</v>
      </c>
      <c r="B989" s="0" t="s">
        <v>41</v>
      </c>
      <c r="C989" s="14" t="n">
        <f aca="false">C988/C979</f>
        <v>0.215104773055168</v>
      </c>
      <c r="D989" s="14" t="n">
        <f aca="false">D988/D979</f>
        <v>0.238782905282647</v>
      </c>
      <c r="E989" s="14" t="n">
        <f aca="false">E988/E979</f>
        <v>0.264299204321142</v>
      </c>
      <c r="F989" s="14" t="n">
        <f aca="false">F988/F979</f>
        <v>0.296590859936071</v>
      </c>
      <c r="G989" s="14" t="n">
        <f aca="false">G988/G979</f>
        <v>0.299603641548454</v>
      </c>
    </row>
    <row r="990" customFormat="false" ht="17.15" hidden="false" customHeight="false" outlineLevel="0" collapsed="false">
      <c r="A990" s="4" t="s">
        <v>564</v>
      </c>
      <c r="B990" s="0" t="s">
        <v>239</v>
      </c>
      <c r="D990" s="16" t="n">
        <f aca="false">C988*(1-ret)+dr*(C986+D986)/2-D988</f>
        <v>-0.0994950449999994</v>
      </c>
      <c r="H990" s="4" t="s">
        <v>565</v>
      </c>
    </row>
    <row r="991" customFormat="false" ht="17.15" hidden="false" customHeight="false" outlineLevel="0" collapsed="false">
      <c r="A991" s="6" t="s">
        <v>566</v>
      </c>
    </row>
    <row r="992" customFormat="false" ht="17.15" hidden="false" customHeight="false" outlineLevel="0" collapsed="false">
      <c r="A992" s="4" t="s">
        <v>567</v>
      </c>
      <c r="B992" s="0" t="s">
        <v>239</v>
      </c>
      <c r="D992" s="21" t="n">
        <f aca="false">a26_cc-v_cc*a26_rev</f>
        <v>7.9821937335</v>
      </c>
      <c r="H992" s="8" t="s">
        <v>568</v>
      </c>
    </row>
    <row r="993" customFormat="false" ht="17.15" hidden="false" customHeight="false" outlineLevel="0" collapsed="false">
      <c r="A993" s="4" t="s">
        <v>569</v>
      </c>
      <c r="B993" s="0" t="s">
        <v>239</v>
      </c>
      <c r="C993" s="21" t="n">
        <f aca="false">a25_cc</f>
        <v>14.8984</v>
      </c>
      <c r="D993" s="21" t="n">
        <f aca="false">a26_cc</f>
        <v>17.4700646735</v>
      </c>
      <c r="E993" s="21" t="n">
        <f aca="false">$D$992+v_cc*(E977/E976+E978)</f>
        <v>20.1241845876556</v>
      </c>
      <c r="F993" s="21" t="n">
        <f aca="false">$D$992+v_cc*(F977/F976+F978)</f>
        <v>21.1559448382882</v>
      </c>
      <c r="G993" s="21" t="n">
        <f aca="false">$D$992+v_cc*(G977/G976+G978)</f>
        <v>22.1605999883393</v>
      </c>
      <c r="H993" s="4" t="s">
        <v>570</v>
      </c>
    </row>
    <row r="994" customFormat="false" ht="15" hidden="false" customHeight="false" outlineLevel="0" collapsed="false">
      <c r="A994" s="4" t="s">
        <v>571</v>
      </c>
      <c r="B994" s="0" t="s">
        <v>239</v>
      </c>
      <c r="C994" s="21" t="n">
        <f aca="false">C979-C993-C988</f>
        <v>12.5208159</v>
      </c>
      <c r="D994" s="21" t="n">
        <f aca="false">D979-D993-D988</f>
        <v>18.6415830865</v>
      </c>
      <c r="E994" s="21" t="n">
        <f aca="false">E979-E993-E988</f>
        <v>24.1550508914797</v>
      </c>
      <c r="F994" s="21" t="n">
        <f aca="false">F979-F993-F988</f>
        <v>24.3631656944875</v>
      </c>
      <c r="G994" s="21" t="n">
        <f aca="false">G979-G993-G988</f>
        <v>26.3680994580593</v>
      </c>
    </row>
    <row r="995" customFormat="false" ht="15" hidden="false" customHeight="false" outlineLevel="0" collapsed="false">
      <c r="A995" s="4" t="s">
        <v>421</v>
      </c>
      <c r="B995" s="0" t="s">
        <v>41</v>
      </c>
      <c r="C995" s="14" t="n">
        <f aca="false">C994/C979</f>
        <v>0.358417566468958</v>
      </c>
      <c r="D995" s="14" t="n">
        <f aca="false">D994/D979</f>
        <v>0.392956084760993</v>
      </c>
      <c r="E995" s="14" t="n">
        <f aca="false">E994/E979</f>
        <v>0.401336878747572</v>
      </c>
      <c r="F995" s="14" t="n">
        <f aca="false">F994/F979</f>
        <v>0.37648524388575</v>
      </c>
      <c r="G995" s="14" t="n">
        <f aca="false">G994/G979</f>
        <v>0.380560803202886</v>
      </c>
    </row>
    <row r="996" customFormat="false" ht="15" hidden="false" customHeight="false" outlineLevel="0" collapsed="false">
      <c r="A996" s="4" t="s">
        <v>572</v>
      </c>
      <c r="B996" s="0" t="s">
        <v>239</v>
      </c>
      <c r="C996" s="21" t="n">
        <f aca="false">a25_opx</f>
        <v>3.5197</v>
      </c>
      <c r="D996" s="21" t="n">
        <f aca="false">a26_opx</f>
        <v>6.1141318375</v>
      </c>
      <c r="E996" s="21" t="n">
        <f aca="false">D996*(1+MAX(0,phi_lo*E980))</f>
        <v>6.77128712448544</v>
      </c>
      <c r="F996" s="21" t="n">
        <f aca="false">E996*(1+MAX(0,phi_lo*F980))</f>
        <v>6.97495145619053</v>
      </c>
      <c r="G996" s="21" t="n">
        <f aca="false">F996*(1+MAX(0,phi_lo*G980))</f>
        <v>7.17221140983492</v>
      </c>
    </row>
    <row r="997" customFormat="false" ht="15" hidden="false" customHeight="false" outlineLevel="0" collapsed="false">
      <c r="A997" s="4" t="s">
        <v>573</v>
      </c>
      <c r="B997" s="0" t="s">
        <v>239</v>
      </c>
      <c r="C997" s="21" t="n">
        <f aca="false">C996</f>
        <v>3.5197</v>
      </c>
      <c r="D997" s="21" t="n">
        <f aca="false">D996</f>
        <v>6.1141318375</v>
      </c>
      <c r="E997" s="21" t="n">
        <f aca="false">E996+0*E979</f>
        <v>6.77128712448544</v>
      </c>
      <c r="F997" s="21" t="n">
        <f aca="false">F996+0*F979</f>
        <v>6.97495145619053</v>
      </c>
      <c r="G997" s="21" t="n">
        <f aca="false">G996+0*G979</f>
        <v>7.17221140983492</v>
      </c>
    </row>
    <row r="998" customFormat="false" ht="15" hidden="false" customHeight="false" outlineLevel="0" collapsed="false">
      <c r="A998" s="4" t="s">
        <v>430</v>
      </c>
      <c r="B998" s="0" t="s">
        <v>239</v>
      </c>
      <c r="C998" s="21" t="n">
        <f aca="false">C994-C997</f>
        <v>9.0011159</v>
      </c>
      <c r="D998" s="21" t="n">
        <f aca="false">D994-D997</f>
        <v>12.527451249</v>
      </c>
      <c r="E998" s="21" t="n">
        <f aca="false">E994-E997</f>
        <v>17.3837637669943</v>
      </c>
      <c r="F998" s="21" t="n">
        <f aca="false">F994-F997</f>
        <v>17.388214238297</v>
      </c>
      <c r="G998" s="21" t="n">
        <f aca="false">G994-G997</f>
        <v>19.1958880482244</v>
      </c>
    </row>
    <row r="999" customFormat="false" ht="15" hidden="false" customHeight="false" outlineLevel="0" collapsed="false">
      <c r="A999" s="4" t="s">
        <v>432</v>
      </c>
      <c r="B999" s="0" t="s">
        <v>41</v>
      </c>
      <c r="C999" s="14" t="n">
        <f aca="false">C998/C979</f>
        <v>0.25766356459111</v>
      </c>
      <c r="D999" s="14" t="n">
        <f aca="false">D998/D979</f>
        <v>0.264072969124936</v>
      </c>
      <c r="E999" s="14" t="n">
        <f aca="false">E998/E979</f>
        <v>0.288831744651449</v>
      </c>
      <c r="F999" s="14" t="n">
        <f aca="false">F998/F979</f>
        <v>0.268700962770373</v>
      </c>
      <c r="G999" s="14" t="n">
        <f aca="false">G998/G979</f>
        <v>0.277046989505046</v>
      </c>
    </row>
    <row r="1000" customFormat="false" ht="17.15" hidden="false" customHeight="false" outlineLevel="0" collapsed="false">
      <c r="A1000" s="0" t="s">
        <v>574</v>
      </c>
      <c r="B1000" s="0" t="s">
        <v>239</v>
      </c>
      <c r="C1000" s="21" t="n">
        <f aca="false">C998+C988</f>
        <v>16.5155</v>
      </c>
      <c r="D1000" s="21" t="n">
        <f aca="false">D998+D988</f>
        <v>23.855158189</v>
      </c>
      <c r="E1000" s="21" t="n">
        <f aca="false">E998+E988</f>
        <v>33.2910004776535</v>
      </c>
      <c r="F1000" s="21" t="n">
        <f aca="false">F998+F988</f>
        <v>36.5812433979891</v>
      </c>
      <c r="G1000" s="21" t="n">
        <f aca="false">G998+G988</f>
        <v>39.9546696985109</v>
      </c>
    </row>
    <row r="1001" customFormat="false" ht="17.15" hidden="false" customHeight="false" outlineLevel="0" collapsed="false">
      <c r="A1001" s="0" t="s">
        <v>575</v>
      </c>
      <c r="B1001" s="0" t="s">
        <v>239</v>
      </c>
      <c r="C1001" s="21" t="n">
        <f aca="false">C1000-C986</f>
        <v>-15.8399</v>
      </c>
      <c r="D1001" s="21" t="n">
        <f aca="false">D1000-D986</f>
        <v>-18.144841811</v>
      </c>
      <c r="E1001" s="21" t="n">
        <f aca="false">E1000-E986</f>
        <v>-18.2710925706961</v>
      </c>
      <c r="F1001" s="21" t="n">
        <f aca="false">F1000-F986</f>
        <v>13.9405312724133</v>
      </c>
      <c r="G1001" s="21" t="n">
        <f aca="false">G1000-G986</f>
        <v>16.6789463953783</v>
      </c>
    </row>
    <row r="1002" customFormat="false" ht="17.15" hidden="false" customHeight="false" outlineLevel="0" collapsed="false">
      <c r="A1002" s="4" t="s">
        <v>433</v>
      </c>
      <c r="B1002" s="0" t="s">
        <v>239</v>
      </c>
      <c r="C1002" s="21" t="n">
        <f aca="false">a25_ni</f>
        <v>11.015</v>
      </c>
      <c r="D1002" s="21" t="n">
        <f aca="false">a26_ni</f>
        <v>10.66608446065</v>
      </c>
      <c r="E1002" s="21" t="n">
        <f aca="false">E998*nir_f</f>
        <v>14.6023615642752</v>
      </c>
      <c r="F1002" s="21" t="n">
        <f aca="false">F998*nir_f</f>
        <v>14.6060999601694</v>
      </c>
      <c r="G1002" s="21" t="n">
        <f aca="false">G998*nir_f</f>
        <v>16.1245459605085</v>
      </c>
      <c r="H1002" s="8" t="s">
        <v>438</v>
      </c>
    </row>
    <row r="1003" customFormat="false" ht="17.15" hidden="false" customHeight="false" outlineLevel="0" collapsed="false">
      <c r="A1003" s="4" t="s">
        <v>437</v>
      </c>
      <c r="B1003" s="0" t="s">
        <v>41</v>
      </c>
      <c r="C1003" s="14" t="n">
        <f aca="false">C1002/C998</f>
        <v>1.22373715907824</v>
      </c>
      <c r="D1003" s="14" t="n">
        <f aca="false">D1002/D998</f>
        <v>0.851416960133963</v>
      </c>
      <c r="E1003" s="14" t="n">
        <f aca="false">E1002/E998</f>
        <v>0.84</v>
      </c>
      <c r="F1003" s="14" t="n">
        <f aca="false">F1002/F998</f>
        <v>0.84</v>
      </c>
      <c r="G1003" s="14" t="n">
        <f aca="false">G1002/G998</f>
        <v>0.84</v>
      </c>
    </row>
    <row r="1004" customFormat="false" ht="15" hidden="false" customHeight="false" outlineLevel="0" collapsed="false">
      <c r="A1004" s="4" t="s">
        <v>576</v>
      </c>
      <c r="B1004" s="4" t="s">
        <v>294</v>
      </c>
      <c r="C1004" s="27" t="n">
        <f aca="false">a25_sh</f>
        <v>1.22253052164262</v>
      </c>
      <c r="D1004" s="27" t="n">
        <f aca="false">a26_sh</f>
        <v>1.28264705882353</v>
      </c>
      <c r="E1004" s="27" t="n">
        <f aca="false">D1004*(1+sh_g)</f>
        <v>1.28264705882353</v>
      </c>
      <c r="F1004" s="27" t="n">
        <f aca="false">E1004*(1+sh_g)</f>
        <v>1.28264705882353</v>
      </c>
      <c r="G1004" s="27" t="n">
        <f aca="false">F1004*(1+sh_g)</f>
        <v>1.28264705882353</v>
      </c>
    </row>
    <row r="1005" customFormat="false" ht="15" hidden="false" customHeight="false" outlineLevel="0" collapsed="false">
      <c r="A1005" s="0" t="s">
        <v>442</v>
      </c>
      <c r="B1005" s="0" t="s">
        <v>315</v>
      </c>
      <c r="C1005" s="21" t="n">
        <f aca="false">C1002/C1004</f>
        <v>9.01</v>
      </c>
      <c r="D1005" s="21" t="n">
        <f aca="false">D1002/D1004</f>
        <v>8.31568153318276</v>
      </c>
      <c r="E1005" s="21" t="n">
        <f aca="false">E1002/E1004</f>
        <v>11.3845515520604</v>
      </c>
      <c r="F1005" s="21" t="n">
        <f aca="false">F1002/F1004</f>
        <v>11.3874661464288</v>
      </c>
      <c r="G1005" s="21" t="n">
        <f aca="false">G1002/G1004</f>
        <v>12.5713038903299</v>
      </c>
    </row>
    <row r="1006" customFormat="false" ht="17.15" hidden="false" customHeight="false" outlineLevel="0" collapsed="false">
      <c r="A1006" s="0" t="s">
        <v>577</v>
      </c>
      <c r="B1006" s="0" t="s">
        <v>41</v>
      </c>
      <c r="D1006" s="14" t="n">
        <f aca="false">D1005/C1005-1</f>
        <v>-0.0770608731206708</v>
      </c>
      <c r="E1006" s="14" t="n">
        <f aca="false">E1005/D1005-1</f>
        <v>0.369046121671654</v>
      </c>
      <c r="F1006" s="14" t="n">
        <f aca="false">F1005/E1005-1</f>
        <v>0.000256013102936103</v>
      </c>
      <c r="G1006" s="14" t="n">
        <f aca="false">G1005/F1005-1</f>
        <v>0.103959715768056</v>
      </c>
      <c r="H1006" s="8" t="s">
        <v>578</v>
      </c>
    </row>
    <row r="1009" customFormat="false" ht="17.15" hidden="false" customHeight="false" outlineLevel="0" collapsed="false">
      <c r="A1009" s="1" t="s">
        <v>882</v>
      </c>
    </row>
    <row r="1010" customFormat="false" ht="17.15" hidden="false" customHeight="false" outlineLevel="0" collapsed="false">
      <c r="A1010" s="5" t="s">
        <v>17</v>
      </c>
      <c r="B1010" s="5" t="s">
        <v>18</v>
      </c>
      <c r="C1010" s="12" t="s">
        <v>409</v>
      </c>
      <c r="D1010" s="12" t="s">
        <v>520</v>
      </c>
      <c r="E1010" s="12" t="s">
        <v>521</v>
      </c>
      <c r="F1010" s="12" t="s">
        <v>522</v>
      </c>
      <c r="G1010" s="12" t="s">
        <v>523</v>
      </c>
      <c r="H1010" s="5" t="s">
        <v>488</v>
      </c>
    </row>
    <row r="1011" customFormat="false" ht="17.15" hidden="false" customHeight="false" outlineLevel="0" collapsed="false">
      <c r="A1011" s="6" t="s">
        <v>543</v>
      </c>
    </row>
    <row r="1012" customFormat="false" ht="17.15" hidden="false" customHeight="false" outlineLevel="0" collapsed="false">
      <c r="A1012" s="0" t="s">
        <v>491</v>
      </c>
      <c r="B1012" s="4" t="s">
        <v>28</v>
      </c>
      <c r="D1012" s="16" t="n">
        <f aca="false">u_bw_26*tt_bw</f>
        <v>5.4</v>
      </c>
      <c r="E1012" s="16" t="n">
        <f aca="false">u_bw_27*1*tt_bw</f>
        <v>2.4</v>
      </c>
      <c r="F1012" s="16" t="n">
        <f aca="false">u_bw_28*um28_A*1*tt_bw</f>
        <v>0.5</v>
      </c>
      <c r="G1012" s="16" t="n">
        <f aca="false">u_bw_28*(1+g29_bw)*um29_A*1*tt_bw</f>
        <v>0.25</v>
      </c>
    </row>
    <row r="1013" customFormat="false" ht="17.15" hidden="false" customHeight="false" outlineLevel="0" collapsed="false">
      <c r="A1013" s="0" t="s">
        <v>493</v>
      </c>
      <c r="B1013" s="4" t="s">
        <v>28</v>
      </c>
      <c r="D1013" s="16" t="n">
        <f aca="false">u_rb_26*tt_rb</f>
        <v>2.55</v>
      </c>
      <c r="E1013" s="16" t="n">
        <f aca="false">u_rb_27*1*tt_rb</f>
        <v>10.5</v>
      </c>
      <c r="F1013" s="16" t="n">
        <f aca="false">u_rb_28*um28_A*1*tt_rb</f>
        <v>10.5</v>
      </c>
      <c r="G1013" s="16" t="n">
        <f aca="false">u_rb_28*(1+g29_rb)*um29_A*1*tt_rb</f>
        <v>12.075</v>
      </c>
    </row>
    <row r="1014" customFormat="false" ht="17.15" hidden="false" customHeight="false" outlineLevel="0" collapsed="false">
      <c r="A1014" s="0" t="s">
        <v>494</v>
      </c>
      <c r="B1014" s="4" t="s">
        <v>28</v>
      </c>
      <c r="D1014" s="16" t="n">
        <f aca="false">u_ru_26*tt_ru</f>
        <v>0</v>
      </c>
      <c r="E1014" s="16" t="n">
        <f aca="false">u_ru_27*1*tt_ru</f>
        <v>0.6</v>
      </c>
      <c r="F1014" s="16" t="n">
        <f aca="false">u_ru_28*um28_A*1*tt_ru</f>
        <v>4</v>
      </c>
      <c r="G1014" s="16" t="n">
        <f aca="false">u_ru_28*(1+g29_ru)*um29_A*1*tt_ru</f>
        <v>4.6</v>
      </c>
    </row>
    <row r="1015" customFormat="false" ht="17.15" hidden="false" customHeight="false" outlineLevel="0" collapsed="false">
      <c r="A1015" s="0" t="s">
        <v>495</v>
      </c>
      <c r="B1015" s="4" t="s">
        <v>28</v>
      </c>
      <c r="D1015" s="16" t="n">
        <f aca="false">u_hp_26*tt_hp</f>
        <v>0.3</v>
      </c>
      <c r="E1015" s="16" t="n">
        <f aca="false">u_hp_27*1*tt_hp</f>
        <v>0</v>
      </c>
      <c r="F1015" s="16" t="n">
        <f aca="false">u_hp_28*um28_A*1*tt_hp</f>
        <v>0</v>
      </c>
      <c r="G1015" s="16" t="n">
        <f aca="false">u_hp_28*(1+g29_hp)*um29_A*1*tt_hp</f>
        <v>0</v>
      </c>
    </row>
    <row r="1016" customFormat="false" ht="17.15" hidden="false" customHeight="false" outlineLevel="0" collapsed="false">
      <c r="A1016" s="0" t="s">
        <v>496</v>
      </c>
      <c r="B1016" s="4" t="s">
        <v>28</v>
      </c>
      <c r="D1016" s="16" t="n">
        <f aca="false">u_amd_26*tt_amd*ex_amd</f>
        <v>0.165</v>
      </c>
      <c r="E1016" s="16" t="n">
        <f aca="false">u_amd_27*1*tt_amd*ex_amd</f>
        <v>0.33</v>
      </c>
      <c r="F1016" s="16" t="n">
        <f aca="false">u_amd_28*um28_A*1*tt_amd*ex_amd</f>
        <v>0.44</v>
      </c>
      <c r="G1016" s="16" t="n">
        <f aca="false">u_amd_28*(1+g29_amd)*um29_A*1*tt_amd*ex_amd</f>
        <v>0.506</v>
      </c>
    </row>
    <row r="1017" customFormat="false" ht="17.15" hidden="false" customHeight="false" outlineLevel="0" collapsed="false">
      <c r="A1017" s="0" t="s">
        <v>498</v>
      </c>
      <c r="B1017" s="4" t="s">
        <v>28</v>
      </c>
      <c r="D1017" s="16" t="n">
        <f aca="false">u_tpu_26*tt_tpu*ex_tpu</f>
        <v>1.7325</v>
      </c>
      <c r="E1017" s="16" t="n">
        <f aca="false">u_tpu_27*1*tt_tpu*ex_tpu</f>
        <v>2.475</v>
      </c>
      <c r="F1017" s="16" t="n">
        <f aca="false">u_tpu_28*um28_A*1*tt_tpu*ex_tpu</f>
        <v>3.15</v>
      </c>
      <c r="G1017" s="16" t="n">
        <f aca="false">u_tpu_28*(1+g29_tpu)*um29_A*1*tt_tpu*ex_tpu</f>
        <v>3.6225</v>
      </c>
    </row>
    <row r="1018" customFormat="false" ht="17.15" hidden="false" customHeight="false" outlineLevel="0" collapsed="false">
      <c r="A1018" s="0" t="s">
        <v>499</v>
      </c>
      <c r="B1018" s="4" t="s">
        <v>28</v>
      </c>
      <c r="D1018" s="16" t="n">
        <f aca="false">u_trn_26*tt_trn*ex_trn</f>
        <v>0.64</v>
      </c>
      <c r="E1018" s="16" t="n">
        <f aca="false">u_trn_27*1*tt_trn*ex_trn</f>
        <v>0.8</v>
      </c>
      <c r="F1018" s="16" t="n">
        <f aca="false">u_trn_28*um28_A*1*tt_trn*ex_trn</f>
        <v>0.96</v>
      </c>
      <c r="G1018" s="16" t="n">
        <f aca="false">u_trn_28*(1+g29_trn)*um29_A*1*tt_trn*ex_trn</f>
        <v>1.104</v>
      </c>
    </row>
    <row r="1019" customFormat="false" ht="17.15" hidden="false" customHeight="false" outlineLevel="0" collapsed="false">
      <c r="A1019" s="4" t="s">
        <v>500</v>
      </c>
      <c r="B1019" s="4" t="s">
        <v>28</v>
      </c>
      <c r="D1019" s="16" t="n">
        <f aca="false">u_oth_26*tt_oth*ex_oth</f>
        <v>0.28</v>
      </c>
      <c r="E1019" s="16" t="n">
        <f aca="false">u_oth_27*1*tt_oth*ex_oth</f>
        <v>1.26</v>
      </c>
      <c r="F1019" s="16" t="n">
        <f aca="false">u_oth_28*um28_A*1*tt_oth*ex_oth</f>
        <v>1.4</v>
      </c>
      <c r="G1019" s="16" t="n">
        <f aca="false">u_oth_28*(1+g29_oth)*um29_A*1*tt_oth*ex_oth</f>
        <v>1.61</v>
      </c>
    </row>
    <row r="1020" customFormat="false" ht="15" hidden="false" customHeight="false" outlineLevel="0" collapsed="false">
      <c r="A1020" s="4" t="s">
        <v>489</v>
      </c>
      <c r="B1020" s="4" t="s">
        <v>28</v>
      </c>
      <c r="D1020" s="16" t="n">
        <f aca="false">u_bw_26+u_rb_26+u_ru_26+u_hp_26+u_amd_26+u_tpu_26+u_trn_26+u_oth_26</f>
        <v>15.2</v>
      </c>
      <c r="E1020" s="16" t="n">
        <f aca="false">u_bw_27*1+u_rb_27*1+u_ru_27*1+u_hp_27*1+u_amd_27*1+u_tpu_27*1+u_trn_27*1+u_oth_27*1</f>
        <v>23.7</v>
      </c>
      <c r="F1020" s="16" t="n">
        <f aca="false">u_bw_28*um28_A*1+u_rb_28*um28_A*1+u_ru_28*um28_A*1+u_hp_28*um28_A*1+u_amd_28*um28_A*1+u_tpu_28*um28_A*1+u_trn_28*um28_A*1+u_oth_28*um28_A*1</f>
        <v>26.5</v>
      </c>
      <c r="G1020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21" customFormat="false" ht="17.15" hidden="false" customHeight="false" outlineLevel="0" collapsed="false">
      <c r="A1021" s="0" t="s">
        <v>544</v>
      </c>
      <c r="B1021" s="4" t="s">
        <v>28</v>
      </c>
      <c r="D1021" s="16" t="n">
        <f aca="false">D1012+D1013+D1014+D1015</f>
        <v>8.25</v>
      </c>
      <c r="E1021" s="16" t="n">
        <f aca="false">E1012+E1013+E1014+E1015</f>
        <v>13.5</v>
      </c>
      <c r="F1021" s="16" t="n">
        <f aca="false">F1012+F1013+F1014+F1015</f>
        <v>15</v>
      </c>
      <c r="G1021" s="16" t="n">
        <f aca="false">G1012+G1013+G1014+G1015</f>
        <v>16.925</v>
      </c>
    </row>
    <row r="1022" customFormat="false" ht="17.15" hidden="false" customHeight="false" outlineLevel="0" collapsed="false">
      <c r="A1022" s="0" t="s">
        <v>545</v>
      </c>
      <c r="B1022" s="4" t="s">
        <v>28</v>
      </c>
      <c r="D1022" s="16" t="n">
        <f aca="false">D1016+D1017+D1018+D1019</f>
        <v>2.8175</v>
      </c>
      <c r="E1022" s="16" t="n">
        <f aca="false">E1016+E1017+E1018+E1019</f>
        <v>4.865</v>
      </c>
      <c r="F1022" s="16" t="n">
        <f aca="false">F1016+F1017+F1018+F1019</f>
        <v>5.95</v>
      </c>
      <c r="G1022" s="16" t="n">
        <f aca="false">G1016+G1017+G1018+G1019</f>
        <v>6.8425</v>
      </c>
    </row>
    <row r="1023" customFormat="false" ht="15" hidden="false" customHeight="false" outlineLevel="0" collapsed="false">
      <c r="A1023" s="4" t="s">
        <v>546</v>
      </c>
      <c r="B1023" s="4" t="s">
        <v>28</v>
      </c>
      <c r="D1023" s="16" t="n">
        <f aca="false">D1021+D1022</f>
        <v>11.0675</v>
      </c>
      <c r="E1023" s="16" t="n">
        <f aca="false">E1021+E1022</f>
        <v>18.365</v>
      </c>
      <c r="F1023" s="16" t="n">
        <f aca="false">F1021+F1022</f>
        <v>20.95</v>
      </c>
      <c r="G1023" s="16" t="n">
        <f aca="false">G1021+G1022</f>
        <v>23.7675</v>
      </c>
    </row>
    <row r="1024" customFormat="false" ht="17.15" hidden="false" customHeight="false" outlineLevel="0" collapsed="false">
      <c r="A1024" s="0" t="s">
        <v>547</v>
      </c>
      <c r="B1024" s="0" t="s">
        <v>239</v>
      </c>
      <c r="D1024" s="21" t="n">
        <f aca="false">a26_rev*ai_26</f>
        <v>16.603774145</v>
      </c>
    </row>
    <row r="1025" customFormat="false" ht="17.15" hidden="false" customHeight="false" outlineLevel="0" collapsed="false">
      <c r="A1025" s="4" t="s">
        <v>548</v>
      </c>
      <c r="B1025" s="0" t="s">
        <v>549</v>
      </c>
      <c r="D1025" s="27" t="n">
        <f aca="false">D1024/D1023</f>
        <v>1.50022806821775</v>
      </c>
      <c r="H1025" s="8" t="s">
        <v>550</v>
      </c>
    </row>
    <row r="1026" customFormat="false" ht="17.15" hidden="false" customHeight="false" outlineLevel="0" collapsed="false">
      <c r="A1026" s="4" t="s">
        <v>551</v>
      </c>
      <c r="B1026" s="0" t="s">
        <v>131</v>
      </c>
      <c r="D1026" s="16" t="n">
        <f aca="false">1</f>
        <v>1</v>
      </c>
      <c r="E1026" s="16" t="n">
        <f aca="false">rel_27</f>
        <v>0.95</v>
      </c>
      <c r="F1026" s="16" t="n">
        <f aca="false">rel_28</f>
        <v>0.92</v>
      </c>
      <c r="G1026" s="16" t="n">
        <f aca="false">rel_29</f>
        <v>0.9</v>
      </c>
    </row>
    <row r="1027" customFormat="false" ht="17.15" hidden="false" customHeight="false" outlineLevel="0" collapsed="false">
      <c r="A1027" s="4" t="s">
        <v>552</v>
      </c>
      <c r="B1027" s="0" t="s">
        <v>131</v>
      </c>
      <c r="D1027" s="16" t="n">
        <f aca="false">1</f>
        <v>1</v>
      </c>
      <c r="E1027" s="16" t="n">
        <f aca="false">pp_27</f>
        <v>0.98</v>
      </c>
      <c r="F1027" s="16" t="n">
        <f aca="false">pp_28</f>
        <v>0.96</v>
      </c>
      <c r="G1027" s="16" t="n">
        <f aca="false">pp_29</f>
        <v>0.95</v>
      </c>
    </row>
    <row r="1028" customFormat="false" ht="17.15" hidden="false" customHeight="false" outlineLevel="0" collapsed="false">
      <c r="A1028" s="0" t="s">
        <v>553</v>
      </c>
      <c r="B1028" s="0" t="s">
        <v>239</v>
      </c>
      <c r="C1028" s="21" t="n">
        <f aca="false">a25_rev*ai_25</f>
        <v>9.60674</v>
      </c>
      <c r="D1028" s="21" t="n">
        <f aca="false">D1024</f>
        <v>16.603774145</v>
      </c>
      <c r="E1028" s="21" t="n">
        <f aca="false">$D$1025*E1023*E1026*E1027</f>
        <v>25.6506219681945</v>
      </c>
      <c r="F1028" s="21" t="n">
        <f aca="false">$D$1025*F1023*F1026*F1027</f>
        <v>27.7587799553558</v>
      </c>
      <c r="G1028" s="21" t="n">
        <f aca="false">$D$1025*G1023*G1026*G1027</f>
        <v>30.4864533727175</v>
      </c>
    </row>
    <row r="1029" customFormat="false" ht="17.15" hidden="false" customHeight="false" outlineLevel="0" collapsed="false">
      <c r="A1029" s="4" t="s">
        <v>554</v>
      </c>
      <c r="B1029" s="0" t="s">
        <v>239</v>
      </c>
      <c r="C1029" s="21" t="n">
        <f aca="false">a25_rev-C1028</f>
        <v>25.32686</v>
      </c>
      <c r="D1029" s="21" t="n">
        <f aca="false">a26_rev-D1028</f>
        <v>30.835580555</v>
      </c>
      <c r="E1029" s="21" t="n">
        <f aca="false">D1029*(1+g_nai27)</f>
        <v>34.5358502216</v>
      </c>
      <c r="F1029" s="21" t="n">
        <f aca="false">E1029*(1+g_nai28)</f>
        <v>36.953359737112</v>
      </c>
      <c r="G1029" s="21" t="n">
        <f aca="false">F1029*(1+g_nai29)</f>
        <v>38.8010277239676</v>
      </c>
    </row>
    <row r="1030" customFormat="false" ht="15" hidden="false" customHeight="false" outlineLevel="0" collapsed="false">
      <c r="A1030" s="4" t="s">
        <v>414</v>
      </c>
      <c r="B1030" s="0" t="s">
        <v>239</v>
      </c>
      <c r="C1030" s="21" t="n">
        <f aca="false">C1028+C1029</f>
        <v>34.9336</v>
      </c>
      <c r="D1030" s="21" t="n">
        <f aca="false">D1028+D1029</f>
        <v>47.4393547</v>
      </c>
      <c r="E1030" s="21" t="n">
        <f aca="false">E1028+E1029</f>
        <v>60.1864721897945</v>
      </c>
      <c r="F1030" s="21" t="n">
        <f aca="false">F1028+F1029</f>
        <v>64.7121396924678</v>
      </c>
      <c r="G1030" s="21" t="n">
        <f aca="false">G1028+G1029</f>
        <v>69.2874810966851</v>
      </c>
    </row>
    <row r="1031" customFormat="false" ht="15" hidden="false" customHeight="false" outlineLevel="0" collapsed="false">
      <c r="A1031" s="4" t="s">
        <v>555</v>
      </c>
      <c r="B1031" s="0" t="s">
        <v>41</v>
      </c>
      <c r="D1031" s="14" t="n">
        <f aca="false">D1030/C1030-1</f>
        <v>0.357986428538713</v>
      </c>
      <c r="E1031" s="14" t="n">
        <f aca="false">E1030/D1030-1</f>
        <v>0.268703433476395</v>
      </c>
      <c r="F1031" s="14" t="n">
        <f aca="false">F1030/E1030-1</f>
        <v>0.0751940982419084</v>
      </c>
      <c r="G1031" s="14" t="n">
        <f aca="false">G1030/F1030-1</f>
        <v>0.070702984416227</v>
      </c>
    </row>
    <row r="1032" customFormat="false" ht="17.15" hidden="false" customHeight="false" outlineLevel="0" collapsed="false">
      <c r="A1032" s="0" t="s">
        <v>556</v>
      </c>
      <c r="B1032" s="0" t="s">
        <v>41</v>
      </c>
      <c r="C1032" s="14" t="n">
        <f aca="false">C1028/C1030</f>
        <v>0.275</v>
      </c>
      <c r="D1032" s="14" t="n">
        <f aca="false">D1028/D1030</f>
        <v>0.35</v>
      </c>
      <c r="E1032" s="14" t="n">
        <f aca="false">E1028/E1030</f>
        <v>0.426185836034829</v>
      </c>
      <c r="F1032" s="14" t="n">
        <f aca="false">F1028/F1030</f>
        <v>0.42895784449833</v>
      </c>
      <c r="G1032" s="14" t="n">
        <f aca="false">G1028/G1030</f>
        <v>0.439999447088805</v>
      </c>
    </row>
    <row r="1033" customFormat="false" ht="17.15" hidden="false" customHeight="false" outlineLevel="0" collapsed="false">
      <c r="A1033" s="0" t="s">
        <v>502</v>
      </c>
      <c r="B1033" s="0" t="s">
        <v>41</v>
      </c>
      <c r="D1033" s="14" t="n">
        <f aca="false">D1021/D1023</f>
        <v>0.745425796250282</v>
      </c>
      <c r="E1033" s="14" t="n">
        <f aca="false">E1021/E1023</f>
        <v>0.735093928668663</v>
      </c>
      <c r="F1033" s="14" t="n">
        <f aca="false">F1021/F1023</f>
        <v>0.715990453460621</v>
      </c>
      <c r="G1033" s="14" t="n">
        <f aca="false">G1021/G1023</f>
        <v>0.71210686862312</v>
      </c>
    </row>
    <row r="1034" customFormat="false" ht="17.15" hidden="false" customHeight="false" outlineLevel="0" collapsed="false">
      <c r="A1034" s="4" t="s">
        <v>506</v>
      </c>
      <c r="B1034" s="0" t="s">
        <v>507</v>
      </c>
      <c r="D1034" s="22" t="n">
        <f aca="false">D1028/D1023/fx*1000</f>
        <v>46.8821271318048</v>
      </c>
      <c r="E1034" s="22" t="n">
        <f aca="false">E1028/E1023/fx*1000</f>
        <v>43.6472603597103</v>
      </c>
      <c r="F1034" s="22" t="n">
        <f aca="false">F1028/F1023/fx*1000</f>
        <v>41.40629468281</v>
      </c>
      <c r="G1034" s="22" t="n">
        <f aca="false">G1028/G1023/fx*1000</f>
        <v>40.0842186976931</v>
      </c>
      <c r="H1034" s="4" t="s">
        <v>557</v>
      </c>
    </row>
    <row r="1035" customFormat="false" ht="17.15" hidden="false" customHeight="false" outlineLevel="0" collapsed="false">
      <c r="A1035" s="6" t="s">
        <v>558</v>
      </c>
    </row>
    <row r="1036" customFormat="false" ht="17.15" hidden="false" customHeight="false" outlineLevel="0" collapsed="false">
      <c r="A1036" s="0" t="s">
        <v>559</v>
      </c>
      <c r="B1036" s="0" t="s">
        <v>131</v>
      </c>
      <c r="C1036" s="16" t="n">
        <f aca="false">(a25_capex-m_cx*a25_rev)/(a25_rev-rev24)</f>
        <v>3.57284271254522</v>
      </c>
      <c r="H1036" s="8" t="s">
        <v>560</v>
      </c>
    </row>
    <row r="1037" customFormat="false" ht="17.15" hidden="false" customHeight="false" outlineLevel="0" collapsed="false">
      <c r="A1037" s="4" t="s">
        <v>511</v>
      </c>
      <c r="B1037" s="0" t="s">
        <v>239</v>
      </c>
      <c r="C1037" s="21" t="n">
        <f aca="false">a25_capex</f>
        <v>32.3554</v>
      </c>
      <c r="D1037" s="21" t="n">
        <f aca="false">capex_26</f>
        <v>42</v>
      </c>
      <c r="E1037" s="21" t="n">
        <f aca="false">m_cx*E1030+$C$1036*MAX(0,E1030-D1030)</f>
        <v>51.5620930483496</v>
      </c>
      <c r="F1037" s="21" t="n">
        <f aca="false">m_cx*F1030+$C$1036*MAX(0,F1030-E1030)</f>
        <v>22.6407121255758</v>
      </c>
      <c r="G1037" s="21" t="n">
        <f aca="false">m_cx*G1030+$C$1036*MAX(0,G1030-F1030)</f>
        <v>23.2757233031325</v>
      </c>
      <c r="H1037" s="8" t="s">
        <v>561</v>
      </c>
    </row>
    <row r="1038" customFormat="false" ht="17.15" hidden="false" customHeight="false" outlineLevel="0" collapsed="false">
      <c r="A1038" s="4" t="s">
        <v>562</v>
      </c>
      <c r="B1038" s="0" t="s">
        <v>41</v>
      </c>
      <c r="C1038" s="14" t="n">
        <f aca="false">C1037/C1030</f>
        <v>0.926197128266197</v>
      </c>
      <c r="D1038" s="14" t="n">
        <f aca="false">D1037/D1030</f>
        <v>0.885340879225746</v>
      </c>
      <c r="E1038" s="14" t="n">
        <f aca="false">E1037/E1030</f>
        <v>0.85670568771254</v>
      </c>
      <c r="F1038" s="14" t="n">
        <f aca="false">F1037/F1030</f>
        <v>0.34986808090679</v>
      </c>
      <c r="G1038" s="14" t="n">
        <f aca="false">G1037/G1030</f>
        <v>0.335929708148188</v>
      </c>
    </row>
    <row r="1039" customFormat="false" ht="15" hidden="false" customHeight="false" outlineLevel="0" collapsed="false">
      <c r="A1039" s="4" t="s">
        <v>563</v>
      </c>
      <c r="B1039" s="0" t="s">
        <v>239</v>
      </c>
      <c r="C1039" s="21" t="n">
        <f aca="false">a25_da</f>
        <v>7.5143841</v>
      </c>
      <c r="D1039" s="21" t="n">
        <f aca="false">a26_da</f>
        <v>11.32770694</v>
      </c>
      <c r="E1039" s="21" t="n">
        <f aca="false">D1039*(1-ret)+dr*(D1037+E1037)/2</f>
        <v>15.9072367106592</v>
      </c>
      <c r="F1039" s="21" t="n">
        <f aca="false">E1039*(1-ret)+dr*(E1037+F1037)/2</f>
        <v>19.1930291596922</v>
      </c>
      <c r="G1039" s="21" t="n">
        <f aca="false">F1039*(1-ret)+dr*(F1037+G1037)/2</f>
        <v>20.7587816502865</v>
      </c>
    </row>
    <row r="1040" customFormat="false" ht="17.15" hidden="false" customHeight="false" outlineLevel="0" collapsed="false">
      <c r="A1040" s="4" t="s">
        <v>515</v>
      </c>
      <c r="B1040" s="0" t="s">
        <v>41</v>
      </c>
      <c r="C1040" s="14" t="n">
        <f aca="false">C1039/C1030</f>
        <v>0.215104773055168</v>
      </c>
      <c r="D1040" s="14" t="n">
        <f aca="false">D1039/D1030</f>
        <v>0.238782905282647</v>
      </c>
      <c r="E1040" s="14" t="n">
        <f aca="false">E1039/E1030</f>
        <v>0.264299204321142</v>
      </c>
      <c r="F1040" s="14" t="n">
        <f aca="false">F1039/F1030</f>
        <v>0.296590859936071</v>
      </c>
      <c r="G1040" s="14" t="n">
        <f aca="false">G1039/G1030</f>
        <v>0.299603641548454</v>
      </c>
    </row>
    <row r="1041" customFormat="false" ht="17.15" hidden="false" customHeight="false" outlineLevel="0" collapsed="false">
      <c r="A1041" s="4" t="s">
        <v>564</v>
      </c>
      <c r="B1041" s="0" t="s">
        <v>239</v>
      </c>
      <c r="D1041" s="16" t="n">
        <f aca="false">C1039*(1-ret)+dr*(C1037+D1037)/2-D1039</f>
        <v>-0.0994950449999994</v>
      </c>
      <c r="H1041" s="4" t="s">
        <v>565</v>
      </c>
    </row>
    <row r="1042" customFormat="false" ht="17.15" hidden="false" customHeight="false" outlineLevel="0" collapsed="false">
      <c r="A1042" s="6" t="s">
        <v>566</v>
      </c>
    </row>
    <row r="1043" customFormat="false" ht="17.15" hidden="false" customHeight="false" outlineLevel="0" collapsed="false">
      <c r="A1043" s="4" t="s">
        <v>567</v>
      </c>
      <c r="B1043" s="0" t="s">
        <v>239</v>
      </c>
      <c r="D1043" s="21" t="n">
        <f aca="false">a26_cc-v_cc*a26_rev</f>
        <v>7.9821937335</v>
      </c>
      <c r="H1043" s="8" t="s">
        <v>568</v>
      </c>
    </row>
    <row r="1044" customFormat="false" ht="17.15" hidden="false" customHeight="false" outlineLevel="0" collapsed="false">
      <c r="A1044" s="4" t="s">
        <v>569</v>
      </c>
      <c r="B1044" s="0" t="s">
        <v>239</v>
      </c>
      <c r="C1044" s="21" t="n">
        <f aca="false">a25_cc</f>
        <v>14.8984</v>
      </c>
      <c r="D1044" s="21" t="n">
        <f aca="false">a26_cc</f>
        <v>17.4700646735</v>
      </c>
      <c r="E1044" s="21" t="n">
        <f aca="false">$D$1043+v_cc*(E1028/E1027+E1029)</f>
        <v>20.1241845876556</v>
      </c>
      <c r="F1044" s="21" t="n">
        <f aca="false">$D$1043+v_cc*(F1028/F1027+F1029)</f>
        <v>21.1559448382882</v>
      </c>
      <c r="G1044" s="21" t="n">
        <f aca="false">$D$1043+v_cc*(G1028/G1027+G1029)</f>
        <v>22.1605999883393</v>
      </c>
      <c r="H1044" s="4" t="s">
        <v>570</v>
      </c>
    </row>
    <row r="1045" customFormat="false" ht="15" hidden="false" customHeight="false" outlineLevel="0" collapsed="false">
      <c r="A1045" s="4" t="s">
        <v>571</v>
      </c>
      <c r="B1045" s="0" t="s">
        <v>239</v>
      </c>
      <c r="C1045" s="21" t="n">
        <f aca="false">C1030-C1044-C1039</f>
        <v>12.5208159</v>
      </c>
      <c r="D1045" s="21" t="n">
        <f aca="false">D1030-D1044-D1039</f>
        <v>18.6415830865</v>
      </c>
      <c r="E1045" s="21" t="n">
        <f aca="false">E1030-E1044-E1039</f>
        <v>24.1550508914797</v>
      </c>
      <c r="F1045" s="21" t="n">
        <f aca="false">F1030-F1044-F1039</f>
        <v>24.3631656944875</v>
      </c>
      <c r="G1045" s="21" t="n">
        <f aca="false">G1030-G1044-G1039</f>
        <v>26.3680994580593</v>
      </c>
    </row>
    <row r="1046" customFormat="false" ht="15" hidden="false" customHeight="false" outlineLevel="0" collapsed="false">
      <c r="A1046" s="4" t="s">
        <v>421</v>
      </c>
      <c r="B1046" s="0" t="s">
        <v>41</v>
      </c>
      <c r="C1046" s="14" t="n">
        <f aca="false">C1045/C1030</f>
        <v>0.358417566468958</v>
      </c>
      <c r="D1046" s="14" t="n">
        <f aca="false">D1045/D1030</f>
        <v>0.392956084760993</v>
      </c>
      <c r="E1046" s="14" t="n">
        <f aca="false">E1045/E1030</f>
        <v>0.401336878747572</v>
      </c>
      <c r="F1046" s="14" t="n">
        <f aca="false">F1045/F1030</f>
        <v>0.37648524388575</v>
      </c>
      <c r="G1046" s="14" t="n">
        <f aca="false">G1045/G1030</f>
        <v>0.380560803202886</v>
      </c>
    </row>
    <row r="1047" customFormat="false" ht="15" hidden="false" customHeight="false" outlineLevel="0" collapsed="false">
      <c r="A1047" s="4" t="s">
        <v>572</v>
      </c>
      <c r="B1047" s="0" t="s">
        <v>239</v>
      </c>
      <c r="C1047" s="21" t="n">
        <f aca="false">a25_opx</f>
        <v>3.5197</v>
      </c>
      <c r="D1047" s="21" t="n">
        <f aca="false">a26_opx</f>
        <v>6.1141318375</v>
      </c>
      <c r="E1047" s="21" t="n">
        <f aca="false">D1047*(1+MAX(0,phi_hi*E1031))</f>
        <v>7.75702005496359</v>
      </c>
      <c r="F1047" s="21" t="n">
        <f aca="false">E1047*(1+MAX(0,phi_hi*F1031))</f>
        <v>8.34030218304097</v>
      </c>
      <c r="G1047" s="21" t="n">
        <f aca="false">F1047*(1+MAX(0,phi_hi*G1031))</f>
        <v>8.92998643831514</v>
      </c>
    </row>
    <row r="1048" customFormat="false" ht="15" hidden="false" customHeight="false" outlineLevel="0" collapsed="false">
      <c r="A1048" s="4" t="s">
        <v>573</v>
      </c>
      <c r="B1048" s="0" t="s">
        <v>239</v>
      </c>
      <c r="C1048" s="21" t="n">
        <f aca="false">C1047</f>
        <v>3.5197</v>
      </c>
      <c r="D1048" s="21" t="n">
        <f aca="false">D1047</f>
        <v>6.1141318375</v>
      </c>
      <c r="E1048" s="21" t="n">
        <f aca="false">E1047+0*E1030</f>
        <v>7.75702005496359</v>
      </c>
      <c r="F1048" s="21" t="n">
        <f aca="false">F1047+0*F1030</f>
        <v>8.34030218304097</v>
      </c>
      <c r="G1048" s="21" t="n">
        <f aca="false">G1047+0*G1030</f>
        <v>8.92998643831514</v>
      </c>
    </row>
    <row r="1049" customFormat="false" ht="15" hidden="false" customHeight="false" outlineLevel="0" collapsed="false">
      <c r="A1049" s="4" t="s">
        <v>430</v>
      </c>
      <c r="B1049" s="0" t="s">
        <v>239</v>
      </c>
      <c r="C1049" s="21" t="n">
        <f aca="false">C1045-C1048</f>
        <v>9.0011159</v>
      </c>
      <c r="D1049" s="21" t="n">
        <f aca="false">D1045-D1048</f>
        <v>12.527451249</v>
      </c>
      <c r="E1049" s="21" t="n">
        <f aca="false">E1045-E1048</f>
        <v>16.3980308365161</v>
      </c>
      <c r="F1049" s="21" t="n">
        <f aca="false">F1045-F1048</f>
        <v>16.0228635114465</v>
      </c>
      <c r="G1049" s="21" t="n">
        <f aca="false">G1045-G1048</f>
        <v>17.4381130197441</v>
      </c>
    </row>
    <row r="1050" customFormat="false" ht="15" hidden="false" customHeight="false" outlineLevel="0" collapsed="false">
      <c r="A1050" s="4" t="s">
        <v>432</v>
      </c>
      <c r="B1050" s="0" t="s">
        <v>41</v>
      </c>
      <c r="C1050" s="14" t="n">
        <f aca="false">C1049/C1030</f>
        <v>0.25766356459111</v>
      </c>
      <c r="D1050" s="14" t="n">
        <f aca="false">D1049/D1030</f>
        <v>0.264072969124936</v>
      </c>
      <c r="E1050" s="14" t="n">
        <f aca="false">E1049/E1030</f>
        <v>0.272453763111516</v>
      </c>
      <c r="F1050" s="14" t="n">
        <f aca="false">F1049/F1030</f>
        <v>0.247602128249694</v>
      </c>
      <c r="G1050" s="14" t="n">
        <f aca="false">G1049/G1030</f>
        <v>0.25167768756683</v>
      </c>
    </row>
    <row r="1051" customFormat="false" ht="17.15" hidden="false" customHeight="false" outlineLevel="0" collapsed="false">
      <c r="A1051" s="0" t="s">
        <v>574</v>
      </c>
      <c r="B1051" s="0" t="s">
        <v>239</v>
      </c>
      <c r="C1051" s="21" t="n">
        <f aca="false">C1049+C1039</f>
        <v>16.5155</v>
      </c>
      <c r="D1051" s="21" t="n">
        <f aca="false">D1049+D1039</f>
        <v>23.855158189</v>
      </c>
      <c r="E1051" s="21" t="n">
        <f aca="false">E1049+E1039</f>
        <v>32.3052675471753</v>
      </c>
      <c r="F1051" s="21" t="n">
        <f aca="false">F1049+F1039</f>
        <v>35.2158926711387</v>
      </c>
      <c r="G1051" s="21" t="n">
        <f aca="false">G1049+G1039</f>
        <v>38.1968946700306</v>
      </c>
    </row>
    <row r="1052" customFormat="false" ht="17.15" hidden="false" customHeight="false" outlineLevel="0" collapsed="false">
      <c r="A1052" s="0" t="s">
        <v>575</v>
      </c>
      <c r="B1052" s="0" t="s">
        <v>239</v>
      </c>
      <c r="C1052" s="21" t="n">
        <f aca="false">C1051-C1037</f>
        <v>-15.8399</v>
      </c>
      <c r="D1052" s="21" t="n">
        <f aca="false">D1051-D1037</f>
        <v>-18.144841811</v>
      </c>
      <c r="E1052" s="21" t="n">
        <f aca="false">E1051-E1037</f>
        <v>-19.2568255011743</v>
      </c>
      <c r="F1052" s="21" t="n">
        <f aca="false">F1051-F1037</f>
        <v>12.5751805455629</v>
      </c>
      <c r="G1052" s="21" t="n">
        <f aca="false">G1051-G1037</f>
        <v>14.9211713668981</v>
      </c>
    </row>
    <row r="1053" customFormat="false" ht="17.15" hidden="false" customHeight="false" outlineLevel="0" collapsed="false">
      <c r="A1053" s="4" t="s">
        <v>433</v>
      </c>
      <c r="B1053" s="0" t="s">
        <v>239</v>
      </c>
      <c r="C1053" s="21" t="n">
        <f aca="false">a25_ni</f>
        <v>11.015</v>
      </c>
      <c r="D1053" s="21" t="n">
        <f aca="false">a26_ni</f>
        <v>10.66608446065</v>
      </c>
      <c r="E1053" s="21" t="n">
        <f aca="false">E1049*nir_f</f>
        <v>13.7743459026735</v>
      </c>
      <c r="F1053" s="21" t="n">
        <f aca="false">F1049*nir_f</f>
        <v>13.4592053496151</v>
      </c>
      <c r="G1053" s="21" t="n">
        <f aca="false">G1049*nir_f</f>
        <v>14.6480149365851</v>
      </c>
      <c r="H1053" s="8" t="s">
        <v>438</v>
      </c>
    </row>
    <row r="1054" customFormat="false" ht="17.15" hidden="false" customHeight="false" outlineLevel="0" collapsed="false">
      <c r="A1054" s="4" t="s">
        <v>437</v>
      </c>
      <c r="B1054" s="0" t="s">
        <v>41</v>
      </c>
      <c r="C1054" s="14" t="n">
        <f aca="false">C1053/C1049</f>
        <v>1.22373715907824</v>
      </c>
      <c r="D1054" s="14" t="n">
        <f aca="false">D1053/D1049</f>
        <v>0.851416960133963</v>
      </c>
      <c r="E1054" s="14" t="n">
        <f aca="false">E1053/E1049</f>
        <v>0.84</v>
      </c>
      <c r="F1054" s="14" t="n">
        <f aca="false">F1053/F1049</f>
        <v>0.84</v>
      </c>
      <c r="G1054" s="14" t="n">
        <f aca="false">G1053/G1049</f>
        <v>0.84</v>
      </c>
    </row>
    <row r="1055" customFormat="false" ht="15" hidden="false" customHeight="false" outlineLevel="0" collapsed="false">
      <c r="A1055" s="4" t="s">
        <v>576</v>
      </c>
      <c r="B1055" s="4" t="s">
        <v>294</v>
      </c>
      <c r="C1055" s="27" t="n">
        <f aca="false">a25_sh</f>
        <v>1.22253052164262</v>
      </c>
      <c r="D1055" s="27" t="n">
        <f aca="false">a26_sh</f>
        <v>1.28264705882353</v>
      </c>
      <c r="E1055" s="27" t="n">
        <f aca="false">D1055*(1+sh_g)</f>
        <v>1.28264705882353</v>
      </c>
      <c r="F1055" s="27" t="n">
        <f aca="false">E1055*(1+sh_g)</f>
        <v>1.28264705882353</v>
      </c>
      <c r="G1055" s="27" t="n">
        <f aca="false">F1055*(1+sh_g)</f>
        <v>1.28264705882353</v>
      </c>
    </row>
    <row r="1056" customFormat="false" ht="15" hidden="false" customHeight="false" outlineLevel="0" collapsed="false">
      <c r="A1056" s="0" t="s">
        <v>442</v>
      </c>
      <c r="B1056" s="0" t="s">
        <v>315</v>
      </c>
      <c r="C1056" s="21" t="n">
        <f aca="false">C1053/C1055</f>
        <v>9.01</v>
      </c>
      <c r="D1056" s="21" t="n">
        <f aca="false">D1053/D1055</f>
        <v>8.31568153318276</v>
      </c>
      <c r="E1056" s="21" t="n">
        <f aca="false">E1053/E1055</f>
        <v>10.7389993279271</v>
      </c>
      <c r="F1056" s="21" t="n">
        <f aca="false">F1053/F1055</f>
        <v>10.4933038726648</v>
      </c>
      <c r="G1056" s="21" t="n">
        <f aca="false">G1053/G1055</f>
        <v>11.4201446421438</v>
      </c>
    </row>
    <row r="1057" customFormat="false" ht="17.15" hidden="false" customHeight="false" outlineLevel="0" collapsed="false">
      <c r="A1057" s="0" t="s">
        <v>577</v>
      </c>
      <c r="B1057" s="0" t="s">
        <v>41</v>
      </c>
      <c r="D1057" s="14" t="n">
        <f aca="false">D1056/C1056-1</f>
        <v>-0.0770608731206708</v>
      </c>
      <c r="E1057" s="14" t="n">
        <f aca="false">E1056/D1056-1</f>
        <v>0.291415416171767</v>
      </c>
      <c r="F1057" s="14" t="n">
        <f aca="false">F1056/E1056-1</f>
        <v>-0.0228788034862183</v>
      </c>
      <c r="G1057" s="14" t="n">
        <f aca="false">G1056/F1056-1</f>
        <v>0.0883268778571695</v>
      </c>
      <c r="H1057" s="8" t="s">
        <v>578</v>
      </c>
    </row>
    <row r="1060" customFormat="false" ht="17.15" hidden="false" customHeight="false" outlineLevel="0" collapsed="false">
      <c r="A1060" s="1" t="s">
        <v>883</v>
      </c>
    </row>
    <row r="1061" customFormat="false" ht="17.15" hidden="false" customHeight="false" outlineLevel="0" collapsed="false">
      <c r="A1061" s="5" t="s">
        <v>17</v>
      </c>
      <c r="B1061" s="5" t="s">
        <v>18</v>
      </c>
      <c r="C1061" s="12" t="s">
        <v>409</v>
      </c>
      <c r="D1061" s="12" t="s">
        <v>520</v>
      </c>
      <c r="E1061" s="12" t="s">
        <v>521</v>
      </c>
      <c r="F1061" s="12" t="s">
        <v>522</v>
      </c>
      <c r="G1061" s="12" t="s">
        <v>523</v>
      </c>
      <c r="H1061" s="5" t="s">
        <v>488</v>
      </c>
    </row>
    <row r="1062" customFormat="false" ht="17.15" hidden="false" customHeight="false" outlineLevel="0" collapsed="false">
      <c r="A1062" s="6" t="s">
        <v>543</v>
      </c>
    </row>
    <row r="1063" customFormat="false" ht="17.15" hidden="false" customHeight="false" outlineLevel="0" collapsed="false">
      <c r="A1063" s="0" t="s">
        <v>491</v>
      </c>
      <c r="B1063" s="4" t="s">
        <v>28</v>
      </c>
      <c r="D1063" s="16" t="n">
        <f aca="false">u_bw_26*tt_bw</f>
        <v>5.4</v>
      </c>
      <c r="E1063" s="16" t="n">
        <f aca="false">u_bw_27*1*tt_bw</f>
        <v>2.4</v>
      </c>
      <c r="F1063" s="16" t="n">
        <f aca="false">u_bw_28*um28_A*1*tt_bw</f>
        <v>0.5</v>
      </c>
      <c r="G1063" s="16" t="n">
        <f aca="false">u_bw_28*(1+g29_bw)*um29_A*1*tt_bw</f>
        <v>0.25</v>
      </c>
    </row>
    <row r="1064" customFormat="false" ht="17.15" hidden="false" customHeight="false" outlineLevel="0" collapsed="false">
      <c r="A1064" s="0" t="s">
        <v>493</v>
      </c>
      <c r="B1064" s="4" t="s">
        <v>28</v>
      </c>
      <c r="D1064" s="16" t="n">
        <f aca="false">u_rb_26*tt_rb</f>
        <v>2.55</v>
      </c>
      <c r="E1064" s="16" t="n">
        <f aca="false">u_rb_27*1*tt_rb</f>
        <v>10.5</v>
      </c>
      <c r="F1064" s="16" t="n">
        <f aca="false">u_rb_28*um28_A*1*tt_rb</f>
        <v>10.5</v>
      </c>
      <c r="G1064" s="16" t="n">
        <f aca="false">u_rb_28*(1+g29_rb)*um29_A*1*tt_rb</f>
        <v>12.075</v>
      </c>
    </row>
    <row r="1065" customFormat="false" ht="17.15" hidden="false" customHeight="false" outlineLevel="0" collapsed="false">
      <c r="A1065" s="0" t="s">
        <v>494</v>
      </c>
      <c r="B1065" s="4" t="s">
        <v>28</v>
      </c>
      <c r="D1065" s="16" t="n">
        <f aca="false">u_ru_26*tt_ru</f>
        <v>0</v>
      </c>
      <c r="E1065" s="16" t="n">
        <f aca="false">u_ru_27*1*tt_ru</f>
        <v>0.6</v>
      </c>
      <c r="F1065" s="16" t="n">
        <f aca="false">u_ru_28*um28_A*1*tt_ru</f>
        <v>4</v>
      </c>
      <c r="G1065" s="16" t="n">
        <f aca="false">u_ru_28*(1+g29_ru)*um29_A*1*tt_ru</f>
        <v>4.6</v>
      </c>
    </row>
    <row r="1066" customFormat="false" ht="17.15" hidden="false" customHeight="false" outlineLevel="0" collapsed="false">
      <c r="A1066" s="0" t="s">
        <v>495</v>
      </c>
      <c r="B1066" s="4" t="s">
        <v>28</v>
      </c>
      <c r="D1066" s="16" t="n">
        <f aca="false">u_hp_26*tt_hp</f>
        <v>0.3</v>
      </c>
      <c r="E1066" s="16" t="n">
        <f aca="false">u_hp_27*1*tt_hp</f>
        <v>0</v>
      </c>
      <c r="F1066" s="16" t="n">
        <f aca="false">u_hp_28*um28_A*1*tt_hp</f>
        <v>0</v>
      </c>
      <c r="G1066" s="16" t="n">
        <f aca="false">u_hp_28*(1+g29_hp)*um29_A*1*tt_hp</f>
        <v>0</v>
      </c>
    </row>
    <row r="1067" customFormat="false" ht="17.15" hidden="false" customHeight="false" outlineLevel="0" collapsed="false">
      <c r="A1067" s="0" t="s">
        <v>496</v>
      </c>
      <c r="B1067" s="4" t="s">
        <v>28</v>
      </c>
      <c r="D1067" s="16" t="n">
        <f aca="false">u_amd_26*tt_amd*ex_amd</f>
        <v>0.165</v>
      </c>
      <c r="E1067" s="16" t="n">
        <f aca="false">u_amd_27*1*tt_amd*ex_amd</f>
        <v>0.33</v>
      </c>
      <c r="F1067" s="16" t="n">
        <f aca="false">u_amd_28*um28_A*1*tt_amd*ex_amd</f>
        <v>0.44</v>
      </c>
      <c r="G1067" s="16" t="n">
        <f aca="false">u_amd_28*(1+g29_amd)*um29_A*1*tt_amd*ex_amd</f>
        <v>0.506</v>
      </c>
    </row>
    <row r="1068" customFormat="false" ht="17.15" hidden="false" customHeight="false" outlineLevel="0" collapsed="false">
      <c r="A1068" s="0" t="s">
        <v>498</v>
      </c>
      <c r="B1068" s="4" t="s">
        <v>28</v>
      </c>
      <c r="D1068" s="16" t="n">
        <f aca="false">u_tpu_26*tt_tpu*ex_tpu</f>
        <v>1.7325</v>
      </c>
      <c r="E1068" s="16" t="n">
        <f aca="false">u_tpu_27*1*tt_tpu*ex_tpu</f>
        <v>2.475</v>
      </c>
      <c r="F1068" s="16" t="n">
        <f aca="false">u_tpu_28*um28_A*1*tt_tpu*ex_tpu</f>
        <v>3.15</v>
      </c>
      <c r="G1068" s="16" t="n">
        <f aca="false">u_tpu_28*(1+g29_tpu)*um29_A*1*tt_tpu*ex_tpu</f>
        <v>3.6225</v>
      </c>
    </row>
    <row r="1069" customFormat="false" ht="17.15" hidden="false" customHeight="false" outlineLevel="0" collapsed="false">
      <c r="A1069" s="0" t="s">
        <v>499</v>
      </c>
      <c r="B1069" s="4" t="s">
        <v>28</v>
      </c>
      <c r="D1069" s="16" t="n">
        <f aca="false">u_trn_26*tt_trn*ex_trn</f>
        <v>0.64</v>
      </c>
      <c r="E1069" s="16" t="n">
        <f aca="false">u_trn_27*1*tt_trn*ex_trn</f>
        <v>0.8</v>
      </c>
      <c r="F1069" s="16" t="n">
        <f aca="false">u_trn_28*um28_A*1*tt_trn*ex_trn</f>
        <v>0.96</v>
      </c>
      <c r="G1069" s="16" t="n">
        <f aca="false">u_trn_28*(1+g29_trn)*um29_A*1*tt_trn*ex_trn</f>
        <v>1.104</v>
      </c>
    </row>
    <row r="1070" customFormat="false" ht="17.15" hidden="false" customHeight="false" outlineLevel="0" collapsed="false">
      <c r="A1070" s="4" t="s">
        <v>500</v>
      </c>
      <c r="B1070" s="4" t="s">
        <v>28</v>
      </c>
      <c r="D1070" s="16" t="n">
        <f aca="false">u_oth_26*tt_oth*ex_oth</f>
        <v>0.28</v>
      </c>
      <c r="E1070" s="16" t="n">
        <f aca="false">u_oth_27*1*tt_oth*ex_oth</f>
        <v>1.26</v>
      </c>
      <c r="F1070" s="16" t="n">
        <f aca="false">u_oth_28*um28_A*1*tt_oth*ex_oth</f>
        <v>1.4</v>
      </c>
      <c r="G1070" s="16" t="n">
        <f aca="false">u_oth_28*(1+g29_oth)*um29_A*1*tt_oth*ex_oth</f>
        <v>1.61</v>
      </c>
    </row>
    <row r="1071" customFormat="false" ht="15" hidden="false" customHeight="false" outlineLevel="0" collapsed="false">
      <c r="A1071" s="4" t="s">
        <v>489</v>
      </c>
      <c r="B1071" s="4" t="s">
        <v>28</v>
      </c>
      <c r="D1071" s="16" t="n">
        <f aca="false">u_bw_26+u_rb_26+u_ru_26+u_hp_26+u_amd_26+u_tpu_26+u_trn_26+u_oth_26</f>
        <v>15.2</v>
      </c>
      <c r="E1071" s="16" t="n">
        <f aca="false">u_bw_27*1+u_rb_27*1+u_ru_27*1+u_hp_27*1+u_amd_27*1+u_tpu_27*1+u_trn_27*1+u_oth_27*1</f>
        <v>23.7</v>
      </c>
      <c r="F1071" s="16" t="n">
        <f aca="false">u_bw_28*um28_A*1+u_rb_28*um28_A*1+u_ru_28*um28_A*1+u_hp_28*um28_A*1+u_amd_28*um28_A*1+u_tpu_28*um28_A*1+u_trn_28*um28_A*1+u_oth_28*um28_A*1</f>
        <v>26.5</v>
      </c>
      <c r="G10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72" customFormat="false" ht="17.15" hidden="false" customHeight="false" outlineLevel="0" collapsed="false">
      <c r="A1072" s="0" t="s">
        <v>544</v>
      </c>
      <c r="B1072" s="4" t="s">
        <v>28</v>
      </c>
      <c r="D1072" s="16" t="n">
        <f aca="false">D1063+D1064+D1065+D1066</f>
        <v>8.25</v>
      </c>
      <c r="E1072" s="16" t="n">
        <f aca="false">E1063+E1064+E1065+E1066</f>
        <v>13.5</v>
      </c>
      <c r="F1072" s="16" t="n">
        <f aca="false">F1063+F1064+F1065+F1066</f>
        <v>15</v>
      </c>
      <c r="G1072" s="16" t="n">
        <f aca="false">G1063+G1064+G1065+G1066</f>
        <v>16.925</v>
      </c>
    </row>
    <row r="1073" customFormat="false" ht="17.15" hidden="false" customHeight="false" outlineLevel="0" collapsed="false">
      <c r="A1073" s="0" t="s">
        <v>545</v>
      </c>
      <c r="B1073" s="4" t="s">
        <v>28</v>
      </c>
      <c r="D1073" s="16" t="n">
        <f aca="false">D1067+D1068+D1069+D1070</f>
        <v>2.8175</v>
      </c>
      <c r="E1073" s="16" t="n">
        <f aca="false">E1067+E1068+E1069+E1070</f>
        <v>4.865</v>
      </c>
      <c r="F1073" s="16" t="n">
        <f aca="false">F1067+F1068+F1069+F1070</f>
        <v>5.95</v>
      </c>
      <c r="G1073" s="16" t="n">
        <f aca="false">G1067+G1068+G1069+G1070</f>
        <v>6.8425</v>
      </c>
    </row>
    <row r="1074" customFormat="false" ht="15" hidden="false" customHeight="false" outlineLevel="0" collapsed="false">
      <c r="A1074" s="4" t="s">
        <v>546</v>
      </c>
      <c r="B1074" s="4" t="s">
        <v>28</v>
      </c>
      <c r="D1074" s="16" t="n">
        <f aca="false">D1072+D1073</f>
        <v>11.0675</v>
      </c>
      <c r="E1074" s="16" t="n">
        <f aca="false">E1072+E1073</f>
        <v>18.365</v>
      </c>
      <c r="F1074" s="16" t="n">
        <f aca="false">F1072+F1073</f>
        <v>20.95</v>
      </c>
      <c r="G1074" s="16" t="n">
        <f aca="false">G1072+G1073</f>
        <v>23.7675</v>
      </c>
    </row>
    <row r="1075" customFormat="false" ht="17.15" hidden="false" customHeight="false" outlineLevel="0" collapsed="false">
      <c r="A1075" s="0" t="s">
        <v>547</v>
      </c>
      <c r="B1075" s="0" t="s">
        <v>239</v>
      </c>
      <c r="D1075" s="21" t="n">
        <f aca="false">a26_rev*ai_26</f>
        <v>16.603774145</v>
      </c>
    </row>
    <row r="1076" customFormat="false" ht="17.15" hidden="false" customHeight="false" outlineLevel="0" collapsed="false">
      <c r="A1076" s="4" t="s">
        <v>548</v>
      </c>
      <c r="B1076" s="0" t="s">
        <v>549</v>
      </c>
      <c r="D1076" s="27" t="n">
        <f aca="false">D1075/D1074</f>
        <v>1.50022806821775</v>
      </c>
      <c r="H1076" s="8" t="s">
        <v>550</v>
      </c>
    </row>
    <row r="1077" customFormat="false" ht="17.15" hidden="false" customHeight="false" outlineLevel="0" collapsed="false">
      <c r="A1077" s="4" t="s">
        <v>551</v>
      </c>
      <c r="B1077" s="0" t="s">
        <v>131</v>
      </c>
      <c r="D1077" s="16" t="n">
        <f aca="false">1</f>
        <v>1</v>
      </c>
      <c r="E1077" s="16" t="n">
        <f aca="false">rel_27</f>
        <v>0.95</v>
      </c>
      <c r="F1077" s="16" t="n">
        <f aca="false">rel_28</f>
        <v>0.92</v>
      </c>
      <c r="G1077" s="16" t="n">
        <f aca="false">rel_29</f>
        <v>0.9</v>
      </c>
    </row>
    <row r="1078" customFormat="false" ht="17.15" hidden="false" customHeight="false" outlineLevel="0" collapsed="false">
      <c r="A1078" s="4" t="s">
        <v>552</v>
      </c>
      <c r="B1078" s="0" t="s">
        <v>131</v>
      </c>
      <c r="D1078" s="16" t="n">
        <f aca="false">1</f>
        <v>1</v>
      </c>
      <c r="E1078" s="16" t="n">
        <f aca="false">pp_27</f>
        <v>0.98</v>
      </c>
      <c r="F1078" s="16" t="n">
        <f aca="false">pp_28</f>
        <v>0.96</v>
      </c>
      <c r="G1078" s="16" t="n">
        <f aca="false">pp_29</f>
        <v>0.95</v>
      </c>
    </row>
    <row r="1079" customFormat="false" ht="17.15" hidden="false" customHeight="false" outlineLevel="0" collapsed="false">
      <c r="A1079" s="0" t="s">
        <v>553</v>
      </c>
      <c r="B1079" s="0" t="s">
        <v>239</v>
      </c>
      <c r="C1079" s="21" t="n">
        <f aca="false">a25_rev*ai_25</f>
        <v>9.60674</v>
      </c>
      <c r="D1079" s="21" t="n">
        <f aca="false">D1075</f>
        <v>16.603774145</v>
      </c>
      <c r="E1079" s="21" t="n">
        <f aca="false">$D$1076*E1074*E1077*E1078</f>
        <v>25.6506219681945</v>
      </c>
      <c r="F1079" s="21" t="n">
        <f aca="false">$D$1076*F1074*F1077*F1078</f>
        <v>27.7587799553558</v>
      </c>
      <c r="G1079" s="21" t="n">
        <f aca="false">$D$1076*G1074*G1077*G1078</f>
        <v>30.4864533727175</v>
      </c>
    </row>
    <row r="1080" customFormat="false" ht="17.15" hidden="false" customHeight="false" outlineLevel="0" collapsed="false">
      <c r="A1080" s="4" t="s">
        <v>554</v>
      </c>
      <c r="B1080" s="0" t="s">
        <v>239</v>
      </c>
      <c r="C1080" s="21" t="n">
        <f aca="false">a25_rev-C1079</f>
        <v>25.32686</v>
      </c>
      <c r="D1080" s="21" t="n">
        <f aca="false">a26_rev-D1079</f>
        <v>30.835580555</v>
      </c>
      <c r="E1080" s="21" t="n">
        <f aca="false">D1080*(1+g_nai27)</f>
        <v>34.5358502216</v>
      </c>
      <c r="F1080" s="21" t="n">
        <f aca="false">E1080*(1+g_nai28)</f>
        <v>36.953359737112</v>
      </c>
      <c r="G1080" s="21" t="n">
        <f aca="false">F1080*(1+g_nai29)</f>
        <v>38.8010277239676</v>
      </c>
    </row>
    <row r="1081" customFormat="false" ht="15" hidden="false" customHeight="false" outlineLevel="0" collapsed="false">
      <c r="A1081" s="4" t="s">
        <v>414</v>
      </c>
      <c r="B1081" s="0" t="s">
        <v>239</v>
      </c>
      <c r="C1081" s="21" t="n">
        <f aca="false">C1079+C1080</f>
        <v>34.9336</v>
      </c>
      <c r="D1081" s="21" t="n">
        <f aca="false">D1079+D1080</f>
        <v>47.4393547</v>
      </c>
      <c r="E1081" s="21" t="n">
        <f aca="false">E1079+E1080</f>
        <v>60.1864721897945</v>
      </c>
      <c r="F1081" s="21" t="n">
        <f aca="false">F1079+F1080</f>
        <v>64.7121396924678</v>
      </c>
      <c r="G1081" s="21" t="n">
        <f aca="false">G1079+G1080</f>
        <v>69.2874810966851</v>
      </c>
    </row>
    <row r="1082" customFormat="false" ht="15" hidden="false" customHeight="false" outlineLevel="0" collapsed="false">
      <c r="A1082" s="4" t="s">
        <v>555</v>
      </c>
      <c r="B1082" s="0" t="s">
        <v>41</v>
      </c>
      <c r="D1082" s="14" t="n">
        <f aca="false">D1081/C1081-1</f>
        <v>0.357986428538713</v>
      </c>
      <c r="E1082" s="14" t="n">
        <f aca="false">E1081/D1081-1</f>
        <v>0.268703433476395</v>
      </c>
      <c r="F1082" s="14" t="n">
        <f aca="false">F1081/E1081-1</f>
        <v>0.0751940982419084</v>
      </c>
      <c r="G1082" s="14" t="n">
        <f aca="false">G1081/F1081-1</f>
        <v>0.070702984416227</v>
      </c>
    </row>
    <row r="1083" customFormat="false" ht="17.15" hidden="false" customHeight="false" outlineLevel="0" collapsed="false">
      <c r="A1083" s="0" t="s">
        <v>556</v>
      </c>
      <c r="B1083" s="0" t="s">
        <v>41</v>
      </c>
      <c r="C1083" s="14" t="n">
        <f aca="false">C1079/C1081</f>
        <v>0.275</v>
      </c>
      <c r="D1083" s="14" t="n">
        <f aca="false">D1079/D1081</f>
        <v>0.35</v>
      </c>
      <c r="E1083" s="14" t="n">
        <f aca="false">E1079/E1081</f>
        <v>0.426185836034829</v>
      </c>
      <c r="F1083" s="14" t="n">
        <f aca="false">F1079/F1081</f>
        <v>0.42895784449833</v>
      </c>
      <c r="G1083" s="14" t="n">
        <f aca="false">G1079/G1081</f>
        <v>0.439999447088805</v>
      </c>
    </row>
    <row r="1084" customFormat="false" ht="17.15" hidden="false" customHeight="false" outlineLevel="0" collapsed="false">
      <c r="A1084" s="0" t="s">
        <v>502</v>
      </c>
      <c r="B1084" s="0" t="s">
        <v>41</v>
      </c>
      <c r="D1084" s="14" t="n">
        <f aca="false">D1072/D1074</f>
        <v>0.745425796250282</v>
      </c>
      <c r="E1084" s="14" t="n">
        <f aca="false">E1072/E1074</f>
        <v>0.735093928668663</v>
      </c>
      <c r="F1084" s="14" t="n">
        <f aca="false">F1072/F1074</f>
        <v>0.715990453460621</v>
      </c>
      <c r="G1084" s="14" t="n">
        <f aca="false">G1072/G1074</f>
        <v>0.71210686862312</v>
      </c>
    </row>
    <row r="1085" customFormat="false" ht="17.15" hidden="false" customHeight="false" outlineLevel="0" collapsed="false">
      <c r="A1085" s="4" t="s">
        <v>506</v>
      </c>
      <c r="B1085" s="0" t="s">
        <v>507</v>
      </c>
      <c r="D1085" s="22" t="n">
        <f aca="false">D1079/D1074/fx*1000</f>
        <v>46.8821271318048</v>
      </c>
      <c r="E1085" s="22" t="n">
        <f aca="false">E1079/E1074/fx*1000</f>
        <v>43.6472603597103</v>
      </c>
      <c r="F1085" s="22" t="n">
        <f aca="false">F1079/F1074/fx*1000</f>
        <v>41.40629468281</v>
      </c>
      <c r="G1085" s="22" t="n">
        <f aca="false">G1079/G1074/fx*1000</f>
        <v>40.0842186976931</v>
      </c>
      <c r="H1085" s="4" t="s">
        <v>557</v>
      </c>
    </row>
    <row r="1086" customFormat="false" ht="17.15" hidden="false" customHeight="false" outlineLevel="0" collapsed="false">
      <c r="A1086" s="6" t="s">
        <v>558</v>
      </c>
    </row>
    <row r="1087" customFormat="false" ht="17.15" hidden="false" customHeight="false" outlineLevel="0" collapsed="false">
      <c r="A1087" s="0" t="s">
        <v>559</v>
      </c>
      <c r="B1087" s="0" t="s">
        <v>131</v>
      </c>
      <c r="C1087" s="16" t="n">
        <f aca="false">(a25_capex-m_cx*a25_rev)/(a25_rev-rev24)</f>
        <v>3.57284271254522</v>
      </c>
      <c r="H1087" s="8" t="s">
        <v>560</v>
      </c>
    </row>
    <row r="1088" customFormat="false" ht="17.15" hidden="false" customHeight="false" outlineLevel="0" collapsed="false">
      <c r="A1088" s="4" t="s">
        <v>511</v>
      </c>
      <c r="B1088" s="0" t="s">
        <v>239</v>
      </c>
      <c r="C1088" s="21" t="n">
        <f aca="false">a25_capex</f>
        <v>32.3554</v>
      </c>
      <c r="D1088" s="21" t="n">
        <f aca="false">capex_26</f>
        <v>42</v>
      </c>
      <c r="E1088" s="21" t="n">
        <f aca="false">m_cx*E1081+$C$1087*MAX(0,E1081-D1081)</f>
        <v>51.5620930483496</v>
      </c>
      <c r="F1088" s="21" t="n">
        <f aca="false">m_cx*F1081+$C$1087*MAX(0,F1081-E1081)</f>
        <v>22.6407121255758</v>
      </c>
      <c r="G1088" s="21" t="n">
        <f aca="false">m_cx*G1081+$C$1087*MAX(0,G1081-F1081)</f>
        <v>23.2757233031325</v>
      </c>
      <c r="H1088" s="8" t="s">
        <v>561</v>
      </c>
    </row>
    <row r="1089" customFormat="false" ht="17.15" hidden="false" customHeight="false" outlineLevel="0" collapsed="false">
      <c r="A1089" s="4" t="s">
        <v>562</v>
      </c>
      <c r="B1089" s="0" t="s">
        <v>41</v>
      </c>
      <c r="C1089" s="14" t="n">
        <f aca="false">C1088/C1081</f>
        <v>0.926197128266197</v>
      </c>
      <c r="D1089" s="14" t="n">
        <f aca="false">D1088/D1081</f>
        <v>0.885340879225746</v>
      </c>
      <c r="E1089" s="14" t="n">
        <f aca="false">E1088/E1081</f>
        <v>0.85670568771254</v>
      </c>
      <c r="F1089" s="14" t="n">
        <f aca="false">F1088/F1081</f>
        <v>0.34986808090679</v>
      </c>
      <c r="G1089" s="14" t="n">
        <f aca="false">G1088/G1081</f>
        <v>0.335929708148188</v>
      </c>
    </row>
    <row r="1090" customFormat="false" ht="15" hidden="false" customHeight="false" outlineLevel="0" collapsed="false">
      <c r="A1090" s="4" t="s">
        <v>563</v>
      </c>
      <c r="B1090" s="0" t="s">
        <v>239</v>
      </c>
      <c r="C1090" s="21" t="n">
        <f aca="false">a25_da</f>
        <v>7.5143841</v>
      </c>
      <c r="D1090" s="21" t="n">
        <f aca="false">a26_da</f>
        <v>11.32770694</v>
      </c>
      <c r="E1090" s="21" t="n">
        <f aca="false">D1090*(1-ret)+dr*(D1088+E1088)/2</f>
        <v>15.9072367106592</v>
      </c>
      <c r="F1090" s="21" t="n">
        <f aca="false">E1090*(1-ret)+dr*(E1088+F1088)/2</f>
        <v>19.1930291596922</v>
      </c>
      <c r="G1090" s="21" t="n">
        <f aca="false">F1090*(1-ret)+dr*(F1088+G1088)/2</f>
        <v>20.7587816502865</v>
      </c>
    </row>
    <row r="1091" customFormat="false" ht="17.15" hidden="false" customHeight="false" outlineLevel="0" collapsed="false">
      <c r="A1091" s="4" t="s">
        <v>515</v>
      </c>
      <c r="B1091" s="0" t="s">
        <v>41</v>
      </c>
      <c r="C1091" s="14" t="n">
        <f aca="false">C1090/C1081</f>
        <v>0.215104773055168</v>
      </c>
      <c r="D1091" s="14" t="n">
        <f aca="false">D1090/D1081</f>
        <v>0.238782905282647</v>
      </c>
      <c r="E1091" s="14" t="n">
        <f aca="false">E1090/E1081</f>
        <v>0.264299204321142</v>
      </c>
      <c r="F1091" s="14" t="n">
        <f aca="false">F1090/F1081</f>
        <v>0.296590859936071</v>
      </c>
      <c r="G1091" s="14" t="n">
        <f aca="false">G1090/G1081</f>
        <v>0.299603641548454</v>
      </c>
    </row>
    <row r="1092" customFormat="false" ht="17.15" hidden="false" customHeight="false" outlineLevel="0" collapsed="false">
      <c r="A1092" s="4" t="s">
        <v>564</v>
      </c>
      <c r="B1092" s="0" t="s">
        <v>239</v>
      </c>
      <c r="D1092" s="16" t="n">
        <f aca="false">C1090*(1-ret)+dr*(C1088+D1088)/2-D1090</f>
        <v>-0.0994950449999994</v>
      </c>
      <c r="H1092" s="4" t="s">
        <v>565</v>
      </c>
    </row>
    <row r="1093" customFormat="false" ht="17.15" hidden="false" customHeight="false" outlineLevel="0" collapsed="false">
      <c r="A1093" s="6" t="s">
        <v>566</v>
      </c>
    </row>
    <row r="1094" customFormat="false" ht="17.15" hidden="false" customHeight="false" outlineLevel="0" collapsed="false">
      <c r="A1094" s="4" t="s">
        <v>567</v>
      </c>
      <c r="B1094" s="0" t="s">
        <v>239</v>
      </c>
      <c r="D1094" s="21" t="n">
        <f aca="false">a26_cc-v_cc*a26_rev</f>
        <v>7.9821937335</v>
      </c>
      <c r="H1094" s="8" t="s">
        <v>568</v>
      </c>
    </row>
    <row r="1095" customFormat="false" ht="17.15" hidden="false" customHeight="false" outlineLevel="0" collapsed="false">
      <c r="A1095" s="4" t="s">
        <v>569</v>
      </c>
      <c r="B1095" s="0" t="s">
        <v>239</v>
      </c>
      <c r="C1095" s="21" t="n">
        <f aca="false">a25_cc</f>
        <v>14.8984</v>
      </c>
      <c r="D1095" s="21" t="n">
        <f aca="false">a26_cc</f>
        <v>17.4700646735</v>
      </c>
      <c r="E1095" s="21" t="n">
        <f aca="false">$D$1094+v_cc*(E1079/E1078+E1080)</f>
        <v>20.1241845876556</v>
      </c>
      <c r="F1095" s="21" t="n">
        <f aca="false">$D$1094+v_cc*(F1079/F1078+F1080)</f>
        <v>21.1559448382882</v>
      </c>
      <c r="G1095" s="21" t="n">
        <f aca="false">$D$1094+v_cc*(G1079/G1078+G1080)</f>
        <v>22.1605999883393</v>
      </c>
      <c r="H1095" s="4" t="s">
        <v>570</v>
      </c>
    </row>
    <row r="1096" customFormat="false" ht="15" hidden="false" customHeight="false" outlineLevel="0" collapsed="false">
      <c r="A1096" s="4" t="s">
        <v>571</v>
      </c>
      <c r="B1096" s="0" t="s">
        <v>239</v>
      </c>
      <c r="C1096" s="21" t="n">
        <f aca="false">C1081-C1095-C1090</f>
        <v>12.5208159</v>
      </c>
      <c r="D1096" s="21" t="n">
        <f aca="false">D1081-D1095-D1090</f>
        <v>18.6415830865</v>
      </c>
      <c r="E1096" s="21" t="n">
        <f aca="false">E1081-E1095-E1090</f>
        <v>24.1550508914797</v>
      </c>
      <c r="F1096" s="21" t="n">
        <f aca="false">F1081-F1095-F1090</f>
        <v>24.3631656944875</v>
      </c>
      <c r="G1096" s="21" t="n">
        <f aca="false">G1081-G1095-G1090</f>
        <v>26.3680994580593</v>
      </c>
    </row>
    <row r="1097" customFormat="false" ht="15" hidden="false" customHeight="false" outlineLevel="0" collapsed="false">
      <c r="A1097" s="4" t="s">
        <v>421</v>
      </c>
      <c r="B1097" s="0" t="s">
        <v>41</v>
      </c>
      <c r="C1097" s="14" t="n">
        <f aca="false">C1096/C1081</f>
        <v>0.358417566468958</v>
      </c>
      <c r="D1097" s="14" t="n">
        <f aca="false">D1096/D1081</f>
        <v>0.392956084760993</v>
      </c>
      <c r="E1097" s="14" t="n">
        <f aca="false">E1096/E1081</f>
        <v>0.401336878747572</v>
      </c>
      <c r="F1097" s="14" t="n">
        <f aca="false">F1096/F1081</f>
        <v>0.37648524388575</v>
      </c>
      <c r="G1097" s="14" t="n">
        <f aca="false">G1096/G1081</f>
        <v>0.380560803202886</v>
      </c>
    </row>
    <row r="1098" customFormat="false" ht="15" hidden="false" customHeight="false" outlineLevel="0" collapsed="false">
      <c r="A1098" s="4" t="s">
        <v>572</v>
      </c>
      <c r="B1098" s="0" t="s">
        <v>239</v>
      </c>
      <c r="C1098" s="21" t="n">
        <f aca="false">a25_opx</f>
        <v>3.5197</v>
      </c>
      <c r="D1098" s="21" t="n">
        <f aca="false">a26_opx</f>
        <v>6.1141318375</v>
      </c>
      <c r="E1098" s="21" t="n">
        <f aca="false">D1098*(1+MAX(0,phi*E1082))</f>
        <v>7.09986476797815</v>
      </c>
      <c r="F1098" s="21" t="n">
        <f aca="false">E1098*(1+MAX(0,phi*F1082))</f>
        <v>7.42018552529872</v>
      </c>
      <c r="G1098" s="21" t="n">
        <f aca="false">F1098*(1+MAX(0,phi*G1082))</f>
        <v>7.73496308223515</v>
      </c>
    </row>
    <row r="1099" customFormat="false" ht="15" hidden="false" customHeight="false" outlineLevel="0" collapsed="false">
      <c r="A1099" s="4" t="s">
        <v>573</v>
      </c>
      <c r="B1099" s="0" t="s">
        <v>239</v>
      </c>
      <c r="C1099" s="21" t="n">
        <f aca="false">C1098</f>
        <v>3.5197</v>
      </c>
      <c r="D1099" s="21" t="n">
        <f aca="false">D1098</f>
        <v>6.1141318375</v>
      </c>
      <c r="E1099" s="21" t="n">
        <f aca="false">E1098+0*E1081</f>
        <v>7.09986476797815</v>
      </c>
      <c r="F1099" s="21" t="n">
        <f aca="false">F1098+0*F1081</f>
        <v>7.42018552529872</v>
      </c>
      <c r="G1099" s="21" t="n">
        <f aca="false">G1098+0*G1081</f>
        <v>7.73496308223515</v>
      </c>
    </row>
    <row r="1100" customFormat="false" ht="15" hidden="false" customHeight="false" outlineLevel="0" collapsed="false">
      <c r="A1100" s="4" t="s">
        <v>430</v>
      </c>
      <c r="B1100" s="0" t="s">
        <v>239</v>
      </c>
      <c r="C1100" s="21" t="n">
        <f aca="false">C1096-C1099</f>
        <v>9.0011159</v>
      </c>
      <c r="D1100" s="21" t="n">
        <f aca="false">D1096-D1099</f>
        <v>12.527451249</v>
      </c>
      <c r="E1100" s="21" t="n">
        <f aca="false">E1096-E1099</f>
        <v>17.0551861235015</v>
      </c>
      <c r="F1100" s="21" t="n">
        <f aca="false">F1096-F1099</f>
        <v>16.9429801691888</v>
      </c>
      <c r="G1100" s="21" t="n">
        <f aca="false">G1096-G1099</f>
        <v>18.6331363758241</v>
      </c>
    </row>
    <row r="1101" customFormat="false" ht="15" hidden="false" customHeight="false" outlineLevel="0" collapsed="false">
      <c r="A1101" s="4" t="s">
        <v>432</v>
      </c>
      <c r="B1101" s="0" t="s">
        <v>41</v>
      </c>
      <c r="C1101" s="14" t="n">
        <f aca="false">C1100/C1081</f>
        <v>0.25766356459111</v>
      </c>
      <c r="D1101" s="14" t="n">
        <f aca="false">D1100/D1081</f>
        <v>0.264072969124936</v>
      </c>
      <c r="E1101" s="14" t="n">
        <f aca="false">E1100/E1081</f>
        <v>0.283372417471471</v>
      </c>
      <c r="F1101" s="14" t="n">
        <f aca="false">F1100/F1081</f>
        <v>0.261820737959015</v>
      </c>
      <c r="G1101" s="14" t="n">
        <f aca="false">G1100/G1081</f>
        <v>0.268925007532358</v>
      </c>
    </row>
    <row r="1102" customFormat="false" ht="17.15" hidden="false" customHeight="false" outlineLevel="0" collapsed="false">
      <c r="A1102" s="0" t="s">
        <v>574</v>
      </c>
      <c r="B1102" s="0" t="s">
        <v>239</v>
      </c>
      <c r="C1102" s="21" t="n">
        <f aca="false">C1100+C1090</f>
        <v>16.5155</v>
      </c>
      <c r="D1102" s="21" t="n">
        <f aca="false">D1100+D1090</f>
        <v>23.855158189</v>
      </c>
      <c r="E1102" s="21" t="n">
        <f aca="false">E1100+E1090</f>
        <v>32.9624228341608</v>
      </c>
      <c r="F1102" s="21" t="n">
        <f aca="false">F1100+F1090</f>
        <v>36.1360093288809</v>
      </c>
      <c r="G1102" s="21" t="n">
        <f aca="false">G1100+G1090</f>
        <v>39.3919180261106</v>
      </c>
    </row>
    <row r="1103" customFormat="false" ht="17.15" hidden="false" customHeight="false" outlineLevel="0" collapsed="false">
      <c r="A1103" s="0" t="s">
        <v>575</v>
      </c>
      <c r="B1103" s="0" t="s">
        <v>239</v>
      </c>
      <c r="C1103" s="21" t="n">
        <f aca="false">C1102-C1088</f>
        <v>-15.8399</v>
      </c>
      <c r="D1103" s="21" t="n">
        <f aca="false">D1102-D1088</f>
        <v>-18.144841811</v>
      </c>
      <c r="E1103" s="21" t="n">
        <f aca="false">E1102-E1088</f>
        <v>-18.5996702141888</v>
      </c>
      <c r="F1103" s="21" t="n">
        <f aca="false">F1102-F1088</f>
        <v>13.4952972033051</v>
      </c>
      <c r="G1103" s="21" t="n">
        <f aca="false">G1102-G1088</f>
        <v>16.1161947229781</v>
      </c>
    </row>
    <row r="1104" customFormat="false" ht="17.15" hidden="false" customHeight="false" outlineLevel="0" collapsed="false">
      <c r="A1104" s="4" t="s">
        <v>433</v>
      </c>
      <c r="B1104" s="0" t="s">
        <v>239</v>
      </c>
      <c r="C1104" s="21" t="n">
        <f aca="false">a25_ni</f>
        <v>11.015</v>
      </c>
      <c r="D1104" s="21" t="n">
        <f aca="false">a26_ni</f>
        <v>10.66608446065</v>
      </c>
      <c r="E1104" s="21" t="n">
        <f aca="false">E1100*nir_f_lo</f>
        <v>13.3030451763312</v>
      </c>
      <c r="F1104" s="21" t="n">
        <f aca="false">F1100*nir_f_lo</f>
        <v>13.2155245319672</v>
      </c>
      <c r="G1104" s="21" t="n">
        <f aca="false">G1100*nir_f_lo</f>
        <v>14.5338463731428</v>
      </c>
      <c r="H1104" s="8" t="s">
        <v>438</v>
      </c>
    </row>
    <row r="1105" customFormat="false" ht="17.15" hidden="false" customHeight="false" outlineLevel="0" collapsed="false">
      <c r="A1105" s="4" t="s">
        <v>437</v>
      </c>
      <c r="B1105" s="0" t="s">
        <v>41</v>
      </c>
      <c r="C1105" s="14" t="n">
        <f aca="false">C1104/C1100</f>
        <v>1.22373715907824</v>
      </c>
      <c r="D1105" s="14" t="n">
        <f aca="false">D1104/D1100</f>
        <v>0.851416960133963</v>
      </c>
      <c r="E1105" s="14" t="n">
        <f aca="false">E1104/E1100</f>
        <v>0.78</v>
      </c>
      <c r="F1105" s="14" t="n">
        <f aca="false">F1104/F1100</f>
        <v>0.78</v>
      </c>
      <c r="G1105" s="14" t="n">
        <f aca="false">G1104/G1100</f>
        <v>0.78</v>
      </c>
    </row>
    <row r="1106" customFormat="false" ht="15" hidden="false" customHeight="false" outlineLevel="0" collapsed="false">
      <c r="A1106" s="4" t="s">
        <v>576</v>
      </c>
      <c r="B1106" s="4" t="s">
        <v>294</v>
      </c>
      <c r="C1106" s="27" t="n">
        <f aca="false">a25_sh</f>
        <v>1.22253052164262</v>
      </c>
      <c r="D1106" s="27" t="n">
        <f aca="false">a26_sh</f>
        <v>1.28264705882353</v>
      </c>
      <c r="E1106" s="27" t="n">
        <f aca="false">D1106*(1+sh_g)</f>
        <v>1.28264705882353</v>
      </c>
      <c r="F1106" s="27" t="n">
        <f aca="false">E1106*(1+sh_g)</f>
        <v>1.28264705882353</v>
      </c>
      <c r="G1106" s="27" t="n">
        <f aca="false">F1106*(1+sh_g)</f>
        <v>1.28264705882353</v>
      </c>
    </row>
    <row r="1107" customFormat="false" ht="15" hidden="false" customHeight="false" outlineLevel="0" collapsed="false">
      <c r="A1107" s="0" t="s">
        <v>442</v>
      </c>
      <c r="B1107" s="0" t="s">
        <v>315</v>
      </c>
      <c r="C1107" s="21" t="n">
        <f aca="false">C1104/C1106</f>
        <v>9.01</v>
      </c>
      <c r="D1107" s="21" t="n">
        <f aca="false">D1104/D1106</f>
        <v>8.31568153318276</v>
      </c>
      <c r="E1107" s="21" t="n">
        <f aca="false">E1104/E1106</f>
        <v>10.3715555146815</v>
      </c>
      <c r="F1107" s="21" t="n">
        <f aca="false">F1104/F1106</f>
        <v>10.3033211210017</v>
      </c>
      <c r="G1107" s="21" t="n">
        <f aca="false">G1104/G1106</f>
        <v>11.3311345261834</v>
      </c>
    </row>
    <row r="1108" customFormat="false" ht="17.15" hidden="false" customHeight="false" outlineLevel="0" collapsed="false">
      <c r="A1108" s="0" t="s">
        <v>577</v>
      </c>
      <c r="B1108" s="0" t="s">
        <v>41</v>
      </c>
      <c r="D1108" s="14" t="n">
        <f aca="false">D1107/C1107-1</f>
        <v>-0.0770608731206708</v>
      </c>
      <c r="E1108" s="14" t="n">
        <f aca="false">E1107/D1107-1</f>
        <v>0.247228561278476</v>
      </c>
      <c r="F1108" s="14" t="n">
        <f aca="false">F1107/E1107-1</f>
        <v>-0.00657899324582334</v>
      </c>
      <c r="G1108" s="14" t="n">
        <f aca="false">G1107/F1107-1</f>
        <v>0.0997555441697891</v>
      </c>
      <c r="H1108" s="8" t="s">
        <v>578</v>
      </c>
    </row>
    <row r="1111" customFormat="false" ht="17.15" hidden="false" customHeight="false" outlineLevel="0" collapsed="false">
      <c r="A1111" s="1" t="s">
        <v>884</v>
      </c>
    </row>
    <row r="1112" customFormat="false" ht="17.15" hidden="false" customHeight="false" outlineLevel="0" collapsed="false">
      <c r="A1112" s="5" t="s">
        <v>17</v>
      </c>
      <c r="B1112" s="5" t="s">
        <v>18</v>
      </c>
      <c r="C1112" s="12" t="s">
        <v>409</v>
      </c>
      <c r="D1112" s="12" t="s">
        <v>520</v>
      </c>
      <c r="E1112" s="12" t="s">
        <v>521</v>
      </c>
      <c r="F1112" s="12" t="s">
        <v>522</v>
      </c>
      <c r="G1112" s="12" t="s">
        <v>523</v>
      </c>
      <c r="H1112" s="5" t="s">
        <v>488</v>
      </c>
    </row>
    <row r="1113" customFormat="false" ht="17.15" hidden="false" customHeight="false" outlineLevel="0" collapsed="false">
      <c r="A1113" s="6" t="s">
        <v>543</v>
      </c>
    </row>
    <row r="1114" customFormat="false" ht="17.15" hidden="false" customHeight="false" outlineLevel="0" collapsed="false">
      <c r="A1114" s="0" t="s">
        <v>491</v>
      </c>
      <c r="B1114" s="4" t="s">
        <v>28</v>
      </c>
      <c r="D1114" s="16" t="n">
        <f aca="false">u_bw_26*tt_bw</f>
        <v>5.4</v>
      </c>
      <c r="E1114" s="16" t="n">
        <f aca="false">u_bw_27*1*tt_bw</f>
        <v>2.4</v>
      </c>
      <c r="F1114" s="16" t="n">
        <f aca="false">u_bw_28*um28_A*1*tt_bw</f>
        <v>0.5</v>
      </c>
      <c r="G1114" s="16" t="n">
        <f aca="false">u_bw_28*(1+g29_bw)*um29_A*1*tt_bw</f>
        <v>0.25</v>
      </c>
    </row>
    <row r="1115" customFormat="false" ht="17.15" hidden="false" customHeight="false" outlineLevel="0" collapsed="false">
      <c r="A1115" s="0" t="s">
        <v>493</v>
      </c>
      <c r="B1115" s="4" t="s">
        <v>28</v>
      </c>
      <c r="D1115" s="16" t="n">
        <f aca="false">u_rb_26*tt_rb</f>
        <v>2.55</v>
      </c>
      <c r="E1115" s="16" t="n">
        <f aca="false">u_rb_27*1*tt_rb</f>
        <v>10.5</v>
      </c>
      <c r="F1115" s="16" t="n">
        <f aca="false">u_rb_28*um28_A*1*tt_rb</f>
        <v>10.5</v>
      </c>
      <c r="G1115" s="16" t="n">
        <f aca="false">u_rb_28*(1+g29_rb)*um29_A*1*tt_rb</f>
        <v>12.075</v>
      </c>
    </row>
    <row r="1116" customFormat="false" ht="17.15" hidden="false" customHeight="false" outlineLevel="0" collapsed="false">
      <c r="A1116" s="0" t="s">
        <v>494</v>
      </c>
      <c r="B1116" s="4" t="s">
        <v>28</v>
      </c>
      <c r="D1116" s="16" t="n">
        <f aca="false">u_ru_26*tt_ru</f>
        <v>0</v>
      </c>
      <c r="E1116" s="16" t="n">
        <f aca="false">u_ru_27*1*tt_ru</f>
        <v>0.6</v>
      </c>
      <c r="F1116" s="16" t="n">
        <f aca="false">u_ru_28*um28_A*1*tt_ru</f>
        <v>4</v>
      </c>
      <c r="G1116" s="16" t="n">
        <f aca="false">u_ru_28*(1+g29_ru)*um29_A*1*tt_ru</f>
        <v>4.6</v>
      </c>
    </row>
    <row r="1117" customFormat="false" ht="17.15" hidden="false" customHeight="false" outlineLevel="0" collapsed="false">
      <c r="A1117" s="0" t="s">
        <v>495</v>
      </c>
      <c r="B1117" s="4" t="s">
        <v>28</v>
      </c>
      <c r="D1117" s="16" t="n">
        <f aca="false">u_hp_26*tt_hp</f>
        <v>0.3</v>
      </c>
      <c r="E1117" s="16" t="n">
        <f aca="false">u_hp_27*1*tt_hp</f>
        <v>0</v>
      </c>
      <c r="F1117" s="16" t="n">
        <f aca="false">u_hp_28*um28_A*1*tt_hp</f>
        <v>0</v>
      </c>
      <c r="G1117" s="16" t="n">
        <f aca="false">u_hp_28*(1+g29_hp)*um29_A*1*tt_hp</f>
        <v>0</v>
      </c>
    </row>
    <row r="1118" customFormat="false" ht="17.15" hidden="false" customHeight="false" outlineLevel="0" collapsed="false">
      <c r="A1118" s="0" t="s">
        <v>496</v>
      </c>
      <c r="B1118" s="4" t="s">
        <v>28</v>
      </c>
      <c r="D1118" s="16" t="n">
        <f aca="false">u_amd_26*tt_amd*ex_amd</f>
        <v>0.165</v>
      </c>
      <c r="E1118" s="16" t="n">
        <f aca="false">u_amd_27*1*tt_amd*ex_amd</f>
        <v>0.33</v>
      </c>
      <c r="F1118" s="16" t="n">
        <f aca="false">u_amd_28*um28_A*1*tt_amd*ex_amd</f>
        <v>0.44</v>
      </c>
      <c r="G1118" s="16" t="n">
        <f aca="false">u_amd_28*(1+g29_amd)*um29_A*1*tt_amd*ex_amd</f>
        <v>0.506</v>
      </c>
    </row>
    <row r="1119" customFormat="false" ht="17.15" hidden="false" customHeight="false" outlineLevel="0" collapsed="false">
      <c r="A1119" s="0" t="s">
        <v>498</v>
      </c>
      <c r="B1119" s="4" t="s">
        <v>28</v>
      </c>
      <c r="D1119" s="16" t="n">
        <f aca="false">u_tpu_26*tt_tpu*ex_tpu</f>
        <v>1.7325</v>
      </c>
      <c r="E1119" s="16" t="n">
        <f aca="false">u_tpu_27*1*tt_tpu*ex_tpu</f>
        <v>2.475</v>
      </c>
      <c r="F1119" s="16" t="n">
        <f aca="false">u_tpu_28*um28_A*1*tt_tpu*ex_tpu</f>
        <v>3.15</v>
      </c>
      <c r="G1119" s="16" t="n">
        <f aca="false">u_tpu_28*(1+g29_tpu)*um29_A*1*tt_tpu*ex_tpu</f>
        <v>3.6225</v>
      </c>
    </row>
    <row r="1120" customFormat="false" ht="17.15" hidden="false" customHeight="false" outlineLevel="0" collapsed="false">
      <c r="A1120" s="0" t="s">
        <v>499</v>
      </c>
      <c r="B1120" s="4" t="s">
        <v>28</v>
      </c>
      <c r="D1120" s="16" t="n">
        <f aca="false">u_trn_26*tt_trn*ex_trn</f>
        <v>0.64</v>
      </c>
      <c r="E1120" s="16" t="n">
        <f aca="false">u_trn_27*1*tt_trn*ex_trn</f>
        <v>0.8</v>
      </c>
      <c r="F1120" s="16" t="n">
        <f aca="false">u_trn_28*um28_A*1*tt_trn*ex_trn</f>
        <v>0.96</v>
      </c>
      <c r="G1120" s="16" t="n">
        <f aca="false">u_trn_28*(1+g29_trn)*um29_A*1*tt_trn*ex_trn</f>
        <v>1.104</v>
      </c>
    </row>
    <row r="1121" customFormat="false" ht="17.15" hidden="false" customHeight="false" outlineLevel="0" collapsed="false">
      <c r="A1121" s="4" t="s">
        <v>500</v>
      </c>
      <c r="B1121" s="4" t="s">
        <v>28</v>
      </c>
      <c r="D1121" s="16" t="n">
        <f aca="false">u_oth_26*tt_oth*ex_oth</f>
        <v>0.28</v>
      </c>
      <c r="E1121" s="16" t="n">
        <f aca="false">u_oth_27*1*tt_oth*ex_oth</f>
        <v>1.26</v>
      </c>
      <c r="F1121" s="16" t="n">
        <f aca="false">u_oth_28*um28_A*1*tt_oth*ex_oth</f>
        <v>1.4</v>
      </c>
      <c r="G1121" s="16" t="n">
        <f aca="false">u_oth_28*(1+g29_oth)*um29_A*1*tt_oth*ex_oth</f>
        <v>1.61</v>
      </c>
    </row>
    <row r="1122" customFormat="false" ht="15" hidden="false" customHeight="false" outlineLevel="0" collapsed="false">
      <c r="A1122" s="4" t="s">
        <v>489</v>
      </c>
      <c r="B1122" s="4" t="s">
        <v>28</v>
      </c>
      <c r="D1122" s="16" t="n">
        <f aca="false">u_bw_26+u_rb_26+u_ru_26+u_hp_26+u_amd_26+u_tpu_26+u_trn_26+u_oth_26</f>
        <v>15.2</v>
      </c>
      <c r="E1122" s="16" t="n">
        <f aca="false">u_bw_27*1+u_rb_27*1+u_ru_27*1+u_hp_27*1+u_amd_27*1+u_tpu_27*1+u_trn_27*1+u_oth_27*1</f>
        <v>23.7</v>
      </c>
      <c r="F1122" s="16" t="n">
        <f aca="false">u_bw_28*um28_A*1+u_rb_28*um28_A*1+u_ru_28*um28_A*1+u_hp_28*um28_A*1+u_amd_28*um28_A*1+u_tpu_28*um28_A*1+u_trn_28*um28_A*1+u_oth_28*um28_A*1</f>
        <v>26.5</v>
      </c>
      <c r="G112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23" customFormat="false" ht="17.15" hidden="false" customHeight="false" outlineLevel="0" collapsed="false">
      <c r="A1123" s="0" t="s">
        <v>544</v>
      </c>
      <c r="B1123" s="4" t="s">
        <v>28</v>
      </c>
      <c r="D1123" s="16" t="n">
        <f aca="false">D1114+D1115+D1116+D1117</f>
        <v>8.25</v>
      </c>
      <c r="E1123" s="16" t="n">
        <f aca="false">E1114+E1115+E1116+E1117</f>
        <v>13.5</v>
      </c>
      <c r="F1123" s="16" t="n">
        <f aca="false">F1114+F1115+F1116+F1117</f>
        <v>15</v>
      </c>
      <c r="G1123" s="16" t="n">
        <f aca="false">G1114+G1115+G1116+G1117</f>
        <v>16.925</v>
      </c>
    </row>
    <row r="1124" customFormat="false" ht="17.15" hidden="false" customHeight="false" outlineLevel="0" collapsed="false">
      <c r="A1124" s="0" t="s">
        <v>545</v>
      </c>
      <c r="B1124" s="4" t="s">
        <v>28</v>
      </c>
      <c r="D1124" s="16" t="n">
        <f aca="false">D1118+D1119+D1120+D1121</f>
        <v>2.8175</v>
      </c>
      <c r="E1124" s="16" t="n">
        <f aca="false">E1118+E1119+E1120+E1121</f>
        <v>4.865</v>
      </c>
      <c r="F1124" s="16" t="n">
        <f aca="false">F1118+F1119+F1120+F1121</f>
        <v>5.95</v>
      </c>
      <c r="G1124" s="16" t="n">
        <f aca="false">G1118+G1119+G1120+G1121</f>
        <v>6.8425</v>
      </c>
    </row>
    <row r="1125" customFormat="false" ht="15" hidden="false" customHeight="false" outlineLevel="0" collapsed="false">
      <c r="A1125" s="4" t="s">
        <v>546</v>
      </c>
      <c r="B1125" s="4" t="s">
        <v>28</v>
      </c>
      <c r="D1125" s="16" t="n">
        <f aca="false">D1123+D1124</f>
        <v>11.0675</v>
      </c>
      <c r="E1125" s="16" t="n">
        <f aca="false">E1123+E1124</f>
        <v>18.365</v>
      </c>
      <c r="F1125" s="16" t="n">
        <f aca="false">F1123+F1124</f>
        <v>20.95</v>
      </c>
      <c r="G1125" s="16" t="n">
        <f aca="false">G1123+G1124</f>
        <v>23.7675</v>
      </c>
    </row>
    <row r="1126" customFormat="false" ht="17.15" hidden="false" customHeight="false" outlineLevel="0" collapsed="false">
      <c r="A1126" s="0" t="s">
        <v>547</v>
      </c>
      <c r="B1126" s="0" t="s">
        <v>239</v>
      </c>
      <c r="D1126" s="21" t="n">
        <f aca="false">a26_rev*ai_26</f>
        <v>16.603774145</v>
      </c>
    </row>
    <row r="1127" customFormat="false" ht="17.15" hidden="false" customHeight="false" outlineLevel="0" collapsed="false">
      <c r="A1127" s="4" t="s">
        <v>548</v>
      </c>
      <c r="B1127" s="0" t="s">
        <v>549</v>
      </c>
      <c r="D1127" s="27" t="n">
        <f aca="false">D1126/D1125</f>
        <v>1.50022806821775</v>
      </c>
      <c r="H1127" s="8" t="s">
        <v>550</v>
      </c>
    </row>
    <row r="1128" customFormat="false" ht="17.15" hidden="false" customHeight="false" outlineLevel="0" collapsed="false">
      <c r="A1128" s="4" t="s">
        <v>551</v>
      </c>
      <c r="B1128" s="0" t="s">
        <v>131</v>
      </c>
      <c r="D1128" s="16" t="n">
        <f aca="false">1</f>
        <v>1</v>
      </c>
      <c r="E1128" s="16" t="n">
        <f aca="false">rel_27</f>
        <v>0.95</v>
      </c>
      <c r="F1128" s="16" t="n">
        <f aca="false">rel_28</f>
        <v>0.92</v>
      </c>
      <c r="G1128" s="16" t="n">
        <f aca="false">rel_29</f>
        <v>0.9</v>
      </c>
    </row>
    <row r="1129" customFormat="false" ht="17.15" hidden="false" customHeight="false" outlineLevel="0" collapsed="false">
      <c r="A1129" s="4" t="s">
        <v>552</v>
      </c>
      <c r="B1129" s="0" t="s">
        <v>131</v>
      </c>
      <c r="D1129" s="16" t="n">
        <f aca="false">1</f>
        <v>1</v>
      </c>
      <c r="E1129" s="16" t="n">
        <f aca="false">pp_27</f>
        <v>0.98</v>
      </c>
      <c r="F1129" s="16" t="n">
        <f aca="false">pp_28</f>
        <v>0.96</v>
      </c>
      <c r="G1129" s="16" t="n">
        <f aca="false">pp_29</f>
        <v>0.95</v>
      </c>
    </row>
    <row r="1130" customFormat="false" ht="17.15" hidden="false" customHeight="false" outlineLevel="0" collapsed="false">
      <c r="A1130" s="0" t="s">
        <v>553</v>
      </c>
      <c r="B1130" s="0" t="s">
        <v>239</v>
      </c>
      <c r="C1130" s="21" t="n">
        <f aca="false">a25_rev*ai_25</f>
        <v>9.60674</v>
      </c>
      <c r="D1130" s="21" t="n">
        <f aca="false">D1126</f>
        <v>16.603774145</v>
      </c>
      <c r="E1130" s="21" t="n">
        <f aca="false">$D$1127*E1125*E1128*E1129</f>
        <v>25.6506219681945</v>
      </c>
      <c r="F1130" s="21" t="n">
        <f aca="false">$D$1127*F1125*F1128*F1129</f>
        <v>27.7587799553558</v>
      </c>
      <c r="G1130" s="21" t="n">
        <f aca="false">$D$1127*G1125*G1128*G1129</f>
        <v>30.4864533727175</v>
      </c>
    </row>
    <row r="1131" customFormat="false" ht="17.15" hidden="false" customHeight="false" outlineLevel="0" collapsed="false">
      <c r="A1131" s="4" t="s">
        <v>554</v>
      </c>
      <c r="B1131" s="0" t="s">
        <v>239</v>
      </c>
      <c r="C1131" s="21" t="n">
        <f aca="false">a25_rev-C1130</f>
        <v>25.32686</v>
      </c>
      <c r="D1131" s="21" t="n">
        <f aca="false">a26_rev-D1130</f>
        <v>30.835580555</v>
      </c>
      <c r="E1131" s="21" t="n">
        <f aca="false">D1131*(1+g_nai27)</f>
        <v>34.5358502216</v>
      </c>
      <c r="F1131" s="21" t="n">
        <f aca="false">E1131*(1+g_nai28)</f>
        <v>36.953359737112</v>
      </c>
      <c r="G1131" s="21" t="n">
        <f aca="false">F1131*(1+g_nai29)</f>
        <v>38.8010277239676</v>
      </c>
    </row>
    <row r="1132" customFormat="false" ht="15" hidden="false" customHeight="false" outlineLevel="0" collapsed="false">
      <c r="A1132" s="4" t="s">
        <v>414</v>
      </c>
      <c r="B1132" s="0" t="s">
        <v>239</v>
      </c>
      <c r="C1132" s="21" t="n">
        <f aca="false">C1130+C1131</f>
        <v>34.9336</v>
      </c>
      <c r="D1132" s="21" t="n">
        <f aca="false">D1130+D1131</f>
        <v>47.4393547</v>
      </c>
      <c r="E1132" s="21" t="n">
        <f aca="false">E1130+E1131</f>
        <v>60.1864721897945</v>
      </c>
      <c r="F1132" s="21" t="n">
        <f aca="false">F1130+F1131</f>
        <v>64.7121396924678</v>
      </c>
      <c r="G1132" s="21" t="n">
        <f aca="false">G1130+G1131</f>
        <v>69.2874810966851</v>
      </c>
    </row>
    <row r="1133" customFormat="false" ht="15" hidden="false" customHeight="false" outlineLevel="0" collapsed="false">
      <c r="A1133" s="4" t="s">
        <v>555</v>
      </c>
      <c r="B1133" s="0" t="s">
        <v>41</v>
      </c>
      <c r="D1133" s="14" t="n">
        <f aca="false">D1132/C1132-1</f>
        <v>0.357986428538713</v>
      </c>
      <c r="E1133" s="14" t="n">
        <f aca="false">E1132/D1132-1</f>
        <v>0.268703433476395</v>
      </c>
      <c r="F1133" s="14" t="n">
        <f aca="false">F1132/E1132-1</f>
        <v>0.0751940982419084</v>
      </c>
      <c r="G1133" s="14" t="n">
        <f aca="false">G1132/F1132-1</f>
        <v>0.070702984416227</v>
      </c>
    </row>
    <row r="1134" customFormat="false" ht="17.15" hidden="false" customHeight="false" outlineLevel="0" collapsed="false">
      <c r="A1134" s="0" t="s">
        <v>556</v>
      </c>
      <c r="B1134" s="0" t="s">
        <v>41</v>
      </c>
      <c r="C1134" s="14" t="n">
        <f aca="false">C1130/C1132</f>
        <v>0.275</v>
      </c>
      <c r="D1134" s="14" t="n">
        <f aca="false">D1130/D1132</f>
        <v>0.35</v>
      </c>
      <c r="E1134" s="14" t="n">
        <f aca="false">E1130/E1132</f>
        <v>0.426185836034829</v>
      </c>
      <c r="F1134" s="14" t="n">
        <f aca="false">F1130/F1132</f>
        <v>0.42895784449833</v>
      </c>
      <c r="G1134" s="14" t="n">
        <f aca="false">G1130/G1132</f>
        <v>0.439999447088805</v>
      </c>
    </row>
    <row r="1135" customFormat="false" ht="17.15" hidden="false" customHeight="false" outlineLevel="0" collapsed="false">
      <c r="A1135" s="0" t="s">
        <v>502</v>
      </c>
      <c r="B1135" s="0" t="s">
        <v>41</v>
      </c>
      <c r="D1135" s="14" t="n">
        <f aca="false">D1123/D1125</f>
        <v>0.745425796250282</v>
      </c>
      <c r="E1135" s="14" t="n">
        <f aca="false">E1123/E1125</f>
        <v>0.735093928668663</v>
      </c>
      <c r="F1135" s="14" t="n">
        <f aca="false">F1123/F1125</f>
        <v>0.715990453460621</v>
      </c>
      <c r="G1135" s="14" t="n">
        <f aca="false">G1123/G1125</f>
        <v>0.71210686862312</v>
      </c>
    </row>
    <row r="1136" customFormat="false" ht="17.15" hidden="false" customHeight="false" outlineLevel="0" collapsed="false">
      <c r="A1136" s="4" t="s">
        <v>506</v>
      </c>
      <c r="B1136" s="0" t="s">
        <v>507</v>
      </c>
      <c r="D1136" s="22" t="n">
        <f aca="false">D1130/D1125/fx*1000</f>
        <v>46.8821271318048</v>
      </c>
      <c r="E1136" s="22" t="n">
        <f aca="false">E1130/E1125/fx*1000</f>
        <v>43.6472603597103</v>
      </c>
      <c r="F1136" s="22" t="n">
        <f aca="false">F1130/F1125/fx*1000</f>
        <v>41.40629468281</v>
      </c>
      <c r="G1136" s="22" t="n">
        <f aca="false">G1130/G1125/fx*1000</f>
        <v>40.0842186976931</v>
      </c>
      <c r="H1136" s="4" t="s">
        <v>557</v>
      </c>
    </row>
    <row r="1137" customFormat="false" ht="17.15" hidden="false" customHeight="false" outlineLevel="0" collapsed="false">
      <c r="A1137" s="6" t="s">
        <v>558</v>
      </c>
    </row>
    <row r="1138" customFormat="false" ht="17.15" hidden="false" customHeight="false" outlineLevel="0" collapsed="false">
      <c r="A1138" s="0" t="s">
        <v>559</v>
      </c>
      <c r="B1138" s="0" t="s">
        <v>131</v>
      </c>
      <c r="C1138" s="16" t="n">
        <f aca="false">(a25_capex-m_cx*a25_rev)/(a25_rev-rev24)</f>
        <v>3.57284271254522</v>
      </c>
      <c r="H1138" s="8" t="s">
        <v>560</v>
      </c>
    </row>
    <row r="1139" customFormat="false" ht="17.15" hidden="false" customHeight="false" outlineLevel="0" collapsed="false">
      <c r="A1139" s="4" t="s">
        <v>511</v>
      </c>
      <c r="B1139" s="0" t="s">
        <v>239</v>
      </c>
      <c r="C1139" s="21" t="n">
        <f aca="false">a25_capex</f>
        <v>32.3554</v>
      </c>
      <c r="D1139" s="21" t="n">
        <f aca="false">capex_26</f>
        <v>42</v>
      </c>
      <c r="E1139" s="21" t="n">
        <f aca="false">m_cx*E1132+$C$1138*MAX(0,E1132-D1132)</f>
        <v>51.5620930483496</v>
      </c>
      <c r="F1139" s="21" t="n">
        <f aca="false">m_cx*F1132+$C$1138*MAX(0,F1132-E1132)</f>
        <v>22.6407121255758</v>
      </c>
      <c r="G1139" s="21" t="n">
        <f aca="false">m_cx*G1132+$C$1138*MAX(0,G1132-F1132)</f>
        <v>23.2757233031325</v>
      </c>
      <c r="H1139" s="8" t="s">
        <v>561</v>
      </c>
    </row>
    <row r="1140" customFormat="false" ht="17.15" hidden="false" customHeight="false" outlineLevel="0" collapsed="false">
      <c r="A1140" s="4" t="s">
        <v>562</v>
      </c>
      <c r="B1140" s="0" t="s">
        <v>41</v>
      </c>
      <c r="C1140" s="14" t="n">
        <f aca="false">C1139/C1132</f>
        <v>0.926197128266197</v>
      </c>
      <c r="D1140" s="14" t="n">
        <f aca="false">D1139/D1132</f>
        <v>0.885340879225746</v>
      </c>
      <c r="E1140" s="14" t="n">
        <f aca="false">E1139/E1132</f>
        <v>0.85670568771254</v>
      </c>
      <c r="F1140" s="14" t="n">
        <f aca="false">F1139/F1132</f>
        <v>0.34986808090679</v>
      </c>
      <c r="G1140" s="14" t="n">
        <f aca="false">G1139/G1132</f>
        <v>0.335929708148188</v>
      </c>
    </row>
    <row r="1141" customFormat="false" ht="15" hidden="false" customHeight="false" outlineLevel="0" collapsed="false">
      <c r="A1141" s="4" t="s">
        <v>563</v>
      </c>
      <c r="B1141" s="0" t="s">
        <v>239</v>
      </c>
      <c r="C1141" s="21" t="n">
        <f aca="false">a25_da</f>
        <v>7.5143841</v>
      </c>
      <c r="D1141" s="21" t="n">
        <f aca="false">a26_da</f>
        <v>11.32770694</v>
      </c>
      <c r="E1141" s="21" t="n">
        <f aca="false">D1141*(1-ret)+dr*(D1139+E1139)/2</f>
        <v>15.9072367106592</v>
      </c>
      <c r="F1141" s="21" t="n">
        <f aca="false">E1141*(1-ret)+dr*(E1139+F1139)/2</f>
        <v>19.1930291596922</v>
      </c>
      <c r="G1141" s="21" t="n">
        <f aca="false">F1141*(1-ret)+dr*(F1139+G1139)/2</f>
        <v>20.7587816502865</v>
      </c>
    </row>
    <row r="1142" customFormat="false" ht="17.15" hidden="false" customHeight="false" outlineLevel="0" collapsed="false">
      <c r="A1142" s="4" t="s">
        <v>515</v>
      </c>
      <c r="B1142" s="0" t="s">
        <v>41</v>
      </c>
      <c r="C1142" s="14" t="n">
        <f aca="false">C1141/C1132</f>
        <v>0.215104773055168</v>
      </c>
      <c r="D1142" s="14" t="n">
        <f aca="false">D1141/D1132</f>
        <v>0.238782905282647</v>
      </c>
      <c r="E1142" s="14" t="n">
        <f aca="false">E1141/E1132</f>
        <v>0.264299204321142</v>
      </c>
      <c r="F1142" s="14" t="n">
        <f aca="false">F1141/F1132</f>
        <v>0.296590859936071</v>
      </c>
      <c r="G1142" s="14" t="n">
        <f aca="false">G1141/G1132</f>
        <v>0.299603641548454</v>
      </c>
    </row>
    <row r="1143" customFormat="false" ht="17.15" hidden="false" customHeight="false" outlineLevel="0" collapsed="false">
      <c r="A1143" s="4" t="s">
        <v>564</v>
      </c>
      <c r="B1143" s="0" t="s">
        <v>239</v>
      </c>
      <c r="D1143" s="16" t="n">
        <f aca="false">C1141*(1-ret)+dr*(C1139+D1139)/2-D1141</f>
        <v>-0.0994950449999994</v>
      </c>
      <c r="H1143" s="4" t="s">
        <v>565</v>
      </c>
    </row>
    <row r="1144" customFormat="false" ht="17.15" hidden="false" customHeight="false" outlineLevel="0" collapsed="false">
      <c r="A1144" s="6" t="s">
        <v>566</v>
      </c>
    </row>
    <row r="1145" customFormat="false" ht="17.15" hidden="false" customHeight="false" outlineLevel="0" collapsed="false">
      <c r="A1145" s="4" t="s">
        <v>567</v>
      </c>
      <c r="B1145" s="0" t="s">
        <v>239</v>
      </c>
      <c r="D1145" s="21" t="n">
        <f aca="false">a26_cc-v_cc*a26_rev</f>
        <v>7.9821937335</v>
      </c>
      <c r="H1145" s="8" t="s">
        <v>568</v>
      </c>
    </row>
    <row r="1146" customFormat="false" ht="17.15" hidden="false" customHeight="false" outlineLevel="0" collapsed="false">
      <c r="A1146" s="4" t="s">
        <v>569</v>
      </c>
      <c r="B1146" s="0" t="s">
        <v>239</v>
      </c>
      <c r="C1146" s="21" t="n">
        <f aca="false">a25_cc</f>
        <v>14.8984</v>
      </c>
      <c r="D1146" s="21" t="n">
        <f aca="false">a26_cc</f>
        <v>17.4700646735</v>
      </c>
      <c r="E1146" s="21" t="n">
        <f aca="false">$D$1145+v_cc*(E1130/E1129+E1131)</f>
        <v>20.1241845876556</v>
      </c>
      <c r="F1146" s="21" t="n">
        <f aca="false">$D$1145+v_cc*(F1130/F1129+F1131)</f>
        <v>21.1559448382882</v>
      </c>
      <c r="G1146" s="21" t="n">
        <f aca="false">$D$1145+v_cc*(G1130/G1129+G1131)</f>
        <v>22.1605999883393</v>
      </c>
      <c r="H1146" s="4" t="s">
        <v>570</v>
      </c>
    </row>
    <row r="1147" customFormat="false" ht="15" hidden="false" customHeight="false" outlineLevel="0" collapsed="false">
      <c r="A1147" s="4" t="s">
        <v>571</v>
      </c>
      <c r="B1147" s="0" t="s">
        <v>239</v>
      </c>
      <c r="C1147" s="21" t="n">
        <f aca="false">C1132-C1146-C1141</f>
        <v>12.5208159</v>
      </c>
      <c r="D1147" s="21" t="n">
        <f aca="false">D1132-D1146-D1141</f>
        <v>18.6415830865</v>
      </c>
      <c r="E1147" s="21" t="n">
        <f aca="false">E1132-E1146-E1141</f>
        <v>24.1550508914797</v>
      </c>
      <c r="F1147" s="21" t="n">
        <f aca="false">F1132-F1146-F1141</f>
        <v>24.3631656944875</v>
      </c>
      <c r="G1147" s="21" t="n">
        <f aca="false">G1132-G1146-G1141</f>
        <v>26.3680994580593</v>
      </c>
    </row>
    <row r="1148" customFormat="false" ht="15" hidden="false" customHeight="false" outlineLevel="0" collapsed="false">
      <c r="A1148" s="4" t="s">
        <v>421</v>
      </c>
      <c r="B1148" s="0" t="s">
        <v>41</v>
      </c>
      <c r="C1148" s="14" t="n">
        <f aca="false">C1147/C1132</f>
        <v>0.358417566468958</v>
      </c>
      <c r="D1148" s="14" t="n">
        <f aca="false">D1147/D1132</f>
        <v>0.392956084760993</v>
      </c>
      <c r="E1148" s="14" t="n">
        <f aca="false">E1147/E1132</f>
        <v>0.401336878747572</v>
      </c>
      <c r="F1148" s="14" t="n">
        <f aca="false">F1147/F1132</f>
        <v>0.37648524388575</v>
      </c>
      <c r="G1148" s="14" t="n">
        <f aca="false">G1147/G1132</f>
        <v>0.380560803202886</v>
      </c>
    </row>
    <row r="1149" customFormat="false" ht="15" hidden="false" customHeight="false" outlineLevel="0" collapsed="false">
      <c r="A1149" s="4" t="s">
        <v>572</v>
      </c>
      <c r="B1149" s="0" t="s">
        <v>239</v>
      </c>
      <c r="C1149" s="21" t="n">
        <f aca="false">a25_opx</f>
        <v>3.5197</v>
      </c>
      <c r="D1149" s="21" t="n">
        <f aca="false">a26_opx</f>
        <v>6.1141318375</v>
      </c>
      <c r="E1149" s="21" t="n">
        <f aca="false">D1149*(1+MAX(0,phi*E1133))</f>
        <v>7.09986476797815</v>
      </c>
      <c r="F1149" s="21" t="n">
        <f aca="false">E1149*(1+MAX(0,phi*F1133))</f>
        <v>7.42018552529872</v>
      </c>
      <c r="G1149" s="21" t="n">
        <f aca="false">F1149*(1+MAX(0,phi*G1133))</f>
        <v>7.73496308223515</v>
      </c>
    </row>
    <row r="1150" customFormat="false" ht="15" hidden="false" customHeight="false" outlineLevel="0" collapsed="false">
      <c r="A1150" s="4" t="s">
        <v>573</v>
      </c>
      <c r="B1150" s="0" t="s">
        <v>239</v>
      </c>
      <c r="C1150" s="21" t="n">
        <f aca="false">C1149</f>
        <v>3.5197</v>
      </c>
      <c r="D1150" s="21" t="n">
        <f aca="false">D1149</f>
        <v>6.1141318375</v>
      </c>
      <c r="E1150" s="21" t="n">
        <f aca="false">E1149+0*E1132</f>
        <v>7.09986476797815</v>
      </c>
      <c r="F1150" s="21" t="n">
        <f aca="false">F1149+0*F1132</f>
        <v>7.42018552529872</v>
      </c>
      <c r="G1150" s="21" t="n">
        <f aca="false">G1149+0*G1132</f>
        <v>7.73496308223515</v>
      </c>
    </row>
    <row r="1151" customFormat="false" ht="15" hidden="false" customHeight="false" outlineLevel="0" collapsed="false">
      <c r="A1151" s="4" t="s">
        <v>430</v>
      </c>
      <c r="B1151" s="0" t="s">
        <v>239</v>
      </c>
      <c r="C1151" s="21" t="n">
        <f aca="false">C1147-C1150</f>
        <v>9.0011159</v>
      </c>
      <c r="D1151" s="21" t="n">
        <f aca="false">D1147-D1150</f>
        <v>12.527451249</v>
      </c>
      <c r="E1151" s="21" t="n">
        <f aca="false">E1147-E1150</f>
        <v>17.0551861235015</v>
      </c>
      <c r="F1151" s="21" t="n">
        <f aca="false">F1147-F1150</f>
        <v>16.9429801691888</v>
      </c>
      <c r="G1151" s="21" t="n">
        <f aca="false">G1147-G1150</f>
        <v>18.6331363758241</v>
      </c>
    </row>
    <row r="1152" customFormat="false" ht="15" hidden="false" customHeight="false" outlineLevel="0" collapsed="false">
      <c r="A1152" s="4" t="s">
        <v>432</v>
      </c>
      <c r="B1152" s="0" t="s">
        <v>41</v>
      </c>
      <c r="C1152" s="14" t="n">
        <f aca="false">C1151/C1132</f>
        <v>0.25766356459111</v>
      </c>
      <c r="D1152" s="14" t="n">
        <f aca="false">D1151/D1132</f>
        <v>0.264072969124936</v>
      </c>
      <c r="E1152" s="14" t="n">
        <f aca="false">E1151/E1132</f>
        <v>0.283372417471471</v>
      </c>
      <c r="F1152" s="14" t="n">
        <f aca="false">F1151/F1132</f>
        <v>0.261820737959015</v>
      </c>
      <c r="G1152" s="14" t="n">
        <f aca="false">G1151/G1132</f>
        <v>0.268925007532358</v>
      </c>
    </row>
    <row r="1153" customFormat="false" ht="17.15" hidden="false" customHeight="false" outlineLevel="0" collapsed="false">
      <c r="A1153" s="0" t="s">
        <v>574</v>
      </c>
      <c r="B1153" s="0" t="s">
        <v>239</v>
      </c>
      <c r="C1153" s="21" t="n">
        <f aca="false">C1151+C1141</f>
        <v>16.5155</v>
      </c>
      <c r="D1153" s="21" t="n">
        <f aca="false">D1151+D1141</f>
        <v>23.855158189</v>
      </c>
      <c r="E1153" s="21" t="n">
        <f aca="false">E1151+E1141</f>
        <v>32.9624228341608</v>
      </c>
      <c r="F1153" s="21" t="n">
        <f aca="false">F1151+F1141</f>
        <v>36.1360093288809</v>
      </c>
      <c r="G1153" s="21" t="n">
        <f aca="false">G1151+G1141</f>
        <v>39.3919180261106</v>
      </c>
    </row>
    <row r="1154" customFormat="false" ht="17.15" hidden="false" customHeight="false" outlineLevel="0" collapsed="false">
      <c r="A1154" s="0" t="s">
        <v>575</v>
      </c>
      <c r="B1154" s="0" t="s">
        <v>239</v>
      </c>
      <c r="C1154" s="21" t="n">
        <f aca="false">C1153-C1139</f>
        <v>-15.8399</v>
      </c>
      <c r="D1154" s="21" t="n">
        <f aca="false">D1153-D1139</f>
        <v>-18.144841811</v>
      </c>
      <c r="E1154" s="21" t="n">
        <f aca="false">E1153-E1139</f>
        <v>-18.5996702141888</v>
      </c>
      <c r="F1154" s="21" t="n">
        <f aca="false">F1153-F1139</f>
        <v>13.4952972033051</v>
      </c>
      <c r="G1154" s="21" t="n">
        <f aca="false">G1153-G1139</f>
        <v>16.1161947229781</v>
      </c>
    </row>
    <row r="1155" customFormat="false" ht="17.15" hidden="false" customHeight="false" outlineLevel="0" collapsed="false">
      <c r="A1155" s="4" t="s">
        <v>433</v>
      </c>
      <c r="B1155" s="0" t="s">
        <v>239</v>
      </c>
      <c r="C1155" s="21" t="n">
        <f aca="false">a25_ni</f>
        <v>11.015</v>
      </c>
      <c r="D1155" s="21" t="n">
        <f aca="false">a26_ni</f>
        <v>10.66608446065</v>
      </c>
      <c r="E1155" s="21" t="n">
        <f aca="false">E1151*nir_f_hi</f>
        <v>15.3496675111514</v>
      </c>
      <c r="F1155" s="21" t="n">
        <f aca="false">F1151*nir_f_hi</f>
        <v>15.2486821522699</v>
      </c>
      <c r="G1155" s="21" t="n">
        <f aca="false">G1151*nir_f_hi</f>
        <v>16.7698227382417</v>
      </c>
      <c r="H1155" s="8" t="s">
        <v>438</v>
      </c>
    </row>
    <row r="1156" customFormat="false" ht="17.15" hidden="false" customHeight="false" outlineLevel="0" collapsed="false">
      <c r="A1156" s="4" t="s">
        <v>437</v>
      </c>
      <c r="B1156" s="0" t="s">
        <v>41</v>
      </c>
      <c r="C1156" s="14" t="n">
        <f aca="false">C1155/C1151</f>
        <v>1.22373715907824</v>
      </c>
      <c r="D1156" s="14" t="n">
        <f aca="false">D1155/D1151</f>
        <v>0.851416960133963</v>
      </c>
      <c r="E1156" s="14" t="n">
        <f aca="false">E1155/E1151</f>
        <v>0.9</v>
      </c>
      <c r="F1156" s="14" t="n">
        <f aca="false">F1155/F1151</f>
        <v>0.9</v>
      </c>
      <c r="G1156" s="14" t="n">
        <f aca="false">G1155/G1151</f>
        <v>0.9</v>
      </c>
    </row>
    <row r="1157" customFormat="false" ht="15" hidden="false" customHeight="false" outlineLevel="0" collapsed="false">
      <c r="A1157" s="4" t="s">
        <v>576</v>
      </c>
      <c r="B1157" s="4" t="s">
        <v>294</v>
      </c>
      <c r="C1157" s="27" t="n">
        <f aca="false">a25_sh</f>
        <v>1.22253052164262</v>
      </c>
      <c r="D1157" s="27" t="n">
        <f aca="false">a26_sh</f>
        <v>1.28264705882353</v>
      </c>
      <c r="E1157" s="27" t="n">
        <f aca="false">D1157*(1+sh_g)</f>
        <v>1.28264705882353</v>
      </c>
      <c r="F1157" s="27" t="n">
        <f aca="false">E1157*(1+sh_g)</f>
        <v>1.28264705882353</v>
      </c>
      <c r="G1157" s="27" t="n">
        <f aca="false">F1157*(1+sh_g)</f>
        <v>1.28264705882353</v>
      </c>
    </row>
    <row r="1158" customFormat="false" ht="15" hidden="false" customHeight="false" outlineLevel="0" collapsed="false">
      <c r="A1158" s="0" t="s">
        <v>442</v>
      </c>
      <c r="B1158" s="0" t="s">
        <v>315</v>
      </c>
      <c r="C1158" s="21" t="n">
        <f aca="false">C1155/C1157</f>
        <v>9.01</v>
      </c>
      <c r="D1158" s="21" t="n">
        <f aca="false">D1155/D1157</f>
        <v>8.31568153318276</v>
      </c>
      <c r="E1158" s="21" t="n">
        <f aca="false">E1155/E1157</f>
        <v>11.9671794400171</v>
      </c>
      <c r="F1158" s="21" t="n">
        <f aca="false">F1155/F1157</f>
        <v>11.8884474473097</v>
      </c>
      <c r="G1158" s="21" t="n">
        <f aca="false">G1155/G1157</f>
        <v>13.07438599175</v>
      </c>
    </row>
    <row r="1159" customFormat="false" ht="17.15" hidden="false" customHeight="false" outlineLevel="0" collapsed="false">
      <c r="A1159" s="0" t="s">
        <v>577</v>
      </c>
      <c r="B1159" s="0" t="s">
        <v>41</v>
      </c>
      <c r="D1159" s="14" t="n">
        <f aca="false">D1158/C1158-1</f>
        <v>-0.0770608731206708</v>
      </c>
      <c r="E1159" s="14" t="n">
        <f aca="false">E1158/D1158-1</f>
        <v>0.439109878398241</v>
      </c>
      <c r="F1159" s="14" t="n">
        <f aca="false">F1158/E1158-1</f>
        <v>-0.00657899324582345</v>
      </c>
      <c r="G1159" s="14" t="n">
        <f aca="false">G1158/F1158-1</f>
        <v>0.0997555441697893</v>
      </c>
      <c r="H1159" s="8" t="s">
        <v>578</v>
      </c>
    </row>
    <row r="1162" customFormat="false" ht="17.15" hidden="false" customHeight="false" outlineLevel="0" collapsed="false">
      <c r="A1162" s="1" t="s">
        <v>885</v>
      </c>
    </row>
    <row r="1163" customFormat="false" ht="17.15" hidden="false" customHeight="false" outlineLevel="0" collapsed="false">
      <c r="A1163" s="5" t="s">
        <v>17</v>
      </c>
      <c r="B1163" s="5" t="s">
        <v>18</v>
      </c>
      <c r="C1163" s="12" t="s">
        <v>409</v>
      </c>
      <c r="D1163" s="12" t="s">
        <v>520</v>
      </c>
      <c r="E1163" s="12" t="s">
        <v>521</v>
      </c>
      <c r="F1163" s="12" t="s">
        <v>522</v>
      </c>
      <c r="G1163" s="12" t="s">
        <v>523</v>
      </c>
      <c r="H1163" s="5" t="s">
        <v>488</v>
      </c>
    </row>
    <row r="1164" customFormat="false" ht="17.15" hidden="false" customHeight="false" outlineLevel="0" collapsed="false">
      <c r="A1164" s="6" t="s">
        <v>543</v>
      </c>
    </row>
    <row r="1165" customFormat="false" ht="17.15" hidden="false" customHeight="false" outlineLevel="0" collapsed="false">
      <c r="A1165" s="0" t="s">
        <v>491</v>
      </c>
      <c r="B1165" s="4" t="s">
        <v>28</v>
      </c>
      <c r="D1165" s="16" t="n">
        <f aca="false">u_bw_26*tt_bw</f>
        <v>5.4</v>
      </c>
      <c r="E1165" s="16" t="n">
        <f aca="false">u_bw_27*1*tt_bw</f>
        <v>2.4</v>
      </c>
      <c r="F1165" s="16" t="n">
        <f aca="false">u_bw_28*um28_A*1*tt_bw</f>
        <v>0.5</v>
      </c>
      <c r="G1165" s="16" t="n">
        <f aca="false">u_bw_28*(1+g29_bw)*um29_A*1*tt_bw</f>
        <v>0.25</v>
      </c>
    </row>
    <row r="1166" customFormat="false" ht="17.15" hidden="false" customHeight="false" outlineLevel="0" collapsed="false">
      <c r="A1166" s="0" t="s">
        <v>493</v>
      </c>
      <c r="B1166" s="4" t="s">
        <v>28</v>
      </c>
      <c r="D1166" s="16" t="n">
        <f aca="false">u_rb_26*tt_rb</f>
        <v>2.55</v>
      </c>
      <c r="E1166" s="16" t="n">
        <f aca="false">u_rb_27*1*tt_rb</f>
        <v>10.5</v>
      </c>
      <c r="F1166" s="16" t="n">
        <f aca="false">u_rb_28*um28_A*1*tt_rb</f>
        <v>10.5</v>
      </c>
      <c r="G1166" s="16" t="n">
        <f aca="false">u_rb_28*(1+g29_rb)*um29_A*1*tt_rb</f>
        <v>12.075</v>
      </c>
    </row>
    <row r="1167" customFormat="false" ht="17.15" hidden="false" customHeight="false" outlineLevel="0" collapsed="false">
      <c r="A1167" s="0" t="s">
        <v>494</v>
      </c>
      <c r="B1167" s="4" t="s">
        <v>28</v>
      </c>
      <c r="D1167" s="16" t="n">
        <f aca="false">u_ru_26*tt_ru</f>
        <v>0</v>
      </c>
      <c r="E1167" s="16" t="n">
        <f aca="false">u_ru_27*1*tt_ru</f>
        <v>0.6</v>
      </c>
      <c r="F1167" s="16" t="n">
        <f aca="false">u_ru_28*um28_A*1*tt_ru</f>
        <v>4</v>
      </c>
      <c r="G1167" s="16" t="n">
        <f aca="false">u_ru_28*(1+g29_ru)*um29_A*1*tt_ru</f>
        <v>4.6</v>
      </c>
    </row>
    <row r="1168" customFormat="false" ht="17.15" hidden="false" customHeight="false" outlineLevel="0" collapsed="false">
      <c r="A1168" s="0" t="s">
        <v>495</v>
      </c>
      <c r="B1168" s="4" t="s">
        <v>28</v>
      </c>
      <c r="D1168" s="16" t="n">
        <f aca="false">u_hp_26*tt_hp</f>
        <v>0.3</v>
      </c>
      <c r="E1168" s="16" t="n">
        <f aca="false">u_hp_27*1*tt_hp</f>
        <v>0</v>
      </c>
      <c r="F1168" s="16" t="n">
        <f aca="false">u_hp_28*um28_A*1*tt_hp</f>
        <v>0</v>
      </c>
      <c r="G1168" s="16" t="n">
        <f aca="false">u_hp_28*(1+g29_hp)*um29_A*1*tt_hp</f>
        <v>0</v>
      </c>
    </row>
    <row r="1169" customFormat="false" ht="17.15" hidden="false" customHeight="false" outlineLevel="0" collapsed="false">
      <c r="A1169" s="0" t="s">
        <v>496</v>
      </c>
      <c r="B1169" s="4" t="s">
        <v>28</v>
      </c>
      <c r="D1169" s="16" t="n">
        <f aca="false">u_amd_26*tt_amd*ex_amd</f>
        <v>0.165</v>
      </c>
      <c r="E1169" s="16" t="n">
        <f aca="false">u_amd_27*1*tt_amd*ex_amd</f>
        <v>0.33</v>
      </c>
      <c r="F1169" s="16" t="n">
        <f aca="false">u_amd_28*um28_A*1*tt_amd*ex_amd</f>
        <v>0.44</v>
      </c>
      <c r="G1169" s="16" t="n">
        <f aca="false">u_amd_28*(1+g29_amd)*um29_A*1*tt_amd*ex_amd</f>
        <v>0.506</v>
      </c>
    </row>
    <row r="1170" customFormat="false" ht="17.15" hidden="false" customHeight="false" outlineLevel="0" collapsed="false">
      <c r="A1170" s="0" t="s">
        <v>498</v>
      </c>
      <c r="B1170" s="4" t="s">
        <v>28</v>
      </c>
      <c r="D1170" s="16" t="n">
        <f aca="false">u_tpu_26*tt_tpu*ex_tpu</f>
        <v>1.7325</v>
      </c>
      <c r="E1170" s="16" t="n">
        <f aca="false">u_tpu_27*1*tt_tpu*ex_tpu</f>
        <v>2.475</v>
      </c>
      <c r="F1170" s="16" t="n">
        <f aca="false">u_tpu_28*um28_A*1*tt_tpu*ex_tpu</f>
        <v>3.15</v>
      </c>
      <c r="G1170" s="16" t="n">
        <f aca="false">u_tpu_28*(1+g29_tpu)*um29_A*1*tt_tpu*ex_tpu</f>
        <v>3.6225</v>
      </c>
    </row>
    <row r="1171" customFormat="false" ht="17.15" hidden="false" customHeight="false" outlineLevel="0" collapsed="false">
      <c r="A1171" s="0" t="s">
        <v>499</v>
      </c>
      <c r="B1171" s="4" t="s">
        <v>28</v>
      </c>
      <c r="D1171" s="16" t="n">
        <f aca="false">u_trn_26*tt_trn*ex_trn</f>
        <v>0.64</v>
      </c>
      <c r="E1171" s="16" t="n">
        <f aca="false">u_trn_27*1*tt_trn*ex_trn</f>
        <v>0.8</v>
      </c>
      <c r="F1171" s="16" t="n">
        <f aca="false">u_trn_28*um28_A*1*tt_trn*ex_trn</f>
        <v>0.96</v>
      </c>
      <c r="G1171" s="16" t="n">
        <f aca="false">u_trn_28*(1+g29_trn)*um29_A*1*tt_trn*ex_trn</f>
        <v>1.104</v>
      </c>
    </row>
    <row r="1172" customFormat="false" ht="17.15" hidden="false" customHeight="false" outlineLevel="0" collapsed="false">
      <c r="A1172" s="4" t="s">
        <v>500</v>
      </c>
      <c r="B1172" s="4" t="s">
        <v>28</v>
      </c>
      <c r="D1172" s="16" t="n">
        <f aca="false">u_oth_26*tt_oth*ex_oth</f>
        <v>0.28</v>
      </c>
      <c r="E1172" s="16" t="n">
        <f aca="false">u_oth_27*1*tt_oth*ex_oth</f>
        <v>1.26</v>
      </c>
      <c r="F1172" s="16" t="n">
        <f aca="false">u_oth_28*um28_A*1*tt_oth*ex_oth</f>
        <v>1.4</v>
      </c>
      <c r="G1172" s="16" t="n">
        <f aca="false">u_oth_28*(1+g29_oth)*um29_A*1*tt_oth*ex_oth</f>
        <v>1.61</v>
      </c>
    </row>
    <row r="1173" customFormat="false" ht="15" hidden="false" customHeight="false" outlineLevel="0" collapsed="false">
      <c r="A1173" s="4" t="s">
        <v>489</v>
      </c>
      <c r="B1173" s="4" t="s">
        <v>28</v>
      </c>
      <c r="D1173" s="16" t="n">
        <f aca="false">u_bw_26+u_rb_26+u_ru_26+u_hp_26+u_amd_26+u_tpu_26+u_trn_26+u_oth_26</f>
        <v>15.2</v>
      </c>
      <c r="E1173" s="16" t="n">
        <f aca="false">u_bw_27*1+u_rb_27*1+u_ru_27*1+u_hp_27*1+u_amd_27*1+u_tpu_27*1+u_trn_27*1+u_oth_27*1</f>
        <v>23.7</v>
      </c>
      <c r="F1173" s="16" t="n">
        <f aca="false">u_bw_28*um28_A*1+u_rb_28*um28_A*1+u_ru_28*um28_A*1+u_hp_28*um28_A*1+u_amd_28*um28_A*1+u_tpu_28*um28_A*1+u_trn_28*um28_A*1+u_oth_28*um28_A*1</f>
        <v>26.5</v>
      </c>
      <c r="G117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74" customFormat="false" ht="17.15" hidden="false" customHeight="false" outlineLevel="0" collapsed="false">
      <c r="A1174" s="0" t="s">
        <v>544</v>
      </c>
      <c r="B1174" s="4" t="s">
        <v>28</v>
      </c>
      <c r="D1174" s="16" t="n">
        <f aca="false">D1165+D1166+D1167+D1168</f>
        <v>8.25</v>
      </c>
      <c r="E1174" s="16" t="n">
        <f aca="false">E1165+E1166+E1167+E1168</f>
        <v>13.5</v>
      </c>
      <c r="F1174" s="16" t="n">
        <f aca="false">F1165+F1166+F1167+F1168</f>
        <v>15</v>
      </c>
      <c r="G1174" s="16" t="n">
        <f aca="false">G1165+G1166+G1167+G1168</f>
        <v>16.925</v>
      </c>
    </row>
    <row r="1175" customFormat="false" ht="17.15" hidden="false" customHeight="false" outlineLevel="0" collapsed="false">
      <c r="A1175" s="0" t="s">
        <v>545</v>
      </c>
      <c r="B1175" s="4" t="s">
        <v>28</v>
      </c>
      <c r="D1175" s="16" t="n">
        <f aca="false">D1169+D1170+D1171+D1172</f>
        <v>2.8175</v>
      </c>
      <c r="E1175" s="16" t="n">
        <f aca="false">E1169+E1170+E1171+E1172</f>
        <v>4.865</v>
      </c>
      <c r="F1175" s="16" t="n">
        <f aca="false">F1169+F1170+F1171+F1172</f>
        <v>5.95</v>
      </c>
      <c r="G1175" s="16" t="n">
        <f aca="false">G1169+G1170+G1171+G1172</f>
        <v>6.8425</v>
      </c>
    </row>
    <row r="1176" customFormat="false" ht="15" hidden="false" customHeight="false" outlineLevel="0" collapsed="false">
      <c r="A1176" s="4" t="s">
        <v>546</v>
      </c>
      <c r="B1176" s="4" t="s">
        <v>28</v>
      </c>
      <c r="D1176" s="16" t="n">
        <f aca="false">D1174+D1175</f>
        <v>11.0675</v>
      </c>
      <c r="E1176" s="16" t="n">
        <f aca="false">E1174+E1175</f>
        <v>18.365</v>
      </c>
      <c r="F1176" s="16" t="n">
        <f aca="false">F1174+F1175</f>
        <v>20.95</v>
      </c>
      <c r="G1176" s="16" t="n">
        <f aca="false">G1174+G1175</f>
        <v>23.7675</v>
      </c>
    </row>
    <row r="1177" customFormat="false" ht="17.15" hidden="false" customHeight="false" outlineLevel="0" collapsed="false">
      <c r="A1177" s="0" t="s">
        <v>547</v>
      </c>
      <c r="B1177" s="0" t="s">
        <v>239</v>
      </c>
      <c r="D1177" s="21" t="n">
        <f aca="false">a26_rev*ai_26</f>
        <v>16.603774145</v>
      </c>
    </row>
    <row r="1178" customFormat="false" ht="17.15" hidden="false" customHeight="false" outlineLevel="0" collapsed="false">
      <c r="A1178" s="4" t="s">
        <v>548</v>
      </c>
      <c r="B1178" s="0" t="s">
        <v>549</v>
      </c>
      <c r="D1178" s="27" t="n">
        <f aca="false">D1177/D1176</f>
        <v>1.50022806821775</v>
      </c>
      <c r="H1178" s="8" t="s">
        <v>550</v>
      </c>
    </row>
    <row r="1179" customFormat="false" ht="17.15" hidden="false" customHeight="false" outlineLevel="0" collapsed="false">
      <c r="A1179" s="4" t="s">
        <v>551</v>
      </c>
      <c r="B1179" s="0" t="s">
        <v>131</v>
      </c>
      <c r="D1179" s="16" t="n">
        <f aca="false">1</f>
        <v>1</v>
      </c>
      <c r="E1179" s="16" t="n">
        <f aca="false">rel_27</f>
        <v>0.95</v>
      </c>
      <c r="F1179" s="16" t="n">
        <f aca="false">rel_28</f>
        <v>0.92</v>
      </c>
      <c r="G1179" s="16" t="n">
        <f aca="false">rel_29</f>
        <v>0.9</v>
      </c>
    </row>
    <row r="1180" customFormat="false" ht="17.15" hidden="false" customHeight="false" outlineLevel="0" collapsed="false">
      <c r="A1180" s="4" t="s">
        <v>552</v>
      </c>
      <c r="B1180" s="0" t="s">
        <v>131</v>
      </c>
      <c r="D1180" s="16" t="n">
        <f aca="false">1</f>
        <v>1</v>
      </c>
      <c r="E1180" s="16" t="n">
        <f aca="false">pp_27</f>
        <v>0.98</v>
      </c>
      <c r="F1180" s="16" t="n">
        <f aca="false">pp_28</f>
        <v>0.96</v>
      </c>
      <c r="G1180" s="16" t="n">
        <f aca="false">pp_29</f>
        <v>0.95</v>
      </c>
    </row>
    <row r="1181" customFormat="false" ht="17.15" hidden="false" customHeight="false" outlineLevel="0" collapsed="false">
      <c r="A1181" s="0" t="s">
        <v>553</v>
      </c>
      <c r="B1181" s="0" t="s">
        <v>239</v>
      </c>
      <c r="C1181" s="21" t="n">
        <f aca="false">a25_rev*ai_25</f>
        <v>9.60674</v>
      </c>
      <c r="D1181" s="21" t="n">
        <f aca="false">D1177</f>
        <v>16.603774145</v>
      </c>
      <c r="E1181" s="21" t="n">
        <f aca="false">$D$1178*E1176*E1179*E1180</f>
        <v>25.6506219681945</v>
      </c>
      <c r="F1181" s="21" t="n">
        <f aca="false">$D$1178*F1176*F1179*F1180</f>
        <v>27.7587799553558</v>
      </c>
      <c r="G1181" s="21" t="n">
        <f aca="false">$D$1178*G1176*G1179*G1180</f>
        <v>30.4864533727175</v>
      </c>
    </row>
    <row r="1182" customFormat="false" ht="17.15" hidden="false" customHeight="false" outlineLevel="0" collapsed="false">
      <c r="A1182" s="4" t="s">
        <v>554</v>
      </c>
      <c r="B1182" s="0" t="s">
        <v>239</v>
      </c>
      <c r="C1182" s="21" t="n">
        <f aca="false">a25_rev-C1181</f>
        <v>25.32686</v>
      </c>
      <c r="D1182" s="21" t="n">
        <f aca="false">a26_rev-D1181</f>
        <v>30.835580555</v>
      </c>
      <c r="E1182" s="21" t="n">
        <f aca="false">D1182*(1+GNLO27)</f>
        <v>32.0690037772</v>
      </c>
      <c r="F1182" s="21" t="n">
        <f aca="false">E1182*(1+GNLO28)</f>
        <v>32.0690037772</v>
      </c>
      <c r="G1182" s="21" t="n">
        <f aca="false">F1182*(1+GNLO29)</f>
        <v>32.0690037772</v>
      </c>
    </row>
    <row r="1183" customFormat="false" ht="15" hidden="false" customHeight="false" outlineLevel="0" collapsed="false">
      <c r="A1183" s="4" t="s">
        <v>414</v>
      </c>
      <c r="B1183" s="0" t="s">
        <v>239</v>
      </c>
      <c r="C1183" s="21" t="n">
        <f aca="false">C1181+C1182</f>
        <v>34.9336</v>
      </c>
      <c r="D1183" s="21" t="n">
        <f aca="false">D1181+D1182</f>
        <v>47.4393547</v>
      </c>
      <c r="E1183" s="21" t="n">
        <f aca="false">E1181+E1182</f>
        <v>57.7196257453945</v>
      </c>
      <c r="F1183" s="21" t="n">
        <f aca="false">F1181+F1182</f>
        <v>59.8277837325558</v>
      </c>
      <c r="G1183" s="21" t="n">
        <f aca="false">G1181+G1182</f>
        <v>62.5554571499175</v>
      </c>
    </row>
    <row r="1184" customFormat="false" ht="15" hidden="false" customHeight="false" outlineLevel="0" collapsed="false">
      <c r="A1184" s="4" t="s">
        <v>555</v>
      </c>
      <c r="B1184" s="0" t="s">
        <v>41</v>
      </c>
      <c r="D1184" s="14" t="n">
        <f aca="false">D1183/C1183-1</f>
        <v>0.357986428538713</v>
      </c>
      <c r="E1184" s="14" t="n">
        <f aca="false">E1183/D1183-1</f>
        <v>0.216703433476395</v>
      </c>
      <c r="F1184" s="14" t="n">
        <f aca="false">F1183/E1183-1</f>
        <v>0.0365241104725891</v>
      </c>
      <c r="G1184" s="14" t="n">
        <f aca="false">G1183/F1183-1</f>
        <v>0.0455920852685265</v>
      </c>
    </row>
    <row r="1185" customFormat="false" ht="17.15" hidden="false" customHeight="false" outlineLevel="0" collapsed="false">
      <c r="A1185" s="0" t="s">
        <v>556</v>
      </c>
      <c r="B1185" s="0" t="s">
        <v>41</v>
      </c>
      <c r="C1185" s="14" t="n">
        <f aca="false">C1181/C1183</f>
        <v>0.275</v>
      </c>
      <c r="D1185" s="14" t="n">
        <f aca="false">D1181/D1183</f>
        <v>0.35</v>
      </c>
      <c r="E1185" s="14" t="n">
        <f aca="false">E1181/E1183</f>
        <v>0.444400351473887</v>
      </c>
      <c r="F1185" s="14" t="n">
        <f aca="false">F1181/F1183</f>
        <v>0.463978075461462</v>
      </c>
      <c r="G1185" s="14" t="n">
        <f aca="false">G1181/G1183</f>
        <v>0.487350820563186</v>
      </c>
    </row>
    <row r="1186" customFormat="false" ht="17.15" hidden="false" customHeight="false" outlineLevel="0" collapsed="false">
      <c r="A1186" s="0" t="s">
        <v>502</v>
      </c>
      <c r="B1186" s="0" t="s">
        <v>41</v>
      </c>
      <c r="D1186" s="14" t="n">
        <f aca="false">D1174/D1176</f>
        <v>0.745425796250282</v>
      </c>
      <c r="E1186" s="14" t="n">
        <f aca="false">E1174/E1176</f>
        <v>0.735093928668663</v>
      </c>
      <c r="F1186" s="14" t="n">
        <f aca="false">F1174/F1176</f>
        <v>0.715990453460621</v>
      </c>
      <c r="G1186" s="14" t="n">
        <f aca="false">G1174/G1176</f>
        <v>0.71210686862312</v>
      </c>
    </row>
    <row r="1187" customFormat="false" ht="17.15" hidden="false" customHeight="false" outlineLevel="0" collapsed="false">
      <c r="A1187" s="4" t="s">
        <v>506</v>
      </c>
      <c r="B1187" s="0" t="s">
        <v>507</v>
      </c>
      <c r="D1187" s="22" t="n">
        <f aca="false">D1181/D1176/fx*1000</f>
        <v>46.8821271318048</v>
      </c>
      <c r="E1187" s="22" t="n">
        <f aca="false">E1181/E1176/fx*1000</f>
        <v>43.6472603597103</v>
      </c>
      <c r="F1187" s="22" t="n">
        <f aca="false">F1181/F1176/fx*1000</f>
        <v>41.40629468281</v>
      </c>
      <c r="G1187" s="22" t="n">
        <f aca="false">G1181/G1176/fx*1000</f>
        <v>40.0842186976931</v>
      </c>
      <c r="H1187" s="4" t="s">
        <v>557</v>
      </c>
    </row>
    <row r="1188" customFormat="false" ht="17.15" hidden="false" customHeight="false" outlineLevel="0" collapsed="false">
      <c r="A1188" s="6" t="s">
        <v>558</v>
      </c>
    </row>
    <row r="1189" customFormat="false" ht="17.15" hidden="false" customHeight="false" outlineLevel="0" collapsed="false">
      <c r="A1189" s="0" t="s">
        <v>559</v>
      </c>
      <c r="B1189" s="0" t="s">
        <v>131</v>
      </c>
      <c r="C1189" s="16" t="n">
        <f aca="false">(a25_capex-m_cx*a25_rev)/(a25_rev-rev24)</f>
        <v>3.57284271254522</v>
      </c>
      <c r="H1189" s="8" t="s">
        <v>560</v>
      </c>
    </row>
    <row r="1190" customFormat="false" ht="17.15" hidden="false" customHeight="false" outlineLevel="0" collapsed="false">
      <c r="A1190" s="4" t="s">
        <v>511</v>
      </c>
      <c r="B1190" s="0" t="s">
        <v>239</v>
      </c>
      <c r="C1190" s="21" t="n">
        <f aca="false">a25_capex</f>
        <v>32.3554</v>
      </c>
      <c r="D1190" s="21" t="n">
        <f aca="false">capex_26</f>
        <v>42</v>
      </c>
      <c r="E1190" s="21" t="n">
        <f aca="false">m_cx*E1183+$C$1189*MAX(0,E1183-D1183)</f>
        <v>42.501754062067</v>
      </c>
      <c r="F1190" s="21" t="n">
        <f aca="false">m_cx*F1183+$C$1189*MAX(0,F1183-E1183)</f>
        <v>13.5148952745788</v>
      </c>
      <c r="G1190" s="21" t="n">
        <f aca="false">m_cx*G1183+$C$1189*MAX(0,G1183-F1183)</f>
        <v>16.0010938064156</v>
      </c>
      <c r="H1190" s="8" t="s">
        <v>561</v>
      </c>
    </row>
    <row r="1191" customFormat="false" ht="17.15" hidden="false" customHeight="false" outlineLevel="0" collapsed="false">
      <c r="A1191" s="4" t="s">
        <v>562</v>
      </c>
      <c r="B1191" s="0" t="s">
        <v>41</v>
      </c>
      <c r="C1191" s="14" t="n">
        <f aca="false">C1190/C1183</f>
        <v>0.926197128266197</v>
      </c>
      <c r="D1191" s="14" t="n">
        <f aca="false">D1190/D1183</f>
        <v>0.885340879225746</v>
      </c>
      <c r="E1191" s="14" t="n">
        <f aca="false">E1190/E1183</f>
        <v>0.736348399928047</v>
      </c>
      <c r="F1191" s="14" t="n">
        <f aca="false">F1190/F1183</f>
        <v>0.225896639176767</v>
      </c>
      <c r="G1191" s="14" t="n">
        <f aca="false">G1190/G1183</f>
        <v>0.255790534278539</v>
      </c>
    </row>
    <row r="1192" customFormat="false" ht="15" hidden="false" customHeight="false" outlineLevel="0" collapsed="false">
      <c r="A1192" s="4" t="s">
        <v>563</v>
      </c>
      <c r="B1192" s="0" t="s">
        <v>239</v>
      </c>
      <c r="C1192" s="21" t="n">
        <f aca="false">a25_da</f>
        <v>7.5143841</v>
      </c>
      <c r="D1192" s="21" t="n">
        <f aca="false">a26_da</f>
        <v>11.32770694</v>
      </c>
      <c r="E1192" s="21" t="n">
        <f aca="false">D1192*(1-ret)+dr*(D1190+E1190)/2</f>
        <v>15.4089180664137</v>
      </c>
      <c r="F1192" s="21" t="n">
        <f aca="false">E1192*(1-ret)+dr*(E1190+F1190)/2</f>
        <v>17.7193878766085</v>
      </c>
      <c r="G1192" s="21" t="n">
        <f aca="false">F1192*(1-ret)+dr*(F1190+G1190)/2</f>
        <v>18.4567978822328</v>
      </c>
    </row>
    <row r="1193" customFormat="false" ht="17.15" hidden="false" customHeight="false" outlineLevel="0" collapsed="false">
      <c r="A1193" s="4" t="s">
        <v>515</v>
      </c>
      <c r="B1193" s="0" t="s">
        <v>41</v>
      </c>
      <c r="C1193" s="14" t="n">
        <f aca="false">C1192/C1183</f>
        <v>0.215104773055168</v>
      </c>
      <c r="D1193" s="14" t="n">
        <f aca="false">D1192/D1183</f>
        <v>0.238782905282647</v>
      </c>
      <c r="E1193" s="14" t="n">
        <f aca="false">E1192/E1183</f>
        <v>0.266961503430108</v>
      </c>
      <c r="F1193" s="14" t="n">
        <f aca="false">F1192/F1183</f>
        <v>0.296173228742992</v>
      </c>
      <c r="G1193" s="14" t="n">
        <f aca="false">G1192/G1183</f>
        <v>0.29504696669389</v>
      </c>
    </row>
    <row r="1194" customFormat="false" ht="17.15" hidden="false" customHeight="false" outlineLevel="0" collapsed="false">
      <c r="A1194" s="4" t="s">
        <v>564</v>
      </c>
      <c r="B1194" s="0" t="s">
        <v>239</v>
      </c>
      <c r="D1194" s="16" t="n">
        <f aca="false">C1192*(1-ret)+dr*(C1190+D1190)/2-D1192</f>
        <v>-0.0994950449999994</v>
      </c>
      <c r="H1194" s="4" t="s">
        <v>565</v>
      </c>
    </row>
    <row r="1195" customFormat="false" ht="17.15" hidden="false" customHeight="false" outlineLevel="0" collapsed="false">
      <c r="A1195" s="6" t="s">
        <v>566</v>
      </c>
    </row>
    <row r="1196" customFormat="false" ht="17.15" hidden="false" customHeight="false" outlineLevel="0" collapsed="false">
      <c r="A1196" s="4" t="s">
        <v>567</v>
      </c>
      <c r="B1196" s="0" t="s">
        <v>239</v>
      </c>
      <c r="D1196" s="21" t="n">
        <f aca="false">a26_cc-v_cc*a26_rev</f>
        <v>7.9821937335</v>
      </c>
      <c r="H1196" s="8" t="s">
        <v>568</v>
      </c>
    </row>
    <row r="1197" customFormat="false" ht="17.15" hidden="false" customHeight="false" outlineLevel="0" collapsed="false">
      <c r="A1197" s="4" t="s">
        <v>569</v>
      </c>
      <c r="B1197" s="0" t="s">
        <v>239</v>
      </c>
      <c r="C1197" s="21" t="n">
        <f aca="false">a25_cc</f>
        <v>14.8984</v>
      </c>
      <c r="D1197" s="21" t="n">
        <f aca="false">a26_cc</f>
        <v>17.4700646735</v>
      </c>
      <c r="E1197" s="21" t="n">
        <f aca="false">$D$1196+v_cc*(E1181/E1180+E1182)</f>
        <v>19.6308152987756</v>
      </c>
      <c r="F1197" s="21" t="n">
        <f aca="false">$D$1196+v_cc*(F1181/F1180+F1182)</f>
        <v>20.1790736463058</v>
      </c>
      <c r="G1197" s="21" t="n">
        <f aca="false">$D$1196+v_cc*(G1181/G1180+G1182)</f>
        <v>20.8141951989858</v>
      </c>
      <c r="H1197" s="4" t="s">
        <v>570</v>
      </c>
    </row>
    <row r="1198" customFormat="false" ht="15" hidden="false" customHeight="false" outlineLevel="0" collapsed="false">
      <c r="A1198" s="4" t="s">
        <v>571</v>
      </c>
      <c r="B1198" s="0" t="s">
        <v>239</v>
      </c>
      <c r="C1198" s="21" t="n">
        <f aca="false">C1183-C1197-C1192</f>
        <v>12.5208159</v>
      </c>
      <c r="D1198" s="21" t="n">
        <f aca="false">D1183-D1197-D1192</f>
        <v>18.6415830865</v>
      </c>
      <c r="E1198" s="21" t="n">
        <f aca="false">E1183-E1197-E1192</f>
        <v>22.6798923802052</v>
      </c>
      <c r="F1198" s="21" t="n">
        <f aca="false">F1183-F1197-F1192</f>
        <v>21.9293222096415</v>
      </c>
      <c r="G1198" s="21" t="n">
        <f aca="false">G1183-G1197-G1192</f>
        <v>23.2844640686989</v>
      </c>
    </row>
    <row r="1199" customFormat="false" ht="15" hidden="false" customHeight="false" outlineLevel="0" collapsed="false">
      <c r="A1199" s="4" t="s">
        <v>421</v>
      </c>
      <c r="B1199" s="0" t="s">
        <v>41</v>
      </c>
      <c r="C1199" s="14" t="n">
        <f aca="false">C1198/C1183</f>
        <v>0.358417566468958</v>
      </c>
      <c r="D1199" s="14" t="n">
        <f aca="false">D1198/D1183</f>
        <v>0.392956084760993</v>
      </c>
      <c r="E1199" s="14" t="n">
        <f aca="false">E1198/E1183</f>
        <v>0.392932076175405</v>
      </c>
      <c r="F1199" s="14" t="n">
        <f aca="false">F1198/F1183</f>
        <v>0.366540774896003</v>
      </c>
      <c r="G1199" s="14" t="n">
        <f aca="false">G1198/G1183</f>
        <v>0.372221147915144</v>
      </c>
    </row>
    <row r="1200" customFormat="false" ht="15" hidden="false" customHeight="false" outlineLevel="0" collapsed="false">
      <c r="A1200" s="4" t="s">
        <v>572</v>
      </c>
      <c r="B1200" s="0" t="s">
        <v>239</v>
      </c>
      <c r="C1200" s="21" t="n">
        <f aca="false">a25_opx</f>
        <v>3.5197</v>
      </c>
      <c r="D1200" s="21" t="n">
        <f aca="false">a26_opx</f>
        <v>6.1141318375</v>
      </c>
      <c r="E1200" s="21" t="n">
        <f aca="false">D1200*(1+MAX(0,phi*E1184))</f>
        <v>6.90910385464815</v>
      </c>
      <c r="F1200" s="21" t="n">
        <f aca="false">E1200*(1+MAX(0,phi*F1184))</f>
        <v>7.06051317812041</v>
      </c>
      <c r="G1200" s="21" t="n">
        <f aca="false">F1200*(1+MAX(0,phi*G1184))</f>
        <v>7.25365528943426</v>
      </c>
    </row>
    <row r="1201" customFormat="false" ht="15" hidden="false" customHeight="false" outlineLevel="0" collapsed="false">
      <c r="A1201" s="4" t="s">
        <v>573</v>
      </c>
      <c r="B1201" s="0" t="s">
        <v>239</v>
      </c>
      <c r="C1201" s="21" t="n">
        <f aca="false">C1200</f>
        <v>3.5197</v>
      </c>
      <c r="D1201" s="21" t="n">
        <f aca="false">D1200</f>
        <v>6.1141318375</v>
      </c>
      <c r="E1201" s="21" t="n">
        <f aca="false">E1200+0*E1183</f>
        <v>6.90910385464815</v>
      </c>
      <c r="F1201" s="21" t="n">
        <f aca="false">F1200+0*F1183</f>
        <v>7.06051317812041</v>
      </c>
      <c r="G1201" s="21" t="n">
        <f aca="false">G1200+0*G1183</f>
        <v>7.25365528943426</v>
      </c>
    </row>
    <row r="1202" customFormat="false" ht="15" hidden="false" customHeight="false" outlineLevel="0" collapsed="false">
      <c r="A1202" s="4" t="s">
        <v>430</v>
      </c>
      <c r="B1202" s="0" t="s">
        <v>239</v>
      </c>
      <c r="C1202" s="21" t="n">
        <f aca="false">C1198-C1201</f>
        <v>9.0011159</v>
      </c>
      <c r="D1202" s="21" t="n">
        <f aca="false">D1198-D1201</f>
        <v>12.527451249</v>
      </c>
      <c r="E1202" s="21" t="n">
        <f aca="false">E1198-E1201</f>
        <v>15.7707885255571</v>
      </c>
      <c r="F1202" s="21" t="n">
        <f aca="false">F1198-F1201</f>
        <v>14.8688090315211</v>
      </c>
      <c r="G1202" s="21" t="n">
        <f aca="false">G1198-G1201</f>
        <v>16.0308087792646</v>
      </c>
    </row>
    <row r="1203" customFormat="false" ht="15" hidden="false" customHeight="false" outlineLevel="0" collapsed="false">
      <c r="A1203" s="4" t="s">
        <v>432</v>
      </c>
      <c r="B1203" s="0" t="s">
        <v>41</v>
      </c>
      <c r="C1203" s="14" t="n">
        <f aca="false">C1202/C1183</f>
        <v>0.25766356459111</v>
      </c>
      <c r="D1203" s="14" t="n">
        <f aca="false">D1202/D1183</f>
        <v>0.264072969124936</v>
      </c>
      <c r="E1203" s="14" t="n">
        <f aca="false">E1202/E1183</f>
        <v>0.273230956055106</v>
      </c>
      <c r="F1203" s="14" t="n">
        <f aca="false">F1202/F1183</f>
        <v>0.248526823222939</v>
      </c>
      <c r="G1203" s="14" t="n">
        <f aca="false">G1202/G1183</f>
        <v>0.256265552353745</v>
      </c>
    </row>
    <row r="1204" customFormat="false" ht="17.15" hidden="false" customHeight="false" outlineLevel="0" collapsed="false">
      <c r="A1204" s="0" t="s">
        <v>574</v>
      </c>
      <c r="B1204" s="0" t="s">
        <v>239</v>
      </c>
      <c r="C1204" s="21" t="n">
        <f aca="false">C1202+C1192</f>
        <v>16.5155</v>
      </c>
      <c r="D1204" s="21" t="n">
        <f aca="false">D1202+D1192</f>
        <v>23.855158189</v>
      </c>
      <c r="E1204" s="21" t="n">
        <f aca="false">E1202+E1192</f>
        <v>31.1797065919708</v>
      </c>
      <c r="F1204" s="21" t="n">
        <f aca="false">F1202+F1192</f>
        <v>32.5881969081296</v>
      </c>
      <c r="G1204" s="21" t="n">
        <f aca="false">G1202+G1192</f>
        <v>34.4876066614974</v>
      </c>
    </row>
    <row r="1205" customFormat="false" ht="17.15" hidden="false" customHeight="false" outlineLevel="0" collapsed="false">
      <c r="A1205" s="0" t="s">
        <v>575</v>
      </c>
      <c r="B1205" s="0" t="s">
        <v>239</v>
      </c>
      <c r="C1205" s="21" t="n">
        <f aca="false">C1204-C1190</f>
        <v>-15.8399</v>
      </c>
      <c r="D1205" s="21" t="n">
        <f aca="false">D1204-D1190</f>
        <v>-18.144841811</v>
      </c>
      <c r="E1205" s="21" t="n">
        <f aca="false">E1204-E1190</f>
        <v>-11.3220474700962</v>
      </c>
      <c r="F1205" s="21" t="n">
        <f aca="false">F1204-F1190</f>
        <v>19.0733016335508</v>
      </c>
      <c r="G1205" s="21" t="n">
        <f aca="false">G1204-G1190</f>
        <v>18.4865128550818</v>
      </c>
    </row>
    <row r="1206" customFormat="false" ht="17.15" hidden="false" customHeight="false" outlineLevel="0" collapsed="false">
      <c r="A1206" s="4" t="s">
        <v>433</v>
      </c>
      <c r="B1206" s="0" t="s">
        <v>239</v>
      </c>
      <c r="C1206" s="21" t="n">
        <f aca="false">a25_ni</f>
        <v>11.015</v>
      </c>
      <c r="D1206" s="21" t="n">
        <f aca="false">a26_ni</f>
        <v>10.66608446065</v>
      </c>
      <c r="E1206" s="21" t="n">
        <f aca="false">E1202*nir_f</f>
        <v>13.2474623614679</v>
      </c>
      <c r="F1206" s="21" t="n">
        <f aca="false">F1202*nir_f</f>
        <v>12.4897995864777</v>
      </c>
      <c r="G1206" s="21" t="n">
        <f aca="false">G1202*nir_f</f>
        <v>13.4658793745823</v>
      </c>
      <c r="H1206" s="8" t="s">
        <v>438</v>
      </c>
    </row>
    <row r="1207" customFormat="false" ht="17.15" hidden="false" customHeight="false" outlineLevel="0" collapsed="false">
      <c r="A1207" s="4" t="s">
        <v>437</v>
      </c>
      <c r="B1207" s="0" t="s">
        <v>41</v>
      </c>
      <c r="C1207" s="14" t="n">
        <f aca="false">C1206/C1202</f>
        <v>1.22373715907824</v>
      </c>
      <c r="D1207" s="14" t="n">
        <f aca="false">D1206/D1202</f>
        <v>0.851416960133963</v>
      </c>
      <c r="E1207" s="14" t="n">
        <f aca="false">E1206/E1202</f>
        <v>0.84</v>
      </c>
      <c r="F1207" s="14" t="n">
        <f aca="false">F1206/F1202</f>
        <v>0.84</v>
      </c>
      <c r="G1207" s="14" t="n">
        <f aca="false">G1206/G1202</f>
        <v>0.84</v>
      </c>
    </row>
    <row r="1208" customFormat="false" ht="15" hidden="false" customHeight="false" outlineLevel="0" collapsed="false">
      <c r="A1208" s="4" t="s">
        <v>576</v>
      </c>
      <c r="B1208" s="4" t="s">
        <v>294</v>
      </c>
      <c r="C1208" s="27" t="n">
        <f aca="false">a25_sh</f>
        <v>1.22253052164262</v>
      </c>
      <c r="D1208" s="27" t="n">
        <f aca="false">a26_sh</f>
        <v>1.28264705882353</v>
      </c>
      <c r="E1208" s="27" t="n">
        <f aca="false">D1208*(1+sh_g)</f>
        <v>1.28264705882353</v>
      </c>
      <c r="F1208" s="27" t="n">
        <f aca="false">E1208*(1+sh_g)</f>
        <v>1.28264705882353</v>
      </c>
      <c r="G1208" s="27" t="n">
        <f aca="false">F1208*(1+sh_g)</f>
        <v>1.28264705882353</v>
      </c>
    </row>
    <row r="1209" customFormat="false" ht="15" hidden="false" customHeight="false" outlineLevel="0" collapsed="false">
      <c r="A1209" s="0" t="s">
        <v>442</v>
      </c>
      <c r="B1209" s="0" t="s">
        <v>315</v>
      </c>
      <c r="C1209" s="21" t="n">
        <f aca="false">C1206/C1208</f>
        <v>9.01</v>
      </c>
      <c r="D1209" s="21" t="n">
        <f aca="false">D1206/D1208</f>
        <v>8.31568153318276</v>
      </c>
      <c r="E1209" s="21" t="n">
        <f aca="false">E1206/E1208</f>
        <v>10.3282210568656</v>
      </c>
      <c r="F1209" s="21" t="n">
        <f aca="false">F1206/F1208</f>
        <v>9.73751859528188</v>
      </c>
      <c r="G1209" s="21" t="n">
        <f aca="false">G1206/G1208</f>
        <v>10.4985071941252</v>
      </c>
    </row>
    <row r="1210" customFormat="false" ht="17.15" hidden="false" customHeight="false" outlineLevel="0" collapsed="false">
      <c r="A1210" s="0" t="s">
        <v>577</v>
      </c>
      <c r="B1210" s="0" t="s">
        <v>41</v>
      </c>
      <c r="D1210" s="14" t="n">
        <f aca="false">D1209/C1209-1</f>
        <v>-0.0770608731206708</v>
      </c>
      <c r="E1210" s="14" t="n">
        <f aca="false">E1209/D1209-1</f>
        <v>0.242017387949752</v>
      </c>
      <c r="F1210" s="14" t="n">
        <f aca="false">F1209/E1209-1</f>
        <v>-0.0571930498322442</v>
      </c>
      <c r="G1210" s="14" t="n">
        <f aca="false">G1209/F1209-1</f>
        <v>0.0781501561611395</v>
      </c>
      <c r="H1210" s="8" t="s">
        <v>578</v>
      </c>
    </row>
    <row r="1213" customFormat="false" ht="17.15" hidden="false" customHeight="false" outlineLevel="0" collapsed="false">
      <c r="A1213" s="1" t="s">
        <v>886</v>
      </c>
    </row>
    <row r="1214" customFormat="false" ht="17.15" hidden="false" customHeight="false" outlineLevel="0" collapsed="false">
      <c r="A1214" s="5" t="s">
        <v>17</v>
      </c>
      <c r="B1214" s="5" t="s">
        <v>18</v>
      </c>
      <c r="C1214" s="12" t="s">
        <v>409</v>
      </c>
      <c r="D1214" s="12" t="s">
        <v>520</v>
      </c>
      <c r="E1214" s="12" t="s">
        <v>521</v>
      </c>
      <c r="F1214" s="12" t="s">
        <v>522</v>
      </c>
      <c r="G1214" s="12" t="s">
        <v>523</v>
      </c>
      <c r="H1214" s="5" t="s">
        <v>488</v>
      </c>
    </row>
    <row r="1215" customFormat="false" ht="17.15" hidden="false" customHeight="false" outlineLevel="0" collapsed="false">
      <c r="A1215" s="6" t="s">
        <v>543</v>
      </c>
    </row>
    <row r="1216" customFormat="false" ht="17.15" hidden="false" customHeight="false" outlineLevel="0" collapsed="false">
      <c r="A1216" s="0" t="s">
        <v>491</v>
      </c>
      <c r="B1216" s="4" t="s">
        <v>28</v>
      </c>
      <c r="D1216" s="16" t="n">
        <f aca="false">u_bw_26*tt_bw</f>
        <v>5.4</v>
      </c>
      <c r="E1216" s="16" t="n">
        <f aca="false">u_bw_27*1*tt_bw</f>
        <v>2.4</v>
      </c>
      <c r="F1216" s="16" t="n">
        <f aca="false">u_bw_28*um28_A*1*tt_bw</f>
        <v>0.5</v>
      </c>
      <c r="G1216" s="16" t="n">
        <f aca="false">u_bw_28*(1+g29_bw)*um29_A*1*tt_bw</f>
        <v>0.25</v>
      </c>
    </row>
    <row r="1217" customFormat="false" ht="17.15" hidden="false" customHeight="false" outlineLevel="0" collapsed="false">
      <c r="A1217" s="0" t="s">
        <v>493</v>
      </c>
      <c r="B1217" s="4" t="s">
        <v>28</v>
      </c>
      <c r="D1217" s="16" t="n">
        <f aca="false">u_rb_26*tt_rb</f>
        <v>2.55</v>
      </c>
      <c r="E1217" s="16" t="n">
        <f aca="false">u_rb_27*1*tt_rb</f>
        <v>10.5</v>
      </c>
      <c r="F1217" s="16" t="n">
        <f aca="false">u_rb_28*um28_A*1*tt_rb</f>
        <v>10.5</v>
      </c>
      <c r="G1217" s="16" t="n">
        <f aca="false">u_rb_28*(1+g29_rb)*um29_A*1*tt_rb</f>
        <v>12.075</v>
      </c>
    </row>
    <row r="1218" customFormat="false" ht="17.15" hidden="false" customHeight="false" outlineLevel="0" collapsed="false">
      <c r="A1218" s="0" t="s">
        <v>494</v>
      </c>
      <c r="B1218" s="4" t="s">
        <v>28</v>
      </c>
      <c r="D1218" s="16" t="n">
        <f aca="false">u_ru_26*tt_ru</f>
        <v>0</v>
      </c>
      <c r="E1218" s="16" t="n">
        <f aca="false">u_ru_27*1*tt_ru</f>
        <v>0.6</v>
      </c>
      <c r="F1218" s="16" t="n">
        <f aca="false">u_ru_28*um28_A*1*tt_ru</f>
        <v>4</v>
      </c>
      <c r="G1218" s="16" t="n">
        <f aca="false">u_ru_28*(1+g29_ru)*um29_A*1*tt_ru</f>
        <v>4.6</v>
      </c>
    </row>
    <row r="1219" customFormat="false" ht="17.15" hidden="false" customHeight="false" outlineLevel="0" collapsed="false">
      <c r="A1219" s="0" t="s">
        <v>495</v>
      </c>
      <c r="B1219" s="4" t="s">
        <v>28</v>
      </c>
      <c r="D1219" s="16" t="n">
        <f aca="false">u_hp_26*tt_hp</f>
        <v>0.3</v>
      </c>
      <c r="E1219" s="16" t="n">
        <f aca="false">u_hp_27*1*tt_hp</f>
        <v>0</v>
      </c>
      <c r="F1219" s="16" t="n">
        <f aca="false">u_hp_28*um28_A*1*tt_hp</f>
        <v>0</v>
      </c>
      <c r="G1219" s="16" t="n">
        <f aca="false">u_hp_28*(1+g29_hp)*um29_A*1*tt_hp</f>
        <v>0</v>
      </c>
    </row>
    <row r="1220" customFormat="false" ht="17.15" hidden="false" customHeight="false" outlineLevel="0" collapsed="false">
      <c r="A1220" s="0" t="s">
        <v>496</v>
      </c>
      <c r="B1220" s="4" t="s">
        <v>28</v>
      </c>
      <c r="D1220" s="16" t="n">
        <f aca="false">u_amd_26*tt_amd*ex_amd</f>
        <v>0.165</v>
      </c>
      <c r="E1220" s="16" t="n">
        <f aca="false">u_amd_27*1*tt_amd*ex_amd</f>
        <v>0.33</v>
      </c>
      <c r="F1220" s="16" t="n">
        <f aca="false">u_amd_28*um28_A*1*tt_amd*ex_amd</f>
        <v>0.44</v>
      </c>
      <c r="G1220" s="16" t="n">
        <f aca="false">u_amd_28*(1+g29_amd)*um29_A*1*tt_amd*ex_amd</f>
        <v>0.506</v>
      </c>
    </row>
    <row r="1221" customFormat="false" ht="17.15" hidden="false" customHeight="false" outlineLevel="0" collapsed="false">
      <c r="A1221" s="0" t="s">
        <v>498</v>
      </c>
      <c r="B1221" s="4" t="s">
        <v>28</v>
      </c>
      <c r="D1221" s="16" t="n">
        <f aca="false">u_tpu_26*tt_tpu*ex_tpu</f>
        <v>1.7325</v>
      </c>
      <c r="E1221" s="16" t="n">
        <f aca="false">u_tpu_27*1*tt_tpu*ex_tpu</f>
        <v>2.475</v>
      </c>
      <c r="F1221" s="16" t="n">
        <f aca="false">u_tpu_28*um28_A*1*tt_tpu*ex_tpu</f>
        <v>3.15</v>
      </c>
      <c r="G1221" s="16" t="n">
        <f aca="false">u_tpu_28*(1+g29_tpu)*um29_A*1*tt_tpu*ex_tpu</f>
        <v>3.6225</v>
      </c>
    </row>
    <row r="1222" customFormat="false" ht="17.15" hidden="false" customHeight="false" outlineLevel="0" collapsed="false">
      <c r="A1222" s="0" t="s">
        <v>499</v>
      </c>
      <c r="B1222" s="4" t="s">
        <v>28</v>
      </c>
      <c r="D1222" s="16" t="n">
        <f aca="false">u_trn_26*tt_trn*ex_trn</f>
        <v>0.64</v>
      </c>
      <c r="E1222" s="16" t="n">
        <f aca="false">u_trn_27*1*tt_trn*ex_trn</f>
        <v>0.8</v>
      </c>
      <c r="F1222" s="16" t="n">
        <f aca="false">u_trn_28*um28_A*1*tt_trn*ex_trn</f>
        <v>0.96</v>
      </c>
      <c r="G1222" s="16" t="n">
        <f aca="false">u_trn_28*(1+g29_trn)*um29_A*1*tt_trn*ex_trn</f>
        <v>1.104</v>
      </c>
    </row>
    <row r="1223" customFormat="false" ht="17.15" hidden="false" customHeight="false" outlineLevel="0" collapsed="false">
      <c r="A1223" s="4" t="s">
        <v>500</v>
      </c>
      <c r="B1223" s="4" t="s">
        <v>28</v>
      </c>
      <c r="D1223" s="16" t="n">
        <f aca="false">u_oth_26*tt_oth*ex_oth</f>
        <v>0.28</v>
      </c>
      <c r="E1223" s="16" t="n">
        <f aca="false">u_oth_27*1*tt_oth*ex_oth</f>
        <v>1.26</v>
      </c>
      <c r="F1223" s="16" t="n">
        <f aca="false">u_oth_28*um28_A*1*tt_oth*ex_oth</f>
        <v>1.4</v>
      </c>
      <c r="G1223" s="16" t="n">
        <f aca="false">u_oth_28*(1+g29_oth)*um29_A*1*tt_oth*ex_oth</f>
        <v>1.61</v>
      </c>
    </row>
    <row r="1224" customFormat="false" ht="15" hidden="false" customHeight="false" outlineLevel="0" collapsed="false">
      <c r="A1224" s="4" t="s">
        <v>489</v>
      </c>
      <c r="B1224" s="4" t="s">
        <v>28</v>
      </c>
      <c r="D1224" s="16" t="n">
        <f aca="false">u_bw_26+u_rb_26+u_ru_26+u_hp_26+u_amd_26+u_tpu_26+u_trn_26+u_oth_26</f>
        <v>15.2</v>
      </c>
      <c r="E1224" s="16" t="n">
        <f aca="false">u_bw_27*1+u_rb_27*1+u_ru_27*1+u_hp_27*1+u_amd_27*1+u_tpu_27*1+u_trn_27*1+u_oth_27*1</f>
        <v>23.7</v>
      </c>
      <c r="F1224" s="16" t="n">
        <f aca="false">u_bw_28*um28_A*1+u_rb_28*um28_A*1+u_ru_28*um28_A*1+u_hp_28*um28_A*1+u_amd_28*um28_A*1+u_tpu_28*um28_A*1+u_trn_28*um28_A*1+u_oth_28*um28_A*1</f>
        <v>26.5</v>
      </c>
      <c r="G122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225" customFormat="false" ht="17.15" hidden="false" customHeight="false" outlineLevel="0" collapsed="false">
      <c r="A1225" s="0" t="s">
        <v>544</v>
      </c>
      <c r="B1225" s="4" t="s">
        <v>28</v>
      </c>
      <c r="D1225" s="16" t="n">
        <f aca="false">D1216+D1217+D1218+D1219</f>
        <v>8.25</v>
      </c>
      <c r="E1225" s="16" t="n">
        <f aca="false">E1216+E1217+E1218+E1219</f>
        <v>13.5</v>
      </c>
      <c r="F1225" s="16" t="n">
        <f aca="false">F1216+F1217+F1218+F1219</f>
        <v>15</v>
      </c>
      <c r="G1225" s="16" t="n">
        <f aca="false">G1216+G1217+G1218+G1219</f>
        <v>16.925</v>
      </c>
    </row>
    <row r="1226" customFormat="false" ht="17.15" hidden="false" customHeight="false" outlineLevel="0" collapsed="false">
      <c r="A1226" s="0" t="s">
        <v>545</v>
      </c>
      <c r="B1226" s="4" t="s">
        <v>28</v>
      </c>
      <c r="D1226" s="16" t="n">
        <f aca="false">D1220+D1221+D1222+D1223</f>
        <v>2.8175</v>
      </c>
      <c r="E1226" s="16" t="n">
        <f aca="false">E1220+E1221+E1222+E1223</f>
        <v>4.865</v>
      </c>
      <c r="F1226" s="16" t="n">
        <f aca="false">F1220+F1221+F1222+F1223</f>
        <v>5.95</v>
      </c>
      <c r="G1226" s="16" t="n">
        <f aca="false">G1220+G1221+G1222+G1223</f>
        <v>6.8425</v>
      </c>
    </row>
    <row r="1227" customFormat="false" ht="15" hidden="false" customHeight="false" outlineLevel="0" collapsed="false">
      <c r="A1227" s="4" t="s">
        <v>546</v>
      </c>
      <c r="B1227" s="4" t="s">
        <v>28</v>
      </c>
      <c r="D1227" s="16" t="n">
        <f aca="false">D1225+D1226</f>
        <v>11.0675</v>
      </c>
      <c r="E1227" s="16" t="n">
        <f aca="false">E1225+E1226</f>
        <v>18.365</v>
      </c>
      <c r="F1227" s="16" t="n">
        <f aca="false">F1225+F1226</f>
        <v>20.95</v>
      </c>
      <c r="G1227" s="16" t="n">
        <f aca="false">G1225+G1226</f>
        <v>23.7675</v>
      </c>
    </row>
    <row r="1228" customFormat="false" ht="17.15" hidden="false" customHeight="false" outlineLevel="0" collapsed="false">
      <c r="A1228" s="0" t="s">
        <v>547</v>
      </c>
      <c r="B1228" s="0" t="s">
        <v>239</v>
      </c>
      <c r="D1228" s="21" t="n">
        <f aca="false">a26_rev*ai_26</f>
        <v>16.603774145</v>
      </c>
    </row>
    <row r="1229" customFormat="false" ht="17.15" hidden="false" customHeight="false" outlineLevel="0" collapsed="false">
      <c r="A1229" s="4" t="s">
        <v>548</v>
      </c>
      <c r="B1229" s="0" t="s">
        <v>549</v>
      </c>
      <c r="D1229" s="27" t="n">
        <f aca="false">D1228/D1227</f>
        <v>1.50022806821775</v>
      </c>
      <c r="H1229" s="8" t="s">
        <v>550</v>
      </c>
    </row>
    <row r="1230" customFormat="false" ht="17.15" hidden="false" customHeight="false" outlineLevel="0" collapsed="false">
      <c r="A1230" s="4" t="s">
        <v>551</v>
      </c>
      <c r="B1230" s="0" t="s">
        <v>131</v>
      </c>
      <c r="D1230" s="16" t="n">
        <f aca="false">1</f>
        <v>1</v>
      </c>
      <c r="E1230" s="16" t="n">
        <f aca="false">rel_27</f>
        <v>0.95</v>
      </c>
      <c r="F1230" s="16" t="n">
        <f aca="false">rel_28</f>
        <v>0.92</v>
      </c>
      <c r="G1230" s="16" t="n">
        <f aca="false">rel_29</f>
        <v>0.9</v>
      </c>
    </row>
    <row r="1231" customFormat="false" ht="17.15" hidden="false" customHeight="false" outlineLevel="0" collapsed="false">
      <c r="A1231" s="4" t="s">
        <v>552</v>
      </c>
      <c r="B1231" s="0" t="s">
        <v>131</v>
      </c>
      <c r="D1231" s="16" t="n">
        <f aca="false">1</f>
        <v>1</v>
      </c>
      <c r="E1231" s="16" t="n">
        <f aca="false">pp_27</f>
        <v>0.98</v>
      </c>
      <c r="F1231" s="16" t="n">
        <f aca="false">pp_28</f>
        <v>0.96</v>
      </c>
      <c r="G1231" s="16" t="n">
        <f aca="false">pp_29</f>
        <v>0.95</v>
      </c>
    </row>
    <row r="1232" customFormat="false" ht="17.15" hidden="false" customHeight="false" outlineLevel="0" collapsed="false">
      <c r="A1232" s="0" t="s">
        <v>553</v>
      </c>
      <c r="B1232" s="0" t="s">
        <v>239</v>
      </c>
      <c r="C1232" s="21" t="n">
        <f aca="false">a25_rev*ai_25</f>
        <v>9.60674</v>
      </c>
      <c r="D1232" s="21" t="n">
        <f aca="false">D1228</f>
        <v>16.603774145</v>
      </c>
      <c r="E1232" s="21" t="n">
        <f aca="false">$D$1229*E1227*E1230*E1231</f>
        <v>25.6506219681945</v>
      </c>
      <c r="F1232" s="21" t="n">
        <f aca="false">$D$1229*F1227*F1230*F1231</f>
        <v>27.7587799553558</v>
      </c>
      <c r="G1232" s="21" t="n">
        <f aca="false">$D$1229*G1227*G1230*G1231</f>
        <v>30.4864533727175</v>
      </c>
    </row>
    <row r="1233" customFormat="false" ht="17.15" hidden="false" customHeight="false" outlineLevel="0" collapsed="false">
      <c r="A1233" s="4" t="s">
        <v>554</v>
      </c>
      <c r="B1233" s="0" t="s">
        <v>239</v>
      </c>
      <c r="C1233" s="21" t="n">
        <f aca="false">a25_rev-C1232</f>
        <v>25.32686</v>
      </c>
      <c r="D1233" s="21" t="n">
        <f aca="false">a26_rev-D1232</f>
        <v>30.835580555</v>
      </c>
      <c r="E1233" s="21" t="n">
        <f aca="false">D1233*(1+GNHI27)</f>
        <v>37.002696666</v>
      </c>
      <c r="F1233" s="21" t="n">
        <f aca="false">E1233*(1+GNHI28)</f>
        <v>41.44302026592</v>
      </c>
      <c r="G1233" s="21" t="n">
        <f aca="false">F1233*(1+GNHI29)</f>
        <v>45.587322292512</v>
      </c>
    </row>
    <row r="1234" customFormat="false" ht="15" hidden="false" customHeight="false" outlineLevel="0" collapsed="false">
      <c r="A1234" s="4" t="s">
        <v>414</v>
      </c>
      <c r="B1234" s="0" t="s">
        <v>239</v>
      </c>
      <c r="C1234" s="21" t="n">
        <f aca="false">C1232+C1233</f>
        <v>34.9336</v>
      </c>
      <c r="D1234" s="21" t="n">
        <f aca="false">D1232+D1233</f>
        <v>47.4393547</v>
      </c>
      <c r="E1234" s="21" t="n">
        <f aca="false">E1232+E1233</f>
        <v>62.6533186341945</v>
      </c>
      <c r="F1234" s="21" t="n">
        <f aca="false">F1232+F1233</f>
        <v>69.2018002212758</v>
      </c>
      <c r="G1234" s="21" t="n">
        <f aca="false">G1232+G1233</f>
        <v>76.0737756652295</v>
      </c>
    </row>
    <row r="1235" customFormat="false" ht="15" hidden="false" customHeight="false" outlineLevel="0" collapsed="false">
      <c r="A1235" s="4" t="s">
        <v>555</v>
      </c>
      <c r="B1235" s="0" t="s">
        <v>41</v>
      </c>
      <c r="D1235" s="14" t="n">
        <f aca="false">D1234/C1234-1</f>
        <v>0.357986428538713</v>
      </c>
      <c r="E1235" s="14" t="n">
        <f aca="false">E1234/D1234-1</f>
        <v>0.320703433476395</v>
      </c>
      <c r="F1235" s="14" t="n">
        <f aca="false">F1234/E1234-1</f>
        <v>0.104519309269395</v>
      </c>
      <c r="G1235" s="14" t="n">
        <f aca="false">G1234/F1234-1</f>
        <v>0.0993034201708654</v>
      </c>
    </row>
    <row r="1236" customFormat="false" ht="17.15" hidden="false" customHeight="false" outlineLevel="0" collapsed="false">
      <c r="A1236" s="0" t="s">
        <v>556</v>
      </c>
      <c r="B1236" s="0" t="s">
        <v>41</v>
      </c>
      <c r="C1236" s="14" t="n">
        <f aca="false">C1232/C1234</f>
        <v>0.275</v>
      </c>
      <c r="D1236" s="14" t="n">
        <f aca="false">D1232/D1234</f>
        <v>0.35</v>
      </c>
      <c r="E1236" s="14" t="n">
        <f aca="false">E1232/E1234</f>
        <v>0.409405639275987</v>
      </c>
      <c r="F1236" s="14" t="n">
        <f aca="false">F1232/F1234</f>
        <v>0.401128003413147</v>
      </c>
      <c r="G1236" s="14" t="n">
        <f aca="false">G1232/G1234</f>
        <v>0.40074852478568</v>
      </c>
    </row>
    <row r="1237" customFormat="false" ht="17.15" hidden="false" customHeight="false" outlineLevel="0" collapsed="false">
      <c r="A1237" s="0" t="s">
        <v>502</v>
      </c>
      <c r="B1237" s="0" t="s">
        <v>41</v>
      </c>
      <c r="D1237" s="14" t="n">
        <f aca="false">D1225/D1227</f>
        <v>0.745425796250282</v>
      </c>
      <c r="E1237" s="14" t="n">
        <f aca="false">E1225/E1227</f>
        <v>0.735093928668663</v>
      </c>
      <c r="F1237" s="14" t="n">
        <f aca="false">F1225/F1227</f>
        <v>0.715990453460621</v>
      </c>
      <c r="G1237" s="14" t="n">
        <f aca="false">G1225/G1227</f>
        <v>0.71210686862312</v>
      </c>
    </row>
    <row r="1238" customFormat="false" ht="17.15" hidden="false" customHeight="false" outlineLevel="0" collapsed="false">
      <c r="A1238" s="4" t="s">
        <v>506</v>
      </c>
      <c r="B1238" s="0" t="s">
        <v>507</v>
      </c>
      <c r="D1238" s="22" t="n">
        <f aca="false">D1232/D1227/fx*1000</f>
        <v>46.8821271318048</v>
      </c>
      <c r="E1238" s="22" t="n">
        <f aca="false">E1232/E1227/fx*1000</f>
        <v>43.6472603597103</v>
      </c>
      <c r="F1238" s="22" t="n">
        <f aca="false">F1232/F1227/fx*1000</f>
        <v>41.40629468281</v>
      </c>
      <c r="G1238" s="22" t="n">
        <f aca="false">G1232/G1227/fx*1000</f>
        <v>40.0842186976931</v>
      </c>
      <c r="H1238" s="4" t="s">
        <v>557</v>
      </c>
    </row>
    <row r="1239" customFormat="false" ht="17.15" hidden="false" customHeight="false" outlineLevel="0" collapsed="false">
      <c r="A1239" s="6" t="s">
        <v>558</v>
      </c>
    </row>
    <row r="1240" customFormat="false" ht="17.15" hidden="false" customHeight="false" outlineLevel="0" collapsed="false">
      <c r="A1240" s="0" t="s">
        <v>559</v>
      </c>
      <c r="B1240" s="0" t="s">
        <v>131</v>
      </c>
      <c r="C1240" s="16" t="n">
        <f aca="false">(a25_capex-m_cx*a25_rev)/(a25_rev-rev24)</f>
        <v>3.57284271254522</v>
      </c>
      <c r="H1240" s="8" t="s">
        <v>560</v>
      </c>
    </row>
    <row r="1241" customFormat="false" ht="17.15" hidden="false" customHeight="false" outlineLevel="0" collapsed="false">
      <c r="A1241" s="4" t="s">
        <v>511</v>
      </c>
      <c r="B1241" s="0" t="s">
        <v>239</v>
      </c>
      <c r="C1241" s="21" t="n">
        <f aca="false">a25_capex</f>
        <v>32.3554</v>
      </c>
      <c r="D1241" s="21" t="n">
        <f aca="false">capex_26</f>
        <v>42</v>
      </c>
      <c r="E1241" s="21" t="n">
        <f aca="false">m_cx*E1234+$C$1240*MAX(0,E1234-D1234)</f>
        <v>60.6224320346322</v>
      </c>
      <c r="F1241" s="21" t="n">
        <f aca="false">m_cx*F1234+$C$1240*MAX(0,F1234-E1234)</f>
        <v>30.3168747387675</v>
      </c>
      <c r="G1241" s="21" t="n">
        <f aca="false">m_cx*G1234+$C$1240*MAX(0,G1234-F1234)</f>
        <v>32.1598649522424</v>
      </c>
      <c r="H1241" s="8" t="s">
        <v>561</v>
      </c>
    </row>
    <row r="1242" customFormat="false" ht="17.15" hidden="false" customHeight="false" outlineLevel="0" collapsed="false">
      <c r="A1242" s="4" t="s">
        <v>562</v>
      </c>
      <c r="B1242" s="0" t="s">
        <v>41</v>
      </c>
      <c r="C1242" s="14" t="n">
        <f aca="false">C1241/C1234</f>
        <v>0.926197128266197</v>
      </c>
      <c r="D1242" s="14" t="n">
        <f aca="false">D1241/D1234</f>
        <v>0.885340879225746</v>
      </c>
      <c r="E1242" s="14" t="n">
        <f aca="false">E1241/E1234</f>
        <v>0.967585330772025</v>
      </c>
      <c r="F1242" s="14" t="n">
        <f aca="false">F1241/F1234</f>
        <v>0.438093729380276</v>
      </c>
      <c r="G1242" s="14" t="n">
        <f aca="false">G1241/G1234</f>
        <v>0.422745744785499</v>
      </c>
    </row>
    <row r="1243" customFormat="false" ht="15" hidden="false" customHeight="false" outlineLevel="0" collapsed="false">
      <c r="A1243" s="4" t="s">
        <v>563</v>
      </c>
      <c r="B1243" s="0" t="s">
        <v>239</v>
      </c>
      <c r="C1243" s="21" t="n">
        <f aca="false">a25_da</f>
        <v>7.5143841</v>
      </c>
      <c r="D1243" s="21" t="n">
        <f aca="false">a26_da</f>
        <v>11.32770694</v>
      </c>
      <c r="E1243" s="21" t="n">
        <f aca="false">D1243*(1-ret)+dr*(D1241+E1241)/2</f>
        <v>16.4055553549048</v>
      </c>
      <c r="F1243" s="21" t="n">
        <f aca="false">E1243*(1-ret)+dr*(E1241+F1241)/2</f>
        <v>20.5869394596965</v>
      </c>
      <c r="G1243" s="21" t="n">
        <f aca="false">F1243*(1-ret)+dr*(F1241+G1241)/2</f>
        <v>22.9938131697172</v>
      </c>
    </row>
    <row r="1244" customFormat="false" ht="17.15" hidden="false" customHeight="false" outlineLevel="0" collapsed="false">
      <c r="A1244" s="4" t="s">
        <v>515</v>
      </c>
      <c r="B1244" s="0" t="s">
        <v>41</v>
      </c>
      <c r="C1244" s="14" t="n">
        <f aca="false">C1243/C1234</f>
        <v>0.215104773055168</v>
      </c>
      <c r="D1244" s="14" t="n">
        <f aca="false">D1243/D1234</f>
        <v>0.238782905282647</v>
      </c>
      <c r="E1244" s="14" t="n">
        <f aca="false">E1243/E1234</f>
        <v>0.261846550390885</v>
      </c>
      <c r="F1244" s="14" t="n">
        <f aca="false">F1243/F1234</f>
        <v>0.297491385973614</v>
      </c>
      <c r="G1244" s="14" t="n">
        <f aca="false">G1243/G1234</f>
        <v>0.302256762841691</v>
      </c>
    </row>
    <row r="1245" customFormat="false" ht="17.15" hidden="false" customHeight="false" outlineLevel="0" collapsed="false">
      <c r="A1245" s="4" t="s">
        <v>564</v>
      </c>
      <c r="B1245" s="0" t="s">
        <v>239</v>
      </c>
      <c r="D1245" s="16" t="n">
        <f aca="false">C1243*(1-ret)+dr*(C1241+D1241)/2-D1243</f>
        <v>-0.0994950449999994</v>
      </c>
      <c r="H1245" s="4" t="s">
        <v>565</v>
      </c>
    </row>
    <row r="1246" customFormat="false" ht="17.15" hidden="false" customHeight="false" outlineLevel="0" collapsed="false">
      <c r="A1246" s="6" t="s">
        <v>566</v>
      </c>
    </row>
    <row r="1247" customFormat="false" ht="17.15" hidden="false" customHeight="false" outlineLevel="0" collapsed="false">
      <c r="A1247" s="4" t="s">
        <v>567</v>
      </c>
      <c r="B1247" s="0" t="s">
        <v>239</v>
      </c>
      <c r="D1247" s="21" t="n">
        <f aca="false">a26_cc-v_cc*a26_rev</f>
        <v>7.9821937335</v>
      </c>
      <c r="H1247" s="8" t="s">
        <v>568</v>
      </c>
    </row>
    <row r="1248" customFormat="false" ht="17.15" hidden="false" customHeight="false" outlineLevel="0" collapsed="false">
      <c r="A1248" s="4" t="s">
        <v>569</v>
      </c>
      <c r="B1248" s="0" t="s">
        <v>239</v>
      </c>
      <c r="C1248" s="21" t="n">
        <f aca="false">a25_cc</f>
        <v>14.8984</v>
      </c>
      <c r="D1248" s="21" t="n">
        <f aca="false">a26_cc</f>
        <v>17.4700646735</v>
      </c>
      <c r="E1248" s="21" t="n">
        <f aca="false">$D$1247+v_cc*(E1232/E1231+E1233)</f>
        <v>20.6175538765356</v>
      </c>
      <c r="F1248" s="21" t="n">
        <f aca="false">$D$1247+v_cc*(F1232/F1231+F1233)</f>
        <v>22.0538769440498</v>
      </c>
      <c r="G1248" s="21" t="n">
        <f aca="false">$D$1247+v_cc*(G1232/G1231+G1233)</f>
        <v>23.5178589020482</v>
      </c>
      <c r="H1248" s="4" t="s">
        <v>570</v>
      </c>
    </row>
    <row r="1249" customFormat="false" ht="15" hidden="false" customHeight="false" outlineLevel="0" collapsed="false">
      <c r="A1249" s="4" t="s">
        <v>571</v>
      </c>
      <c r="B1249" s="0" t="s">
        <v>239</v>
      </c>
      <c r="C1249" s="21" t="n">
        <f aca="false">C1234-C1248-C1243</f>
        <v>12.5208159</v>
      </c>
      <c r="D1249" s="21" t="n">
        <f aca="false">D1234-D1248-D1243</f>
        <v>18.6415830865</v>
      </c>
      <c r="E1249" s="21" t="n">
        <f aca="false">E1234-E1248-E1243</f>
        <v>25.6302094027541</v>
      </c>
      <c r="F1249" s="21" t="n">
        <f aca="false">F1234-F1248-F1243</f>
        <v>26.5609838175295</v>
      </c>
      <c r="G1249" s="21" t="n">
        <f aca="false">G1234-G1248-G1243</f>
        <v>29.562103593464</v>
      </c>
    </row>
    <row r="1250" customFormat="false" ht="15" hidden="false" customHeight="false" outlineLevel="0" collapsed="false">
      <c r="A1250" s="4" t="s">
        <v>421</v>
      </c>
      <c r="B1250" s="0" t="s">
        <v>41</v>
      </c>
      <c r="C1250" s="14" t="n">
        <f aca="false">C1249/C1234</f>
        <v>0.358417566468958</v>
      </c>
      <c r="D1250" s="14" t="n">
        <f aca="false">D1249/D1234</f>
        <v>0.392956084760993</v>
      </c>
      <c r="E1250" s="14" t="n">
        <f aca="false">E1249/E1234</f>
        <v>0.40907983745279</v>
      </c>
      <c r="F1250" s="14" t="n">
        <f aca="false">F1249/F1234</f>
        <v>0.383819260952744</v>
      </c>
      <c r="G1250" s="14" t="n">
        <f aca="false">G1249/G1234</f>
        <v>0.388597822770821</v>
      </c>
    </row>
    <row r="1251" customFormat="false" ht="15" hidden="false" customHeight="false" outlineLevel="0" collapsed="false">
      <c r="A1251" s="4" t="s">
        <v>572</v>
      </c>
      <c r="B1251" s="0" t="s">
        <v>239</v>
      </c>
      <c r="C1251" s="21" t="n">
        <f aca="false">a25_opx</f>
        <v>3.5197</v>
      </c>
      <c r="D1251" s="21" t="n">
        <f aca="false">a26_opx</f>
        <v>6.1141318375</v>
      </c>
      <c r="E1251" s="21" t="n">
        <f aca="false">D1251*(1+MAX(0,phi*E1235))</f>
        <v>7.29062568130815</v>
      </c>
      <c r="F1251" s="21" t="n">
        <f aca="false">E1251*(1+MAX(0,phi*F1235))</f>
        <v>7.74783237751938</v>
      </c>
      <c r="G1251" s="21" t="n">
        <f aca="false">F1251*(1+MAX(0,phi*G1235))</f>
        <v>8.20946412991832</v>
      </c>
    </row>
    <row r="1252" customFormat="false" ht="15" hidden="false" customHeight="false" outlineLevel="0" collapsed="false">
      <c r="A1252" s="4" t="s">
        <v>573</v>
      </c>
      <c r="B1252" s="0" t="s">
        <v>239</v>
      </c>
      <c r="C1252" s="21" t="n">
        <f aca="false">C1251</f>
        <v>3.5197</v>
      </c>
      <c r="D1252" s="21" t="n">
        <f aca="false">D1251</f>
        <v>6.1141318375</v>
      </c>
      <c r="E1252" s="21" t="n">
        <f aca="false">E1251+0*E1234</f>
        <v>7.29062568130815</v>
      </c>
      <c r="F1252" s="21" t="n">
        <f aca="false">F1251+0*F1234</f>
        <v>7.74783237751938</v>
      </c>
      <c r="G1252" s="21" t="n">
        <f aca="false">G1251+0*G1234</f>
        <v>8.20946412991832</v>
      </c>
    </row>
    <row r="1253" customFormat="false" ht="15" hidden="false" customHeight="false" outlineLevel="0" collapsed="false">
      <c r="A1253" s="4" t="s">
        <v>430</v>
      </c>
      <c r="B1253" s="0" t="s">
        <v>239</v>
      </c>
      <c r="C1253" s="21" t="n">
        <f aca="false">C1249-C1252</f>
        <v>9.0011159</v>
      </c>
      <c r="D1253" s="21" t="n">
        <f aca="false">D1249-D1252</f>
        <v>12.527451249</v>
      </c>
      <c r="E1253" s="21" t="n">
        <f aca="false">E1249-E1252</f>
        <v>18.339583721446</v>
      </c>
      <c r="F1253" s="21" t="n">
        <f aca="false">F1249-F1252</f>
        <v>18.8131514400101</v>
      </c>
      <c r="G1253" s="21" t="n">
        <f aca="false">G1249-G1252</f>
        <v>21.3526394635457</v>
      </c>
    </row>
    <row r="1254" customFormat="false" ht="15" hidden="false" customHeight="false" outlineLevel="0" collapsed="false">
      <c r="A1254" s="4" t="s">
        <v>432</v>
      </c>
      <c r="B1254" s="0" t="s">
        <v>41</v>
      </c>
      <c r="C1254" s="14" t="n">
        <f aca="false">C1253/C1234</f>
        <v>0.25766356459111</v>
      </c>
      <c r="D1254" s="14" t="n">
        <f aca="false">D1253/D1234</f>
        <v>0.264072969124936</v>
      </c>
      <c r="E1254" s="14" t="n">
        <f aca="false">E1253/E1234</f>
        <v>0.292715280231568</v>
      </c>
      <c r="F1254" s="14" t="n">
        <f aca="false">F1253/F1234</f>
        <v>0.271859277935751</v>
      </c>
      <c r="G1254" s="14" t="n">
        <f aca="false">G1253/G1234</f>
        <v>0.280683314017569</v>
      </c>
    </row>
    <row r="1255" customFormat="false" ht="17.15" hidden="false" customHeight="false" outlineLevel="0" collapsed="false">
      <c r="A1255" s="0" t="s">
        <v>574</v>
      </c>
      <c r="B1255" s="0" t="s">
        <v>239</v>
      </c>
      <c r="C1255" s="21" t="n">
        <f aca="false">C1253+C1243</f>
        <v>16.5155</v>
      </c>
      <c r="D1255" s="21" t="n">
        <f aca="false">D1253+D1243</f>
        <v>23.855158189</v>
      </c>
      <c r="E1255" s="21" t="n">
        <f aca="false">E1253+E1243</f>
        <v>34.7451390763508</v>
      </c>
      <c r="F1255" s="21" t="n">
        <f aca="false">F1253+F1243</f>
        <v>39.4000908997067</v>
      </c>
      <c r="G1255" s="21" t="n">
        <f aca="false">G1253+G1243</f>
        <v>44.346452633263</v>
      </c>
    </row>
    <row r="1256" customFormat="false" ht="17.15" hidden="false" customHeight="false" outlineLevel="0" collapsed="false">
      <c r="A1256" s="0" t="s">
        <v>575</v>
      </c>
      <c r="B1256" s="0" t="s">
        <v>239</v>
      </c>
      <c r="C1256" s="21" t="n">
        <f aca="false">C1255-C1241</f>
        <v>-15.8399</v>
      </c>
      <c r="D1256" s="21" t="n">
        <f aca="false">D1255-D1241</f>
        <v>-18.144841811</v>
      </c>
      <c r="E1256" s="21" t="n">
        <f aca="false">E1255-E1241</f>
        <v>-25.8772929582814</v>
      </c>
      <c r="F1256" s="21" t="n">
        <f aca="false">F1255-F1241</f>
        <v>9.08321616093912</v>
      </c>
      <c r="G1256" s="21" t="n">
        <f aca="false">G1255-G1241</f>
        <v>12.1865876810206</v>
      </c>
    </row>
    <row r="1257" customFormat="false" ht="17.15" hidden="false" customHeight="false" outlineLevel="0" collapsed="false">
      <c r="A1257" s="4" t="s">
        <v>433</v>
      </c>
      <c r="B1257" s="0" t="s">
        <v>239</v>
      </c>
      <c r="C1257" s="21" t="n">
        <f aca="false">a25_ni</f>
        <v>11.015</v>
      </c>
      <c r="D1257" s="21" t="n">
        <f aca="false">a26_ni</f>
        <v>10.66608446065</v>
      </c>
      <c r="E1257" s="21" t="n">
        <f aca="false">E1253*nir_f</f>
        <v>15.4052503260146</v>
      </c>
      <c r="F1257" s="21" t="n">
        <f aca="false">F1253*nir_f</f>
        <v>15.8030472096085</v>
      </c>
      <c r="G1257" s="21" t="n">
        <f aca="false">G1253*nir_f</f>
        <v>17.9362171493784</v>
      </c>
      <c r="H1257" s="8" t="s">
        <v>438</v>
      </c>
    </row>
    <row r="1258" customFormat="false" ht="17.15" hidden="false" customHeight="false" outlineLevel="0" collapsed="false">
      <c r="A1258" s="4" t="s">
        <v>437</v>
      </c>
      <c r="B1258" s="0" t="s">
        <v>41</v>
      </c>
      <c r="C1258" s="14" t="n">
        <f aca="false">C1257/C1253</f>
        <v>1.22373715907824</v>
      </c>
      <c r="D1258" s="14" t="n">
        <f aca="false">D1257/D1253</f>
        <v>0.851416960133963</v>
      </c>
      <c r="E1258" s="14" t="n">
        <f aca="false">E1257/E1253</f>
        <v>0.84</v>
      </c>
      <c r="F1258" s="14" t="n">
        <f aca="false">F1257/F1253</f>
        <v>0.84</v>
      </c>
      <c r="G1258" s="14" t="n">
        <f aca="false">G1257/G1253</f>
        <v>0.84</v>
      </c>
    </row>
    <row r="1259" customFormat="false" ht="15" hidden="false" customHeight="false" outlineLevel="0" collapsed="false">
      <c r="A1259" s="4" t="s">
        <v>576</v>
      </c>
      <c r="B1259" s="4" t="s">
        <v>294</v>
      </c>
      <c r="C1259" s="27" t="n">
        <f aca="false">a25_sh</f>
        <v>1.22253052164262</v>
      </c>
      <c r="D1259" s="27" t="n">
        <f aca="false">a26_sh</f>
        <v>1.28264705882353</v>
      </c>
      <c r="E1259" s="27" t="n">
        <f aca="false">D1259*(1+sh_g)</f>
        <v>1.28264705882353</v>
      </c>
      <c r="F1259" s="27" t="n">
        <f aca="false">E1259*(1+sh_g)</f>
        <v>1.28264705882353</v>
      </c>
      <c r="G1259" s="27" t="n">
        <f aca="false">F1259*(1+sh_g)</f>
        <v>1.28264705882353</v>
      </c>
    </row>
    <row r="1260" customFormat="false" ht="15" hidden="false" customHeight="false" outlineLevel="0" collapsed="false">
      <c r="A1260" s="0" t="s">
        <v>442</v>
      </c>
      <c r="B1260" s="0" t="s">
        <v>315</v>
      </c>
      <c r="C1260" s="21" t="n">
        <f aca="false">C1257/C1259</f>
        <v>9.01</v>
      </c>
      <c r="D1260" s="21" t="n">
        <f aca="false">D1257/D1259</f>
        <v>8.31568153318276</v>
      </c>
      <c r="E1260" s="21" t="n">
        <f aca="false">E1257/E1259</f>
        <v>12.010513897833</v>
      </c>
      <c r="F1260" s="21" t="n">
        <f aca="false">F1257/F1259</f>
        <v>12.3206513443405</v>
      </c>
      <c r="G1260" s="21" t="n">
        <f aca="false">G1257/G1259</f>
        <v>13.9837510451471</v>
      </c>
    </row>
    <row r="1261" customFormat="false" ht="17.15" hidden="false" customHeight="false" outlineLevel="0" collapsed="false">
      <c r="A1261" s="0" t="s">
        <v>577</v>
      </c>
      <c r="B1261" s="0" t="s">
        <v>41</v>
      </c>
      <c r="D1261" s="14" t="n">
        <f aca="false">D1260/C1260-1</f>
        <v>-0.0770608731206708</v>
      </c>
      <c r="E1261" s="14" t="n">
        <f aca="false">E1260/D1260-1</f>
        <v>0.444321051726963</v>
      </c>
      <c r="F1261" s="14" t="n">
        <f aca="false">F1260/E1260-1</f>
        <v>0.0258221629104034</v>
      </c>
      <c r="G1261" s="14" t="n">
        <f aca="false">G1260/F1260-1</f>
        <v>0.134984722343479</v>
      </c>
      <c r="H1261" s="8" t="s">
        <v>578</v>
      </c>
    </row>
    <row r="1264" customFormat="false" ht="17.15" hidden="false" customHeight="false" outlineLevel="0" collapsed="false">
      <c r="A1264" s="1" t="s">
        <v>887</v>
      </c>
    </row>
    <row r="1265" customFormat="false" ht="17.15" hidden="false" customHeight="false" outlineLevel="0" collapsed="false">
      <c r="A1265" s="5" t="s">
        <v>798</v>
      </c>
      <c r="B1265" s="5" t="s">
        <v>799</v>
      </c>
      <c r="C1265" s="12" t="s">
        <v>888</v>
      </c>
      <c r="D1265" s="12" t="s">
        <v>889</v>
      </c>
      <c r="E1265" s="5" t="s">
        <v>890</v>
      </c>
      <c r="F1265" s="5" t="s">
        <v>891</v>
      </c>
    </row>
    <row r="1266" customFormat="false" ht="17.15" hidden="false" customHeight="false" outlineLevel="0" collapsed="false">
      <c r="A1266" s="4" t="s">
        <v>20</v>
      </c>
      <c r="B1266" s="0" t="s">
        <v>892</v>
      </c>
      <c r="C1266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66" s="16" t="n">
        <f aca="false">Val!B35</f>
        <v>208.136489196973</v>
      </c>
      <c r="E1266" s="16" t="n">
        <f aca="false">tp_w_dcf*C1266+(1-tp_w_dcf)*D1266</f>
        <v>173.353091385714</v>
      </c>
      <c r="F1266" s="14" t="n">
        <f aca="false">E1266/E$1266-1</f>
        <v>0</v>
      </c>
    </row>
    <row r="1267" customFormat="false" ht="17.15" hidden="false" customHeight="false" outlineLevel="0" collapsed="false">
      <c r="A1267" s="4" t="s">
        <v>893</v>
      </c>
      <c r="B1267" s="0" t="s">
        <v>894</v>
      </c>
      <c r="C1267" s="16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120.011933811717</v>
      </c>
      <c r="D1267" s="16" t="n">
        <f aca="false">Val!B35</f>
        <v>208.136489196973</v>
      </c>
      <c r="E1267" s="16" t="n">
        <f aca="false">tp_w_dcf*C1267+(1-tp_w_dcf)*D1267</f>
        <v>164.074211504345</v>
      </c>
      <c r="F1267" s="14" t="n">
        <f aca="false">E1267/E$1266-1</f>
        <v>-0.0535258979646555</v>
      </c>
    </row>
    <row r="1268" customFormat="false" ht="17.15" hidden="false" customHeight="false" outlineLevel="0" collapsed="false">
      <c r="A1268" s="4" t="s">
        <v>895</v>
      </c>
      <c r="B1268" s="0" t="s">
        <v>896</v>
      </c>
      <c r="C1268" s="16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164.547180448687</v>
      </c>
      <c r="D1268" s="16" t="n">
        <f aca="false">Val!B35</f>
        <v>208.136489196973</v>
      </c>
      <c r="E1268" s="16" t="n">
        <f aca="false">tp_w_dcf*C1268+(1-tp_w_dcf)*D1268</f>
        <v>186.34183482283</v>
      </c>
      <c r="F1268" s="14" t="n">
        <f aca="false">E1268/E$1266-1</f>
        <v>0.0749265175099487</v>
      </c>
    </row>
    <row r="1269" customFormat="false" ht="17.15" hidden="false" customHeight="false" outlineLevel="0" collapsed="false">
      <c r="A1269" s="4" t="s">
        <v>897</v>
      </c>
      <c r="B1269" s="0" t="s">
        <v>898</v>
      </c>
      <c r="C1269" s="16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148.31828713115</v>
      </c>
      <c r="D1269" s="16" t="n">
        <f aca="false">Val!B35</f>
        <v>208.136489196973</v>
      </c>
      <c r="E1269" s="16" t="n">
        <f aca="false">tp_w_dcf*C1269+(1-tp_w_dcf)*D1269</f>
        <v>178.227388164061</v>
      </c>
      <c r="F1269" s="14" t="n">
        <f aca="false">E1269/E$1266-1</f>
        <v>0.0281177378458257</v>
      </c>
    </row>
    <row r="1270" customFormat="false" ht="17.15" hidden="false" customHeight="false" outlineLevel="0" collapsed="false">
      <c r="A1270" s="4" t="s">
        <v>899</v>
      </c>
      <c r="B1270" s="0" t="s">
        <v>900</v>
      </c>
      <c r="C1270" s="16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132.29343120086</v>
      </c>
      <c r="D1270" s="16" t="n">
        <f aca="false">Val!B35</f>
        <v>208.136489196973</v>
      </c>
      <c r="E1270" s="16" t="n">
        <f aca="false">tp_w_dcf*C1270+(1-tp_w_dcf)*D1270</f>
        <v>170.214960198916</v>
      </c>
      <c r="F1270" s="14" t="n">
        <f aca="false">E1270/E$1266-1</f>
        <v>-0.0181025395146585</v>
      </c>
    </row>
    <row r="1271" customFormat="false" ht="17.15" hidden="false" customHeight="false" outlineLevel="0" collapsed="false">
      <c r="A1271" s="0" t="s">
        <v>901</v>
      </c>
      <c r="B1271" s="0" t="s">
        <v>902</v>
      </c>
      <c r="C1271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1" s="16" t="n">
        <f aca="false">Val!B35</f>
        <v>208.136489196973</v>
      </c>
      <c r="E1271" s="16" t="n">
        <f aca="false">0.3*C1271+(1-0.3)*D1271</f>
        <v>187.266450510218</v>
      </c>
      <c r="F1271" s="14" t="n">
        <f aca="false">E1271/E$1266-1</f>
        <v>0.0802602307999567</v>
      </c>
    </row>
    <row r="1272" customFormat="false" ht="17.15" hidden="false" customHeight="false" outlineLevel="0" collapsed="false">
      <c r="A1272" s="0" t="s">
        <v>903</v>
      </c>
      <c r="B1272" s="0" t="s">
        <v>904</v>
      </c>
      <c r="C1272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2" s="16" t="n">
        <f aca="false">Val!B35</f>
        <v>208.136489196973</v>
      </c>
      <c r="E1272" s="16" t="n">
        <f aca="false">0.7*C1272+(1-0.7)*D1272</f>
        <v>159.439732261211</v>
      </c>
      <c r="F1272" s="14" t="n">
        <f aca="false">E1272/E$1266-1</f>
        <v>-0.0802602307999567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905</v>
      </c>
    </row>
    <row r="2" customFormat="false" ht="17.15" hidden="false" customHeight="false" outlineLevel="0" collapsed="false">
      <c r="A2" s="4" t="s">
        <v>906</v>
      </c>
      <c r="B2" s="0" t="s">
        <v>907</v>
      </c>
    </row>
    <row r="3" customFormat="false" ht="17.15" hidden="false" customHeight="false" outlineLevel="0" collapsed="false">
      <c r="A3" s="4" t="s">
        <v>908</v>
      </c>
      <c r="B3" s="0" t="s">
        <v>909</v>
      </c>
    </row>
    <row r="4" customFormat="false" ht="17.15" hidden="false" customHeight="false" outlineLevel="0" collapsed="false">
      <c r="A4" s="4" t="s">
        <v>910</v>
      </c>
      <c r="B4" s="0" t="s">
        <v>911</v>
      </c>
    </row>
    <row r="5" customFormat="false" ht="17.15" hidden="false" customHeight="false" outlineLevel="0" collapsed="false">
      <c r="A5" s="4" t="s">
        <v>912</v>
      </c>
      <c r="B5" s="0" t="s">
        <v>913</v>
      </c>
    </row>
    <row r="6" customFormat="false" ht="17.15" hidden="false" customHeight="false" outlineLevel="0" collapsed="false">
      <c r="A6" s="4" t="s">
        <v>914</v>
      </c>
      <c r="B6" s="0" t="s">
        <v>915</v>
      </c>
    </row>
    <row r="7" customFormat="false" ht="17.15" hidden="false" customHeight="false" outlineLevel="0" collapsed="false">
      <c r="A7" s="4" t="s">
        <v>916</v>
      </c>
      <c r="B7" s="0" t="s">
        <v>917</v>
      </c>
    </row>
    <row r="8" customFormat="false" ht="17.15" hidden="false" customHeight="false" outlineLevel="0" collapsed="false">
      <c r="A8" s="4" t="s">
        <v>918</v>
      </c>
      <c r="B8" s="0" t="s">
        <v>919</v>
      </c>
    </row>
    <row r="9" customFormat="false" ht="17.15" hidden="false" customHeight="false" outlineLevel="0" collapsed="false">
      <c r="A9" s="4" t="s">
        <v>920</v>
      </c>
      <c r="B9" s="0" t="s">
        <v>326</v>
      </c>
    </row>
    <row r="10" customFormat="false" ht="17.15" hidden="false" customHeight="false" outlineLevel="0" collapsed="false">
      <c r="A10" s="4" t="s">
        <v>921</v>
      </c>
      <c r="B10" s="0" t="s">
        <v>922</v>
      </c>
    </row>
    <row r="11" customFormat="false" ht="17.15" hidden="false" customHeight="false" outlineLevel="0" collapsed="false">
      <c r="A11" s="4" t="s">
        <v>923</v>
      </c>
      <c r="B11" s="0" t="s">
        <v>333</v>
      </c>
    </row>
    <row r="12" customFormat="false" ht="17.15" hidden="false" customHeight="false" outlineLevel="0" collapsed="false">
      <c r="A12" s="4" t="s">
        <v>924</v>
      </c>
      <c r="B12" s="0" t="s">
        <v>337</v>
      </c>
    </row>
    <row r="13" customFormat="false" ht="17.15" hidden="false" customHeight="false" outlineLevel="0" collapsed="false">
      <c r="A13" s="4" t="s">
        <v>925</v>
      </c>
      <c r="B13" s="0" t="s">
        <v>926</v>
      </c>
    </row>
    <row r="14" customFormat="false" ht="17.15" hidden="false" customHeight="false" outlineLevel="0" collapsed="false">
      <c r="A14" s="4" t="s">
        <v>927</v>
      </c>
      <c r="B14" s="0" t="s">
        <v>928</v>
      </c>
    </row>
    <row r="15" customFormat="false" ht="17.15" hidden="false" customHeight="false" outlineLevel="0" collapsed="false">
      <c r="A15" s="4" t="s">
        <v>929</v>
      </c>
      <c r="B15" s="0" t="s">
        <v>930</v>
      </c>
    </row>
    <row r="16" customFormat="false" ht="17.15" hidden="false" customHeight="false" outlineLevel="0" collapsed="false">
      <c r="A16" s="4" t="s">
        <v>931</v>
      </c>
      <c r="B16" s="0" t="s">
        <v>932</v>
      </c>
    </row>
    <row r="17" customFormat="false" ht="17.15" hidden="false" customHeight="false" outlineLevel="0" collapsed="false">
      <c r="A17" s="4" t="s">
        <v>933</v>
      </c>
      <c r="B17" s="0" t="s">
        <v>316</v>
      </c>
    </row>
    <row r="18" customFormat="false" ht="17.15" hidden="false" customHeight="false" outlineLevel="0" collapsed="false">
      <c r="A18" s="4" t="s">
        <v>934</v>
      </c>
      <c r="B18" s="0" t="s">
        <v>935</v>
      </c>
    </row>
    <row r="19" customFormat="false" ht="17.15" hidden="false" customHeight="false" outlineLevel="0" collapsed="false">
      <c r="A19" s="4" t="s">
        <v>936</v>
      </c>
      <c r="B19" s="0" t="s">
        <v>937</v>
      </c>
    </row>
    <row r="20" customFormat="false" ht="17.15" hidden="false" customHeight="false" outlineLevel="0" collapsed="false">
      <c r="A20" s="4" t="s">
        <v>938</v>
      </c>
      <c r="B20" s="0" t="s">
        <v>939</v>
      </c>
    </row>
    <row r="21" customFormat="false" ht="17.15" hidden="false" customHeight="false" outlineLevel="0" collapsed="false">
      <c r="A21" s="4" t="s">
        <v>940</v>
      </c>
    </row>
    <row r="22" customFormat="false" ht="17.15" hidden="false" customHeight="false" outlineLevel="0" collapsed="false">
      <c r="A22" s="4" t="s">
        <v>941</v>
      </c>
      <c r="B22" s="4" t="s">
        <v>942</v>
      </c>
    </row>
    <row r="23" customFormat="false" ht="15" hidden="false" customHeight="false" outlineLevel="0" collapsed="false">
      <c r="A23" s="0" t="s">
        <v>943</v>
      </c>
      <c r="B23" s="4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2026-10-25T04:42:30Z</dcterms:created>
  <dc:creator>openpyxl</dc:creator>
  <dc:description/>
  <dc:language>en-US</dc:language>
  <cp:lastModifiedBy/>
  <dcterms:modified xsi:type="dcterms:W3CDTF">2026-10-25T04:42:30Z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