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pkA_25" vbProcedure="false">In!$E$42</definedName>
    <definedName function="false" hidden="false" name="apkA_26" vbProcedure="false">In!$E$43</definedName>
    <definedName function="false" hidden="false" name="apkA_27" vbProcedure="false">In!$E$44</definedName>
    <definedName function="false" hidden="false" name="apkA_28" vbProcedure="false">In!$E$45</definedName>
    <definedName function="false" hidden="false" name="apkA_29" vbProcedure="false">In!$E$46</definedName>
    <definedName function="false" hidden="false" name="apkB_25" vbProcedure="false">In!$E$57</definedName>
    <definedName function="false" hidden="false" name="apkB_26" vbProcedure="false">In!$E$58</definedName>
    <definedName function="false" hidden="false" name="apkB_27" vbProcedure="false">In!$E$59</definedName>
    <definedName function="false" hidden="false" name="apkB_28" vbProcedure="false">In!$E$60</definedName>
    <definedName function="false" hidden="false" name="apkB_29" vbProcedure="false">In!$E$61</definedName>
    <definedName function="false" hidden="false" name="apkC_25" vbProcedure="false">In!$E$72</definedName>
    <definedName function="false" hidden="false" name="apkC_26" vbProcedure="false">In!$E$73</definedName>
    <definedName function="false" hidden="false" name="apkC_27" vbProcedure="false">In!$E$74</definedName>
    <definedName function="false" hidden="false" name="apkC_28" vbProcedure="false">In!$E$75</definedName>
    <definedName function="false" hidden="false" name="apkC_29" vbProcedure="false">In!$E$76</definedName>
    <definedName function="false" hidden="false" name="chh_A" vbProcedure="false">In!$E$87</definedName>
    <definedName function="false" hidden="false" name="chh_B" vbProcedure="false">In!$E$88</definedName>
    <definedName function="false" hidden="false" name="chh_B_hi" vbProcedure="false">In!$F$88</definedName>
    <definedName function="false" hidden="false" name="chh_B_lo" vbProcedure="false">In!$D$88</definedName>
    <definedName function="false" hidden="false" name="chh_C" vbProcedure="false">In!$E$89</definedName>
    <definedName function="false" hidden="false" name="chh_C_hi" vbProcedure="false">In!$F$89</definedName>
    <definedName function="false" hidden="false" name="chh_C_lo" vbProcedure="false">In!$D$89</definedName>
    <definedName function="false" hidden="false" name="chn" vbProcedure="false">In!$E$35</definedName>
    <definedName function="false" hidden="false" name="chn_hi" vbProcedure="false">In!$F$35</definedName>
    <definedName function="false" hidden="false" name="chn_lo" vbProcedure="false">In!$D$35</definedName>
    <definedName function="false" hidden="false" name="cons_eps26" vbProcedure="false">In!$E$108</definedName>
    <definedName function="false" hidden="false" name="cons_feps" vbProcedure="false">In!$E$123</definedName>
    <definedName function="false" hidden="false" name="cons_ni26" vbProcedure="false">In!$E$107</definedName>
    <definedName function="false" hidden="false" name="cons_rev26" vbProcedure="false">In!$E$106</definedName>
    <definedName function="false" hidden="false" name="cons_rev26_hi" vbProcedure="false">In!$F$106</definedName>
    <definedName function="false" hidden="false" name="cons_rev26_lo" vbProcedure="false">In!$D$106</definedName>
    <definedName function="false" hidden="false" name="cons_tp" vbProcedure="false">In!$E$122</definedName>
    <definedName function="false" hidden="false" name="exc_A" vbProcedure="false">In!$E$84</definedName>
    <definedName function="false" hidden="false" name="exc_A_hi" vbProcedure="false">In!$F$84</definedName>
    <definedName function="false" hidden="false" name="exc_A_lo" vbProcedure="false">In!$D$84</definedName>
    <definedName function="false" hidden="false" name="exc_B" vbProcedure="false">In!$E$85</definedName>
    <definedName function="false" hidden="false" name="exc_B_hi" vbProcedure="false">In!$F$85</definedName>
    <definedName function="false" hidden="false" name="exc_B_lo" vbProcedure="false">In!$D$85</definedName>
    <definedName function="false" hidden="false" name="exc_C" vbProcedure="false">In!$E$86</definedName>
    <definedName function="false" hidden="false" name="exc_C_hi" vbProcedure="false">In!$F$86</definedName>
    <definedName function="false" hidden="false" name="exc_C_lo" vbProcedure="false">In!$D$86</definedName>
    <definedName function="false" hidden="false" name="g26_eps" vbProcedure="false">In!$E$22</definedName>
    <definedName function="false" hidden="false" name="g26_met" vbProcedure="false">In!$E$18</definedName>
    <definedName function="false" hidden="false" name="g26_ni" vbProcedure="false">In!$E$21</definedName>
    <definedName function="false" hidden="false" name="g26_oi" vbProcedure="false">In!$E$20</definedName>
    <definedName function="false" hidden="false" name="g26_rev" vbProcedure="false">In!$E$17</definedName>
    <definedName function="false" hidden="false" name="g26_spe" vbProcedure="false">In!$E$19</definedName>
    <definedName function="false" hidden="false" name="gh1_rev" vbProcedure="false">In!$E$29</definedName>
    <definedName function="false" hidden="false" name="gmet_A" vbProcedure="false">In!$E$90</definedName>
    <definedName function="false" hidden="false" name="gmet_A_hi" vbProcedure="false">In!$F$90</definedName>
    <definedName function="false" hidden="false" name="gmet_A_lo" vbProcedure="false">In!$D$90</definedName>
    <definedName function="false" hidden="false" name="gmet_B" vbProcedure="false">In!$E$91</definedName>
    <definedName function="false" hidden="false" name="gmet_B_hi" vbProcedure="false">In!$F$91</definedName>
    <definedName function="false" hidden="false" name="gmet_B_lo" vbProcedure="false">In!$D$91</definedName>
    <definedName function="false" hidden="false" name="gmet_C" vbProcedure="false">In!$E$92</definedName>
    <definedName function="false" hidden="false" name="gmet_C_hi" vbProcedure="false">In!$F$92</definedName>
    <definedName function="false" hidden="false" name="gmet_C_lo" vbProcedure="false">In!$D$92</definedName>
    <definedName function="false" hidden="false" name="g_anc" vbProcedure="false">In!$E$24</definedName>
    <definedName function="false" hidden="false" name="g_anc_hi" vbProcedure="false">In!$F$24</definedName>
    <definedName function="false" hidden="false" name="g_anc_lo" vbProcedure="false">In!$D$24</definedName>
    <definedName function="false" hidden="false" name="g_tail" vbProcedure="false">In!$E$82</definedName>
    <definedName function="false" hidden="false" name="g_tail_hi" vbProcedure="false">In!$F$82</definedName>
    <definedName function="false" hidden="false" name="g_tail_lo" vbProcedure="false">In!$D$82</definedName>
    <definedName function="false" hidden="false" name="hpc" vbProcedure="false">In!$E$34</definedName>
    <definedName function="false" hidden="false" name="ks_12m" vbProcedure="false">In!$E$109</definedName>
    <definedName function="false" hidden="false" name="madjC" vbProcedure="false">In!$E$93</definedName>
    <definedName function="false" hidden="false" name="madjC_hi" vbProcedure="false">In!$F$93</definedName>
    <definedName function="false" hidden="false" name="madjC_lo" vbProcedure="false">In!$D$93</definedName>
    <definedName function="false" hidden="false" name="met_25" vbProcedure="false">In!$E$13</definedName>
    <definedName function="false" hidden="false" name="met_op25" vbProcedure="false">In!$E$14</definedName>
    <definedName function="false" hidden="false" name="mtp_oi" vbProcedure="false">In!$E$111</definedName>
    <definedName function="false" hidden="false" name="mtp_rev" vbProcedure="false">In!$E$110</definedName>
    <definedName function="false" hidden="false" name="m_spe26" vbProcedure="false">In!$E$23</definedName>
    <definedName function="false" hidden="false" name="m_spe26_hi" vbProcedure="false">In!$F$23</definedName>
    <definedName function="false" hidden="false" name="m_spe26_lo" vbProcedure="false">In!$D$23</definedName>
    <definedName function="false" hidden="false" name="nim10" vbProcedure="false">In!$E$121</definedName>
    <definedName function="false" hidden="false" name="nioi" vbProcedure="false">In!$E$98</definedName>
    <definedName function="false" hidden="false" name="nioi_hi" vbProcedure="false">In!$F$98</definedName>
    <definedName function="false" hidden="false" name="nioi_lo" vbProcedure="false">In!$D$98</definedName>
    <definedName function="false" hidden="false" name="ord_25" vbProcedure="false">In!$E$15</definedName>
    <definedName function="false" hidden="false" name="pe_mid" vbProcedure="false">Val!$B$80</definedName>
    <definedName function="false" hidden="false" name="pe_peak" vbProcedure="false">Val!$B$79</definedName>
    <definedName function="false" hidden="false" name="pe_trough" vbProcedure="false">Val!$B$81</definedName>
    <definedName function="false" hidden="false" name="pk_A" vbProcedure="false">In!$E$100</definedName>
    <definedName function="false" hidden="false" name="pk_B" vbProcedure="false">In!$E$101</definedName>
    <definedName function="false" hidden="false" name="pk_C" vbProcedure="false">In!$E$102</definedName>
    <definedName function="false" hidden="false" name="px" vbProcedure="false">In!$E$103</definedName>
    <definedName function="false" hidden="false" name="q1_ni" vbProcedure="false">In!$E$27</definedName>
    <definedName function="false" hidden="false" name="q1_oi" vbProcedure="false">In!$E$26</definedName>
    <definedName function="false" hidden="false" name="q1_ord" vbProcedure="false">In!$E$28</definedName>
    <definedName function="false" hidden="false" name="q1_rev" vbProcedure="false">In!$E$25</definedName>
    <definedName function="false" hidden="false" name="sa_fpe" vbProcedure="false">In!$E$104</definedName>
    <definedName function="false" hidden="false" name="sa_ttm" vbProcedure="false">In!$E$105</definedName>
    <definedName function="false" hidden="false" name="shares" vbProcedure="false">In!$E$30</definedName>
    <definedName function="false" hidden="false" name="spe_25" vbProcedure="false">In!$E$11</definedName>
    <definedName function="false" hidden="false" name="spe_op25" vbProcedure="false">In!$E$12</definedName>
    <definedName function="false" hidden="false" name="tot_A_25" vbProcedure="false">In!$E$126</definedName>
    <definedName function="false" hidden="false" name="tot_A_26" vbProcedure="false">In!$E$127</definedName>
    <definedName function="false" hidden="false" name="tot_A_27" vbProcedure="false">In!$E$128</definedName>
    <definedName function="false" hidden="false" name="tot_A_28" vbProcedure="false">In!$E$129</definedName>
    <definedName function="false" hidden="false" name="tot_A_29" vbProcedure="false">In!$E$130</definedName>
    <definedName function="false" hidden="false" name="tot_B_25" vbProcedure="false">In!$E$131</definedName>
    <definedName function="false" hidden="false" name="tot_B_26" vbProcedure="false">In!$E$132</definedName>
    <definedName function="false" hidden="false" name="tot_B_27" vbProcedure="false">In!$E$133</definedName>
    <definedName function="false" hidden="false" name="tot_B_28" vbProcedure="false">In!$E$134</definedName>
    <definedName function="false" hidden="false" name="tot_B_29" vbProcedure="false">In!$E$135</definedName>
    <definedName function="false" hidden="false" name="tot_C_25" vbProcedure="false">In!$E$136</definedName>
    <definedName function="false" hidden="false" name="tot_C_26" vbProcedure="false">In!$E$137</definedName>
    <definedName function="false" hidden="false" name="tot_C_27" vbProcedure="false">In!$E$138</definedName>
    <definedName function="false" hidden="false" name="tot_C_28" vbProcedure="false">In!$E$139</definedName>
    <definedName function="false" hidden="false" name="tot_C_29" vbProcedure="false">In!$E$140</definedName>
    <definedName function="false" hidden="false" name="tp_g" vbProcedure="false">In!$E$118</definedName>
    <definedName function="false" hidden="false" name="tp_r" vbProcedure="false">In!$E$117</definedName>
    <definedName function="false" hidden="false" name="tp_roe" vbProcedure="false">In!$E$119</definedName>
    <definedName function="false" hidden="false" name="tp_wA" vbProcedure="false">In!$E$114</definedName>
    <definedName function="false" hidden="false" name="tp_wB" vbProcedure="false">In!$E$115</definedName>
    <definedName function="false" hidden="false" name="tp_wC" vbProcedure="false">In!$E$116</definedName>
    <definedName function="false" hidden="false" name="tp_w_dcf" vbProcedure="false">In!$E$120</definedName>
    <definedName function="false" hidden="false" name="tstA_25" vbProcedure="false">In!$E$37</definedName>
    <definedName function="false" hidden="false" name="tstA_26" vbProcedure="false">In!$E$38</definedName>
    <definedName function="false" hidden="false" name="tstA_27" vbProcedure="false">In!$E$39</definedName>
    <definedName function="false" hidden="false" name="tstA_28" vbProcedure="false">In!$E$40</definedName>
    <definedName function="false" hidden="false" name="tstA_29" vbProcedure="false">In!$E$41</definedName>
    <definedName function="false" hidden="false" name="tstB_25" vbProcedure="false">In!$E$52</definedName>
    <definedName function="false" hidden="false" name="tstB_26" vbProcedure="false">In!$E$53</definedName>
    <definedName function="false" hidden="false" name="tstB_27" vbProcedure="false">In!$E$54</definedName>
    <definedName function="false" hidden="false" name="tstB_28" vbProcedure="false">In!$E$55</definedName>
    <definedName function="false" hidden="false" name="tstB_29" vbProcedure="false">In!$E$56</definedName>
    <definedName function="false" hidden="false" name="tstC_25" vbProcedure="false">In!$E$67</definedName>
    <definedName function="false" hidden="false" name="tstC_26" vbProcedure="false">In!$E$68</definedName>
    <definedName function="false" hidden="false" name="tstC_27" vbProcedure="false">In!$E$69</definedName>
    <definedName function="false" hidden="false" name="tstC_28" vbProcedure="false">In!$E$70</definedName>
    <definedName function="false" hidden="false" name="tstC_29" vbProcedure="false">In!$E$71</definedName>
    <definedName function="false" hidden="false" name="v_m" vbProcedure="false">In!$E$96</definedName>
    <definedName function="false" hidden="false" name="v_s" vbProcedure="false">In!$E$95</definedName>
    <definedName function="false" hidden="false" name="v_s2" vbProcedure="false">In!$E$97</definedName>
    <definedName function="false" hidden="false" name="wfeA_25" vbProcedure="false">In!$E$47</definedName>
    <definedName function="false" hidden="false" name="wfeA_26" vbProcedure="false">In!$E$48</definedName>
    <definedName function="false" hidden="false" name="wfeA_27" vbProcedure="false">In!$E$49</definedName>
    <definedName function="false" hidden="false" name="wfeA_28" vbProcedure="false">In!$E$50</definedName>
    <definedName function="false" hidden="false" name="wfeA_29" vbProcedure="false">In!$E$51</definedName>
    <definedName function="false" hidden="false" name="wfeB_25" vbProcedure="false">In!$E$62</definedName>
    <definedName function="false" hidden="false" name="wfeB_26" vbProcedure="false">In!$E$63</definedName>
    <definedName function="false" hidden="false" name="wfeB_27" vbProcedure="false">In!$E$64</definedName>
    <definedName function="false" hidden="false" name="wfeB_28" vbProcedure="false">In!$E$65</definedName>
    <definedName function="false" hidden="false" name="wfeB_29" vbProcedure="false">In!$E$66</definedName>
    <definedName function="false" hidden="false" name="wfeC_25" vbProcedure="false">In!$E$77</definedName>
    <definedName function="false" hidden="false" name="wfeC_26" vbProcedure="false">In!$E$78</definedName>
    <definedName function="false" hidden="false" name="wfeC_27" vbProcedure="false">In!$E$79</definedName>
    <definedName function="false" hidden="false" name="wfeC_28" vbProcedure="false">In!$E$80</definedName>
    <definedName function="false" hidden="false" name="wfeC_29" vbProcedure="false">In!$E$81</definedName>
    <definedName function="false" hidden="false" name="w_cmp" vbProcedure="false">In!$E$33</definedName>
    <definedName function="false" hidden="false" name="w_cmp_hi" vbProcedure="false">In!$F$33</definedName>
    <definedName function="false" hidden="false" name="w_cmp_lo" vbProcedure="false">In!$D$33</definedName>
    <definedName function="false" hidden="false" name="w_pr" vbProcedure="false">In!$E$32</definedName>
    <definedName function="false" hidden="false" name="w_pr_hi" vbProcedure="false">In!$F$32</definedName>
    <definedName function="false" hidden="false" name="w_pr_lo" vbProcedure="false">In!$D$32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<sst xmlns="http://schemas.openxmlformats.org/spreadsheetml/2006/main" count="2741" uniqueCount="908">
  <si>
    <r>
      <rPr>
        <b val="true"/>
        <sz val="11"/>
        <rFont val="Noto Sans CJK SC"/>
        <family val="2"/>
      </rPr>
      <t xml:space="preserve">東京精密（</t>
    </r>
    <r>
      <rPr>
        <b val="true"/>
        <sz val="11"/>
        <rFont val="Cambria"/>
        <family val="0"/>
        <charset val="1"/>
      </rPr>
      <t xml:space="preserve">7729.T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</si>
  <si>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模型命題：東京精密約八成營收來自半導體設備（探針台約七成、切割／研削／</t>
    </r>
    <r>
      <rPr>
        <sz val="11"/>
        <rFont val="Cambria"/>
        <family val="0"/>
        <charset val="1"/>
      </rPr>
      <t xml:space="preserve">CMP </t>
    </r>
    <r>
      <rPr>
        <sz val="11"/>
        <rFont val="Noto Sans CJK SC"/>
        <family val="2"/>
      </rPr>
      <t xml:space="preserve">約三成），其餘為計測機器；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已占設備營收四成半。問題是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測試與先進封裝的增量能否撐過設備循環，並讓現價約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倍的公司指引本益比（低於日本設備同業的 </t>
    </r>
    <r>
      <rPr>
        <sz val="11"/>
        <rFont val="Cambria"/>
        <family val="0"/>
        <charset val="1"/>
      </rPr>
      <t xml:space="preserve">30 </t>
    </r>
    <r>
      <rPr>
        <sz val="11"/>
        <rFont val="Noto Sans CJK SC"/>
        <family val="2"/>
      </rPr>
      <t xml:space="preserve">倍以上）被重估？</t>
    </r>
  </si>
  <si>
    <r>
      <rPr>
        <sz val="11"/>
        <rFont val="Noto Sans CJK SC"/>
        <family val="2"/>
      </rPr>
      <t xml:space="preserve">（約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¥15,520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EPS ¥758.83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20.5 </t>
    </r>
    <r>
      <rPr>
        <sz val="11"/>
        <rFont val="Noto Sans CJK SC"/>
        <family val="2"/>
      </rPr>
      <t xml:space="preserve">倍；見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節）</t>
    </r>
  </si>
  <si>
    <t xml:space="preserve">驅動因子 → 推導量（因果方向：左邊決定右邊）</t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</si>
  <si>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同字母情境的「測試與其他封裝設備」（</t>
    </r>
    <r>
      <rPr>
        <sz val="11"/>
        <rFont val="Cambria"/>
        <family val="0"/>
        <charset val="1"/>
      </rPr>
      <t xml:space="preserve">CY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 → </t>
    </r>
    <r>
      <rPr>
        <sz val="11"/>
        <rFont val="Noto Sans CJK SC"/>
        <family val="2"/>
      </rPr>
      <t xml:space="preserve">探針台需求指數（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探針台營收 → 探針台營收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</si>
  <si>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區塊｜「晶圓前段設備」</t>
    </r>
    <r>
      <rPr>
        <sz val="11"/>
        <rFont val="Cambria"/>
        <family val="0"/>
        <charset val="1"/>
      </rPr>
      <t xml:space="preserve">× w_cmp </t>
    </r>
    <r>
      <rPr>
        <sz val="11"/>
        <rFont val="Noto Sans CJK SC"/>
        <family val="2"/>
      </rPr>
      <t xml:space="preserve">＋「先進封裝設備〔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〕」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w_cmp</t>
    </r>
    <r>
      <rPr>
        <sz val="11"/>
        <rFont val="Noto Sans CJK SC"/>
        <family val="2"/>
      </rPr>
      <t xml:space="preserve">）→ 加工裝置需求指數 </t>
    </r>
    <r>
      <rPr>
        <sz val="11"/>
        <rFont val="Cambria"/>
        <family val="0"/>
        <charset val="1"/>
      </rPr>
      <t xml:space="preserve">× FY2026 </t>
    </r>
    <r>
      <rPr>
        <sz val="11"/>
        <rFont val="Noto Sans CJK SC"/>
        <family val="2"/>
      </rPr>
      <t xml:space="preserve">加工裝置營收 → 加工裝置營收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</si>
  <si>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區塊｜公司特有：超額成長（</t>
    </r>
    <r>
      <rPr>
        <sz val="11"/>
        <rFont val="Cambria"/>
        <family val="0"/>
        <charset val="1"/>
      </rPr>
      <t xml:space="preserve">A +3%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−3% </t>
    </r>
    <r>
      <rPr>
        <sz val="11"/>
        <rFont val="Noto Sans CJK SC"/>
        <family val="2"/>
      </rPr>
      <t xml:space="preserve">每年）、中國變化（</t>
    </r>
    <r>
      <rPr>
        <sz val="11"/>
        <rFont val="Cambria"/>
        <family val="0"/>
        <charset val="1"/>
      </rPr>
      <t xml:space="preserve">A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−5%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−20%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中國占比 </t>
    </r>
    <r>
      <rPr>
        <sz val="11"/>
        <rFont val="Cambria"/>
        <family val="0"/>
        <charset val="1"/>
      </rPr>
      <t xml:space="preserve">45%</t>
    </r>
    <r>
      <rPr>
        <sz val="11"/>
        <rFont val="Noto Sans CJK SC"/>
        <family val="2"/>
      </rPr>
      <t xml:space="preserve">）→ 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營收</t>
    </r>
  </si>
  <si>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區塊｜計測機器：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指引 </t>
    </r>
    <r>
      <rPr>
        <sz val="11"/>
        <rFont val="Cambria"/>
        <family val="0"/>
        <charset val="1"/>
      </rPr>
      <t xml:space="preserve">41.5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＋年增；</t>
    </r>
    <r>
      <rPr>
        <sz val="11"/>
        <rFont val="Cambria"/>
        <family val="0"/>
        <charset val="1"/>
      </rPr>
      <t xml:space="preserve">A 6%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4%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1%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：公司歷史）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</si>
  <si>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｜部門營業利益＝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＋ 邊際利潤率（</t>
    </r>
    <r>
      <rPr>
        <sz val="11"/>
        <rFont val="Cambria"/>
        <family val="0"/>
        <charset val="1"/>
      </rPr>
      <t xml:space="preserve">FY2018–FY2025 </t>
    </r>
    <r>
      <rPr>
        <sz val="11"/>
        <rFont val="Noto Sans CJK SC"/>
        <family val="2"/>
      </rPr>
      <t xml:space="preserve">迴歸）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營收變化；淨利＝營業利益 </t>
    </r>
    <r>
      <rPr>
        <sz val="11"/>
        <rFont val="Cambria"/>
        <family val="0"/>
        <charset val="1"/>
      </rPr>
      <t xml:space="preserve">× 0.70</t>
    </r>
    <r>
      <rPr>
        <sz val="11"/>
        <rFont val="Noto Sans CJK SC"/>
        <family val="2"/>
      </rPr>
      <t xml:space="preserve">（公司指引隱含）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</si>
  <si>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錨點＝公司指引（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上修：營收 </t>
    </r>
    <r>
      <rPr>
        <sz val="11"/>
        <rFont val="Cambria"/>
        <family val="0"/>
        <charset val="1"/>
      </rPr>
      <t xml:space="preserve">189.0</t>
    </r>
    <r>
      <rPr>
        <sz val="11"/>
        <rFont val="Noto Sans CJK SC"/>
        <family val="2"/>
      </rPr>
      <t xml:space="preserve">、營業利益 </t>
    </r>
    <r>
      <rPr>
        <sz val="11"/>
        <rFont val="Cambria"/>
        <family val="0"/>
        <charset val="1"/>
      </rPr>
      <t xml:space="preserve">44.0</t>
    </r>
    <r>
      <rPr>
        <sz val="11"/>
        <rFont val="Noto Sans CJK SC"/>
        <family val="2"/>
      </rPr>
      <t xml:space="preserve">、淨利 </t>
    </r>
    <r>
      <rPr>
        <sz val="11"/>
        <rFont val="Cambria"/>
        <family val="0"/>
        <charset val="1"/>
      </rPr>
      <t xml:space="preserve">30.8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EPS 758.83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g_anc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</si>
  <si>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｜目標價＝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明確期＋永續）＋ 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（日本設備同業前瞻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）；規則值（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見頂）為參考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</si>
  <si>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月期」）。金額為日圓，未建匯率（公司前提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美元＝</t>
    </r>
    <r>
      <rPr>
        <sz val="11"/>
        <rFont val="Cambria"/>
        <family val="0"/>
        <charset val="1"/>
      </rPr>
      <t xml:space="preserve">150 </t>
    </r>
    <r>
      <rPr>
        <sz val="11"/>
        <rFont val="Noto Sans CJK SC"/>
        <family val="2"/>
      </rPr>
      <t xml:space="preserve">日圓，日圓計價比重高，匯率影響輕微）。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</si>
  <si>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頁底部延伸區塊，灰底）。情境：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＝不如預期（設備市場讀 </t>
    </r>
    <r>
      <rPr>
        <sz val="11"/>
        <rFont val="Cambria"/>
        <family val="0"/>
        <charset val="1"/>
      </rPr>
      <t xml:space="preserve">markets/equipment </t>
    </r>
    <r>
      <rPr>
        <sz val="11"/>
        <rFont val="Noto Sans CJK SC"/>
        <family val="2"/>
      </rPr>
      <t xml:space="preserve">同字母）。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</si>
  <si>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</si>
  <si>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可識別性：</t>
    </r>
    <r>
      <rPr>
        <sz val="11"/>
        <rFont val="Cambria"/>
        <family val="0"/>
        <charset val="1"/>
      </rPr>
      <t xml:space="preserve">SPE </t>
    </r>
    <r>
      <rPr>
        <sz val="11"/>
        <rFont val="Noto Sans CJK SC"/>
        <family val="2"/>
      </rPr>
      <t xml:space="preserve">只有營收與部門營業利益，無產品別金額；探針台／加工裝置比例取自公司「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割前半／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割後半」的定性說法；超額成長與中國變數為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</si>
  <si>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accretech/README.md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</si>
  <si>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頁最後新增「上檔空間級距」「投資建議」兩列（依「上檔空間：加權目標價」固定規則）；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頁最後新增投資建議與重點觀察三點。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</si>
  <si>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¥19,528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10,189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28,867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25.8%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+86.0%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的倍數：同業（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34.0 </t>
    </r>
    <r>
      <rPr>
        <sz val="11"/>
        <color theme="1"/>
        <rFont val="Noto Sans CJK SC"/>
        <family val="2"/>
      </rPr>
      <t xml:space="preserve">倍，東京精密自身前瞻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21.9 </t>
    </r>
    <r>
      <rPr>
        <sz val="11"/>
        <color theme="1"/>
        <rFont val="Noto Sans CJK SC"/>
        <family val="2"/>
      </rPr>
      <t xml:space="preserve">倍、現價隱含 </t>
    </r>
    <r>
      <rPr>
        <sz val="11"/>
        <color theme="1"/>
        <rFont val="Calibri"/>
        <family val="2"/>
        <charset val="1"/>
      </rPr>
      <t xml:space="preserve">18.3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849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未扣本公司長期低於同業的折價；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只比共識前瞻 </t>
    </r>
    <r>
      <rPr>
        <sz val="11"/>
        <color theme="1"/>
        <rFont val="Calibri"/>
        <family val="2"/>
        <charset val="1"/>
      </rPr>
      <t xml:space="preserve">EPS 801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反而比現價低 </t>
    </r>
    <r>
      <rPr>
        <sz val="11"/>
        <color theme="1"/>
        <rFont val="Calibri"/>
        <family val="2"/>
        <charset val="1"/>
      </rPr>
      <t xml:space="preserve">34.3%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ROE 13.9%</t>
    </r>
    <r>
      <rPr>
        <sz val="11"/>
        <color theme="1"/>
        <rFont val="Noto Sans CJK SC"/>
        <family val="2"/>
      </rPr>
      <t xml:space="preserve">、再投資率 </t>
    </r>
    <r>
      <rPr>
        <sz val="11"/>
        <color theme="1"/>
        <rFont val="Calibri"/>
        <family val="2"/>
        <charset val="1"/>
      </rPr>
      <t xml:space="preserve">28.7%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</si>
  <si>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：共識目標價 </t>
    </r>
    <r>
      <rPr>
        <sz val="11"/>
        <color theme="1"/>
        <rFont val="Calibri"/>
        <family val="2"/>
        <charset val="1"/>
      </rPr>
      <t xml:space="preserve">20,900 </t>
    </r>
    <r>
      <rPr>
        <sz val="11"/>
        <color theme="1"/>
        <rFont val="Noto Sans CJK SC"/>
        <family val="2"/>
      </rPr>
      <t xml:space="preserve">只隱含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倍（比同業中位數低 </t>
    </r>
    <r>
      <rPr>
        <sz val="11"/>
        <color theme="1"/>
        <rFont val="Calibri"/>
        <family val="2"/>
        <charset val="1"/>
      </rPr>
      <t xml:space="preserve">23.3%</t>
    </r>
    <r>
      <rPr>
        <sz val="11"/>
        <color theme="1"/>
        <rFont val="Noto Sans CJK SC"/>
        <family val="2"/>
      </rPr>
      <t xml:space="preserve">），市場已給折價；若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 </t>
    </r>
    <r>
      <rPr>
        <sz val="11"/>
        <color theme="1"/>
        <rFont val="Calibri"/>
        <family val="2"/>
        <charset val="1"/>
      </rPr>
      <t xml:space="preserve">26.1 </t>
    </r>
    <r>
      <rPr>
        <sz val="11"/>
        <color theme="1"/>
        <rFont val="Noto Sans CJK SC"/>
        <family val="2"/>
      </rPr>
      <t xml:space="preserve">倍，加權目標價約落在中立區。情境 </t>
    </r>
    <r>
      <rPr>
        <sz val="11"/>
        <color theme="1"/>
        <rFont val="Calibri"/>
        <family val="2"/>
        <charset val="1"/>
      </rPr>
      <t xml:space="preserve">FY2028 EPS A 1,077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831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562</t>
    </r>
    <r>
      <rPr>
        <sz val="11"/>
        <color theme="1"/>
        <rFont val="Noto Sans CJK SC"/>
        <family val="2"/>
      </rPr>
      <t xml:space="preserve">，現價隱含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 </t>
    </r>
    <r>
      <rPr>
        <sz val="11"/>
        <color theme="1"/>
        <rFont val="Calibri"/>
        <family val="2"/>
        <charset val="1"/>
      </rPr>
      <t xml:space="preserve">A 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</si>
  <si>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錨點（實績低於指引 </t>
    </r>
    <r>
      <rPr>
        <sz val="11"/>
        <color theme="1"/>
        <rFont val="Calibri"/>
        <family val="2"/>
        <charset val="1"/>
      </rPr>
      <t xml:space="preserve">3% → −3.6%</t>
    </r>
    <r>
      <rPr>
        <sz val="11"/>
        <color theme="1"/>
        <rFont val="Noto Sans CJK SC"/>
        <family val="2"/>
      </rPr>
      <t xml:space="preserve">、高於 </t>
    </r>
    <r>
      <rPr>
        <sz val="11"/>
        <color theme="1"/>
        <rFont val="Calibri"/>
        <family val="2"/>
        <charset val="1"/>
      </rPr>
      <t xml:space="preserve">5% → +6.0%</t>
    </r>
    <r>
      <rPr>
        <sz val="11"/>
        <color theme="1"/>
        <rFont val="Noto Sans CJK SC"/>
        <family val="2"/>
      </rPr>
      <t xml:space="preserve">）與中國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20% → −4.5%</t>
    </r>
    <r>
      <rPr>
        <sz val="11"/>
        <color theme="1"/>
        <rFont val="Noto Sans CJK SC"/>
        <family val="2"/>
      </rPr>
      <t xml:space="preserve">）最敏感，情境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 −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。下一個檢驗事件是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第二季財報（約 </t>
    </r>
    <r>
      <rPr>
        <sz val="11"/>
        <color theme="1"/>
        <rFont val="Calibri"/>
        <family val="2"/>
        <charset val="1"/>
      </rPr>
      <t xml:space="preserve">2026-11 </t>
    </r>
    <r>
      <rPr>
        <sz val="11"/>
        <color theme="1"/>
        <rFont val="Noto Sans CJK SC"/>
        <family val="2"/>
      </rPr>
      <t xml:space="preserve">上旬，日期未確認）：上半年實績與全年指引是否維持。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</si>
  <si>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：日圓。每個輸入附標記與來源；找不到者寫「未找到」，公司未揭露者寫「公司不揭露」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</si>
  <si>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accretech.com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適時開示）以網頁擷取工具讀取；表格錯位處以算術核對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</si>
  <si>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</si>
  <si>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</si>
  <si>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</si>
  <si>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</si>
  <si>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</si>
  <si>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</si>
  <si>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</si>
  <si>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</si>
  <si>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</si>
  <si>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；校準錨）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</si>
  <si>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</si>
  <si>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</si>
  <si>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</si>
  <si>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</si>
  <si>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 </t>
    </r>
    <r>
      <rPr>
        <sz val="11"/>
        <color theme="1"/>
        <rFont val="Noto Sans CJK SC"/>
        <family val="2"/>
      </rPr>
      <t xml:space="preserve">百萬日圓（</t>
    </r>
    <r>
      <rPr>
        <sz val="11"/>
        <color theme="1"/>
        <rFont val="Calibri"/>
        <family val="2"/>
        <charset val="1"/>
      </rPr>
      <t xml:space="preserve">+10.8%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</si>
  <si>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166,839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</si>
  <si>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</si>
  <si>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</si>
  <si>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68,860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41.3%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</si>
  <si>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62,453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41.5%</t>
    </r>
    <r>
      <rPr>
        <sz val="11"/>
        <color theme="1"/>
        <rFont val="Noto Sans CJK SC"/>
        <family val="2"/>
      </rPr>
      <t xml:space="preserve">）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</si>
  <si>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</si>
  <si>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</si>
  <si>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35,122</t>
    </r>
  </si>
  <si>
    <r>
      <rPr>
        <sz val="11"/>
        <color theme="1"/>
        <rFont val="Noto Sans CJK SC"/>
        <family val="2"/>
      </rPr>
      <t xml:space="preserve">毛利 − 銷管費 ＝ </t>
    </r>
    <r>
      <rPr>
        <sz val="11"/>
        <color theme="1"/>
        <rFont val="Calibri"/>
        <family val="2"/>
        <charset val="1"/>
      </rPr>
      <t xml:space="preserve">33,738 </t>
    </r>
    <r>
      <rPr>
        <sz val="11"/>
        <color theme="1"/>
        <rFont val="Noto Sans CJK SC"/>
        <family val="2"/>
      </rPr>
      <t xml:space="preserve">＝ 營業利益（算術核對）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</si>
  <si>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</si>
  <si>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</si>
  <si>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</si>
  <si>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33,738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</si>
  <si>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</si>
  <si>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</si>
  <si>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3.5%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含較多營業外與特別利益，淨利 </t>
    </r>
    <r>
      <rPr>
        <sz val="11"/>
        <color theme="1"/>
        <rFont val="Calibri"/>
        <family val="2"/>
        <charset val="1"/>
      </rPr>
      <t xml:space="preserve">25,637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</si>
  <si>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24,739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</si>
  <si>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</si>
  <si>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</si>
  <si>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</si>
  <si>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610.02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606.14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</si>
  <si>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610.02</t>
    </r>
  </si>
  <si>
    <t xml:space="preserve">spe_25</t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</si>
  <si>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</si>
  <si>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127,878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113,481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</si>
  <si>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235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411 </t>
    </r>
    <r>
      <rPr>
        <sz val="11"/>
        <color theme="1"/>
        <rFont val="Noto Sans CJK SC"/>
        <family val="2"/>
      </rPr>
      <t xml:space="preserve">億（合計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</si>
  <si>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t xml:space="preserve">spe_op25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</si>
  <si>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</si>
  <si>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28,404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</si>
  <si>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107 </t>
    </r>
    <r>
      <rPr>
        <sz val="11"/>
        <color theme="1"/>
        <rFont val="Noto Sans CJK SC"/>
        <family val="2"/>
      </rPr>
      <t xml:space="preserve">億</t>
    </r>
  </si>
  <si>
    <t xml:space="preserve">met_25</t>
  </si>
  <si>
    <r>
      <rPr>
        <sz val="11"/>
        <color theme="1"/>
        <rFont val="Noto Sans CJK SC"/>
        <family val="2"/>
      </rPr>
      <t xml:space="preserve">計測機器營收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</si>
  <si>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38,960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37,053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</si>
  <si>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128 </t>
    </r>
    <r>
      <rPr>
        <sz val="11"/>
        <color theme="1"/>
        <rFont val="Noto Sans CJK SC"/>
        <family val="2"/>
      </rPr>
      <t xml:space="preserve">億</t>
    </r>
  </si>
  <si>
    <t xml:space="preserve">met_op25</t>
  </si>
  <si>
    <r>
      <rPr>
        <sz val="11"/>
        <color theme="1"/>
        <rFont val="Noto Sans CJK SC"/>
        <family val="2"/>
      </rPr>
      <t xml:space="preserve">計測機器營業利益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</si>
  <si>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5,333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</si>
  <si>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）：四季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億</t>
    </r>
  </si>
  <si>
    <t xml:space="preserve">ord_25</t>
  </si>
  <si>
    <r>
      <rPr>
        <sz val="11"/>
        <color theme="1"/>
        <rFont val="Noto Sans CJK SC"/>
        <family val="2"/>
      </rPr>
      <t xml:space="preserve">受注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＋計測）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</si>
  <si>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163,096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 123,396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39,700</t>
    </r>
    <r>
      <rPr>
        <sz val="11"/>
        <color theme="1"/>
        <rFont val="Noto Sans CJK SC"/>
        <family val="2"/>
      </rPr>
      <t xml:space="preserve">）；期末受注殘 </t>
    </r>
    <r>
      <rPr>
        <sz val="11"/>
        <color theme="1"/>
        <rFont val="Calibri"/>
        <family val="2"/>
        <charset val="1"/>
      </rPr>
      <t xml:space="preserve">79,359</t>
    </r>
  </si>
  <si>
    <t xml:space="preserve">只作參考（未進推導）</t>
  </si>
  <si>
    <r>
      <rPr>
        <b val="true"/>
        <sz val="11"/>
        <rFont val="Cambria"/>
        <family val="0"/>
        <charset val="1"/>
      </rPr>
      <t xml:space="preserve">B. FY2026 </t>
    </r>
    <r>
      <rPr>
        <b val="true"/>
        <sz val="11"/>
        <rFont val="Noto Sans CJK SC"/>
        <family val="2"/>
      </rPr>
      <t xml:space="preserve">錨點：公司指引（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修正，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）與第一季實績</t>
    </r>
  </si>
  <si>
    <t xml:space="preserve">g26_rev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</si>
  <si>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2027-03</t>
    </r>
    <r>
      <rPr>
        <sz val="11"/>
        <color theme="1"/>
        <rFont val="Noto Sans CJK SC"/>
        <family val="2"/>
      </rPr>
      <t xml:space="preserve">）</t>
    </r>
  </si>
  <si>
    <t xml:space="preserve">Interested-party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</si>
  <si>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189,000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+13.3%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181,500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</si>
  <si>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）：上修理由＝受注殘與強勁詢價，主要上修下半；營收只含已確保材料的部分（公司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</si>
  <si>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g26_met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</si>
  <si>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計測機器營收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</si>
  <si>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月原指引計測 </t>
    </r>
    <r>
      <rPr>
        <sz val="11"/>
        <color theme="1"/>
        <rFont val="Calibri"/>
        <family val="2"/>
        <charset val="1"/>
      </rPr>
      <t xml:space="preserve">400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</si>
  <si>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）：計測通期 </t>
    </r>
    <r>
      <rPr>
        <sz val="11"/>
        <color theme="1"/>
        <rFont val="Calibri"/>
        <family val="2"/>
        <charset val="1"/>
      </rPr>
      <t xml:space="preserve">+15 </t>
    </r>
    <r>
      <rPr>
        <sz val="11"/>
        <color theme="1"/>
        <rFont val="Noto Sans CJK SC"/>
        <family val="2"/>
      </rPr>
      <t xml:space="preserve">億上修（下半為主）</t>
    </r>
  </si>
  <si>
    <t xml:space="preserve">g26_spe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</si>
  <si>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營收（＝營收 − 計測）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</si>
  <si>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</si>
  <si>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189.0 − 41.5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147.5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</si>
  <si>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SPE 141.5 </t>
    </r>
    <r>
      <rPr>
        <sz val="11"/>
        <color theme="1"/>
        <rFont val="Noto Sans CJK SC"/>
        <family val="2"/>
      </rPr>
      <t xml:space="preserve">＋ 上修 </t>
    </r>
    <r>
      <rPr>
        <sz val="11"/>
        <color theme="1"/>
        <rFont val="Calibri"/>
        <family val="2"/>
        <charset val="1"/>
      </rPr>
      <t xml:space="preserve">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SPE +60 </t>
    </r>
    <r>
      <rPr>
        <sz val="11"/>
        <color theme="1"/>
        <rFont val="Noto Sans CJK SC"/>
        <family val="2"/>
      </rPr>
      <t xml:space="preserve">億）＝ </t>
    </r>
    <r>
      <rPr>
        <sz val="11"/>
        <color theme="1"/>
        <rFont val="Calibri"/>
        <family val="2"/>
        <charset val="1"/>
      </rPr>
      <t xml:space="preserve">147.5</t>
    </r>
    <r>
      <rPr>
        <sz val="11"/>
        <color theme="1"/>
        <rFont val="Noto Sans CJK SC"/>
        <family val="2"/>
      </rPr>
      <t xml:space="preserve">，相同</t>
    </r>
  </si>
  <si>
    <t xml:space="preserve">g26_oi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</si>
  <si>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</si>
  <si>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44,000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+30.4%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40,000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</si>
  <si>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、下半 </t>
    </r>
    <r>
      <rPr>
        <sz val="11"/>
        <color theme="1"/>
        <rFont val="Calibri"/>
        <family val="2"/>
        <charset val="1"/>
      </rPr>
      <t xml:space="preserve">24,900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</si>
  <si>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g26_ni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</si>
  <si>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</si>
  <si>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30,800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+24.5%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758.83</t>
    </r>
  </si>
  <si>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月原指引 </t>
    </r>
    <r>
      <rPr>
        <sz val="11"/>
        <color theme="1"/>
        <rFont val="Calibri"/>
        <family val="2"/>
        <charset val="1"/>
      </rPr>
      <t xml:space="preserve">28,000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689.87</t>
    </r>
  </si>
  <si>
    <t xml:space="preserve">g26_eps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</si>
  <si>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EPS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</si>
  <si>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758.83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</si>
  <si>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758.81</t>
    </r>
  </si>
  <si>
    <t xml:space="preserve">m_spe26</t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</si>
  <si>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營業利益率（公司說法）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</si>
  <si>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</si>
  <si>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）：通期半導體營業利益率假設「</t>
    </r>
    <r>
      <rPr>
        <sz val="11"/>
        <color theme="1"/>
        <rFont val="Calibri"/>
        <family val="2"/>
        <charset val="1"/>
      </rPr>
      <t xml:space="preserve">25-6%</t>
    </r>
    <r>
      <rPr>
        <sz val="11"/>
        <color theme="1"/>
        <rFont val="Noto Sans CJK SC"/>
        <family val="2"/>
      </rPr>
      <t xml:space="preserve">」（原文如此，應為 </t>
    </r>
    <r>
      <rPr>
        <sz val="11"/>
        <color theme="1"/>
        <rFont val="Calibri"/>
        <family val="2"/>
        <charset val="1"/>
      </rPr>
      <t xml:space="preserve">25–26%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</si>
  <si>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計測營業利益＝指引營業利益 − 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）；基準取中點</t>
    </r>
  </si>
  <si>
    <t xml:space="preserve">g_anc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</si>
  <si>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實績相對公司指引（營收；兩部門同比例）</t>
    </r>
  </si>
  <si>
    <t xml:space="preserve">Assumed</t>
  </si>
  <si>
    <r>
      <rPr>
        <sz val="11"/>
        <color theme="1"/>
        <rFont val="Noto Sans CJK SC"/>
        <family val="2"/>
      </rPr>
      <t xml:space="preserve">基準＝公司指引（第二季尚未公布）；高：公司稱受注約為產能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倍、營收只含已確保材料，材料增加可再多數百億日圓（公司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</si>
  <si>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低：營收認列遞延（交期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個月）。營業利益隨營收以邊際利潤率（</t>
    </r>
    <r>
      <rPr>
        <sz val="11"/>
        <color theme="1"/>
        <rFont val="Calibri"/>
        <family val="2"/>
        <charset val="1"/>
      </rPr>
      <t xml:space="preserve">v_s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v_m</t>
    </r>
    <r>
      <rPr>
        <sz val="11"/>
        <color theme="1"/>
        <rFont val="Noto Sans CJK SC"/>
        <family val="2"/>
      </rPr>
      <t xml:space="preserve">）變動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</si>
  <si>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</si>
  <si>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</si>
  <si>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</si>
  <si>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36,716</t>
    </r>
  </si>
  <si>
    <t xml:space="preserve">q1_oi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</si>
  <si>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</si>
  <si>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5,920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+29.2%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</si>
  <si>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</t>
    </r>
  </si>
  <si>
    <t xml:space="preserve">q1_ni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</si>
  <si>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</si>
  <si>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4,667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115.01</t>
    </r>
  </si>
  <si>
    <t xml:space="preserve">q1_ord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</si>
  <si>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第一季受注（全社）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</si>
  <si>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+83%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SPE 532</t>
    </r>
    <r>
      <rPr>
        <sz val="11"/>
        <color theme="1"/>
        <rFont val="Noto Sans CJK SC"/>
        <family val="2"/>
      </rPr>
      <t xml:space="preserve">、計測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；創新高；受注約一半來自中國）</t>
    </r>
  </si>
  <si>
    <r>
      <rPr>
        <sz val="11"/>
        <color theme="1"/>
        <rFont val="Noto Sans CJK SC"/>
        <family val="2"/>
      </rPr>
      <t xml:space="preserve">第一季末受注殘約 </t>
    </r>
    <r>
      <rPr>
        <sz val="11"/>
        <color theme="1"/>
        <rFont val="Calibri"/>
        <family val="2"/>
        <charset val="1"/>
      </rPr>
      <t xml:space="preserve">1,085 </t>
    </r>
    <r>
      <rPr>
        <sz val="11"/>
        <color theme="1"/>
        <rFont val="Noto Sans CJK SC"/>
        <family val="2"/>
      </rPr>
      <t xml:space="preserve">億（說明資料表格錯位，參考值）</t>
    </r>
  </si>
  <si>
    <t xml:space="preserve">gh1_rev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</si>
  <si>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</si>
  <si>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88,500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19,100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13,400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</si>
  <si>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第二季隱含營收 </t>
    </r>
    <r>
      <rPr>
        <sz val="11"/>
        <color theme="1"/>
        <rFont val="Calibri"/>
        <family val="2"/>
        <charset val="1"/>
      </rPr>
      <t xml:space="preserve">51.8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</si>
  <si>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shares</t>
  </si>
  <si>
    <t xml:space="preserve">加權平均股數（扣除員工持股信託）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</si>
  <si>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</si>
  <si>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）：第一季期中平均 </t>
    </r>
    <r>
      <rPr>
        <sz val="11"/>
        <color theme="1"/>
        <rFont val="Calibri"/>
        <family val="2"/>
        <charset val="1"/>
      </rPr>
      <t xml:space="preserve">40,588,440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</si>
  <si>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40,554,349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</t>
    </r>
  </si>
  <si>
    <r>
      <rPr>
        <b val="true"/>
        <sz val="11"/>
        <rFont val="Cambria"/>
        <family val="0"/>
        <charset val="1"/>
      </rPr>
      <t xml:space="preserve">C. SPE </t>
    </r>
    <r>
      <rPr>
        <b val="true"/>
        <sz val="11"/>
        <rFont val="Noto Sans CJK SC"/>
        <family val="2"/>
      </rPr>
      <t xml:space="preserve">產品組合與客戶結構（公司說法；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</si>
  <si>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t xml:space="preserve">w_pr</t>
  </si>
  <si>
    <r>
      <rPr>
        <sz val="11"/>
        <color theme="1"/>
        <rFont val="Noto Sans CJK SC"/>
        <family val="2"/>
      </rPr>
      <t xml:space="preserve">探針台（</t>
    </r>
    <r>
      <rPr>
        <sz val="11"/>
        <color theme="1"/>
        <rFont val="Calibri"/>
        <family val="2"/>
        <charset val="1"/>
      </rPr>
      <t xml:space="preserve">prober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</si>
  <si>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營收構成 探針台「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割前半」、加工裝置（切割、研削、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等）「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割後半」</t>
    </r>
  </si>
  <si>
    <r>
      <rPr>
        <sz val="11"/>
        <color theme="1"/>
        <rFont val="Noto Sans CJK SC"/>
        <family val="2"/>
      </rPr>
      <t xml:space="preserve">公司不揭露金額；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構成比未找到，假設與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上半相同（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</si>
  <si>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w_cmp</t>
  </si>
  <si>
    <r>
      <rPr>
        <sz val="11"/>
        <color theme="1"/>
        <rFont val="Noto Sans CJK SC"/>
        <family val="2"/>
      </rPr>
      <t xml:space="preserve">加工裝置中屬晶圓前段（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等）的比例</t>
    </r>
  </si>
  <si>
    <r>
      <rPr>
        <sz val="11"/>
        <color theme="1"/>
        <rFont val="Noto Sans CJK SC"/>
        <family val="2"/>
      </rPr>
      <t xml:space="preserve">未找到：公司不揭露切割機、研削機、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各自金額</t>
    </r>
  </si>
  <si>
    <r>
      <rPr>
        <sz val="11"/>
        <color theme="1"/>
        <rFont val="Noto Sans CJK SC"/>
        <family val="2"/>
      </rPr>
      <t xml:space="preserve">前段部分跟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「晶圓前段設備」，其餘跟「先進封裝〔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〕」</t>
    </r>
  </si>
  <si>
    <t xml:space="preserve">hpc</t>
  </si>
  <si>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（含生成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</si>
  <si>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營收「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割半ば」，其中邏輯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；受注約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</si>
  <si>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QA_2026_1q_J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）。只作說明，未進推導（上游設備路徑已含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</si>
  <si>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t xml:space="preserve">chn</t>
  </si>
  <si>
    <r>
      <rPr>
        <sz val="11"/>
        <color theme="1"/>
        <rFont val="Noto Sans CJK SC"/>
        <family val="2"/>
      </rPr>
      <t xml:space="preserve">中國占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</si>
  <si>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）：第一季受注「半分弱」來自中國</t>
    </r>
  </si>
  <si>
    <t xml:space="preserve">營收占比未找到（補足資料表格錯位）；以受注比代替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</si>
  <si>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設備市場（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5A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5C</t>
    </r>
    <r>
      <rPr>
        <b val="true"/>
        <sz val="11"/>
        <rFont val="Noto Sans CJK SC"/>
        <family val="2"/>
      </rPr>
      <t xml:space="preserve">，同字母情境；唯讀）</t>
    </r>
  </si>
  <si>
    <t xml:space="preserve">tstA_25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</si>
  <si>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</si>
  <si>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</si>
  <si>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Mkt!C126:G126</t>
    </r>
  </si>
  <si>
    <r>
      <rPr>
        <sz val="11"/>
        <color theme="1"/>
        <rFont val="Calibri"/>
        <family val="2"/>
        <charset val="1"/>
      </rPr>
      <t xml:space="preserve">markets/equipment v0.1.3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不同（設備市場模型的情境係數為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</si>
  <si>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tstA_26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</si>
  <si>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</si>
  <si>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</si>
  <si>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tstA_27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</si>
  <si>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</si>
  <si>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</si>
  <si>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</si>
  <si>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tstA_29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</si>
  <si>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</si>
  <si>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</si>
  <si>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</si>
  <si>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Mkt!C125:G125</t>
    </r>
  </si>
  <si>
    <t xml:space="preserve">apkA_26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</si>
  <si>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</si>
  <si>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</si>
  <si>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</si>
  <si>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</si>
  <si>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</si>
  <si>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apkA_29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</si>
  <si>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</si>
  <si>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</si>
  <si>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</si>
  <si>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Mkt!C127:G127</t>
    </r>
  </si>
  <si>
    <t xml:space="preserve">wfeA_26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</si>
  <si>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</si>
  <si>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</si>
  <si>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</si>
  <si>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</si>
  <si>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</si>
  <si>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wfeA_29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</si>
  <si>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</si>
  <si>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tstB_25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</si>
  <si>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</si>
  <si>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Mkt!C145:G145</t>
    </r>
  </si>
  <si>
    <t xml:space="preserve">tstB_26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</si>
  <si>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</si>
  <si>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</si>
  <si>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</si>
  <si>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</si>
  <si>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</si>
  <si>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tstB_29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</si>
  <si>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</si>
  <si>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</si>
  <si>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</si>
  <si>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Mkt!C144:G144</t>
    </r>
  </si>
  <si>
    <t xml:space="preserve">apkB_26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</si>
  <si>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</si>
  <si>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</si>
  <si>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</si>
  <si>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</si>
  <si>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</si>
  <si>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apkB_29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</si>
  <si>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</si>
  <si>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</si>
  <si>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</si>
  <si>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Mkt!C146:G146</t>
    </r>
  </si>
  <si>
    <t xml:space="preserve">wfeB_26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</si>
  <si>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</si>
  <si>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</si>
  <si>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</si>
  <si>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</si>
  <si>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</si>
  <si>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wfeB_29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</si>
  <si>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</si>
  <si>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tstC_25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</si>
  <si>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</si>
  <si>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Mkt!C164:G164</t>
    </r>
  </si>
  <si>
    <t xml:space="preserve">tstC_26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</si>
  <si>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</si>
  <si>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tstC_27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</si>
  <si>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</si>
  <si>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tstC_28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</si>
  <si>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</si>
  <si>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tstC_29</t>
  </si>
  <si>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</si>
  <si>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apkC_25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</si>
  <si>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</si>
  <si>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Mkt!C163:G163</t>
    </r>
  </si>
  <si>
    <t xml:space="preserve">apkC_26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</si>
  <si>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</si>
  <si>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apkC_27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</si>
  <si>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</si>
  <si>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apkC_28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</si>
  <si>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</si>
  <si>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apkC_29</t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</si>
  <si>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</si>
  <si>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wfeC_25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</si>
  <si>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</si>
  <si>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Mkt!C165:G165</t>
    </r>
  </si>
  <si>
    <t xml:space="preserve">wfeC_26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</si>
  <si>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</si>
  <si>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wfeC_27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</si>
  <si>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</si>
  <si>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wfeC_28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</si>
  <si>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</si>
  <si>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wfeC_29</t>
  </si>
  <si>
    <r>
      <rPr>
        <sz val="11"/>
        <color theme="1"/>
        <rFont val="Noto Sans CJK SC"/>
        <family val="2"/>
      </rPr>
      <t xml:space="preserve">晶圓前段設備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</si>
  <si>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</si>
  <si>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設備市場相對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（三情境相同；市場層只到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</si>
  <si>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3/4 × CY2029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1/4 × CY2030</t>
    </r>
    <r>
      <rPr>
        <sz val="11"/>
        <color theme="1"/>
        <rFont val="Noto Sans CJK SC"/>
        <family val="2"/>
      </rPr>
      <t xml:space="preserve">，需要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；基準持平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</si>
  <si>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±10%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</si>
  <si>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公司特有情境變數（方向一致：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</si>
  <si>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exc_A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</si>
  <si>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</si>
  <si>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</si>
  <si>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高溫控精度探針台（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邏輯）組合提升；探針台產能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初約 </t>
    </r>
    <r>
      <rPr>
        <sz val="11"/>
        <color theme="1"/>
        <rFont val="Calibri"/>
        <family val="2"/>
        <charset val="1"/>
      </rPr>
      <t xml:space="preserve">1.2 </t>
    </r>
    <r>
      <rPr>
        <sz val="11"/>
        <color theme="1"/>
        <rFont val="Noto Sans CJK SC"/>
        <family val="2"/>
      </rPr>
      <t xml:space="preserve">倍、飯能新廠（公司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</t>
    </r>
  </si>
  <si>
    <t xml:space="preserve">份額水準未找到（探針台、切割機均無一手市場調查）；只以變化進入模型</t>
  </si>
  <si>
    <t xml:space="preserve">exc_B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</si>
  <si>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</si>
  <si>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與市場同步</t>
  </si>
  <si>
    <t xml:space="preserve">exc_C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</si>
  <si>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相對設備市場的年超額成長（份額＋產品組合；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</si>
  <si>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中國受注占比高（約一半）、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世代交替遞延（公司 </t>
    </r>
    <r>
      <rPr>
        <sz val="11"/>
        <color theme="1"/>
        <rFont val="Calibri"/>
        <family val="2"/>
        <charset val="1"/>
      </rPr>
      <t xml:space="preserve">2025-08 </t>
    </r>
    <r>
      <rPr>
        <sz val="11"/>
        <color theme="1"/>
        <rFont val="Noto Sans CJK SC"/>
        <family val="2"/>
      </rPr>
      <t xml:space="preserve">曾稱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探針台訂單延後一季）</t>
    </r>
  </si>
  <si>
    <t xml:space="preserve">chh_A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</si>
  <si>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</si>
  <si>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Noto Sans CJK SC"/>
        <family val="2"/>
      </rPr>
      <t xml:space="preserve">中國高階邏輯需求「高水準持續」為公司前提（公司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））；出口管制未在 </t>
    </r>
    <r>
      <rPr>
        <sz val="11"/>
        <color theme="1"/>
        <rFont val="Calibri"/>
        <family val="2"/>
        <charset val="1"/>
      </rPr>
      <t xml:space="preserve">Q&amp;A </t>
    </r>
    <r>
      <rPr>
        <sz val="11"/>
        <color theme="1"/>
        <rFont val="Noto Sans CJK SC"/>
        <family val="2"/>
      </rPr>
      <t xml:space="preserve">討論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</si>
  <si>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本變數）</t>
    </r>
  </si>
  <si>
    <t xml:space="preserve">chh_B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</si>
  <si>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</si>
  <si>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：中國需求消化或出口管制擴大；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：小幅回落</t>
    </r>
  </si>
  <si>
    <t xml:space="preserve">chh_C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</si>
  <si>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：中國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營收水準變化（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一半、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起全額）</t>
    </r>
  </si>
  <si>
    <t xml:space="preserve">gmet_A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</si>
  <si>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</si>
  <si>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Analogy</t>
  </si>
  <si>
    <r>
      <rPr>
        <sz val="11"/>
        <color theme="1"/>
        <rFont val="Noto Sans CJK SC"/>
        <family val="2"/>
      </rPr>
      <t xml:space="preserve">公司歷史（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頁）：計測營收 </t>
    </r>
    <r>
      <rPr>
        <sz val="11"/>
        <color theme="1"/>
        <rFont val="Calibri"/>
        <family val="2"/>
        <charset val="1"/>
      </rPr>
      <t xml:space="preserve">FY2018→FY2025 </t>
    </r>
    <r>
      <rPr>
        <sz val="11"/>
        <color theme="1"/>
        <rFont val="Noto Sans CJK SC"/>
        <family val="2"/>
      </rPr>
      <t xml:space="preserve">年複合約 </t>
    </r>
    <r>
      <rPr>
        <sz val="11"/>
        <color theme="1"/>
        <rFont val="Calibri"/>
        <family val="2"/>
        <charset val="1"/>
      </rPr>
      <t xml:space="preserve">2.7%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FY2020→FY2025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為疫情低點）</t>
    </r>
  </si>
  <si>
    <r>
      <rPr>
        <sz val="11"/>
        <color theme="1"/>
        <rFont val="Noto Sans CJK SC"/>
        <family val="2"/>
      </rPr>
      <t xml:space="preserve">與現在的差異：公司稱航太、國防、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資料中心與補助金帶動詢價（公司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））；車用（</t>
    </r>
    <r>
      <rPr>
        <sz val="11"/>
        <color theme="1"/>
        <rFont val="Calibri"/>
        <family val="2"/>
        <charset val="1"/>
      </rPr>
      <t xml:space="preserve">HV</t>
    </r>
    <r>
      <rPr>
        <sz val="11"/>
        <color theme="1"/>
        <rFont val="Noto Sans CJK SC"/>
        <family val="2"/>
      </rPr>
      <t xml:space="preserve">）投資屬一次性</t>
    </r>
  </si>
  <si>
    <t xml:space="preserve">gmet_B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</si>
  <si>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</si>
  <si>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gmet_C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</si>
  <si>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：計測機器營收年增（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</si>
  <si>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t xml:space="preserve">madjC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</si>
  <si>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營業利益率額外調整（價格、稼動）</t>
    </r>
  </si>
  <si>
    <t xml:space="preserve">pt</t>
  </si>
  <si>
    <t xml:space="preserve">無</t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</si>
  <si>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頁部門實績迴歸推得，不寫死）</t>
    </r>
  </si>
  <si>
    <t xml:space="preserve">v_s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</si>
  <si>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</t>
    </r>
    <r>
      <rPr>
        <sz val="11"/>
        <color theme="1"/>
        <rFont val="Calibri"/>
        <family val="2"/>
        <charset val="1"/>
      </rPr>
      <t xml:space="preserve">ΔSPE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÷ Δ</t>
    </r>
    <r>
      <rPr>
        <sz val="11"/>
        <color theme="1"/>
        <rFont val="Noto Sans CJK SC"/>
        <family val="2"/>
      </rPr>
      <t xml:space="preserve">營收）</t>
    </r>
  </si>
  <si>
    <t xml:space="preserve">x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</si>
  <si>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營業利益對營收最小平方法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</si>
  <si>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＋ </t>
    </r>
    <r>
      <rPr>
        <sz val="11"/>
        <color theme="1"/>
        <rFont val="Calibri"/>
        <family val="2"/>
        <charset val="1"/>
      </rPr>
      <t xml:space="preserve">v_s ×</t>
    </r>
    <r>
      <rPr>
        <sz val="11"/>
        <color theme="1"/>
        <rFont val="Noto Sans CJK SC"/>
        <family val="2"/>
      </rPr>
      <t xml:space="preserve">（營收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營收）</t>
    </r>
  </si>
  <si>
    <t xml:space="preserve">v_m</t>
  </si>
  <si>
    <t xml:space="preserve">計測機器邊際營業利益率</t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</si>
  <si>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八年</t>
    </r>
  </si>
  <si>
    <t xml:space="preserve">v_s2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</si>
  <si>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邊際營業利益率（只用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</si>
  <si>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頁五年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</si>
  <si>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</si>
  <si>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</si>
  <si>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基準＝公司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指引隱含 </t>
    </r>
    <r>
      <rPr>
        <sz val="11"/>
        <color theme="1"/>
        <rFont val="Calibri"/>
        <family val="2"/>
        <charset val="1"/>
      </rPr>
      <t xml:space="preserve">0.700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30.8 ÷ 44.0</t>
    </r>
    <r>
      <rPr>
        <sz val="11"/>
        <color theme="1"/>
        <rFont val="Noto Sans CJK SC"/>
        <family val="2"/>
      </rPr>
      <t xml:space="preserve">）；高＝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</si>
  <si>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FY2024 0.863 </t>
    </r>
    <r>
      <rPr>
        <sz val="11"/>
        <color theme="1"/>
        <rFont val="Noto Sans CJK SC"/>
        <family val="2"/>
      </rPr>
      <t xml:space="preserve">含特別利益，不採用；第一季 </t>
    </r>
    <r>
      <rPr>
        <sz val="11"/>
        <color theme="1"/>
        <rFont val="Calibri"/>
        <family val="2"/>
        <charset val="1"/>
      </rPr>
      <t xml:space="preserve">0.788 </t>
    </r>
    <r>
      <rPr>
        <sz val="11"/>
        <color theme="1"/>
        <rFont val="Noto Sans CJK SC"/>
        <family val="2"/>
      </rPr>
      <t xml:space="preserve">含匯兌與營業外收益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</si>
  <si>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估值與對帳輸入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</si>
  <si>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</si>
  <si>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</si>
  <si>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</si>
  <si>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</si>
  <si>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</si>
  <si>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</si>
  <si>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</si>
  <si>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</si>
  <si>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</si>
  <si>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</si>
  <si>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</si>
  <si>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</si>
  <si>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</si>
  <si>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；前日 </t>
    </r>
    <r>
      <rPr>
        <sz val="11"/>
        <color theme="1"/>
        <rFont val="Calibri"/>
        <family val="2"/>
        <charset val="1"/>
      </rPr>
      <t xml:space="preserve">16,015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</si>
  <si>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盤中 </t>
    </r>
    <r>
      <rPr>
        <sz val="11"/>
        <color theme="1"/>
        <rFont val="Calibri"/>
        <family val="2"/>
        <charset val="1"/>
      </rPr>
      <t xml:space="preserve">14,695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）只確認當日走勢；收盤第二來源未找到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</si>
  <si>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</si>
  <si>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</si>
  <si>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18,405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</si>
  <si>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842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</si>
  <si>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</si>
  <si>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</si>
  <si>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641.28</t>
    </r>
    <r>
      <rPr>
        <sz val="11"/>
        <color theme="1"/>
        <rFont val="Noto Sans CJK SC"/>
        <family val="2"/>
      </rPr>
      <t xml:space="preserve">）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</si>
  <si>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</si>
  <si>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</si>
  <si>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更新）：</t>
    </r>
    <r>
      <rPr>
        <sz val="11"/>
        <color theme="1"/>
        <rFont val="Calibri"/>
        <family val="2"/>
        <charset val="1"/>
      </rPr>
      <t xml:space="preserve">192,141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</si>
  <si>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）平均 </t>
    </r>
    <r>
      <rPr>
        <sz val="11"/>
        <color theme="1"/>
        <rFont val="Calibri"/>
        <family val="2"/>
        <charset val="1"/>
      </rPr>
      <t xml:space="preserve">189.7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（低／高取此）</t>
    </r>
  </si>
  <si>
    <t xml:space="preserve">cons_ni26</t>
  </si>
  <si>
    <r>
      <rPr>
        <sz val="11"/>
        <color theme="1"/>
        <rFont val="Noto Sans CJK SC"/>
        <family val="2"/>
      </rPr>
      <t xml:space="preserve">共識淨利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</si>
  <si>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32,556</t>
    </r>
  </si>
  <si>
    <t xml:space="preserve">第二來源：未找到</t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</si>
  <si>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</si>
  <si>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</si>
  <si>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801.46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</si>
  <si>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 EPS </t>
    </r>
    <r>
      <rPr>
        <sz val="11"/>
        <color theme="1"/>
        <rFont val="Noto Sans CJK SC"/>
        <family val="2"/>
      </rPr>
      <t xml:space="preserve">欄為「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」；</t>
    </r>
    <r>
      <rPr>
        <sz val="11"/>
        <color theme="1"/>
        <rFont val="Calibri"/>
        <family val="2"/>
        <charset val="1"/>
      </rPr>
      <t xml:space="preserve">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816.2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</si>
  <si>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ks_12m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</si>
  <si>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</si>
  <si>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kabuyoho.jp reportTarget</t>
    </r>
    <r>
      <rPr>
        <sz val="11"/>
        <color theme="1"/>
        <rFont val="Noto Sans CJK SC"/>
        <family val="2"/>
      </rPr>
      <t xml:space="preserve">（資料日 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</si>
  <si>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指引上修</t>
    </r>
  </si>
  <si>
    <t xml:space="preserve">mtp_rev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</si>
  <si>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月期）營收目標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</si>
  <si>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1,850 </t>
    </r>
    <r>
      <rPr>
        <sz val="11"/>
        <color theme="1"/>
        <rFont val="Noto Sans CJK SC"/>
        <family val="2"/>
      </rPr>
      <t xml:space="preserve">億、營業利益 </t>
    </r>
    <r>
      <rPr>
        <sz val="11"/>
        <color theme="1"/>
        <rFont val="Calibri"/>
        <family val="2"/>
        <charset val="1"/>
      </rPr>
      <t xml:space="preserve">450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ROE 15%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</si>
  <si>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指引營收已超過目標</t>
    </r>
  </si>
  <si>
    <t xml:space="preserve">mtp_oi</t>
  </si>
  <si>
    <r>
      <rPr>
        <sz val="11"/>
        <color theme="1"/>
        <rFont val="Noto Sans CJK SC"/>
        <family val="2"/>
      </rPr>
      <t xml:space="preserve">中期經營計畫：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營業利益目標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</si>
  <si>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</si>
  <si>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</si>
  <si>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</si>
  <si>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</si>
  <si>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</si>
  <si>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</si>
  <si>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</si>
  <si>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</si>
  <si>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</si>
  <si>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</si>
  <si>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</si>
  <si>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</si>
  <si>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日本利率較低，但依工作單不改值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</si>
  <si>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</si>
  <si>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</si>
  <si>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</si>
  <si>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</si>
  <si>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</si>
  <si>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</si>
  <si>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FY2025 13.5%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15.5%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））；</t>
    </r>
    <r>
      <rPr>
        <sz val="11"/>
        <color theme="1"/>
        <rFont val="Calibri"/>
        <family val="2"/>
        <charset val="1"/>
      </rPr>
      <t xml:space="preserve">FY2023 12.8%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roic.ai 12.79%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</si>
  <si>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公司說明資料擷取為 </t>
    </r>
    <r>
      <rPr>
        <sz val="11"/>
        <color theme="1"/>
        <rFont val="Calibri"/>
        <family val="2"/>
        <charset val="1"/>
      </rPr>
      <t xml:space="preserve">10.9%</t>
    </r>
    <r>
      <rPr>
        <sz val="11"/>
        <color theme="1"/>
        <rFont val="Noto Sans CJK SC"/>
        <family val="2"/>
      </rPr>
      <t xml:space="preserve">（擷取可能錯欄，未採用）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</si>
  <si>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</si>
  <si>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</si>
  <si>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</si>
  <si>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—</t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</si>
  <si>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</si>
  <si>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，各年淨利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營收的平均）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</si>
  <si>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年度資料，</t>
    </r>
    <r>
      <rPr>
        <sz val="11"/>
        <color theme="1"/>
        <rFont val="Calibri"/>
        <family val="2"/>
        <charset val="1"/>
      </rPr>
      <t xml:space="preserve">FY2018–FY2025 </t>
    </r>
    <r>
      <rPr>
        <sz val="11"/>
        <color theme="1"/>
        <rFont val="Noto Sans CJK SC"/>
        <family val="2"/>
      </rPr>
      <t xml:space="preserve">與公司文件交叉）</t>
    </r>
  </si>
  <si>
    <r>
      <rPr>
        <sz val="11"/>
        <color theme="1"/>
        <rFont val="Noto Sans CJK SC"/>
        <family val="2"/>
      </rPr>
      <t xml:space="preserve">收斂法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情境的淨利率目標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</si>
  <si>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</si>
  <si>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</si>
  <si>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minkabu </t>
    </r>
    <r>
      <rPr>
        <sz val="11"/>
        <color theme="1"/>
        <rFont val="Noto Sans CJK SC"/>
        <family val="2"/>
      </rPr>
      <t xml:space="preserve">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（強力買進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、買進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、中立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、強力賣出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</si>
  <si>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位）平均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20,800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16,500–24,000</t>
    </r>
    <r>
      <rPr>
        <sz val="11"/>
        <color theme="1"/>
        <rFont val="Noto Sans CJK SC"/>
        <family val="2"/>
      </rPr>
      <t xml:space="preserve">（資料更新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</si>
  <si>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</si>
  <si>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</si>
  <si>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＝共識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</t>
    </r>
    <r>
      <rPr>
        <sz val="11"/>
        <color theme="1"/>
        <rFont val="Calibri"/>
        <family val="2"/>
        <charset val="1"/>
      </rPr>
      <t xml:space="preserve">EPS 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</si>
  <si>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需付費）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</si>
  <si>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設備總額（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頁，同字母；只用於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結構檢查）</t>
    </r>
  </si>
  <si>
    <t xml:space="preserve">tot_A_25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</si>
  <si>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</si>
  <si>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Mkt!C129:G129</t>
    </r>
  </si>
  <si>
    <t xml:space="preserve">tot_A_26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</si>
  <si>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</si>
  <si>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</si>
  <si>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</si>
  <si>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</si>
  <si>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</si>
  <si>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tot_A_29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</si>
  <si>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</si>
  <si>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tot_B_25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</si>
  <si>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</si>
  <si>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Mkt!C148:G148</t>
    </r>
  </si>
  <si>
    <t xml:space="preserve">tot_B_26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</si>
  <si>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</si>
  <si>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</si>
  <si>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</si>
  <si>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</si>
  <si>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</si>
  <si>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tot_B_29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</si>
  <si>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</si>
  <si>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tot_C_25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</si>
  <si>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</si>
  <si>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Mkt!C167:G167</t>
    </r>
  </si>
  <si>
    <t xml:space="preserve">tot_C_26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</si>
  <si>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</si>
  <si>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tot_C_27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</si>
  <si>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</si>
  <si>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tot_C_28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</si>
  <si>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</si>
  <si>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tot_C_29</t>
  </si>
  <si>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</si>
  <si>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：松井證券季度表（百萬日圓）；來源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：公司決算說明資料（億日圓，部門）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</si>
  <si>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</si>
  <si>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</si>
  <si>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</si>
  <si>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</si>
  <si>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</si>
  <si>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</si>
  <si>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（公司上半指引隱含）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</si>
  <si>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</si>
  <si>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</si>
  <si>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30,876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46,194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35,901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53,868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36,716</t>
    </r>
  </si>
  <si>
    <r>
      <rPr>
        <sz val="11"/>
        <color theme="1"/>
        <rFont val="Noto Sans CJK SC"/>
        <family val="2"/>
      </rPr>
      <t xml:space="preserve">公司上半指引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</t>
    </r>
  </si>
  <si>
    <t xml:space="preserve">營業利益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</si>
  <si>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4,581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10,136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6,215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12,806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5,920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</si>
  <si>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19.1</t>
    </r>
  </si>
  <si>
    <t xml:space="preserve">淨利</t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</si>
  <si>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3,229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6,383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4,536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10,591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4,667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</si>
  <si>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13.4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</si>
  <si>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</si>
  <si>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t xml:space="preserve">松井</t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</si>
  <si>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EPS 330.14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</si>
  <si>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</si>
  <si>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（公司說明資料，億日圓取整）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</si>
  <si>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）（億日圓）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</si>
  <si>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127.9</t>
    </r>
    <r>
      <rPr>
        <sz val="11"/>
        <color theme="1"/>
        <rFont val="Noto Sans CJK SC"/>
        <family val="2"/>
      </rPr>
      <t xml:space="preserve">（說明資料四季合計 </t>
    </r>
    <r>
      <rPr>
        <sz val="11"/>
        <color theme="1"/>
        <rFont val="Calibri"/>
        <family val="2"/>
        <charset val="1"/>
      </rPr>
      <t xml:space="preserve">1,279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</si>
  <si>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</si>
  <si>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BR_2027-3_1q_J_2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</si>
  <si>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受注</t>
    </r>
  </si>
  <si>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+102%</t>
    </r>
    <r>
      <rPr>
        <sz val="11"/>
        <color theme="1"/>
        <rFont val="Noto Sans CJK SC"/>
        <family val="2"/>
      </rPr>
      <t xml:space="preserve">：會社想定比多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億以上，約一半來自中國；第二季預期低於第一季（部分提前）</t>
    </r>
  </si>
  <si>
    <t xml:space="preserve">計測營收</t>
  </si>
  <si>
    <t xml:space="preserve">計測營業利益</t>
  </si>
  <si>
    <t xml:space="preserve">營業利益率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</si>
  <si>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年度實績（營收、營業利益、淨利；應約為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</si>
  <si>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第一季營收占公司全年指引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</si>
  <si>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第一季占全年：</t>
    </r>
  </si>
  <si>
    <r>
      <rPr>
        <sz val="11"/>
        <color theme="1"/>
        <rFont val="Noto Sans CJK SC"/>
        <family val="2"/>
      </rPr>
      <t xml:space="preserve">公司揭露的結構（公司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決算說明會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QA_2027-3_1q_J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）：第一季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割半ば（邏輯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受注約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億日圓台半（邏輯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）；受注約為產能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倍；探針台、切割機交期 </t>
    </r>
    <r>
      <rPr>
        <sz val="11"/>
        <color theme="1"/>
        <rFont val="Calibri"/>
        <family val="2"/>
        <charset val="1"/>
      </rPr>
      <t xml:space="preserve">4–8 </t>
    </r>
    <r>
      <rPr>
        <sz val="11"/>
        <color theme="1"/>
        <rFont val="Noto Sans CJK SC"/>
        <family val="2"/>
      </rPr>
      <t xml:space="preserve">個月、研削機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個月以上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</si>
  <si>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為日圓）。合併：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年度資料（來源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起與公司決算短信、說明資料交叉；部門（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、計測）：公司說明資料（</t>
    </r>
    <r>
      <rPr>
        <sz val="11"/>
        <color theme="1"/>
        <rFont val="Calibri"/>
        <family val="2"/>
        <charset val="1"/>
      </rPr>
      <t xml:space="preserve">FY2018 </t>
    </r>
    <r>
      <rPr>
        <sz val="11"/>
        <color theme="1"/>
        <rFont val="Noto Sans CJK SC"/>
        <family val="2"/>
      </rPr>
      <t xml:space="preserve">起）。用途：邊際利潤率迴歸（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節）、十年平均淨利率、十年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</si>
  <si>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t+1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月（例：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月期）。過去十年無股票分割（各年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為公司公布值；</t>
    </r>
    <r>
      <rPr>
        <sz val="11"/>
        <color theme="1"/>
        <rFont val="Calibri"/>
        <family val="2"/>
        <charset val="1"/>
      </rPr>
      <t xml:space="preserve">roic.ai </t>
    </r>
    <r>
      <rPr>
        <sz val="11"/>
        <color theme="1"/>
        <rFont val="Noto Sans CJK SC"/>
        <family val="2"/>
      </rPr>
      <t xml:space="preserve">加權股數 </t>
    </r>
    <r>
      <rPr>
        <sz val="11"/>
        <color theme="1"/>
        <rFont val="Calibri"/>
        <family val="2"/>
        <charset val="1"/>
      </rPr>
      <t xml:space="preserve">41–42 </t>
    </r>
    <r>
      <rPr>
        <sz val="11"/>
        <color theme="1"/>
        <rFont val="Noto Sans CJK SC"/>
        <family val="2"/>
      </rPr>
      <t xml:space="preserve">百萬股，穩定）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</si>
  <si>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</si>
  <si>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（基本，日圓）</t>
    </r>
  </si>
  <si>
    <t xml:space="preserve">淨利率</t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</si>
  <si>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</si>
  <si>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營業利益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</si>
  <si>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</si>
  <si>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</si>
  <si>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18.81%</t>
    </r>
    <r>
      <rPr>
        <sz val="11"/>
        <color theme="1"/>
        <rFont val="Noto Sans CJK SC"/>
        <family val="2"/>
      </rPr>
      <t xml:space="preserve">）</t>
    </r>
  </si>
  <si>
    <t xml:space="preserve">roic.ai</t>
  </si>
  <si>
    <t xml:space="preserve">未找到</t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</si>
  <si>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</si>
  <si>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17.56%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</si>
  <si>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</si>
  <si>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（營業利益＝營收 </t>
    </r>
    <r>
      <rPr>
        <sz val="11"/>
        <color theme="1"/>
        <rFont val="Calibri"/>
        <family val="2"/>
        <charset val="1"/>
      </rPr>
      <t xml:space="preserve">× 19.60%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</si>
  <si>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</si>
  <si>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</si>
  <si>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；部門：公司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</si>
  <si>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</si>
  <si>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</si>
  <si>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</si>
  <si>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16.03%</t>
    </r>
    <r>
      <rPr>
        <sz val="11"/>
        <color theme="1"/>
        <rFont val="Noto Sans CJK SC"/>
        <family val="2"/>
      </rPr>
      <t xml:space="preserve">；部門合計 </t>
    </r>
    <r>
      <rPr>
        <sz val="11"/>
        <color theme="1"/>
        <rFont val="Calibri"/>
        <family val="2"/>
        <charset val="1"/>
      </rPr>
      <t xml:space="preserve">15.561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</si>
  <si>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部門：公司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</si>
  <si>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</si>
  <si>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roic.ai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</si>
  <si>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</si>
  <si>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</si>
  <si>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</si>
  <si>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</si>
  <si>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</si>
  <si>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</si>
  <si>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</si>
  <si>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JPX </t>
    </r>
    <r>
      <rPr>
        <sz val="11"/>
        <color theme="1"/>
        <rFont val="Noto Sans CJK SC"/>
        <family val="2"/>
      </rPr>
      <t xml:space="preserve">適時開示，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</si>
  <si>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finance.matsui.co.jp/stock/7729/settlement</t>
    </r>
    <r>
      <rPr>
        <sz val="11"/>
        <color theme="1"/>
        <rFont val="Noto Sans CJK SC"/>
        <family val="2"/>
      </rPr>
      <t xml:space="preserve">）；公司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決算說明補足資料（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</si>
  <si>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、部門合計 − 合併（應約為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</si>
  <si>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迴歸與 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</si>
  <si>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 ＝ 固定 ＋ 邊際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</si>
  <si>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t xml:space="preserve">  R²</t>
  </si>
  <si>
    <r>
      <rPr>
        <sz val="11"/>
        <color theme="1"/>
        <rFont val="Noto Sans CJK SC"/>
        <family val="2"/>
      </rPr>
      <t xml:space="preserve">  固定（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</si>
  <si>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計測營業利益：邊際（</t>
    </r>
    <r>
      <rPr>
        <sz val="11"/>
        <color theme="1"/>
        <rFont val="Calibri"/>
        <family val="2"/>
        <charset val="1"/>
      </rPr>
      <t xml:space="preserve">FY2018–FY2025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</si>
  <si>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邊際（只用 </t>
    </r>
    <r>
      <rPr>
        <sz val="11"/>
        <color theme="1"/>
        <rFont val="Calibri"/>
        <family val="2"/>
        <charset val="1"/>
      </rPr>
      <t xml:space="preserve">FY2021–FY2025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</si>
  <si>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</si>
  <si>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計測營收年複合 </t>
    </r>
    <r>
      <rPr>
        <sz val="11"/>
        <color theme="1"/>
        <rFont val="Calibri"/>
        <family val="2"/>
        <charset val="1"/>
      </rPr>
      <t xml:space="preserve">FY2020→FY2025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</si>
  <si>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FY2018→FY2025</t>
    </r>
  </si>
  <si>
    <r>
      <rPr>
        <sz val="11"/>
        <color theme="1"/>
        <rFont val="Noto Sans CJK SC"/>
        <family val="2"/>
      </rPr>
      <t xml:space="preserve">十年平均淨利率 </t>
    </r>
    <r>
      <rPr>
        <sz val="11"/>
        <color theme="1"/>
        <rFont val="Calibri"/>
        <family val="2"/>
        <charset val="1"/>
      </rPr>
      <t xml:space="preserve">FY2016–FY2025</t>
    </r>
  </si>
  <si>
    <r>
      <rPr>
        <sz val="11"/>
        <color theme="1"/>
        <rFont val="Noto Sans CJK SC"/>
        <family val="2"/>
      </rPr>
      <t xml:space="preserve">最大單年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營收下滑（</t>
    </r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</si>
  <si>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東京精密 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修正）；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</si>
  <si>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</si>
  <si>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</si>
  <si>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</si>
  <si>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</si>
  <si>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</si>
  <si>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</si>
  <si>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</si>
  <si>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</si>
  <si>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t xml:space="preserve">  探針台</t>
  </si>
  <si>
    <t xml:space="preserve">  加工裝置</t>
  </si>
  <si>
    <t xml:space="preserve">  計測機器</t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</si>
  <si>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營業利益率</t>
    </r>
  </si>
  <si>
    <t xml:space="preserve">EPS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</si>
  <si>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</si>
  <si>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</si>
  <si>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實績（營收與營業利益；捨入差約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</si>
  <si>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營收、營業利益、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差為股數捨入）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</si>
  <si>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（順利）：設備市場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（見頂 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+3%/</t>
    </r>
    <r>
      <rPr>
        <b val="true"/>
        <sz val="11"/>
        <rFont val="Noto Sans CJK SC"/>
        <family val="2"/>
      </rPr>
      <t xml:space="preserve">年；中國持平；計測 </t>
    </r>
    <r>
      <rPr>
        <b val="true"/>
        <sz val="11"/>
        <rFont val="Cambria"/>
        <family val="0"/>
        <charset val="1"/>
      </rPr>
      <t xml:space="preserve">+6%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</si>
  <si>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</si>
  <si>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</si>
  <si>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</si>
  <si>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</si>
  <si>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</si>
  <si>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</si>
  <si>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</si>
  <si>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測試與其他封裝設備</t>
  </si>
  <si>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g_tail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</si>
  <si>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先進封裝設備〔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〕</t>
    </r>
  </si>
  <si>
    <t xml:space="preserve">晶圓前段設備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</si>
  <si>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會計年度指數（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 × 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 × CY(t+1)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</si>
  <si>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t xml:space="preserve">探針台需求指數（測試與其他封裝）</t>
  </si>
  <si>
    <r>
      <rPr>
        <sz val="11"/>
        <color theme="1"/>
        <rFont val="Noto Sans CJK SC"/>
        <family val="2"/>
      </rPr>
      <t xml:space="preserve">加工裝置需求指數（前段 </t>
    </r>
    <r>
      <rPr>
        <sz val="11"/>
        <color theme="1"/>
        <rFont val="Calibri"/>
        <family val="2"/>
        <charset val="1"/>
      </rPr>
      <t xml:space="preserve">× w_cmp </t>
    </r>
    <r>
      <rPr>
        <sz val="11"/>
        <color theme="1"/>
        <rFont val="Noto Sans CJK SC"/>
        <family val="2"/>
      </rPr>
      <t xml:space="preserve">＋ 先進封裝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w_cmp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</si>
  <si>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公司特有：超額成長係數（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</si>
  <si>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公司特有：中國係數（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＋ 中國占比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中國變化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生效比例）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</si>
  <si>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公司指引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g_anc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</si>
  <si>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t xml:space="preserve">探針台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</si>
  <si>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上半構成比拆分（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</si>
  <si>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加工裝置（切割、研削、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</si>
  <si>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半導體製造裝置（</t>
    </r>
    <r>
      <rPr>
        <sz val="11"/>
        <color theme="1"/>
        <rFont val="Calibri"/>
        <family val="2"/>
        <charset val="1"/>
      </rPr>
      <t xml:space="preserve">SPE</t>
    </r>
    <r>
      <rPr>
        <sz val="11"/>
        <color theme="1"/>
        <rFont val="Noto Sans CJK SC"/>
        <family val="2"/>
      </rPr>
      <t xml:space="preserve">）營收</t>
    </r>
  </si>
  <si>
    <t xml:space="preserve">計測機器營收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</si>
  <si>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＝公司指引（</t>
    </r>
    <r>
      <rPr>
        <sz val="11"/>
        <color theme="1"/>
        <rFont val="Calibri"/>
        <family val="2"/>
        <charset val="1"/>
      </rPr>
      <t xml:space="preserve">g_anc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時）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</si>
  <si>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占營收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</si>
  <si>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損益（部門營業利益＝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 ＋ 邊際利潤率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營收變化）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</si>
  <si>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另加 </t>
    </r>
    <r>
      <rPr>
        <sz val="11"/>
        <color theme="1"/>
        <rFont val="Calibri"/>
        <family val="2"/>
        <charset val="1"/>
      </rPr>
      <t xml:space="preserve">madjC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</si>
  <si>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＝指引營業利益 − </t>
    </r>
    <r>
      <rPr>
        <sz val="11"/>
        <color theme="1"/>
        <rFont val="Calibri"/>
        <family val="2"/>
        <charset val="1"/>
      </rPr>
      <t xml:space="preserve">SPE</t>
    </r>
  </si>
  <si>
    <t xml:space="preserve">營業利益率（結果）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</si>
  <si>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指引淨利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nioi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</si>
  <si>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實績（部門合計捨入差約 </t>
    </r>
    <r>
      <rPr>
        <sz val="11"/>
        <color theme="1"/>
        <rFont val="Calibri"/>
        <family val="2"/>
        <charset val="1"/>
      </rPr>
      <t xml:space="preserve">0.002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</si>
  <si>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（平平）：設備市場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持平、</t>
    </r>
    <r>
      <rPr>
        <b val="true"/>
        <sz val="11"/>
        <rFont val="Cambria"/>
        <family val="0"/>
        <charset val="1"/>
      </rPr>
      <t xml:space="preserve">2029 −5%</t>
    </r>
    <r>
      <rPr>
        <b val="true"/>
        <sz val="11"/>
        <rFont val="Noto Sans CJK SC"/>
        <family val="2"/>
      </rPr>
      <t xml:space="preserve">）；超額成長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；中國 −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+4%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</si>
  <si>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</si>
  <si>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（不如預期）：設備市場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2028 −20%</t>
    </r>
    <r>
      <rPr>
        <b val="true"/>
        <sz val="11"/>
        <rFont val="Noto Sans CJK SC"/>
        <family val="2"/>
      </rPr>
      <t xml:space="preserve">）；超額成長 −</t>
    </r>
    <r>
      <rPr>
        <b val="true"/>
        <sz val="11"/>
        <rFont val="Cambria"/>
        <family val="0"/>
        <charset val="1"/>
      </rPr>
      <t xml:space="preserve">3%/</t>
    </r>
    <r>
      <rPr>
        <b val="true"/>
        <sz val="11"/>
        <rFont val="Noto Sans CJK SC"/>
        <family val="2"/>
      </rPr>
      <t xml:space="preserve">年；中國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；計測 </t>
    </r>
    <r>
      <rPr>
        <b val="true"/>
        <sz val="11"/>
        <rFont val="Cambria"/>
        <family val="0"/>
        <charset val="1"/>
      </rPr>
      <t xml:space="preserve">+1%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營益率 −</t>
    </r>
    <r>
      <rPr>
        <b val="true"/>
        <sz val="11"/>
        <rFont val="Cambria"/>
        <family val="0"/>
        <charset val="1"/>
      </rPr>
      <t xml:space="preserve">1pt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</si>
  <si>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設備市場（日曆年；</t>
    </r>
    <r>
      <rPr>
        <b val="true"/>
        <sz val="11"/>
        <rFont val="Cambria"/>
        <family val="0"/>
        <charset val="1"/>
      </rPr>
      <t xml:space="preserve">markets/equipment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</si>
  <si>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</si>
  <si>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）；股數維持（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</si>
  <si>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</si>
  <si>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</si>
  <si>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</si>
  <si>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</si>
  <si>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</si>
  <si>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</si>
  <si>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</si>
  <si>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</si>
  <si>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</si>
  <si>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估值（日圓）。目標價＝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節）；跨公司規則值（十年年底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依循環位置取分位：見頂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分位）保留為參考（第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</si>
  <si>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月期）。過去十年無股票分割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</si>
  <si>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</si>
  <si>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</si>
  <si>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</si>
  <si>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</si>
  <si>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</si>
  <si>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</si>
  <si>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</si>
  <si>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</si>
  <si>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</si>
  <si>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</si>
  <si>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</si>
  <si>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</si>
  <si>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</si>
  <si>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</si>
  <si>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模型無折舊與資本支出項目，故不用（淨利＋折舊－資本支出）；公司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資本支出指引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億、折舊 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億（擴產期），近年股東現金流可能低於此式（偏高估）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</si>
  <si>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</si>
  <si>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</si>
  <si>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</si>
  <si>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</si>
  <si>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</si>
  <si>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</si>
  <si>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</si>
  <si>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</si>
  <si>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</si>
  <si>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</si>
  <si>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</si>
  <si>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</si>
  <si>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</si>
  <si>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Disco</t>
  </si>
  <si>
    <t xml:space="preserve">6146.T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</si>
  <si>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</si>
  <si>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</si>
  <si>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</si>
  <si>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</si>
  <si>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</si>
  <si>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t xml:space="preserve">Advantest</t>
  </si>
  <si>
    <t xml:space="preserve">6857.T</t>
  </si>
  <si>
    <t xml:space="preserve">Lasertec</t>
  </si>
  <si>
    <t xml:space="preserve">6920.T</t>
  </si>
  <si>
    <t xml:space="preserve">Kokusai Electric</t>
  </si>
  <si>
    <t xml:space="preserve">6525.T</t>
  </si>
  <si>
    <t xml:space="preserve">2026-10-02</t>
  </si>
  <si>
    <t xml:space="preserve">同上（價格日期較舊）</t>
  </si>
  <si>
    <r>
      <rPr>
        <sz val="11"/>
        <color theme="1"/>
        <rFont val="Noto Sans CJK SC"/>
        <family val="2"/>
      </rPr>
      <t xml:space="preserve">並列參考（不進目標價）：東京精密自身前瞻 </t>
    </r>
    <r>
      <rPr>
        <sz val="11"/>
        <color theme="1"/>
        <rFont val="Calibri"/>
        <family val="2"/>
        <charset val="1"/>
      </rPr>
      <t xml:space="preserve">P/E</t>
    </r>
  </si>
  <si>
    <t xml:space="preserve">2026-09-29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</si>
  <si>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；本公司長期低於同業（見第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節十年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</si>
  <si>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</si>
  <si>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（研削／切割同業）、東京威力科創（探針台同業）、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（測試）、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</si>
  <si>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</si>
  <si>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</si>
  <si>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</si>
  <si>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</si>
  <si>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</si>
  <si>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</si>
  <si>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</si>
  <si>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</si>
  <si>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</si>
  <si>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</si>
  <si>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</si>
  <si>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20,900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）同值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</si>
  <si>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</si>
  <si>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15,520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</si>
  <si>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</si>
  <si>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</si>
  <si>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801.46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），早約一年半，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</si>
  <si>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</si>
  <si>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</si>
  <si>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</si>
  <si>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</si>
  <si>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</si>
  <si>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</si>
  <si>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、東京威力科創、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。偏誤：本公司十年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長期低於同業（探針台、計測的成長與利潤率低於同業），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偏高估；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未扣擴產期資本支出，偏高估。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</si>
  <si>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</si>
  <si>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</si>
  <si>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</si>
  <si>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</si>
  <si>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</si>
  <si>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</si>
  <si>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</si>
  <si>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三情境相同（公司指引）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</si>
  <si>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</si>
  <si>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</si>
  <si>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</si>
  <si>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610.02</t>
    </r>
  </si>
  <si>
    <t xml:space="preserve">上一個會計年度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</si>
  <si>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Q2–Q4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Q1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</si>
  <si>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157.50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111.88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261.16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115.01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645.55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</si>
  <si>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</si>
  <si>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</si>
  <si>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（共識，</t>
    </r>
    <r>
      <rPr>
        <sz val="11"/>
        <color theme="1"/>
        <rFont val="Calibri"/>
        <family val="2"/>
        <charset val="1"/>
      </rPr>
      <t xml:space="preserve">2026-09-29</t>
    </r>
    <r>
      <rPr>
        <sz val="11"/>
        <color theme="1"/>
        <rFont val="Noto Sans CJK SC"/>
        <family val="2"/>
      </rPr>
      <t xml:space="preserve">）</t>
    </r>
  </si>
  <si>
    <t xml:space="preserve">參考，不用於估值</t>
  </si>
  <si>
    <r>
      <rPr>
        <b val="true"/>
        <sz val="11"/>
        <rFont val="Cambria"/>
        <family val="0"/>
        <charset val="1"/>
      </rPr>
      <t xml:space="preserve">2. 10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</si>
  <si>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</si>
  <si>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</si>
  <si>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</si>
  <si>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</si>
  <si>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</si>
  <si>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</si>
  <si>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</si>
  <si>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</si>
  <si>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</si>
  <si>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</si>
  <si>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</si>
  <si>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FY2019 EPS </t>
    </r>
    <r>
      <rPr>
        <sz val="11"/>
        <color theme="1"/>
        <rFont val="Noto Sans CJK SC"/>
        <family val="2"/>
      </rPr>
      <t xml:space="preserve">因設備下行減半（</t>
    </r>
    <r>
      <rPr>
        <sz val="11"/>
        <color theme="1"/>
        <rFont val="Calibri"/>
        <family val="2"/>
        <charset val="1"/>
      </rPr>
      <t xml:space="preserve">171.89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</si>
  <si>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</si>
  <si>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</si>
  <si>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</si>
  <si>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</si>
  <si>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</si>
  <si>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</si>
  <si>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年都有價格，無缺年。調整後收盤（含股利再投資）不用於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</si>
  <si>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</si>
  <si>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</si>
  <si>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</si>
  <si>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</si>
  <si>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</si>
  <si>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</si>
  <si>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</si>
  <si>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</si>
  <si>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</si>
  <si>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</si>
  <si>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b val="true"/>
        <sz val="11"/>
        <rFont val="Cambria"/>
        <family val="0"/>
        <charset val="1"/>
      </rPr>
      <t xml:space="preserve">4.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</si>
  <si>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</si>
  <si>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</si>
  <si>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</si>
  <si>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</si>
  <si>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</si>
  <si>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</si>
  <si>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規則值隱含股價（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</si>
  <si>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</si>
  <si>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</si>
  <si>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</si>
  <si>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</si>
  <si>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</si>
  <si>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</si>
  <si>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</si>
  <si>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</si>
  <si>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</si>
  <si>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規則值情境加權（參考，不是目標價）</t>
    </r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</si>
  <si>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</si>
  <si>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</si>
  <si>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規則值方法</t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</si>
  <si>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依循環位置取分位；十年倍數含 </t>
    </r>
    <r>
      <rPr>
        <sz val="11"/>
        <color theme="1"/>
        <rFont val="Calibri"/>
        <family val="2"/>
        <charset val="1"/>
      </rPr>
      <t xml:space="preserve">2018–2022 </t>
    </r>
    <r>
      <rPr>
        <sz val="11"/>
        <color theme="1"/>
        <rFont val="Noto Sans CJK SC"/>
        <family val="2"/>
      </rPr>
      <t xml:space="preserve">年設備股低估值期（</t>
    </r>
    <r>
      <rPr>
        <sz val="11"/>
        <color theme="1"/>
        <rFont val="Calibri"/>
        <family val="2"/>
        <charset val="1"/>
      </rPr>
      <t xml:space="preserve">7–17x</t>
    </r>
    <r>
      <rPr>
        <sz val="11"/>
        <color theme="1"/>
        <rFont val="Noto Sans CJK SC"/>
        <family val="2"/>
      </rPr>
      <t xml:space="preserve">），偏誤方向為低估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</si>
  <si>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</si>
  <si>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</si>
  <si>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</si>
  <si>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</si>
  <si>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節為恆等式，不是檢驗）；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節為結構檢查。差距＝模型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</si>
  <si>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</si>
  <si>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</si>
  <si>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</si>
  <si>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</si>
  <si>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</si>
  <si>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</si>
  <si>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</si>
  <si>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</si>
  <si>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錨點（公司指引 </t>
    </r>
    <r>
      <rPr>
        <b val="true"/>
        <sz val="11"/>
        <rFont val="Cambria"/>
        <family val="0"/>
        <charset val="1"/>
      </rPr>
      <t xml:space="preserve">2026-08-04</t>
    </r>
    <r>
      <rPr>
        <b val="true"/>
        <sz val="11"/>
        <rFont val="Noto Sans CJK SC"/>
        <family val="2"/>
      </rPr>
      <t xml:space="preserve">）：差距為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</si>
  <si>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</si>
  <si>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r>
      <rPr>
        <sz val="11"/>
        <color theme="1"/>
        <rFont val="Noto Sans CJK SC"/>
        <family val="2"/>
      </rPr>
      <t xml:space="preserve">決算短信（第一季）</t>
    </r>
    <r>
      <rPr>
        <sz val="11"/>
        <color theme="1"/>
        <rFont val="Calibri"/>
        <family val="2"/>
        <charset val="1"/>
      </rPr>
      <t xml:space="preserve">189.0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</si>
  <si>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</t>
    </r>
  </si>
  <si>
    <t xml:space="preserve">44.0</t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</si>
  <si>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公司指引</t>
    </r>
  </si>
  <si>
    <t xml:space="preserve">758.83</t>
  </si>
  <si>
    <t xml:space="preserve">差異為股數捨入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</si>
  <si>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實績（百分點）</t>
    </r>
  </si>
  <si>
    <t xml:space="preserve">FY2025 20.2%</t>
  </si>
  <si>
    <r>
      <rPr>
        <sz val="11"/>
        <color theme="1"/>
        <rFont val="Noto Sans CJK SC"/>
        <family val="2"/>
      </rPr>
      <t xml:space="preserve">公司稱高溫控探針台、</t>
    </r>
    <r>
      <rPr>
        <sz val="11"/>
        <color theme="1"/>
        <rFont val="Calibri"/>
        <family val="2"/>
        <charset val="1"/>
      </rPr>
      <t xml:space="preserve">HRG </t>
    </r>
    <r>
      <rPr>
        <sz val="11"/>
        <color theme="1"/>
        <rFont val="Noto Sans CJK SC"/>
        <family val="2"/>
      </rPr>
      <t xml:space="preserve">研削機、切割機量增改善組合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</si>
  <si>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第一季進度（只作合理性檢查）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</si>
  <si>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上半指引隱含第二季營收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第一季實績</t>
    </r>
  </si>
  <si>
    <r>
      <rPr>
        <sz val="11"/>
        <color theme="1"/>
        <rFont val="Noto Sans CJK SC"/>
        <family val="2"/>
      </rPr>
      <t xml:space="preserve">上半指引 </t>
    </r>
    <r>
      <rPr>
        <sz val="11"/>
        <color theme="1"/>
        <rFont val="Calibri"/>
        <family val="2"/>
        <charset val="1"/>
      </rPr>
      <t xml:space="preserve">88.5 − </t>
    </r>
    <r>
      <rPr>
        <sz val="11"/>
        <color theme="1"/>
        <rFont val="Noto Sans CJK SC"/>
        <family val="2"/>
      </rPr>
      <t xml:space="preserve">第一季 </t>
    </r>
    <r>
      <rPr>
        <sz val="11"/>
        <color theme="1"/>
        <rFont val="Calibri"/>
        <family val="2"/>
        <charset val="1"/>
      </rPr>
      <t xml:space="preserve">36.7</t>
    </r>
  </si>
  <si>
    <r>
      <rPr>
        <sz val="11"/>
        <color theme="1"/>
        <rFont val="Noto Sans CJK SC"/>
        <family val="2"/>
      </rPr>
      <t xml:space="preserve">第二季須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第二季對第一季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</si>
  <si>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下半營收（指引隱含）</t>
    </r>
    <r>
      <rPr>
        <sz val="11"/>
        <color theme="1"/>
        <rFont val="Calibri"/>
        <family val="2"/>
        <charset val="1"/>
      </rPr>
      <t xml:space="preserve">vs FY2025 </t>
    </r>
    <r>
      <rPr>
        <sz val="11"/>
        <color theme="1"/>
        <rFont val="Noto Sans CJK SC"/>
        <family val="2"/>
      </rPr>
      <t xml:space="preserve">下半實績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</si>
  <si>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77.07</t>
    </r>
    <r>
      <rPr>
        <sz val="11"/>
        <color theme="1"/>
        <rFont val="Noto Sans CJK SC"/>
        <family val="2"/>
      </rPr>
      <t xml:space="preserve">（松井）</t>
    </r>
  </si>
  <si>
    <r>
      <rPr>
        <sz val="11"/>
        <color theme="1"/>
        <rFont val="Noto Sans CJK SC"/>
        <family val="2"/>
      </rPr>
      <t xml:space="preserve">下半 </t>
    </r>
    <r>
      <rPr>
        <sz val="11"/>
        <color theme="1"/>
        <rFont val="Calibri"/>
        <family val="2"/>
        <charset val="1"/>
      </rPr>
      <t xml:space="preserve">100.5 vs 89.8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</si>
  <si>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</si>
  <si>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 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</si>
  <si>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minkabu 192.1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189.7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177.8–196.7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</si>
  <si>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</si>
  <si>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32.6</t>
  </si>
  <si>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）</t>
    </r>
  </si>
  <si>
    <t xml:space="preserve">minkabu 801.46</t>
  </si>
  <si>
    <r>
      <rPr>
        <sz val="11"/>
        <color theme="1"/>
        <rFont val="Noto Sans CJK SC"/>
        <family val="2"/>
      </rPr>
      <t xml:space="preserve">共識高於公司指引 </t>
    </r>
    <r>
      <rPr>
        <sz val="11"/>
        <color theme="1"/>
        <rFont val="Calibri"/>
        <family val="2"/>
        <charset val="1"/>
      </rPr>
      <t xml:space="preserve">5.6%</t>
    </r>
    <r>
      <rPr>
        <sz val="11"/>
        <color theme="1"/>
        <rFont val="Noto Sans CJK SC"/>
        <family val="2"/>
      </rPr>
      <t xml:space="preserve">：市場預期再上修</t>
    </r>
  </si>
  <si>
    <r>
      <rPr>
        <sz val="11"/>
        <color theme="1"/>
        <rFont val="Calibri"/>
        <family val="2"/>
        <charset val="1"/>
      </rPr>
      <t xml:space="preserve">FY2027 EPS vs kabuyoho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；口徑不同，參考）</t>
    </r>
  </si>
  <si>
    <t xml:space="preserve">kabuyoho 816.2</t>
  </si>
  <si>
    <r>
      <rPr>
        <sz val="11"/>
        <color theme="1"/>
        <rFont val="Noto Sans CJK SC"/>
        <family val="2"/>
      </rPr>
      <t xml:space="preserve">早於 </t>
    </r>
    <r>
      <rPr>
        <sz val="11"/>
        <color theme="1"/>
        <rFont val="Calibri"/>
        <family val="2"/>
        <charset val="1"/>
      </rPr>
      <t xml:space="preserve">8-04 </t>
    </r>
    <r>
      <rPr>
        <sz val="11"/>
        <color theme="1"/>
        <rFont val="Noto Sans CJK SC"/>
        <family val="2"/>
      </rPr>
      <t xml:space="preserve">上修；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個月後≈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混合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</si>
  <si>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185.0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</si>
  <si>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</si>
  <si>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目標訂於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需求加速前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</si>
  <si>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中期經營計畫目標（</t>
    </r>
    <r>
      <rPr>
        <sz val="11"/>
        <color theme="1"/>
        <rFont val="Calibri"/>
        <family val="2"/>
        <charset val="1"/>
      </rPr>
      <t xml:space="preserve">45.0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</si>
  <si>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</si>
  <si>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測試與其他封裝設備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</si>
  <si>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含口徑轉換）</t>
    </r>
  </si>
  <si>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SPE +15.3%</t>
    </r>
    <r>
      <rPr>
        <sz val="11"/>
        <color theme="1"/>
        <rFont val="Noto Sans CJK SC"/>
        <family val="2"/>
      </rPr>
      <t xml:space="preserve">，低於市場 </t>
    </r>
    <r>
      <rPr>
        <sz val="11"/>
        <color theme="1"/>
        <rFont val="Calibri"/>
        <family val="2"/>
        <charset val="1"/>
      </rPr>
      <t xml:space="preserve">+26.6%</t>
    </r>
    <r>
      <rPr>
        <sz val="11"/>
        <color theme="1"/>
        <rFont val="Noto Sans CJK SC"/>
        <family val="2"/>
      </rPr>
      <t xml:space="preserve">：探針台產能滿載（受注約為產能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</si>
  <si>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Calibri"/>
        <family val="2"/>
        <charset val="1"/>
      </rPr>
      <t xml:space="preserve">FY2028 SPE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設備總額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</si>
  <si>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設備總額（同字母）</t>
    </r>
  </si>
  <si>
    <t xml:space="preserve">差距欄＝模型 − 市場（百分點）。模型低於市場的原因：會計年度比日曆年晚一季、測試與封裝設備成長低於前段、超額成長與中國變數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</si>
  <si>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第一季，公司）</t>
    </r>
  </si>
  <si>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；上游設備路徑已含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，未另行加計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</si>
  <si>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</si>
  <si>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</si>
  <si>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</si>
  <si>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</si>
  <si>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</si>
  <si>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</si>
  <si>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</si>
  <si>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</si>
  <si>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</si>
  <si>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</si>
  <si>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</si>
  <si>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+1%/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</si>
  <si>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</si>
  <si>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+5%/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</si>
  <si>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exc_A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</si>
  <si>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超額成長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（與市場同步）</t>
    </r>
  </si>
  <si>
    <r>
      <rPr>
        <sz val="11"/>
        <color theme="1"/>
        <rFont val="Calibri"/>
        <family val="2"/>
        <charset val="1"/>
      </rPr>
      <t xml:space="preserve">exc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</si>
  <si>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SPE −20%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的值）</t>
    </r>
  </si>
  <si>
    <r>
      <rPr>
        <sz val="11"/>
        <color theme="1"/>
        <rFont val="Calibri"/>
        <family val="2"/>
        <charset val="1"/>
      </rPr>
      <t xml:space="preserve">chh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chh_C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</si>
  <si>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</si>
  <si>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低（搭配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</si>
  <si>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中國占比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</si>
  <si>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chn </t>
    </r>
    <r>
      <rPr>
        <sz val="11"/>
        <color theme="1"/>
        <rFont val="Noto Sans CJK SC"/>
        <family val="2"/>
      </rPr>
      <t xml:space="preserve">高（搭配 </t>
    </r>
    <r>
      <rPr>
        <sz val="11"/>
        <color theme="1"/>
        <rFont val="Calibri"/>
        <family val="2"/>
        <charset val="1"/>
      </rPr>
      <t xml:space="preserve">chh_C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</si>
  <si>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70%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</si>
  <si>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</si>
  <si>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探針台占 </t>
    </r>
    <r>
      <rPr>
        <sz val="11"/>
        <color theme="1"/>
        <rFont val="Calibri"/>
        <family val="2"/>
        <charset val="1"/>
      </rPr>
      <t xml:space="preserve">SPE 74%</t>
    </r>
  </si>
  <si>
    <r>
      <rPr>
        <sz val="11"/>
        <color theme="1"/>
        <rFont val="Calibri"/>
        <family val="2"/>
        <charset val="1"/>
      </rPr>
      <t xml:space="preserve">w_pr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</si>
  <si>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</si>
  <si>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</si>
  <si>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加工裝置前段比例 </t>
    </r>
    <r>
      <rPr>
        <sz val="11"/>
        <color theme="1"/>
        <rFont val="Calibri"/>
        <family val="2"/>
        <charset val="1"/>
      </rPr>
      <t xml:space="preserve">35%</t>
    </r>
  </si>
  <si>
    <r>
      <rPr>
        <sz val="11"/>
        <color theme="1"/>
        <rFont val="Calibri"/>
        <family val="2"/>
        <charset val="1"/>
      </rPr>
      <t xml:space="preserve">w_cmp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</si>
  <si>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</si>
  <si>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</si>
  <si>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+10%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</si>
  <si>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</si>
  <si>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4%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</si>
  <si>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</si>
  <si>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計測年增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</si>
  <si>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Calibri"/>
        <family val="2"/>
        <charset val="1"/>
      </rPr>
      <t xml:space="preserve">gmet_A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</si>
  <si>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SPE </t>
    </r>
    <r>
      <rPr>
        <sz val="11"/>
        <color theme="1"/>
        <rFont val="Noto Sans CJK SC"/>
        <family val="2"/>
      </rPr>
      <t xml:space="preserve">邊際利潤率只用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</si>
  <si>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</si>
  <si>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</si>
  <si>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</si>
  <si>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nioi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</si>
  <si>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實績低於指引 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</si>
  <si>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</si>
  <si>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實績高於指引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</si>
  <si>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</si>
  <si>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</si>
  <si>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；超額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+4%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</si>
  <si>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</si>
  <si>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設備市場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；超額 −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；中國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；計測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；營益率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</si>
  <si>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錨定公司指引，只受 </t>
    </r>
    <r>
      <rPr>
        <sz val="11"/>
        <color theme="1"/>
        <rFont val="Calibri"/>
        <family val="2"/>
        <charset val="1"/>
      </rPr>
      <t xml:space="preserve">g_anc </t>
    </r>
    <r>
      <rPr>
        <sz val="11"/>
        <color theme="1"/>
        <rFont val="Noto Sans CJK SC"/>
        <family val="2"/>
      </rPr>
      <t xml:space="preserve">影響；驅動參數從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起作用。</t>
    </r>
    <r>
      <rPr>
        <sz val="11"/>
        <color theme="1"/>
        <rFont val="Calibri"/>
        <family val="2"/>
        <charset val="1"/>
      </rPr>
      <t xml:space="preserve">FY2026 SPE </t>
    </r>
    <r>
      <rPr>
        <sz val="11"/>
        <color theme="1"/>
        <rFont val="Noto Sans CJK SC"/>
        <family val="2"/>
      </rPr>
      <t xml:space="preserve">營益率（</t>
    </r>
    <r>
      <rPr>
        <sz val="11"/>
        <color theme="1"/>
        <rFont val="Calibri"/>
        <family val="2"/>
        <charset val="1"/>
      </rPr>
      <t xml:space="preserve">m_spe26</t>
    </r>
    <r>
      <rPr>
        <sz val="11"/>
        <color theme="1"/>
        <rFont val="Noto Sans CJK SC"/>
        <family val="2"/>
      </rPr>
      <t xml:space="preserve">）只改變部門拆分，不改變合併營業利益與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，故不列案例；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1/4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</si>
  <si>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+1%/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</si>
  <si>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超額成長 </t>
    </r>
    <r>
      <rPr>
        <b val="true"/>
        <sz val="11"/>
        <rFont val="Cambria"/>
        <family val="0"/>
        <charset val="1"/>
      </rPr>
      <t xml:space="preserve">+5%/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</si>
  <si>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案例區塊：超額成長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（與市場同步）（情境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</si>
  <si>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 </t>
    </r>
    <r>
      <rPr>
        <b val="true"/>
        <sz val="11"/>
        <rFont val="Cambria"/>
        <family val="0"/>
        <charset val="1"/>
      </rPr>
      <t xml:space="preserve">SPE −20%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的值）（情境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</si>
  <si>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</si>
  <si>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案例區塊：中國占比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</si>
  <si>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</si>
  <si>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案例區塊：探針台占 </t>
    </r>
    <r>
      <rPr>
        <b val="true"/>
        <sz val="11"/>
        <rFont val="Cambria"/>
        <family val="0"/>
        <charset val="1"/>
      </rPr>
      <t xml:space="preserve">SPE 74%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</si>
  <si>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</si>
  <si>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案例區塊：加工裝置前段比例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</si>
  <si>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</si>
  <si>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 </t>
    </r>
    <r>
      <rPr>
        <b val="true"/>
        <sz val="11"/>
        <rFont val="Noto Sans CJK SC"/>
        <family val="2"/>
      </rPr>
      <t xml:space="preserve">設備市場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</si>
  <si>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</si>
  <si>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案例區塊：計測年增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</si>
  <si>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SPE </t>
    </r>
    <r>
      <rPr>
        <b val="true"/>
        <sz val="11"/>
        <rFont val="Noto Sans CJK SC"/>
        <family val="2"/>
      </rPr>
      <t xml:space="preserve">邊際利潤率只用 </t>
    </r>
    <r>
      <rPr>
        <b val="true"/>
        <sz val="11"/>
        <rFont val="Cambria"/>
        <family val="0"/>
        <charset val="1"/>
      </rPr>
      <t xml:space="preserve">FY2021–25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</si>
  <si>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</si>
  <si>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</si>
  <si>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實績低於指引 </t>
    </r>
    <r>
      <rPr>
        <b val="true"/>
        <sz val="11"/>
        <rFont val="Cambria"/>
        <family val="0"/>
        <charset val="1"/>
      </rPr>
      <t xml:space="preserve">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</si>
  <si>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實績高於指引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</si>
  <si>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</si>
  <si>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</si>
  <si>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</si>
  <si>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</si>
  <si>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</si>
  <si>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</si>
  <si>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</si>
  <si>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</si>
  <si>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</si>
  <si>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</si>
  <si>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</si>
  <si>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</si>
  <si>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</si>
  <si>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</si>
  <si>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</si>
  <si>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</si>
  <si>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</si>
  <si>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t xml:space="preserve">來源（公司原文以網頁擷取工具讀取；表格錯位處以算術核對；版面與頁碼待人工複核）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</si>
  <si>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2026-05-13</t>
    </r>
    <r>
      <rPr>
        <sz val="11"/>
        <color theme="1"/>
        <rFont val="Noto Sans CJK SC"/>
        <family val="2"/>
      </rPr>
      <t xml:space="preserve">）</t>
    </r>
  </si>
  <si>
    <t xml:space="preserve">https://www2.jpx.co.jp/disc/77290/081220260518539874_tse-acedjpsm-77290-20260518377290-ixbrl.htm</t>
  </si>
  <si>
    <r>
      <rPr>
        <sz val="11"/>
        <color theme="1"/>
        <rFont val="Calibri"/>
        <family val="2"/>
        <charset val="1"/>
      </rPr>
      <t xml:space="preserve">JPX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；業績予想修正）</t>
    </r>
  </si>
  <si>
    <t xml:space="preserve">https://www2.jpx.co.jp/disc/77290/081220260803507651_tse-qcedjpsm-77290-20260804377290-ixbrl.htm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</si>
  <si>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決算補足資料（</t>
    </r>
    <r>
      <rPr>
        <sz val="11"/>
        <color theme="1"/>
        <rFont val="Calibri"/>
        <family val="2"/>
        <charset val="1"/>
      </rPr>
      <t xml:space="preserve">FS_2026_4q_J_rev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</si>
  <si>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https://www.accretech.com/jp/ir/news/news-202605180003/main/0/link/FS_2026_4q_J_rev.pdf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</si>
  <si>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決算說明資料（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</si>
  <si>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https://www.accretech.com/jp/ir/news/auto_20260804508092/main/0/link/BR_2027-3_1q_J_2.pdf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</si>
  <si>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</si>
  <si>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https://www.accretech.com/jp/ir/news/news-202608041630/main/0/link/QA_2027-3_1q_J.pdf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</si>
  <si>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年度第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</t>
    </r>
    <r>
      <rPr>
        <sz val="11"/>
        <color theme="1"/>
        <rFont val="Calibri"/>
        <family val="2"/>
        <charset val="1"/>
      </rPr>
      <t xml:space="preserve">Q&amp;A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2025-08-04</t>
    </r>
    <r>
      <rPr>
        <sz val="11"/>
        <color theme="1"/>
        <rFont val="Noto Sans CJK SC"/>
        <family val="2"/>
      </rPr>
      <t xml:space="preserve">）</t>
    </r>
  </si>
  <si>
    <t xml:space="preserve">https://www.accretech.com/jp/ir/news/news3574518910588001242/main/0/link/QA_2026_1q_J.pdf</t>
  </si>
  <si>
    <r>
      <rPr>
        <sz val="11"/>
        <color theme="1"/>
        <rFont val="Noto Sans CJK SC"/>
        <family val="2"/>
      </rPr>
      <t xml:space="preserve">公司：中期經營計畫（</t>
    </r>
    <r>
      <rPr>
        <sz val="11"/>
        <color theme="1"/>
        <rFont val="Calibri"/>
        <family val="2"/>
        <charset val="1"/>
      </rPr>
      <t xml:space="preserve">2025-05-09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FY2022/3–FY2025/3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</si>
  <si>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https://www.accretech.com/en/ir/news/auto_20250509537325/pdfFile.pdf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</si>
  <si>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2024-05-10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</si>
  <si>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https://www.accretech.com/en/ir/news/auto_20240509587976/pdfFile.pdf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</si>
  <si>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2023-05-11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</si>
  <si>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https://www.accretech.com/en/ir/news/auto_20230511567918/main/0/link/BR_2023_4q_E_r.pdf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</si>
  <si>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FY2023/3 </t>
    </r>
    <r>
      <rPr>
        <sz val="11"/>
        <color theme="1"/>
        <rFont val="Noto Sans CJK SC"/>
        <family val="2"/>
      </rPr>
      <t xml:space="preserve">第三季說明資料（</t>
    </r>
    <r>
      <rPr>
        <sz val="11"/>
        <color theme="1"/>
        <rFont val="Calibri"/>
        <family val="2"/>
        <charset val="1"/>
      </rPr>
      <t xml:space="preserve">2023-02-06</t>
    </r>
    <r>
      <rPr>
        <sz val="11"/>
        <color theme="1"/>
        <rFont val="Noto Sans CJK SC"/>
        <family val="2"/>
      </rPr>
      <t xml:space="preserve">；部門 </t>
    </r>
    <r>
      <rPr>
        <sz val="11"/>
        <color theme="1"/>
        <rFont val="Calibri"/>
        <family val="2"/>
        <charset val="1"/>
      </rPr>
      <t xml:space="preserve">FY2019/3–FY2022/3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</si>
  <si>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https://www.accretech.com/en/ir/news/auto_20230206501370/pdfFile.pdf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</si>
  <si>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FY2020/3 </t>
    </r>
    <r>
      <rPr>
        <sz val="11"/>
        <color theme="1"/>
        <rFont val="Noto Sans CJK SC"/>
        <family val="2"/>
      </rPr>
      <t xml:space="preserve">決算短信（英文，</t>
    </r>
    <r>
      <rPr>
        <sz val="11"/>
        <color theme="1"/>
        <rFont val="Calibri"/>
        <family val="2"/>
        <charset val="1"/>
      </rPr>
      <t xml:space="preserve">2020-05-11</t>
    </r>
    <r>
      <rPr>
        <sz val="11"/>
        <color theme="1"/>
        <rFont val="Noto Sans CJK SC"/>
        <family val="2"/>
      </rPr>
      <t xml:space="preserve">）</t>
    </r>
  </si>
  <si>
    <t xml:space="preserve">https://www.accretech.com/en/ir/news/auto_20200510407802/main/0/link/FS_2020_4q_E_2.pdf</t>
  </si>
  <si>
    <t xml:space="preserve">松井證券：決算情報（年度、季度）</t>
  </si>
  <si>
    <t xml:space="preserve">https://finance.matsui.co.jp/stock/7729/settlement/index</t>
  </si>
  <si>
    <r>
      <rPr>
        <sz val="11"/>
        <color theme="1"/>
        <rFont val="Calibri"/>
        <family val="2"/>
        <charset val="1"/>
      </rPr>
      <t xml:space="preserve">roic.ai</t>
    </r>
    <r>
      <rPr>
        <sz val="11"/>
        <color theme="1"/>
        <rFont val="Noto Sans CJK SC"/>
        <family val="2"/>
      </rPr>
      <t xml:space="preserve">：年度財務（</t>
    </r>
    <r>
      <rPr>
        <sz val="11"/>
        <color theme="1"/>
        <rFont val="Calibri"/>
        <family val="2"/>
        <charset val="1"/>
      </rPr>
      <t xml:space="preserve">FY2014/3–FY2026/3</t>
    </r>
    <r>
      <rPr>
        <sz val="11"/>
        <color theme="1"/>
        <rFont val="Noto Sans CJK SC"/>
        <family val="2"/>
      </rPr>
      <t xml:space="preserve">）</t>
    </r>
  </si>
  <si>
    <t xml:space="preserve">https://www.roic.ai/quote/7729.T/classic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</si>
  <si>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ファイナンス：株價時系列（年底收盤、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</si>
  <si>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https://finance.yahoo.co.jp/quote/7729.T/history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</si>
  <si>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（月線）</t>
    </r>
  </si>
  <si>
    <t xml:space="preserve">https://finance.yahoo.com/quote/7729.T/history/</t>
  </si>
  <si>
    <r>
      <rPr>
        <sz val="11"/>
        <color theme="1"/>
        <rFont val="Calibri"/>
        <family val="2"/>
        <charset val="1"/>
      </rPr>
      <t xml:space="preserve">minkabu</t>
    </r>
    <r>
      <rPr>
        <sz val="11"/>
        <color theme="1"/>
        <rFont val="Noto Sans CJK SC"/>
        <family val="2"/>
      </rPr>
      <t xml:space="preserve">：アナリスト予想（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</si>
  <si>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https://minkabu.jp/stock/7729/analyst_consensus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</si>
  <si>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7729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6146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8035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6857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6920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6525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</si>
  <si>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https://stockanalysis.com/quote/tyo/7729/forecast/</t>
  </si>
  <si>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：目標株價、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2026-07-30</t>
    </r>
    <r>
      <rPr>
        <sz val="11"/>
        <color theme="1"/>
        <rFont val="Noto Sans CJK SC"/>
        <family val="2"/>
      </rPr>
      <t xml:space="preserve">）</t>
    </r>
  </si>
  <si>
    <t xml:space="preserve">https://kabuyoho.jp/reportTarget?bcode=7729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</si>
  <si>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tools/cycle_position.py</t>
    </r>
  </si>
  <si>
    <r>
      <rPr>
        <sz val="11"/>
        <color theme="1"/>
        <rFont val="Noto Sans CJK SC"/>
        <family val="2"/>
      </rPr>
      <t xml:space="preserve">未找到：探針台、切割機市占一手調查；切割／研削／</t>
    </r>
    <r>
      <rPr>
        <sz val="11"/>
        <color theme="1"/>
        <rFont val="Calibri"/>
        <family val="2"/>
        <charset val="1"/>
      </rPr>
      <t xml:space="preserve">CMP </t>
    </r>
    <r>
      <rPr>
        <sz val="11"/>
        <color theme="1"/>
        <rFont val="Noto Sans CJK SC"/>
        <family val="2"/>
      </rPr>
      <t xml:space="preserve">個別金額；中國營收占比；共識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FY2015–FY2017 </t>
    </r>
    <r>
      <rPr>
        <sz val="11"/>
        <color theme="1"/>
        <rFont val="Noto Sans CJK SC"/>
        <family val="2"/>
      </rPr>
      <t xml:space="preserve">部門資料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</si>
  <si>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共識頁、</t>
    </r>
    <r>
      <rPr>
        <sz val="11"/>
        <color theme="1"/>
        <rFont val="Calibri"/>
        <family val="2"/>
        <charset val="1"/>
      </rPr>
      <t xml:space="preserve">monex scouter</t>
    </r>
    <r>
      <rPr>
        <sz val="11"/>
        <color theme="1"/>
        <rFont val="Noto Sans CJK SC"/>
        <family val="2"/>
      </rPr>
      <t xml:space="preserve">（速率限制）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</si>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</sst>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0.0%"/>
    <numFmt numFmtId="167" formatCode="#,##0"/>
    <numFmt numFmtId="168" formatCode="#,##0.0"/>
    <numFmt numFmtId="169" formatCode="#,##0.00"/>
    <numFmt numFmtId="170" formatCode="0.000"/>
    <numFmt numFmtId="171" formatCode="#,##0.000"/>
    <numFmt numFmtId="172" formatCode="0.00"/>
    <numFmt numFmtId="173" formatCode="0.0"/>
    <numFmt numFmtId="174" formatCode="@"/>
    <numFmt numFmtId="175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1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  <row r="9" customFormat="false" ht="17.15" hidden="false" customHeight="false" outlineLevel="0" collapsed="false">
      <c r="A9" s="3" t="s">
        <v>7</v>
      </c>
    </row>
    <row r="10" customFormat="false" ht="17.15" hidden="false" customHeight="false" outlineLevel="0" collapsed="false">
      <c r="A10" s="3" t="s">
        <v>8</v>
      </c>
    </row>
    <row r="11" customFormat="false" ht="17.15" hidden="false" customHeight="false" outlineLevel="0" collapsed="false">
      <c r="A11" s="3" t="s">
        <v>9</v>
      </c>
    </row>
    <row r="12" customFormat="false" ht="17.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7.15" hidden="false" customHeight="false" outlineLevel="0" collapsed="false">
      <c r="A17" s="2" t="s">
        <v>14</v>
      </c>
    </row>
    <row r="18" customFormat="false" ht="17.15" hidden="false" customHeight="false" outlineLevel="0" collapsed="false">
      <c r="A18" s="2" t="s">
        <v>15</v>
      </c>
    </row>
    <row r="19" customFormat="false" ht="17.15" hidden="false" customHeight="false" outlineLevel="0" collapsed="false">
      <c r="A19" s="0" t="s">
        <v>16</v>
      </c>
    </row>
    <row r="20" customFormat="false" ht="15" hidden="false" customHeight="false" outlineLevel="0" collapsed="false">
      <c r="A20" s="0" t="str">
        <f aca="false">"投資建議："&amp;Val!B116&amp;"（依上檔空間固定規則）"</f>
        <v>投資建議：買進（依上檔空間固定規則）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4" t="s">
        <v>21</v>
      </c>
    </row>
    <row r="3" customFormat="false" ht="17.15" hidden="false" customHeight="false" outlineLevel="0" collapsed="false">
      <c r="A3" s="5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30</v>
      </c>
    </row>
    <row r="4" customFormat="false" ht="17.15" hidden="false" customHeight="false" outlineLevel="0" collapsed="false">
      <c r="A4" s="6" t="s">
        <v>31</v>
      </c>
    </row>
    <row r="5" customFormat="false" ht="17.15" hidden="false" customHeight="false" outlineLevel="0" collapsed="false">
      <c r="A5" s="0" t="s">
        <v>32</v>
      </c>
      <c r="B5" s="4" t="s">
        <v>33</v>
      </c>
      <c r="C5" s="0" t="s">
        <v>34</v>
      </c>
      <c r="E5" s="7" t="n">
        <v>166.839</v>
      </c>
      <c r="G5" s="8" t="s">
        <v>35</v>
      </c>
      <c r="H5" s="4" t="s">
        <v>36</v>
      </c>
      <c r="I5" s="4" t="s">
        <v>37</v>
      </c>
    </row>
    <row r="6" customFormat="false" ht="17.15" hidden="false" customHeight="false" outlineLevel="0" collapsed="false">
      <c r="A6" s="0" t="s">
        <v>38</v>
      </c>
      <c r="B6" s="4" t="s">
        <v>39</v>
      </c>
      <c r="C6" s="0" t="s">
        <v>34</v>
      </c>
      <c r="E6" s="7" t="n">
        <v>68.86</v>
      </c>
      <c r="G6" s="8" t="s">
        <v>35</v>
      </c>
      <c r="H6" s="4" t="s">
        <v>40</v>
      </c>
      <c r="I6" s="8" t="s">
        <v>41</v>
      </c>
    </row>
    <row r="7" customFormat="false" ht="17.15" hidden="false" customHeight="false" outlineLevel="0" collapsed="false">
      <c r="A7" s="0" t="s">
        <v>42</v>
      </c>
      <c r="B7" s="4" t="s">
        <v>43</v>
      </c>
      <c r="C7" s="0" t="s">
        <v>34</v>
      </c>
      <c r="E7" s="7" t="n">
        <v>35.122</v>
      </c>
      <c r="G7" s="8" t="s">
        <v>35</v>
      </c>
      <c r="H7" s="4" t="s">
        <v>44</v>
      </c>
      <c r="I7" s="4" t="s">
        <v>45</v>
      </c>
    </row>
    <row r="8" customFormat="false" ht="17.15" hidden="false" customHeight="false" outlineLevel="0" collapsed="false">
      <c r="A8" s="0" t="s">
        <v>46</v>
      </c>
      <c r="B8" s="4" t="s">
        <v>47</v>
      </c>
      <c r="C8" s="0" t="s">
        <v>34</v>
      </c>
      <c r="E8" s="7" t="n">
        <v>33.738</v>
      </c>
      <c r="G8" s="8" t="s">
        <v>35</v>
      </c>
      <c r="H8" s="4" t="s">
        <v>48</v>
      </c>
      <c r="I8" s="4" t="s">
        <v>49</v>
      </c>
    </row>
    <row r="9" customFormat="false" ht="17.15" hidden="false" customHeight="false" outlineLevel="0" collapsed="false">
      <c r="A9" s="0" t="s">
        <v>50</v>
      </c>
      <c r="B9" s="4" t="s">
        <v>51</v>
      </c>
      <c r="C9" s="0" t="s">
        <v>34</v>
      </c>
      <c r="E9" s="7" t="n">
        <v>24.739</v>
      </c>
      <c r="G9" s="8" t="s">
        <v>35</v>
      </c>
      <c r="H9" s="4" t="s">
        <v>52</v>
      </c>
      <c r="I9" s="4" t="s">
        <v>53</v>
      </c>
    </row>
    <row r="10" customFormat="false" ht="17.15" hidden="false" customHeight="false" outlineLevel="0" collapsed="false">
      <c r="A10" s="0" t="s">
        <v>54</v>
      </c>
      <c r="B10" s="4" t="s">
        <v>55</v>
      </c>
      <c r="C10" s="0" t="s">
        <v>56</v>
      </c>
      <c r="E10" s="7" t="n">
        <v>610.02</v>
      </c>
      <c r="G10" s="8" t="s">
        <v>35</v>
      </c>
      <c r="H10" s="4" t="s">
        <v>57</v>
      </c>
      <c r="I10" s="4" t="s">
        <v>58</v>
      </c>
    </row>
    <row r="11" customFormat="false" ht="17.15" hidden="false" customHeight="false" outlineLevel="0" collapsed="false">
      <c r="A11" s="0" t="s">
        <v>59</v>
      </c>
      <c r="B11" s="4" t="s">
        <v>60</v>
      </c>
      <c r="C11" s="0" t="s">
        <v>34</v>
      </c>
      <c r="E11" s="7" t="n">
        <v>127.878</v>
      </c>
      <c r="G11" s="8" t="s">
        <v>35</v>
      </c>
      <c r="H11" s="4" t="s">
        <v>61</v>
      </c>
      <c r="I11" s="4" t="s">
        <v>62</v>
      </c>
    </row>
    <row r="12" customFormat="false" ht="17.15" hidden="false" customHeight="false" outlineLevel="0" collapsed="false">
      <c r="A12" s="0" t="s">
        <v>63</v>
      </c>
      <c r="B12" s="0" t="s">
        <v>64</v>
      </c>
      <c r="C12" s="0" t="s">
        <v>34</v>
      </c>
      <c r="E12" s="7" t="n">
        <v>28.404</v>
      </c>
      <c r="G12" s="8" t="s">
        <v>35</v>
      </c>
      <c r="H12" s="4" t="s">
        <v>65</v>
      </c>
      <c r="I12" s="4" t="s">
        <v>66</v>
      </c>
    </row>
    <row r="13" customFormat="false" ht="17.15" hidden="false" customHeight="false" outlineLevel="0" collapsed="false">
      <c r="A13" s="0" t="s">
        <v>67</v>
      </c>
      <c r="B13" s="4" t="s">
        <v>68</v>
      </c>
      <c r="C13" s="0" t="s">
        <v>34</v>
      </c>
      <c r="E13" s="7" t="n">
        <v>38.96</v>
      </c>
      <c r="G13" s="8" t="s">
        <v>35</v>
      </c>
      <c r="H13" s="4" t="s">
        <v>69</v>
      </c>
      <c r="I13" s="4" t="s">
        <v>70</v>
      </c>
    </row>
    <row r="14" customFormat="false" ht="17.15" hidden="false" customHeight="false" outlineLevel="0" collapsed="false">
      <c r="A14" s="0" t="s">
        <v>71</v>
      </c>
      <c r="B14" s="4" t="s">
        <v>72</v>
      </c>
      <c r="C14" s="0" t="s">
        <v>34</v>
      </c>
      <c r="E14" s="7" t="n">
        <v>5.333</v>
      </c>
      <c r="G14" s="8" t="s">
        <v>35</v>
      </c>
      <c r="H14" s="4" t="s">
        <v>73</v>
      </c>
      <c r="I14" s="4" t="s">
        <v>74</v>
      </c>
    </row>
    <row r="15" customFormat="false" ht="17.15" hidden="false" customHeight="false" outlineLevel="0" collapsed="false">
      <c r="A15" s="0" t="s">
        <v>75</v>
      </c>
      <c r="B15" s="4" t="s">
        <v>76</v>
      </c>
      <c r="C15" s="0" t="s">
        <v>34</v>
      </c>
      <c r="E15" s="7" t="n">
        <v>163.096</v>
      </c>
      <c r="G15" s="8" t="s">
        <v>35</v>
      </c>
      <c r="H15" s="4" t="s">
        <v>77</v>
      </c>
      <c r="I15" s="4" t="s">
        <v>78</v>
      </c>
    </row>
    <row r="16" customFormat="false" ht="17.15" hidden="false" customHeight="false" outlineLevel="0" collapsed="false">
      <c r="A16" s="6" t="s">
        <v>79</v>
      </c>
    </row>
    <row r="17" customFormat="false" ht="17.15" hidden="false" customHeight="false" outlineLevel="0" collapsed="false">
      <c r="A17" s="0" t="s">
        <v>80</v>
      </c>
      <c r="B17" s="4" t="s">
        <v>81</v>
      </c>
      <c r="C17" s="0" t="s">
        <v>34</v>
      </c>
      <c r="E17" s="7" t="n">
        <v>189</v>
      </c>
      <c r="G17" s="8" t="s">
        <v>82</v>
      </c>
      <c r="H17" s="4" t="s">
        <v>83</v>
      </c>
      <c r="I17" s="4" t="s">
        <v>84</v>
      </c>
    </row>
    <row r="18" customFormat="false" ht="17.15" hidden="false" customHeight="false" outlineLevel="0" collapsed="false">
      <c r="A18" s="0" t="s">
        <v>85</v>
      </c>
      <c r="B18" s="4" t="s">
        <v>86</v>
      </c>
      <c r="C18" s="0" t="s">
        <v>34</v>
      </c>
      <c r="E18" s="0" t="n">
        <f aca="false">40+1.5</f>
        <v>41.5</v>
      </c>
      <c r="G18" s="0" t="s">
        <v>82</v>
      </c>
      <c r="H18" s="4" t="s">
        <v>87</v>
      </c>
      <c r="I18" s="4" t="s">
        <v>88</v>
      </c>
    </row>
    <row r="19" customFormat="false" ht="17.15" hidden="false" customHeight="false" outlineLevel="0" collapsed="false">
      <c r="A19" s="0" t="s">
        <v>89</v>
      </c>
      <c r="B19" s="4" t="s">
        <v>90</v>
      </c>
      <c r="C19" s="0" t="s">
        <v>34</v>
      </c>
      <c r="E19" s="0" t="n">
        <f aca="false">g26_rev-g26_met</f>
        <v>147.5</v>
      </c>
      <c r="G19" s="0" t="s">
        <v>91</v>
      </c>
      <c r="H19" s="0" t="s">
        <v>92</v>
      </c>
      <c r="I19" s="0" t="s">
        <v>93</v>
      </c>
    </row>
    <row r="20" customFormat="false" ht="17.15" hidden="false" customHeight="false" outlineLevel="0" collapsed="false">
      <c r="A20" s="0" t="s">
        <v>94</v>
      </c>
      <c r="B20" s="4" t="s">
        <v>95</v>
      </c>
      <c r="C20" s="0" t="s">
        <v>34</v>
      </c>
      <c r="E20" s="7" t="n">
        <v>44</v>
      </c>
      <c r="G20" s="8" t="s">
        <v>82</v>
      </c>
      <c r="H20" s="4" t="s">
        <v>96</v>
      </c>
      <c r="I20" s="4" t="s">
        <v>97</v>
      </c>
    </row>
    <row r="21" customFormat="false" ht="17.15" hidden="false" customHeight="false" outlineLevel="0" collapsed="false">
      <c r="A21" s="0" t="s">
        <v>98</v>
      </c>
      <c r="B21" s="4" t="s">
        <v>99</v>
      </c>
      <c r="C21" s="0" t="s">
        <v>34</v>
      </c>
      <c r="E21" s="7" t="n">
        <v>30.8</v>
      </c>
      <c r="G21" s="8" t="s">
        <v>82</v>
      </c>
      <c r="H21" s="4" t="s">
        <v>100</v>
      </c>
      <c r="I21" s="8" t="s">
        <v>101</v>
      </c>
    </row>
    <row r="22" customFormat="false" ht="17.15" hidden="false" customHeight="false" outlineLevel="0" collapsed="false">
      <c r="A22" s="0" t="s">
        <v>102</v>
      </c>
      <c r="B22" s="4" t="s">
        <v>103</v>
      </c>
      <c r="C22" s="0" t="s">
        <v>56</v>
      </c>
      <c r="E22" s="7" t="n">
        <v>758.83</v>
      </c>
      <c r="G22" s="8" t="s">
        <v>82</v>
      </c>
      <c r="H22" s="4" t="s">
        <v>104</v>
      </c>
      <c r="I22" s="8" t="s">
        <v>105</v>
      </c>
    </row>
    <row r="23" customFormat="false" ht="17.15" hidden="false" customHeight="false" outlineLevel="0" collapsed="false">
      <c r="A23" s="0" t="s">
        <v>106</v>
      </c>
      <c r="B23" s="0" t="s">
        <v>107</v>
      </c>
      <c r="C23" s="0" t="s">
        <v>108</v>
      </c>
      <c r="D23" s="7" t="n">
        <v>0.25</v>
      </c>
      <c r="E23" s="7" t="n">
        <v>0.255</v>
      </c>
      <c r="F23" s="7" t="n">
        <v>0.26</v>
      </c>
      <c r="G23" s="8" t="s">
        <v>82</v>
      </c>
      <c r="H23" s="4" t="s">
        <v>109</v>
      </c>
      <c r="I23" s="4" t="s">
        <v>110</v>
      </c>
    </row>
    <row r="24" customFormat="false" ht="17.15" hidden="false" customHeight="false" outlineLevel="0" collapsed="false">
      <c r="A24" s="0" t="s">
        <v>111</v>
      </c>
      <c r="B24" s="0" t="s">
        <v>112</v>
      </c>
      <c r="C24" s="0" t="s">
        <v>108</v>
      </c>
      <c r="D24" s="7" t="n">
        <v>-0.03</v>
      </c>
      <c r="E24" s="7" t="n">
        <v>0</v>
      </c>
      <c r="F24" s="7" t="n">
        <v>0.05</v>
      </c>
      <c r="G24" s="8" t="s">
        <v>113</v>
      </c>
      <c r="H24" s="4" t="s">
        <v>114</v>
      </c>
      <c r="I24" s="4" t="s">
        <v>115</v>
      </c>
    </row>
    <row r="25" customFormat="false" ht="17.15" hidden="false" customHeight="false" outlineLevel="0" collapsed="false">
      <c r="A25" s="0" t="s">
        <v>116</v>
      </c>
      <c r="B25" s="0" t="s">
        <v>117</v>
      </c>
      <c r="C25" s="0" t="s">
        <v>34</v>
      </c>
      <c r="E25" s="7" t="n">
        <v>36.716</v>
      </c>
      <c r="G25" s="8" t="s">
        <v>35</v>
      </c>
      <c r="H25" s="4" t="s">
        <v>118</v>
      </c>
      <c r="I25" s="4" t="s">
        <v>119</v>
      </c>
    </row>
    <row r="26" customFormat="false" ht="17.15" hidden="false" customHeight="false" outlineLevel="0" collapsed="false">
      <c r="A26" s="0" t="s">
        <v>120</v>
      </c>
      <c r="B26" s="0" t="s">
        <v>121</v>
      </c>
      <c r="C26" s="0" t="s">
        <v>34</v>
      </c>
      <c r="E26" s="7" t="n">
        <v>5.92</v>
      </c>
      <c r="G26" s="8" t="s">
        <v>35</v>
      </c>
      <c r="H26" s="4" t="s">
        <v>122</v>
      </c>
      <c r="I26" s="4" t="s">
        <v>123</v>
      </c>
    </row>
    <row r="27" customFormat="false" ht="17.15" hidden="false" customHeight="false" outlineLevel="0" collapsed="false">
      <c r="A27" s="0" t="s">
        <v>124</v>
      </c>
      <c r="B27" s="0" t="s">
        <v>125</v>
      </c>
      <c r="C27" s="0" t="s">
        <v>34</v>
      </c>
      <c r="E27" s="7" t="n">
        <v>4.667</v>
      </c>
      <c r="G27" s="8" t="s">
        <v>35</v>
      </c>
      <c r="H27" s="4" t="s">
        <v>126</v>
      </c>
      <c r="I27" s="4" t="s">
        <v>123</v>
      </c>
    </row>
    <row r="28" customFormat="false" ht="17.15" hidden="false" customHeight="false" outlineLevel="0" collapsed="false">
      <c r="A28" s="0" t="s">
        <v>127</v>
      </c>
      <c r="B28" s="0" t="s">
        <v>128</v>
      </c>
      <c r="C28" s="0" t="s">
        <v>34</v>
      </c>
      <c r="E28" s="7" t="n">
        <v>65.8</v>
      </c>
      <c r="G28" s="8" t="s">
        <v>82</v>
      </c>
      <c r="H28" s="4" t="s">
        <v>129</v>
      </c>
      <c r="I28" s="4" t="s">
        <v>130</v>
      </c>
    </row>
    <row r="29" customFormat="false" ht="17.15" hidden="false" customHeight="false" outlineLevel="0" collapsed="false">
      <c r="A29" s="0" t="s">
        <v>131</v>
      </c>
      <c r="B29" s="4" t="s">
        <v>132</v>
      </c>
      <c r="C29" s="0" t="s">
        <v>34</v>
      </c>
      <c r="E29" s="7" t="n">
        <v>88.5</v>
      </c>
      <c r="G29" s="8" t="s">
        <v>82</v>
      </c>
      <c r="H29" s="4" t="s">
        <v>133</v>
      </c>
      <c r="I29" s="4" t="s">
        <v>134</v>
      </c>
    </row>
    <row r="30" customFormat="false" ht="17.15" hidden="false" customHeight="false" outlineLevel="0" collapsed="false">
      <c r="A30" s="0" t="s">
        <v>135</v>
      </c>
      <c r="B30" s="4" t="s">
        <v>136</v>
      </c>
      <c r="C30" s="4" t="s">
        <v>137</v>
      </c>
      <c r="E30" s="7" t="n">
        <v>40.58844</v>
      </c>
      <c r="G30" s="8" t="s">
        <v>35</v>
      </c>
      <c r="H30" s="4" t="s">
        <v>138</v>
      </c>
      <c r="I30" s="8" t="s">
        <v>139</v>
      </c>
    </row>
    <row r="31" customFormat="false" ht="17.15" hidden="false" customHeight="false" outlineLevel="0" collapsed="false">
      <c r="A31" s="6" t="s">
        <v>140</v>
      </c>
    </row>
    <row r="32" customFormat="false" ht="17.15" hidden="false" customHeight="false" outlineLevel="0" collapsed="false">
      <c r="A32" s="0" t="s">
        <v>141</v>
      </c>
      <c r="B32" s="4" t="s">
        <v>142</v>
      </c>
      <c r="C32" s="0" t="s">
        <v>108</v>
      </c>
      <c r="D32" s="7" t="n">
        <v>0.7</v>
      </c>
      <c r="E32" s="7" t="n">
        <v>0.72</v>
      </c>
      <c r="F32" s="7" t="n">
        <v>0.74</v>
      </c>
      <c r="G32" s="8" t="s">
        <v>82</v>
      </c>
      <c r="H32" s="4" t="s">
        <v>143</v>
      </c>
      <c r="I32" s="4" t="s">
        <v>144</v>
      </c>
    </row>
    <row r="33" customFormat="false" ht="17.15" hidden="false" customHeight="false" outlineLevel="0" collapsed="false">
      <c r="A33" s="0" t="s">
        <v>145</v>
      </c>
      <c r="B33" s="4" t="s">
        <v>146</v>
      </c>
      <c r="C33" s="0" t="s">
        <v>108</v>
      </c>
      <c r="D33" s="7" t="n">
        <v>0.1</v>
      </c>
      <c r="E33" s="7" t="n">
        <v>0.2</v>
      </c>
      <c r="F33" s="7" t="n">
        <v>0.35</v>
      </c>
      <c r="G33" s="8" t="s">
        <v>113</v>
      </c>
      <c r="H33" s="4" t="s">
        <v>147</v>
      </c>
      <c r="I33" s="4" t="s">
        <v>148</v>
      </c>
    </row>
    <row r="34" customFormat="false" ht="17.15" hidden="false" customHeight="false" outlineLevel="0" collapsed="false">
      <c r="A34" s="0" t="s">
        <v>149</v>
      </c>
      <c r="B34" s="0" t="s">
        <v>150</v>
      </c>
      <c r="C34" s="0" t="s">
        <v>108</v>
      </c>
      <c r="E34" s="7" t="n">
        <v>0.45</v>
      </c>
      <c r="G34" s="8" t="s">
        <v>82</v>
      </c>
      <c r="H34" s="4" t="s">
        <v>151</v>
      </c>
      <c r="I34" s="8" t="s">
        <v>152</v>
      </c>
    </row>
    <row r="35" customFormat="false" ht="17.15" hidden="false" customHeight="false" outlineLevel="0" collapsed="false">
      <c r="A35" s="0" t="s">
        <v>153</v>
      </c>
      <c r="B35" s="4" t="s">
        <v>154</v>
      </c>
      <c r="C35" s="0" t="s">
        <v>108</v>
      </c>
      <c r="D35" s="7" t="n">
        <v>0.4</v>
      </c>
      <c r="E35" s="7" t="n">
        <v>0.45</v>
      </c>
      <c r="F35" s="7" t="n">
        <v>0.5</v>
      </c>
      <c r="G35" s="8" t="s">
        <v>82</v>
      </c>
      <c r="H35" s="4" t="s">
        <v>155</v>
      </c>
      <c r="I35" s="4" t="s">
        <v>156</v>
      </c>
    </row>
    <row r="36" customFormat="false" ht="17.15" hidden="false" customHeight="false" outlineLevel="0" collapsed="false">
      <c r="A36" s="6" t="s">
        <v>157</v>
      </c>
    </row>
    <row r="37" customFormat="false" ht="17.15" hidden="false" customHeight="false" outlineLevel="0" collapsed="false">
      <c r="A37" s="0" t="s">
        <v>158</v>
      </c>
      <c r="B37" s="4" t="s">
        <v>159</v>
      </c>
      <c r="C37" s="0" t="s">
        <v>160</v>
      </c>
      <c r="E37" s="7" t="n">
        <v>14.7359586560428</v>
      </c>
      <c r="G37" s="8" t="s">
        <v>91</v>
      </c>
      <c r="H37" s="8" t="s">
        <v>161</v>
      </c>
      <c r="I37" s="8" t="s">
        <v>162</v>
      </c>
    </row>
    <row r="38" customFormat="false" ht="17.15" hidden="false" customHeight="false" outlineLevel="0" collapsed="false">
      <c r="A38" s="0" t="s">
        <v>163</v>
      </c>
      <c r="B38" s="4" t="s">
        <v>164</v>
      </c>
      <c r="C38" s="0" t="s">
        <v>160</v>
      </c>
      <c r="E38" s="7" t="n">
        <v>18.65</v>
      </c>
      <c r="G38" s="8" t="s">
        <v>91</v>
      </c>
      <c r="H38" s="4" t="s">
        <v>165</v>
      </c>
    </row>
    <row r="39" customFormat="false" ht="17.15" hidden="false" customHeight="false" outlineLevel="0" collapsed="false">
      <c r="A39" s="0" t="s">
        <v>166</v>
      </c>
      <c r="B39" s="4" t="s">
        <v>167</v>
      </c>
      <c r="C39" s="0" t="s">
        <v>160</v>
      </c>
      <c r="E39" s="7" t="n">
        <v>21.6346744396519</v>
      </c>
      <c r="G39" s="8" t="s">
        <v>91</v>
      </c>
      <c r="H39" s="4" t="s">
        <v>165</v>
      </c>
    </row>
    <row r="40" customFormat="false" ht="17.15" hidden="false" customHeight="false" outlineLevel="0" collapsed="false">
      <c r="A40" s="0" t="s">
        <v>168</v>
      </c>
      <c r="B40" s="4" t="s">
        <v>169</v>
      </c>
      <c r="C40" s="0" t="s">
        <v>160</v>
      </c>
      <c r="E40" s="7" t="n">
        <v>25.1</v>
      </c>
      <c r="G40" s="8" t="s">
        <v>91</v>
      </c>
      <c r="H40" s="4" t="s">
        <v>165</v>
      </c>
    </row>
    <row r="41" customFormat="false" ht="17.15" hidden="false" customHeight="false" outlineLevel="0" collapsed="false">
      <c r="A41" s="0" t="s">
        <v>170</v>
      </c>
      <c r="B41" s="4" t="s">
        <v>171</v>
      </c>
      <c r="C41" s="0" t="s">
        <v>160</v>
      </c>
      <c r="E41" s="7" t="n">
        <v>27.108</v>
      </c>
      <c r="G41" s="8" t="s">
        <v>91</v>
      </c>
      <c r="H41" s="4" t="s">
        <v>165</v>
      </c>
    </row>
    <row r="42" customFormat="false" ht="17.15" hidden="false" customHeight="false" outlineLevel="0" collapsed="false">
      <c r="A42" s="0" t="s">
        <v>172</v>
      </c>
      <c r="B42" s="4" t="s">
        <v>173</v>
      </c>
      <c r="C42" s="0" t="s">
        <v>160</v>
      </c>
      <c r="E42" s="7" t="n">
        <v>3.05656934306569</v>
      </c>
      <c r="G42" s="8" t="s">
        <v>91</v>
      </c>
      <c r="H42" s="8" t="s">
        <v>174</v>
      </c>
    </row>
    <row r="43" customFormat="false" ht="17.15" hidden="false" customHeight="false" outlineLevel="0" collapsed="false">
      <c r="A43" s="0" t="s">
        <v>175</v>
      </c>
      <c r="B43" s="4" t="s">
        <v>176</v>
      </c>
      <c r="C43" s="0" t="s">
        <v>160</v>
      </c>
      <c r="E43" s="7" t="n">
        <v>3.35</v>
      </c>
      <c r="G43" s="8" t="s">
        <v>91</v>
      </c>
      <c r="H43" s="4" t="s">
        <v>165</v>
      </c>
    </row>
    <row r="44" customFormat="false" ht="17.15" hidden="false" customHeight="false" outlineLevel="0" collapsed="false">
      <c r="A44" s="0" t="s">
        <v>177</v>
      </c>
      <c r="B44" s="4" t="s">
        <v>178</v>
      </c>
      <c r="C44" s="0" t="s">
        <v>160</v>
      </c>
      <c r="E44" s="7" t="n">
        <v>3.79539194286967</v>
      </c>
      <c r="G44" s="8" t="s">
        <v>91</v>
      </c>
      <c r="H44" s="4" t="s">
        <v>165</v>
      </c>
    </row>
    <row r="45" customFormat="false" ht="17.15" hidden="false" customHeight="false" outlineLevel="0" collapsed="false">
      <c r="A45" s="0" t="s">
        <v>179</v>
      </c>
      <c r="B45" s="4" t="s">
        <v>180</v>
      </c>
      <c r="C45" s="0" t="s">
        <v>160</v>
      </c>
      <c r="E45" s="7" t="n">
        <v>4.3</v>
      </c>
      <c r="G45" s="8" t="s">
        <v>91</v>
      </c>
      <c r="H45" s="4" t="s">
        <v>165</v>
      </c>
    </row>
    <row r="46" customFormat="false" ht="17.15" hidden="false" customHeight="false" outlineLevel="0" collapsed="false">
      <c r="A46" s="0" t="s">
        <v>181</v>
      </c>
      <c r="B46" s="4" t="s">
        <v>182</v>
      </c>
      <c r="C46" s="0" t="s">
        <v>160</v>
      </c>
      <c r="E46" s="7" t="n">
        <v>4.644</v>
      </c>
      <c r="G46" s="8" t="s">
        <v>91</v>
      </c>
      <c r="H46" s="4" t="s">
        <v>165</v>
      </c>
    </row>
    <row r="47" customFormat="false" ht="17.15" hidden="false" customHeight="false" outlineLevel="0" collapsed="false">
      <c r="A47" s="0" t="s">
        <v>183</v>
      </c>
      <c r="B47" s="4" t="s">
        <v>184</v>
      </c>
      <c r="C47" s="0" t="s">
        <v>160</v>
      </c>
      <c r="E47" s="7" t="n">
        <v>116.896831844029</v>
      </c>
      <c r="G47" s="8" t="s">
        <v>91</v>
      </c>
      <c r="H47" s="8" t="s">
        <v>185</v>
      </c>
    </row>
    <row r="48" customFormat="false" ht="17.15" hidden="false" customHeight="false" outlineLevel="0" collapsed="false">
      <c r="A48" s="0" t="s">
        <v>186</v>
      </c>
      <c r="B48" s="4" t="s">
        <v>187</v>
      </c>
      <c r="C48" s="0" t="s">
        <v>160</v>
      </c>
      <c r="E48" s="7" t="n">
        <v>156.157050570127</v>
      </c>
      <c r="G48" s="8" t="s">
        <v>91</v>
      </c>
      <c r="H48" s="4" t="s">
        <v>165</v>
      </c>
    </row>
    <row r="49" customFormat="false" ht="17.15" hidden="false" customHeight="false" outlineLevel="0" collapsed="false">
      <c r="A49" s="0" t="s">
        <v>188</v>
      </c>
      <c r="B49" s="4" t="s">
        <v>189</v>
      </c>
      <c r="C49" s="0" t="s">
        <v>160</v>
      </c>
      <c r="E49" s="7" t="n">
        <v>192.795469377561</v>
      </c>
      <c r="G49" s="8" t="s">
        <v>91</v>
      </c>
      <c r="H49" s="4" t="s">
        <v>165</v>
      </c>
    </row>
    <row r="50" customFormat="false" ht="17.15" hidden="false" customHeight="false" outlineLevel="0" collapsed="false">
      <c r="A50" s="0" t="s">
        <v>190</v>
      </c>
      <c r="B50" s="4" t="s">
        <v>191</v>
      </c>
      <c r="C50" s="0" t="s">
        <v>160</v>
      </c>
      <c r="E50" s="7" t="n">
        <v>216.628626308958</v>
      </c>
      <c r="G50" s="8" t="s">
        <v>91</v>
      </c>
      <c r="H50" s="4" t="s">
        <v>165</v>
      </c>
    </row>
    <row r="51" customFormat="false" ht="17.15" hidden="false" customHeight="false" outlineLevel="0" collapsed="false">
      <c r="A51" s="0" t="s">
        <v>192</v>
      </c>
      <c r="B51" s="4" t="s">
        <v>193</v>
      </c>
      <c r="C51" s="0" t="s">
        <v>160</v>
      </c>
      <c r="E51" s="7" t="n">
        <v>228.903685855226</v>
      </c>
      <c r="G51" s="8" t="s">
        <v>91</v>
      </c>
      <c r="H51" s="4" t="s">
        <v>165</v>
      </c>
    </row>
    <row r="52" customFormat="false" ht="17.15" hidden="false" customHeight="false" outlineLevel="0" collapsed="false">
      <c r="A52" s="0" t="s">
        <v>194</v>
      </c>
      <c r="B52" s="4" t="s">
        <v>195</v>
      </c>
      <c r="C52" s="0" t="s">
        <v>160</v>
      </c>
      <c r="E52" s="7" t="n">
        <v>14.7359586560428</v>
      </c>
      <c r="G52" s="8" t="s">
        <v>91</v>
      </c>
      <c r="H52" s="8" t="s">
        <v>196</v>
      </c>
    </row>
    <row r="53" customFormat="false" ht="17.15" hidden="false" customHeight="false" outlineLevel="0" collapsed="false">
      <c r="A53" s="0" t="s">
        <v>197</v>
      </c>
      <c r="B53" s="4" t="s">
        <v>198</v>
      </c>
      <c r="C53" s="0" t="s">
        <v>160</v>
      </c>
      <c r="E53" s="7" t="n">
        <v>18.65</v>
      </c>
      <c r="G53" s="8" t="s">
        <v>91</v>
      </c>
      <c r="H53" s="4" t="s">
        <v>165</v>
      </c>
    </row>
    <row r="54" customFormat="false" ht="17.15" hidden="false" customHeight="false" outlineLevel="0" collapsed="false">
      <c r="A54" s="0" t="s">
        <v>199</v>
      </c>
      <c r="B54" s="4" t="s">
        <v>200</v>
      </c>
      <c r="C54" s="0" t="s">
        <v>160</v>
      </c>
      <c r="E54" s="7" t="n">
        <v>21.6346744396519</v>
      </c>
      <c r="G54" s="8" t="s">
        <v>91</v>
      </c>
      <c r="H54" s="4" t="s">
        <v>165</v>
      </c>
    </row>
    <row r="55" customFormat="false" ht="17.15" hidden="false" customHeight="false" outlineLevel="0" collapsed="false">
      <c r="A55" s="0" t="s">
        <v>201</v>
      </c>
      <c r="B55" s="4" t="s">
        <v>202</v>
      </c>
      <c r="C55" s="0" t="s">
        <v>160</v>
      </c>
      <c r="E55" s="7" t="n">
        <v>21.6346744396519</v>
      </c>
      <c r="G55" s="8" t="s">
        <v>91</v>
      </c>
      <c r="H55" s="4" t="s">
        <v>165</v>
      </c>
    </row>
    <row r="56" customFormat="false" ht="17.15" hidden="false" customHeight="false" outlineLevel="0" collapsed="false">
      <c r="A56" s="0" t="s">
        <v>203</v>
      </c>
      <c r="B56" s="4" t="s">
        <v>204</v>
      </c>
      <c r="C56" s="0" t="s">
        <v>160</v>
      </c>
      <c r="E56" s="7" t="n">
        <v>20.5529407176693</v>
      </c>
      <c r="G56" s="8" t="s">
        <v>91</v>
      </c>
      <c r="H56" s="4" t="s">
        <v>165</v>
      </c>
    </row>
    <row r="57" customFormat="false" ht="17.15" hidden="false" customHeight="false" outlineLevel="0" collapsed="false">
      <c r="A57" s="0" t="s">
        <v>205</v>
      </c>
      <c r="B57" s="4" t="s">
        <v>206</v>
      </c>
      <c r="C57" s="0" t="s">
        <v>160</v>
      </c>
      <c r="E57" s="7" t="n">
        <v>3.05656934306569</v>
      </c>
      <c r="G57" s="8" t="s">
        <v>91</v>
      </c>
      <c r="H57" s="8" t="s">
        <v>207</v>
      </c>
    </row>
    <row r="58" customFormat="false" ht="17.15" hidden="false" customHeight="false" outlineLevel="0" collapsed="false">
      <c r="A58" s="0" t="s">
        <v>208</v>
      </c>
      <c r="B58" s="4" t="s">
        <v>209</v>
      </c>
      <c r="C58" s="0" t="s">
        <v>160</v>
      </c>
      <c r="E58" s="7" t="n">
        <v>3.35</v>
      </c>
      <c r="G58" s="8" t="s">
        <v>91</v>
      </c>
      <c r="H58" s="4" t="s">
        <v>165</v>
      </c>
    </row>
    <row r="59" customFormat="false" ht="17.15" hidden="false" customHeight="false" outlineLevel="0" collapsed="false">
      <c r="A59" s="0" t="s">
        <v>210</v>
      </c>
      <c r="B59" s="4" t="s">
        <v>211</v>
      </c>
      <c r="C59" s="0" t="s">
        <v>160</v>
      </c>
      <c r="E59" s="7" t="n">
        <v>3.79539194286967</v>
      </c>
      <c r="G59" s="8" t="s">
        <v>91</v>
      </c>
      <c r="H59" s="4" t="s">
        <v>165</v>
      </c>
    </row>
    <row r="60" customFormat="false" ht="17.15" hidden="false" customHeight="false" outlineLevel="0" collapsed="false">
      <c r="A60" s="0" t="s">
        <v>212</v>
      </c>
      <c r="B60" s="4" t="s">
        <v>213</v>
      </c>
      <c r="C60" s="0" t="s">
        <v>160</v>
      </c>
      <c r="E60" s="7" t="n">
        <v>3.79539194286967</v>
      </c>
      <c r="G60" s="8" t="s">
        <v>91</v>
      </c>
      <c r="H60" s="4" t="s">
        <v>165</v>
      </c>
    </row>
    <row r="61" customFormat="false" ht="17.15" hidden="false" customHeight="false" outlineLevel="0" collapsed="false">
      <c r="A61" s="0" t="s">
        <v>214</v>
      </c>
      <c r="B61" s="4" t="s">
        <v>215</v>
      </c>
      <c r="C61" s="0" t="s">
        <v>160</v>
      </c>
      <c r="E61" s="7" t="n">
        <v>3.60562234572619</v>
      </c>
      <c r="G61" s="8" t="s">
        <v>91</v>
      </c>
      <c r="H61" s="4" t="s">
        <v>165</v>
      </c>
    </row>
    <row r="62" customFormat="false" ht="17.15" hidden="false" customHeight="false" outlineLevel="0" collapsed="false">
      <c r="A62" s="0" t="s">
        <v>216</v>
      </c>
      <c r="B62" s="4" t="s">
        <v>217</v>
      </c>
      <c r="C62" s="0" t="s">
        <v>160</v>
      </c>
      <c r="E62" s="7" t="n">
        <v>116.896831844029</v>
      </c>
      <c r="G62" s="8" t="s">
        <v>91</v>
      </c>
      <c r="H62" s="8" t="s">
        <v>218</v>
      </c>
    </row>
    <row r="63" customFormat="false" ht="17.15" hidden="false" customHeight="false" outlineLevel="0" collapsed="false">
      <c r="A63" s="0" t="s">
        <v>219</v>
      </c>
      <c r="B63" s="4" t="s">
        <v>220</v>
      </c>
      <c r="C63" s="0" t="s">
        <v>160</v>
      </c>
      <c r="E63" s="7" t="n">
        <v>156.157050570127</v>
      </c>
      <c r="G63" s="8" t="s">
        <v>91</v>
      </c>
      <c r="H63" s="4" t="s">
        <v>165</v>
      </c>
    </row>
    <row r="64" customFormat="false" ht="17.15" hidden="false" customHeight="false" outlineLevel="0" collapsed="false">
      <c r="A64" s="0" t="s">
        <v>221</v>
      </c>
      <c r="B64" s="4" t="s">
        <v>222</v>
      </c>
      <c r="C64" s="0" t="s">
        <v>160</v>
      </c>
      <c r="E64" s="7" t="n">
        <v>192.795469377561</v>
      </c>
      <c r="G64" s="8" t="s">
        <v>91</v>
      </c>
      <c r="H64" s="4" t="s">
        <v>165</v>
      </c>
    </row>
    <row r="65" customFormat="false" ht="17.15" hidden="false" customHeight="false" outlineLevel="0" collapsed="false">
      <c r="A65" s="0" t="s">
        <v>223</v>
      </c>
      <c r="B65" s="4" t="s">
        <v>224</v>
      </c>
      <c r="C65" s="0" t="s">
        <v>160</v>
      </c>
      <c r="E65" s="7" t="n">
        <v>192.795469377561</v>
      </c>
      <c r="G65" s="8" t="s">
        <v>91</v>
      </c>
      <c r="H65" s="4" t="s">
        <v>165</v>
      </c>
    </row>
    <row r="66" customFormat="false" ht="17.15" hidden="false" customHeight="false" outlineLevel="0" collapsed="false">
      <c r="A66" s="0" t="s">
        <v>225</v>
      </c>
      <c r="B66" s="4" t="s">
        <v>226</v>
      </c>
      <c r="C66" s="0" t="s">
        <v>160</v>
      </c>
      <c r="E66" s="7" t="n">
        <v>183.155695908683</v>
      </c>
      <c r="G66" s="8" t="s">
        <v>91</v>
      </c>
      <c r="H66" s="4" t="s">
        <v>165</v>
      </c>
    </row>
    <row r="67" customFormat="false" ht="17.15" hidden="false" customHeight="false" outlineLevel="0" collapsed="false">
      <c r="A67" s="0" t="s">
        <v>227</v>
      </c>
      <c r="B67" s="4" t="s">
        <v>228</v>
      </c>
      <c r="C67" s="0" t="s">
        <v>160</v>
      </c>
      <c r="E67" s="7" t="n">
        <v>14.7359586560428</v>
      </c>
      <c r="G67" s="8" t="s">
        <v>91</v>
      </c>
      <c r="H67" s="8" t="s">
        <v>229</v>
      </c>
    </row>
    <row r="68" customFormat="false" ht="17.15" hidden="false" customHeight="false" outlineLevel="0" collapsed="false">
      <c r="A68" s="0" t="s">
        <v>230</v>
      </c>
      <c r="B68" s="4" t="s">
        <v>231</v>
      </c>
      <c r="C68" s="0" t="s">
        <v>160</v>
      </c>
      <c r="E68" s="7" t="n">
        <v>18.65</v>
      </c>
      <c r="G68" s="8" t="s">
        <v>91</v>
      </c>
      <c r="H68" s="4" t="s">
        <v>165</v>
      </c>
    </row>
    <row r="69" customFormat="false" ht="17.15" hidden="false" customHeight="false" outlineLevel="0" collapsed="false">
      <c r="A69" s="0" t="s">
        <v>232</v>
      </c>
      <c r="B69" s="4" t="s">
        <v>233</v>
      </c>
      <c r="C69" s="0" t="s">
        <v>160</v>
      </c>
      <c r="E69" s="7" t="n">
        <v>21.6346744396519</v>
      </c>
      <c r="G69" s="8" t="s">
        <v>91</v>
      </c>
      <c r="H69" s="4" t="s">
        <v>165</v>
      </c>
    </row>
    <row r="70" customFormat="false" ht="17.15" hidden="false" customHeight="false" outlineLevel="0" collapsed="false">
      <c r="A70" s="0" t="s">
        <v>234</v>
      </c>
      <c r="B70" s="4" t="s">
        <v>235</v>
      </c>
      <c r="C70" s="0" t="s">
        <v>160</v>
      </c>
      <c r="E70" s="7" t="n">
        <v>17.3077395517215</v>
      </c>
      <c r="G70" s="8" t="s">
        <v>91</v>
      </c>
      <c r="H70" s="4" t="s">
        <v>165</v>
      </c>
    </row>
    <row r="71" customFormat="false" ht="17.15" hidden="false" customHeight="false" outlineLevel="0" collapsed="false">
      <c r="A71" s="0" t="s">
        <v>236</v>
      </c>
      <c r="B71" s="4" t="s">
        <v>237</v>
      </c>
      <c r="C71" s="0" t="s">
        <v>160</v>
      </c>
      <c r="E71" s="7" t="n">
        <v>17.3077395517215</v>
      </c>
      <c r="G71" s="8" t="s">
        <v>91</v>
      </c>
      <c r="H71" s="4" t="s">
        <v>165</v>
      </c>
    </row>
    <row r="72" customFormat="false" ht="17.15" hidden="false" customHeight="false" outlineLevel="0" collapsed="false">
      <c r="A72" s="0" t="s">
        <v>238</v>
      </c>
      <c r="B72" s="4" t="s">
        <v>239</v>
      </c>
      <c r="C72" s="0" t="s">
        <v>160</v>
      </c>
      <c r="E72" s="7" t="n">
        <v>3.05656934306569</v>
      </c>
      <c r="G72" s="8" t="s">
        <v>91</v>
      </c>
      <c r="H72" s="8" t="s">
        <v>240</v>
      </c>
    </row>
    <row r="73" customFormat="false" ht="17.15" hidden="false" customHeight="false" outlineLevel="0" collapsed="false">
      <c r="A73" s="0" t="s">
        <v>241</v>
      </c>
      <c r="B73" s="4" t="s">
        <v>242</v>
      </c>
      <c r="C73" s="0" t="s">
        <v>160</v>
      </c>
      <c r="E73" s="7" t="n">
        <v>3.35</v>
      </c>
      <c r="G73" s="8" t="s">
        <v>91</v>
      </c>
      <c r="H73" s="4" t="s">
        <v>165</v>
      </c>
    </row>
    <row r="74" customFormat="false" ht="17.15" hidden="false" customHeight="false" outlineLevel="0" collapsed="false">
      <c r="A74" s="0" t="s">
        <v>243</v>
      </c>
      <c r="B74" s="4" t="s">
        <v>244</v>
      </c>
      <c r="C74" s="0" t="s">
        <v>160</v>
      </c>
      <c r="E74" s="7" t="n">
        <v>3.79539194286967</v>
      </c>
      <c r="G74" s="8" t="s">
        <v>91</v>
      </c>
      <c r="H74" s="4" t="s">
        <v>165</v>
      </c>
    </row>
    <row r="75" customFormat="false" ht="17.15" hidden="false" customHeight="false" outlineLevel="0" collapsed="false">
      <c r="A75" s="0" t="s">
        <v>245</v>
      </c>
      <c r="B75" s="4" t="s">
        <v>246</v>
      </c>
      <c r="C75" s="0" t="s">
        <v>160</v>
      </c>
      <c r="E75" s="7" t="n">
        <v>3.03631355429574</v>
      </c>
      <c r="G75" s="8" t="s">
        <v>91</v>
      </c>
      <c r="H75" s="4" t="s">
        <v>165</v>
      </c>
    </row>
    <row r="76" customFormat="false" ht="17.15" hidden="false" customHeight="false" outlineLevel="0" collapsed="false">
      <c r="A76" s="0" t="s">
        <v>247</v>
      </c>
      <c r="B76" s="4" t="s">
        <v>248</v>
      </c>
      <c r="C76" s="0" t="s">
        <v>160</v>
      </c>
      <c r="E76" s="7" t="n">
        <v>3.03631355429574</v>
      </c>
      <c r="G76" s="8" t="s">
        <v>91</v>
      </c>
      <c r="H76" s="4" t="s">
        <v>165</v>
      </c>
    </row>
    <row r="77" customFormat="false" ht="17.15" hidden="false" customHeight="false" outlineLevel="0" collapsed="false">
      <c r="A77" s="0" t="s">
        <v>249</v>
      </c>
      <c r="B77" s="4" t="s">
        <v>250</v>
      </c>
      <c r="C77" s="0" t="s">
        <v>160</v>
      </c>
      <c r="E77" s="7" t="n">
        <v>116.896831844029</v>
      </c>
      <c r="G77" s="8" t="s">
        <v>91</v>
      </c>
      <c r="H77" s="8" t="s">
        <v>251</v>
      </c>
    </row>
    <row r="78" customFormat="false" ht="17.15" hidden="false" customHeight="false" outlineLevel="0" collapsed="false">
      <c r="A78" s="0" t="s">
        <v>252</v>
      </c>
      <c r="B78" s="4" t="s">
        <v>253</v>
      </c>
      <c r="C78" s="0" t="s">
        <v>160</v>
      </c>
      <c r="E78" s="7" t="n">
        <v>156.157050570127</v>
      </c>
      <c r="G78" s="8" t="s">
        <v>91</v>
      </c>
      <c r="H78" s="4" t="s">
        <v>165</v>
      </c>
    </row>
    <row r="79" customFormat="false" ht="17.15" hidden="false" customHeight="false" outlineLevel="0" collapsed="false">
      <c r="A79" s="0" t="s">
        <v>254</v>
      </c>
      <c r="B79" s="4" t="s">
        <v>255</v>
      </c>
      <c r="C79" s="0" t="s">
        <v>160</v>
      </c>
      <c r="E79" s="7" t="n">
        <v>192.795469377561</v>
      </c>
      <c r="G79" s="8" t="s">
        <v>91</v>
      </c>
      <c r="H79" s="4" t="s">
        <v>165</v>
      </c>
    </row>
    <row r="80" customFormat="false" ht="17.15" hidden="false" customHeight="false" outlineLevel="0" collapsed="false">
      <c r="A80" s="0" t="s">
        <v>256</v>
      </c>
      <c r="B80" s="4" t="s">
        <v>257</v>
      </c>
      <c r="C80" s="0" t="s">
        <v>160</v>
      </c>
      <c r="E80" s="7" t="n">
        <v>154.236375502049</v>
      </c>
      <c r="G80" s="8" t="s">
        <v>91</v>
      </c>
      <c r="H80" s="4" t="s">
        <v>165</v>
      </c>
    </row>
    <row r="81" customFormat="false" ht="17.15" hidden="false" customHeight="false" outlineLevel="0" collapsed="false">
      <c r="A81" s="0" t="s">
        <v>258</v>
      </c>
      <c r="B81" s="4" t="s">
        <v>259</v>
      </c>
      <c r="C81" s="0" t="s">
        <v>160</v>
      </c>
      <c r="E81" s="7" t="n">
        <v>154.236375502049</v>
      </c>
      <c r="G81" s="8" t="s">
        <v>91</v>
      </c>
      <c r="H81" s="4" t="s">
        <v>165</v>
      </c>
    </row>
    <row r="82" customFormat="false" ht="17.15" hidden="false" customHeight="false" outlineLevel="0" collapsed="false">
      <c r="A82" s="0" t="s">
        <v>260</v>
      </c>
      <c r="B82" s="0" t="s">
        <v>261</v>
      </c>
      <c r="C82" s="0" t="s">
        <v>108</v>
      </c>
      <c r="D82" s="7" t="n">
        <v>-0.1</v>
      </c>
      <c r="E82" s="7" t="n">
        <v>0</v>
      </c>
      <c r="F82" s="7" t="n">
        <v>0.1</v>
      </c>
      <c r="G82" s="8" t="s">
        <v>113</v>
      </c>
      <c r="H82" s="4" t="s">
        <v>262</v>
      </c>
      <c r="I82" s="8" t="s">
        <v>263</v>
      </c>
    </row>
    <row r="83" customFormat="false" ht="17.15" hidden="false" customHeight="false" outlineLevel="0" collapsed="false">
      <c r="A83" s="6" t="s">
        <v>264</v>
      </c>
    </row>
    <row r="84" customFormat="false" ht="17.15" hidden="false" customHeight="false" outlineLevel="0" collapsed="false">
      <c r="A84" s="0" t="s">
        <v>265</v>
      </c>
      <c r="B84" s="4" t="s">
        <v>266</v>
      </c>
      <c r="C84" s="0" t="s">
        <v>267</v>
      </c>
      <c r="D84" s="7" t="n">
        <v>0.01</v>
      </c>
      <c r="E84" s="7" t="n">
        <v>0.03</v>
      </c>
      <c r="F84" s="7" t="n">
        <v>0.05</v>
      </c>
      <c r="G84" s="8" t="s">
        <v>113</v>
      </c>
      <c r="H84" s="4" t="s">
        <v>268</v>
      </c>
      <c r="I84" s="4" t="s">
        <v>269</v>
      </c>
    </row>
    <row r="85" customFormat="false" ht="17.15" hidden="false" customHeight="false" outlineLevel="0" collapsed="false">
      <c r="A85" s="0" t="s">
        <v>270</v>
      </c>
      <c r="B85" s="4" t="s">
        <v>271</v>
      </c>
      <c r="C85" s="0" t="s">
        <v>267</v>
      </c>
      <c r="D85" s="7" t="n">
        <v>-0.01</v>
      </c>
      <c r="E85" s="7" t="n">
        <v>0</v>
      </c>
      <c r="F85" s="7" t="n">
        <v>0.01</v>
      </c>
      <c r="G85" s="8" t="s">
        <v>113</v>
      </c>
      <c r="H85" s="4" t="s">
        <v>272</v>
      </c>
      <c r="I85" s="4" t="s">
        <v>269</v>
      </c>
    </row>
    <row r="86" customFormat="false" ht="17.15" hidden="false" customHeight="false" outlineLevel="0" collapsed="false">
      <c r="A86" s="0" t="s">
        <v>273</v>
      </c>
      <c r="B86" s="4" t="s">
        <v>274</v>
      </c>
      <c r="C86" s="0" t="s">
        <v>267</v>
      </c>
      <c r="D86" s="7" t="n">
        <v>-0.05</v>
      </c>
      <c r="E86" s="7" t="n">
        <v>-0.03</v>
      </c>
      <c r="F86" s="7" t="n">
        <v>-0.01</v>
      </c>
      <c r="G86" s="8" t="s">
        <v>113</v>
      </c>
      <c r="H86" s="4" t="s">
        <v>275</v>
      </c>
      <c r="I86" s="4" t="s">
        <v>269</v>
      </c>
    </row>
    <row r="87" customFormat="false" ht="17.15" hidden="false" customHeight="false" outlineLevel="0" collapsed="false">
      <c r="A87" s="0" t="s">
        <v>276</v>
      </c>
      <c r="B87" s="4" t="s">
        <v>277</v>
      </c>
      <c r="C87" s="0" t="s">
        <v>108</v>
      </c>
      <c r="E87" s="7" t="n">
        <v>0</v>
      </c>
      <c r="G87" s="8" t="s">
        <v>113</v>
      </c>
      <c r="H87" s="4" t="s">
        <v>278</v>
      </c>
      <c r="I87" s="8" t="s">
        <v>279</v>
      </c>
    </row>
    <row r="88" customFormat="false" ht="17.15" hidden="false" customHeight="false" outlineLevel="0" collapsed="false">
      <c r="A88" s="0" t="s">
        <v>280</v>
      </c>
      <c r="B88" s="4" t="s">
        <v>281</v>
      </c>
      <c r="C88" s="0" t="s">
        <v>108</v>
      </c>
      <c r="D88" s="7" t="n">
        <v>-0.1</v>
      </c>
      <c r="E88" s="7" t="n">
        <v>-0.05</v>
      </c>
      <c r="F88" s="7" t="n">
        <v>0</v>
      </c>
      <c r="G88" s="8" t="s">
        <v>113</v>
      </c>
      <c r="H88" s="8" t="s">
        <v>282</v>
      </c>
      <c r="I88" s="8" t="s">
        <v>279</v>
      </c>
    </row>
    <row r="89" customFormat="false" ht="17.15" hidden="false" customHeight="false" outlineLevel="0" collapsed="false">
      <c r="A89" s="0" t="s">
        <v>283</v>
      </c>
      <c r="B89" s="4" t="s">
        <v>284</v>
      </c>
      <c r="C89" s="0" t="s">
        <v>108</v>
      </c>
      <c r="D89" s="7" t="n">
        <v>-0.3</v>
      </c>
      <c r="E89" s="7" t="n">
        <v>-0.2</v>
      </c>
      <c r="F89" s="7" t="n">
        <v>-0.1</v>
      </c>
      <c r="G89" s="8" t="s">
        <v>113</v>
      </c>
      <c r="H89" s="8" t="s">
        <v>282</v>
      </c>
      <c r="I89" s="8" t="s">
        <v>279</v>
      </c>
    </row>
    <row r="90" customFormat="false" ht="17.15" hidden="false" customHeight="false" outlineLevel="0" collapsed="false">
      <c r="A90" s="0" t="s">
        <v>285</v>
      </c>
      <c r="B90" s="4" t="s">
        <v>286</v>
      </c>
      <c r="C90" s="0" t="s">
        <v>108</v>
      </c>
      <c r="D90" s="7" t="n">
        <v>0.04</v>
      </c>
      <c r="E90" s="7" t="n">
        <v>0.06</v>
      </c>
      <c r="F90" s="7" t="n">
        <v>0.08</v>
      </c>
      <c r="G90" s="8" t="s">
        <v>287</v>
      </c>
      <c r="H90" s="4" t="s">
        <v>288</v>
      </c>
      <c r="I90" s="4" t="s">
        <v>289</v>
      </c>
    </row>
    <row r="91" customFormat="false" ht="17.15" hidden="false" customHeight="false" outlineLevel="0" collapsed="false">
      <c r="A91" s="0" t="s">
        <v>290</v>
      </c>
      <c r="B91" s="4" t="s">
        <v>291</v>
      </c>
      <c r="C91" s="0" t="s">
        <v>108</v>
      </c>
      <c r="D91" s="7" t="n">
        <v>0.02</v>
      </c>
      <c r="E91" s="7" t="n">
        <v>0.04</v>
      </c>
      <c r="F91" s="7" t="n">
        <v>0.06</v>
      </c>
      <c r="G91" s="8" t="s">
        <v>287</v>
      </c>
      <c r="H91" s="4" t="s">
        <v>288</v>
      </c>
      <c r="I91" s="4" t="s">
        <v>165</v>
      </c>
    </row>
    <row r="92" customFormat="false" ht="17.15" hidden="false" customHeight="false" outlineLevel="0" collapsed="false">
      <c r="A92" s="0" t="s">
        <v>292</v>
      </c>
      <c r="B92" s="4" t="s">
        <v>293</v>
      </c>
      <c r="C92" s="0" t="s">
        <v>108</v>
      </c>
      <c r="D92" s="7" t="n">
        <v>-0.02</v>
      </c>
      <c r="E92" s="7" t="n">
        <v>0.01</v>
      </c>
      <c r="F92" s="7" t="n">
        <v>0.03</v>
      </c>
      <c r="G92" s="8" t="s">
        <v>287</v>
      </c>
      <c r="H92" s="4" t="s">
        <v>288</v>
      </c>
      <c r="I92" s="4" t="s">
        <v>165</v>
      </c>
    </row>
    <row r="93" customFormat="false" ht="17.15" hidden="false" customHeight="false" outlineLevel="0" collapsed="false">
      <c r="A93" s="0" t="s">
        <v>294</v>
      </c>
      <c r="B93" s="4" t="s">
        <v>295</v>
      </c>
      <c r="C93" s="0" t="s">
        <v>296</v>
      </c>
      <c r="D93" s="7" t="n">
        <v>-0.02</v>
      </c>
      <c r="E93" s="7" t="n">
        <v>-0.01</v>
      </c>
      <c r="F93" s="7" t="n">
        <v>0</v>
      </c>
      <c r="G93" s="8" t="s">
        <v>113</v>
      </c>
      <c r="H93" s="4" t="s">
        <v>297</v>
      </c>
    </row>
    <row r="94" customFormat="false" ht="17.15" hidden="false" customHeight="false" outlineLevel="0" collapsed="false">
      <c r="A94" s="6" t="s">
        <v>298</v>
      </c>
    </row>
    <row r="95" customFormat="false" ht="17.15" hidden="false" customHeight="false" outlineLevel="0" collapsed="false">
      <c r="A95" s="0" t="s">
        <v>299</v>
      </c>
      <c r="B95" s="0" t="s">
        <v>300</v>
      </c>
      <c r="C95" s="0" t="s">
        <v>301</v>
      </c>
      <c r="E95" s="0" t="n">
        <f aca="false">SLOPE(Hist!J9:J16,Hist!I9:I16)</f>
        <v>0.300783432421288</v>
      </c>
      <c r="G95" s="0" t="s">
        <v>91</v>
      </c>
      <c r="H95" s="0" t="s">
        <v>302</v>
      </c>
      <c r="I95" s="0" t="s">
        <v>303</v>
      </c>
    </row>
    <row r="96" customFormat="false" ht="17.15" hidden="false" customHeight="false" outlineLevel="0" collapsed="false">
      <c r="A96" s="0" t="s">
        <v>304</v>
      </c>
      <c r="B96" s="4" t="s">
        <v>305</v>
      </c>
      <c r="C96" s="0" t="s">
        <v>301</v>
      </c>
      <c r="E96" s="0" t="n">
        <f aca="false">SLOPE(Hist!L9:L16,Hist!K9:K16)</f>
        <v>0.24064584648856</v>
      </c>
      <c r="G96" s="0" t="s">
        <v>91</v>
      </c>
      <c r="H96" s="0" t="s">
        <v>306</v>
      </c>
    </row>
    <row r="97" customFormat="false" ht="17.15" hidden="false" customHeight="false" outlineLevel="0" collapsed="false">
      <c r="A97" s="0" t="s">
        <v>307</v>
      </c>
      <c r="B97" s="0" t="s">
        <v>308</v>
      </c>
      <c r="C97" s="0" t="s">
        <v>301</v>
      </c>
      <c r="E97" s="0" t="n">
        <f aca="false">SLOPE(Hist!J12:J16,Hist!I12:I16)</f>
        <v>0.237790393163693</v>
      </c>
      <c r="G97" s="0" t="s">
        <v>91</v>
      </c>
      <c r="H97" s="0" t="s">
        <v>309</v>
      </c>
    </row>
    <row r="98" customFormat="false" ht="17.15" hidden="false" customHeight="false" outlineLevel="0" collapsed="false">
      <c r="A98" s="0" t="s">
        <v>310</v>
      </c>
      <c r="B98" s="4" t="s">
        <v>311</v>
      </c>
      <c r="C98" s="0" t="s">
        <v>301</v>
      </c>
      <c r="D98" s="7" t="n">
        <v>0.68</v>
      </c>
      <c r="E98" s="8" t="n">
        <f aca="false">g26_ni/g26_oi</f>
        <v>0.7</v>
      </c>
      <c r="F98" s="8" t="n">
        <f aca="false">a25_ni/a25_oi</f>
        <v>0.73326812496295</v>
      </c>
      <c r="G98" s="8" t="s">
        <v>91</v>
      </c>
      <c r="H98" s="4" t="s">
        <v>312</v>
      </c>
      <c r="I98" s="4" t="s">
        <v>313</v>
      </c>
    </row>
    <row r="99" customFormat="false" ht="17.15" hidden="false" customHeight="false" outlineLevel="0" collapsed="false">
      <c r="A99" s="6" t="s">
        <v>314</v>
      </c>
    </row>
    <row r="100" customFormat="false" ht="17.15" hidden="false" customHeight="false" outlineLevel="0" collapsed="false">
      <c r="A100" s="0" t="s">
        <v>315</v>
      </c>
      <c r="B100" s="4" t="s">
        <v>316</v>
      </c>
      <c r="C100" s="4" t="s">
        <v>317</v>
      </c>
      <c r="E100" s="7" t="n">
        <v>2029</v>
      </c>
      <c r="G100" s="8" t="s">
        <v>91</v>
      </c>
      <c r="H100" s="8" t="s">
        <v>318</v>
      </c>
      <c r="I100" s="4" t="s">
        <v>319</v>
      </c>
    </row>
    <row r="101" customFormat="false" ht="17.15" hidden="false" customHeight="false" outlineLevel="0" collapsed="false">
      <c r="A101" s="0" t="s">
        <v>320</v>
      </c>
      <c r="B101" s="4" t="s">
        <v>321</v>
      </c>
      <c r="C101" s="4" t="s">
        <v>317</v>
      </c>
      <c r="E101" s="7" t="n">
        <v>2028</v>
      </c>
      <c r="G101" s="8" t="s">
        <v>91</v>
      </c>
      <c r="H101" s="8" t="s">
        <v>322</v>
      </c>
      <c r="I101" s="4" t="s">
        <v>165</v>
      </c>
    </row>
    <row r="102" customFormat="false" ht="17.15" hidden="false" customHeight="false" outlineLevel="0" collapsed="false">
      <c r="A102" s="0" t="s">
        <v>323</v>
      </c>
      <c r="B102" s="4" t="s">
        <v>324</v>
      </c>
      <c r="C102" s="4" t="s">
        <v>317</v>
      </c>
      <c r="E102" s="7" t="n">
        <v>2027</v>
      </c>
      <c r="G102" s="8" t="s">
        <v>91</v>
      </c>
      <c r="H102" s="8" t="s">
        <v>325</v>
      </c>
      <c r="I102" s="4" t="s">
        <v>165</v>
      </c>
    </row>
    <row r="103" customFormat="false" ht="17.15" hidden="false" customHeight="false" outlineLevel="0" collapsed="false">
      <c r="A103" s="0" t="s">
        <v>326</v>
      </c>
      <c r="B103" s="4" t="s">
        <v>327</v>
      </c>
      <c r="C103" s="0" t="s">
        <v>56</v>
      </c>
      <c r="E103" s="7" t="n">
        <v>15520</v>
      </c>
      <c r="G103" s="8" t="s">
        <v>35</v>
      </c>
      <c r="H103" s="8" t="s">
        <v>328</v>
      </c>
      <c r="I103" s="8" t="s">
        <v>329</v>
      </c>
    </row>
    <row r="104" customFormat="false" ht="17.15" hidden="false" customHeight="false" outlineLevel="0" collapsed="false">
      <c r="A104" s="0" t="s">
        <v>330</v>
      </c>
      <c r="B104" s="4" t="s">
        <v>331</v>
      </c>
      <c r="C104" s="0" t="s">
        <v>301</v>
      </c>
      <c r="E104" s="7" t="n">
        <v>21.86</v>
      </c>
      <c r="G104" s="8" t="s">
        <v>82</v>
      </c>
      <c r="H104" s="8" t="s">
        <v>332</v>
      </c>
      <c r="I104" s="4" t="s">
        <v>333</v>
      </c>
    </row>
    <row r="105" customFormat="false" ht="17.15" hidden="false" customHeight="false" outlineLevel="0" collapsed="false">
      <c r="A105" s="0" t="s">
        <v>334</v>
      </c>
      <c r="B105" s="0" t="s">
        <v>335</v>
      </c>
      <c r="C105" s="0" t="s">
        <v>301</v>
      </c>
      <c r="E105" s="7" t="n">
        <v>28.7</v>
      </c>
      <c r="G105" s="8" t="s">
        <v>82</v>
      </c>
      <c r="H105" s="8" t="s">
        <v>336</v>
      </c>
    </row>
    <row r="106" customFormat="false" ht="17.15" hidden="false" customHeight="false" outlineLevel="0" collapsed="false">
      <c r="A106" s="0" t="s">
        <v>337</v>
      </c>
      <c r="B106" s="4" t="s">
        <v>338</v>
      </c>
      <c r="C106" s="0" t="s">
        <v>34</v>
      </c>
      <c r="D106" s="7" t="n">
        <v>177.8</v>
      </c>
      <c r="E106" s="7" t="n">
        <v>192.141</v>
      </c>
      <c r="F106" s="7" t="n">
        <v>196.7</v>
      </c>
      <c r="G106" s="8" t="s">
        <v>82</v>
      </c>
      <c r="H106" s="8" t="s">
        <v>339</v>
      </c>
      <c r="I106" s="4" t="s">
        <v>340</v>
      </c>
    </row>
    <row r="107" customFormat="false" ht="17.15" hidden="false" customHeight="false" outlineLevel="0" collapsed="false">
      <c r="A107" s="0" t="s">
        <v>341</v>
      </c>
      <c r="B107" s="4" t="s">
        <v>342</v>
      </c>
      <c r="C107" s="0" t="s">
        <v>34</v>
      </c>
      <c r="E107" s="7" t="n">
        <v>32.556</v>
      </c>
      <c r="G107" s="8" t="s">
        <v>82</v>
      </c>
      <c r="H107" s="8" t="s">
        <v>343</v>
      </c>
      <c r="I107" s="4" t="s">
        <v>344</v>
      </c>
    </row>
    <row r="108" customFormat="false" ht="17.15" hidden="false" customHeight="false" outlineLevel="0" collapsed="false">
      <c r="A108" s="0" t="s">
        <v>345</v>
      </c>
      <c r="B108" s="4" t="s">
        <v>346</v>
      </c>
      <c r="C108" s="0" t="s">
        <v>56</v>
      </c>
      <c r="E108" s="7" t="n">
        <v>801.46</v>
      </c>
      <c r="G108" s="8" t="s">
        <v>82</v>
      </c>
      <c r="H108" s="8" t="s">
        <v>347</v>
      </c>
      <c r="I108" s="4" t="s">
        <v>348</v>
      </c>
    </row>
    <row r="109" customFormat="false" ht="17.15" hidden="false" customHeight="false" outlineLevel="0" collapsed="false">
      <c r="A109" s="0" t="s">
        <v>349</v>
      </c>
      <c r="B109" s="0" t="s">
        <v>350</v>
      </c>
      <c r="C109" s="0" t="s">
        <v>56</v>
      </c>
      <c r="E109" s="7" t="n">
        <v>816.2</v>
      </c>
      <c r="G109" s="8" t="s">
        <v>82</v>
      </c>
      <c r="H109" s="8" t="s">
        <v>351</v>
      </c>
      <c r="I109" s="4" t="s">
        <v>352</v>
      </c>
    </row>
    <row r="110" customFormat="false" ht="17.15" hidden="false" customHeight="false" outlineLevel="0" collapsed="false">
      <c r="A110" s="0" t="s">
        <v>353</v>
      </c>
      <c r="B110" s="4" t="s">
        <v>354</v>
      </c>
      <c r="C110" s="0" t="s">
        <v>34</v>
      </c>
      <c r="E110" s="7" t="n">
        <v>185</v>
      </c>
      <c r="G110" s="8" t="s">
        <v>82</v>
      </c>
      <c r="H110" s="4" t="s">
        <v>355</v>
      </c>
      <c r="I110" s="8" t="s">
        <v>356</v>
      </c>
    </row>
    <row r="111" customFormat="false" ht="17.15" hidden="false" customHeight="false" outlineLevel="0" collapsed="false">
      <c r="A111" s="0" t="s">
        <v>357</v>
      </c>
      <c r="B111" s="4" t="s">
        <v>358</v>
      </c>
      <c r="C111" s="0" t="s">
        <v>34</v>
      </c>
      <c r="E111" s="7" t="n">
        <v>45</v>
      </c>
      <c r="G111" s="8" t="s">
        <v>82</v>
      </c>
      <c r="H111" s="4" t="s">
        <v>165</v>
      </c>
    </row>
    <row r="113" customFormat="false" ht="17.15" hidden="false" customHeight="false" outlineLevel="0" collapsed="false">
      <c r="A113" s="6" t="s">
        <v>359</v>
      </c>
    </row>
    <row r="114" customFormat="false" ht="17.15" hidden="false" customHeight="false" outlineLevel="0" collapsed="false">
      <c r="A114" s="0" t="s">
        <v>360</v>
      </c>
      <c r="B114" s="4" t="s">
        <v>361</v>
      </c>
      <c r="C114" s="0" t="s">
        <v>108</v>
      </c>
      <c r="E114" s="9" t="n">
        <v>0.3</v>
      </c>
      <c r="G114" s="8" t="s">
        <v>113</v>
      </c>
      <c r="H114" s="8" t="s">
        <v>362</v>
      </c>
      <c r="I114" s="4" t="s">
        <v>363</v>
      </c>
    </row>
    <row r="115" customFormat="false" ht="17.15" hidden="false" customHeight="false" outlineLevel="0" collapsed="false">
      <c r="A115" s="0" t="s">
        <v>364</v>
      </c>
      <c r="B115" s="4" t="s">
        <v>365</v>
      </c>
      <c r="C115" s="0" t="s">
        <v>108</v>
      </c>
      <c r="E115" s="9" t="n">
        <v>0.5</v>
      </c>
      <c r="G115" s="8" t="s">
        <v>113</v>
      </c>
      <c r="H115" s="8" t="s">
        <v>362</v>
      </c>
      <c r="I115" s="4" t="s">
        <v>363</v>
      </c>
    </row>
    <row r="116" customFormat="false" ht="17.15" hidden="false" customHeight="false" outlineLevel="0" collapsed="false">
      <c r="A116" s="0" t="s">
        <v>366</v>
      </c>
      <c r="B116" s="4" t="s">
        <v>367</v>
      </c>
      <c r="C116" s="0" t="s">
        <v>108</v>
      </c>
      <c r="E116" s="9" t="n">
        <v>0.2</v>
      </c>
      <c r="G116" s="8" t="s">
        <v>113</v>
      </c>
      <c r="H116" s="8" t="s">
        <v>362</v>
      </c>
      <c r="I116" s="4" t="s">
        <v>363</v>
      </c>
    </row>
    <row r="117" customFormat="false" ht="17.15" hidden="false" customHeight="false" outlineLevel="0" collapsed="false">
      <c r="A117" s="0" t="s">
        <v>368</v>
      </c>
      <c r="B117" s="4" t="s">
        <v>369</v>
      </c>
      <c r="C117" s="0" t="s">
        <v>108</v>
      </c>
      <c r="E117" s="10" t="n">
        <v>0.1</v>
      </c>
      <c r="G117" s="8" t="s">
        <v>113</v>
      </c>
      <c r="H117" s="8" t="s">
        <v>370</v>
      </c>
      <c r="I117" s="4" t="s">
        <v>371</v>
      </c>
    </row>
    <row r="118" customFormat="false" ht="17.15" hidden="false" customHeight="false" outlineLevel="0" collapsed="false">
      <c r="A118" s="0" t="s">
        <v>372</v>
      </c>
      <c r="B118" s="4" t="s">
        <v>373</v>
      </c>
      <c r="C118" s="0" t="s">
        <v>108</v>
      </c>
      <c r="E118" s="10" t="n">
        <v>0.04</v>
      </c>
      <c r="G118" s="8" t="s">
        <v>113</v>
      </c>
      <c r="H118" s="8" t="s">
        <v>374</v>
      </c>
      <c r="I118" s="4" t="s">
        <v>375</v>
      </c>
    </row>
    <row r="119" customFormat="false" ht="17.15" hidden="false" customHeight="false" outlineLevel="0" collapsed="false">
      <c r="A119" s="0" t="s">
        <v>376</v>
      </c>
      <c r="B119" s="0" t="s">
        <v>377</v>
      </c>
      <c r="C119" s="0" t="s">
        <v>108</v>
      </c>
      <c r="E119" s="11" t="n">
        <f aca="false">AVERAGE(0.128,0.155,0.135)</f>
        <v>0.139333333333333</v>
      </c>
      <c r="G119" s="8" t="s">
        <v>91</v>
      </c>
      <c r="H119" s="4" t="s">
        <v>378</v>
      </c>
      <c r="I119" s="8" t="s">
        <v>379</v>
      </c>
    </row>
    <row r="120" customFormat="false" ht="17.15" hidden="false" customHeight="false" outlineLevel="0" collapsed="false">
      <c r="A120" s="0" t="s">
        <v>380</v>
      </c>
      <c r="B120" s="4" t="s">
        <v>381</v>
      </c>
      <c r="C120" s="0" t="s">
        <v>108</v>
      </c>
      <c r="E120" s="9" t="n">
        <v>0.5</v>
      </c>
      <c r="G120" s="8" t="s">
        <v>113</v>
      </c>
      <c r="H120" s="8" t="s">
        <v>382</v>
      </c>
      <c r="I120" s="8" t="s">
        <v>383</v>
      </c>
    </row>
    <row r="121" customFormat="false" ht="17.15" hidden="false" customHeight="false" outlineLevel="0" collapsed="false">
      <c r="A121" s="0" t="s">
        <v>384</v>
      </c>
      <c r="B121" s="4" t="s">
        <v>385</v>
      </c>
      <c r="C121" s="0" t="s">
        <v>108</v>
      </c>
      <c r="E121" s="11" t="n">
        <f aca="false">AVERAGE(Hist!F7:F16)</f>
        <v>0.140939213275926</v>
      </c>
      <c r="G121" s="8" t="s">
        <v>91</v>
      </c>
      <c r="H121" s="8" t="s">
        <v>386</v>
      </c>
      <c r="I121" s="4" t="s">
        <v>387</v>
      </c>
    </row>
    <row r="122" customFormat="false" ht="17.15" hidden="false" customHeight="false" outlineLevel="0" collapsed="false">
      <c r="A122" s="0" t="s">
        <v>388</v>
      </c>
      <c r="B122" s="4" t="s">
        <v>389</v>
      </c>
      <c r="C122" s="0" t="s">
        <v>56</v>
      </c>
      <c r="E122" s="12" t="n">
        <v>20900</v>
      </c>
      <c r="G122" s="8" t="s">
        <v>82</v>
      </c>
      <c r="H122" s="8" t="s">
        <v>390</v>
      </c>
      <c r="I122" s="4" t="s">
        <v>391</v>
      </c>
    </row>
    <row r="123" customFormat="false" ht="17.15" hidden="false" customHeight="false" outlineLevel="0" collapsed="false">
      <c r="A123" s="0" t="s">
        <v>392</v>
      </c>
      <c r="B123" s="4" t="s">
        <v>393</v>
      </c>
      <c r="C123" s="0" t="s">
        <v>56</v>
      </c>
      <c r="E123" s="13" t="n">
        <f aca="false">cons_eps26</f>
        <v>801.46</v>
      </c>
      <c r="G123" s="8" t="s">
        <v>82</v>
      </c>
      <c r="H123" s="4" t="s">
        <v>394</v>
      </c>
      <c r="I123" s="4" t="s">
        <v>395</v>
      </c>
    </row>
    <row r="125" customFormat="false" ht="17.15" hidden="false" customHeight="false" outlineLevel="0" collapsed="false">
      <c r="A125" s="6" t="s">
        <v>396</v>
      </c>
    </row>
    <row r="126" customFormat="false" ht="17.15" hidden="false" customHeight="false" outlineLevel="0" collapsed="false">
      <c r="A126" s="0" t="s">
        <v>397</v>
      </c>
      <c r="B126" s="4" t="s">
        <v>398</v>
      </c>
      <c r="C126" s="0" t="s">
        <v>160</v>
      </c>
      <c r="E126" s="7" t="n">
        <v>134.689359843138</v>
      </c>
      <c r="G126" s="8" t="s">
        <v>91</v>
      </c>
      <c r="H126" s="8" t="s">
        <v>399</v>
      </c>
    </row>
    <row r="127" customFormat="false" ht="17.15" hidden="false" customHeight="false" outlineLevel="0" collapsed="false">
      <c r="A127" s="0" t="s">
        <v>400</v>
      </c>
      <c r="B127" s="4" t="s">
        <v>401</v>
      </c>
      <c r="C127" s="0" t="s">
        <v>160</v>
      </c>
      <c r="E127" s="7" t="n">
        <v>178.157050570127</v>
      </c>
      <c r="G127" s="8" t="s">
        <v>91</v>
      </c>
      <c r="H127" s="4" t="s">
        <v>165</v>
      </c>
    </row>
    <row r="128" customFormat="false" ht="17.15" hidden="false" customHeight="false" outlineLevel="0" collapsed="false">
      <c r="A128" s="0" t="s">
        <v>402</v>
      </c>
      <c r="B128" s="4" t="s">
        <v>403</v>
      </c>
      <c r="C128" s="0" t="s">
        <v>160</v>
      </c>
      <c r="E128" s="7" t="n">
        <v>218.225535760082</v>
      </c>
      <c r="G128" s="8" t="s">
        <v>91</v>
      </c>
      <c r="H128" s="4" t="s">
        <v>165</v>
      </c>
    </row>
    <row r="129" customFormat="false" ht="17.15" hidden="false" customHeight="false" outlineLevel="0" collapsed="false">
      <c r="A129" s="0" t="s">
        <v>404</v>
      </c>
      <c r="B129" s="4" t="s">
        <v>405</v>
      </c>
      <c r="C129" s="0" t="s">
        <v>160</v>
      </c>
      <c r="E129" s="7" t="n">
        <v>246.028626308958</v>
      </c>
      <c r="G129" s="8" t="s">
        <v>91</v>
      </c>
      <c r="H129" s="4" t="s">
        <v>165</v>
      </c>
    </row>
    <row r="130" customFormat="false" ht="17.15" hidden="false" customHeight="false" outlineLevel="0" collapsed="false">
      <c r="A130" s="0" t="s">
        <v>406</v>
      </c>
      <c r="B130" s="4" t="s">
        <v>407</v>
      </c>
      <c r="C130" s="0" t="s">
        <v>160</v>
      </c>
      <c r="E130" s="7" t="n">
        <v>260.655685855226</v>
      </c>
      <c r="G130" s="8" t="s">
        <v>91</v>
      </c>
      <c r="H130" s="4" t="s">
        <v>165</v>
      </c>
    </row>
    <row r="131" customFormat="false" ht="17.15" hidden="false" customHeight="false" outlineLevel="0" collapsed="false">
      <c r="A131" s="0" t="s">
        <v>408</v>
      </c>
      <c r="B131" s="4" t="s">
        <v>409</v>
      </c>
      <c r="C131" s="0" t="s">
        <v>160</v>
      </c>
      <c r="E131" s="7" t="n">
        <v>134.689359843138</v>
      </c>
      <c r="G131" s="8" t="s">
        <v>91</v>
      </c>
      <c r="H131" s="8" t="s">
        <v>410</v>
      </c>
    </row>
    <row r="132" customFormat="false" ht="17.15" hidden="false" customHeight="false" outlineLevel="0" collapsed="false">
      <c r="A132" s="0" t="s">
        <v>411</v>
      </c>
      <c r="B132" s="4" t="s">
        <v>412</v>
      </c>
      <c r="C132" s="0" t="s">
        <v>160</v>
      </c>
      <c r="E132" s="7" t="n">
        <v>178.157050570127</v>
      </c>
      <c r="G132" s="8" t="s">
        <v>91</v>
      </c>
      <c r="H132" s="4" t="s">
        <v>165</v>
      </c>
    </row>
    <row r="133" customFormat="false" ht="17.15" hidden="false" customHeight="false" outlineLevel="0" collapsed="false">
      <c r="A133" s="0" t="s">
        <v>413</v>
      </c>
      <c r="B133" s="4" t="s">
        <v>414</v>
      </c>
      <c r="C133" s="0" t="s">
        <v>160</v>
      </c>
      <c r="E133" s="7" t="n">
        <v>218.225535760082</v>
      </c>
      <c r="G133" s="8" t="s">
        <v>91</v>
      </c>
      <c r="H133" s="4" t="s">
        <v>165</v>
      </c>
    </row>
    <row r="134" customFormat="false" ht="17.15" hidden="false" customHeight="false" outlineLevel="0" collapsed="false">
      <c r="A134" s="0" t="s">
        <v>415</v>
      </c>
      <c r="B134" s="4" t="s">
        <v>416</v>
      </c>
      <c r="C134" s="0" t="s">
        <v>160</v>
      </c>
      <c r="E134" s="7" t="n">
        <v>218.225535760082</v>
      </c>
      <c r="G134" s="8" t="s">
        <v>91</v>
      </c>
      <c r="H134" s="4" t="s">
        <v>165</v>
      </c>
    </row>
    <row r="135" customFormat="false" ht="17.15" hidden="false" customHeight="false" outlineLevel="0" collapsed="false">
      <c r="A135" s="0" t="s">
        <v>417</v>
      </c>
      <c r="B135" s="4" t="s">
        <v>418</v>
      </c>
      <c r="C135" s="0" t="s">
        <v>160</v>
      </c>
      <c r="E135" s="7" t="n">
        <v>207.314258972078</v>
      </c>
      <c r="G135" s="8" t="s">
        <v>91</v>
      </c>
      <c r="H135" s="4" t="s">
        <v>165</v>
      </c>
    </row>
    <row r="136" customFormat="false" ht="17.15" hidden="false" customHeight="false" outlineLevel="0" collapsed="false">
      <c r="A136" s="0" t="s">
        <v>419</v>
      </c>
      <c r="B136" s="4" t="s">
        <v>420</v>
      </c>
      <c r="C136" s="0" t="s">
        <v>160</v>
      </c>
      <c r="E136" s="7" t="n">
        <v>134.689359843138</v>
      </c>
      <c r="G136" s="8" t="s">
        <v>91</v>
      </c>
      <c r="H136" s="8" t="s">
        <v>421</v>
      </c>
    </row>
    <row r="137" customFormat="false" ht="17.15" hidden="false" customHeight="false" outlineLevel="0" collapsed="false">
      <c r="A137" s="0" t="s">
        <v>422</v>
      </c>
      <c r="B137" s="4" t="s">
        <v>423</v>
      </c>
      <c r="C137" s="0" t="s">
        <v>160</v>
      </c>
      <c r="E137" s="7" t="n">
        <v>178.157050570127</v>
      </c>
      <c r="G137" s="8" t="s">
        <v>91</v>
      </c>
      <c r="H137" s="4" t="s">
        <v>165</v>
      </c>
    </row>
    <row r="138" customFormat="false" ht="17.15" hidden="false" customHeight="false" outlineLevel="0" collapsed="false">
      <c r="A138" s="0" t="s">
        <v>424</v>
      </c>
      <c r="B138" s="4" t="s">
        <v>425</v>
      </c>
      <c r="C138" s="0" t="s">
        <v>160</v>
      </c>
      <c r="E138" s="7" t="n">
        <v>218.225535760082</v>
      </c>
      <c r="G138" s="8" t="s">
        <v>91</v>
      </c>
      <c r="H138" s="4" t="s">
        <v>165</v>
      </c>
    </row>
    <row r="139" customFormat="false" ht="17.15" hidden="false" customHeight="false" outlineLevel="0" collapsed="false">
      <c r="A139" s="0" t="s">
        <v>426</v>
      </c>
      <c r="B139" s="4" t="s">
        <v>427</v>
      </c>
      <c r="C139" s="0" t="s">
        <v>160</v>
      </c>
      <c r="E139" s="7" t="n">
        <v>174.580428608066</v>
      </c>
      <c r="G139" s="8" t="s">
        <v>91</v>
      </c>
      <c r="H139" s="4" t="s">
        <v>165</v>
      </c>
    </row>
    <row r="140" customFormat="false" ht="17.15" hidden="false" customHeight="false" outlineLevel="0" collapsed="false">
      <c r="A140" s="0" t="s">
        <v>428</v>
      </c>
      <c r="B140" s="4" t="s">
        <v>429</v>
      </c>
      <c r="C140" s="0" t="s">
        <v>160</v>
      </c>
      <c r="E140" s="7" t="n">
        <v>174.580428608066</v>
      </c>
      <c r="G140" s="8" t="s">
        <v>91</v>
      </c>
      <c r="H140" s="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8" min="2" style="0" width="12"/>
    <col collapsed="false" customWidth="true" hidden="false" outlineLevel="0" max="9" min="9" style="0" width="22"/>
    <col collapsed="false" customWidth="true" hidden="false" outlineLevel="0" max="10" min="10" style="0" width="60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430</v>
      </c>
    </row>
    <row r="3" customFormat="false" ht="17.15" hidden="false" customHeight="false" outlineLevel="0" collapsed="false">
      <c r="A3" s="5" t="s">
        <v>23</v>
      </c>
      <c r="B3" s="14" t="s">
        <v>431</v>
      </c>
      <c r="C3" s="14" t="s">
        <v>432</v>
      </c>
      <c r="D3" s="14" t="s">
        <v>433</v>
      </c>
      <c r="E3" s="14" t="s">
        <v>434</v>
      </c>
      <c r="F3" s="14" t="s">
        <v>435</v>
      </c>
      <c r="G3" s="14" t="s">
        <v>436</v>
      </c>
      <c r="H3" s="14" t="s">
        <v>437</v>
      </c>
      <c r="I3" s="5" t="s">
        <v>28</v>
      </c>
      <c r="J3" s="5" t="s">
        <v>29</v>
      </c>
      <c r="K3" s="5" t="s">
        <v>30</v>
      </c>
    </row>
    <row r="4" customFormat="false" ht="17.15" hidden="false" customHeight="false" outlineLevel="0" collapsed="false">
      <c r="A4" s="4" t="s">
        <v>438</v>
      </c>
      <c r="B4" s="15" t="n">
        <v>30.876</v>
      </c>
      <c r="C4" s="15" t="n">
        <v>46.194</v>
      </c>
      <c r="D4" s="15" t="n">
        <v>35.901</v>
      </c>
      <c r="E4" s="15" t="n">
        <v>53.868</v>
      </c>
      <c r="F4" s="16" t="n">
        <f aca="false">SUM(B4:E4)</f>
        <v>166.839</v>
      </c>
      <c r="G4" s="15" t="n">
        <v>36.716</v>
      </c>
      <c r="H4" s="16" t="n">
        <f aca="false">gh1_rev-q1_rev</f>
        <v>51.784</v>
      </c>
      <c r="I4" s="8" t="s">
        <v>439</v>
      </c>
      <c r="J4" s="4" t="s">
        <v>440</v>
      </c>
      <c r="K4" s="4" t="s">
        <v>441</v>
      </c>
    </row>
    <row r="5" customFormat="false" ht="17.15" hidden="false" customHeight="false" outlineLevel="0" collapsed="false">
      <c r="A5" s="4" t="s">
        <v>442</v>
      </c>
      <c r="B5" s="15" t="n">
        <v>4.581</v>
      </c>
      <c r="C5" s="15" t="n">
        <v>10.136</v>
      </c>
      <c r="D5" s="15" t="n">
        <v>6.215</v>
      </c>
      <c r="E5" s="15" t="n">
        <v>12.806</v>
      </c>
      <c r="F5" s="16" t="n">
        <f aca="false">SUM(B5:E5)</f>
        <v>33.738</v>
      </c>
      <c r="G5" s="15" t="n">
        <v>5.92</v>
      </c>
      <c r="H5" s="16" t="n">
        <f aca="false">19.1-q1_oi</f>
        <v>13.18</v>
      </c>
      <c r="I5" s="8" t="s">
        <v>439</v>
      </c>
      <c r="J5" s="4" t="s">
        <v>443</v>
      </c>
      <c r="K5" s="4" t="s">
        <v>444</v>
      </c>
    </row>
    <row r="6" customFormat="false" ht="17.15" hidden="false" customHeight="false" outlineLevel="0" collapsed="false">
      <c r="A6" s="4" t="s">
        <v>445</v>
      </c>
      <c r="B6" s="15" t="n">
        <v>3.229</v>
      </c>
      <c r="C6" s="15" t="n">
        <v>6.383</v>
      </c>
      <c r="D6" s="15" t="n">
        <v>4.536</v>
      </c>
      <c r="E6" s="15" t="n">
        <v>10.591</v>
      </c>
      <c r="F6" s="16" t="n">
        <f aca="false">SUM(B6:E6)</f>
        <v>24.739</v>
      </c>
      <c r="G6" s="15" t="n">
        <v>4.667</v>
      </c>
      <c r="H6" s="16" t="n">
        <f aca="false">13.4-q1_ni</f>
        <v>8.733</v>
      </c>
      <c r="I6" s="8" t="s">
        <v>439</v>
      </c>
      <c r="J6" s="4" t="s">
        <v>446</v>
      </c>
      <c r="K6" s="4" t="s">
        <v>447</v>
      </c>
    </row>
    <row r="7" customFormat="false" ht="17.15" hidden="false" customHeight="false" outlineLevel="0" collapsed="false">
      <c r="A7" s="0" t="s">
        <v>448</v>
      </c>
      <c r="B7" s="17" t="n">
        <v>79.77</v>
      </c>
      <c r="C7" s="17" t="n">
        <v>157.5</v>
      </c>
      <c r="D7" s="17" t="n">
        <v>111.88</v>
      </c>
      <c r="E7" s="17" t="n">
        <v>261.16</v>
      </c>
      <c r="F7" s="18" t="n">
        <f aca="false">SUM(B7:E7)</f>
        <v>610.31</v>
      </c>
      <c r="G7" s="17" t="n">
        <v>115.01</v>
      </c>
      <c r="H7" s="18" t="n">
        <f aca="false">330.14-115.01</f>
        <v>215.13</v>
      </c>
      <c r="I7" s="8" t="s">
        <v>439</v>
      </c>
      <c r="J7" s="4" t="s">
        <v>449</v>
      </c>
      <c r="K7" s="4" t="s">
        <v>450</v>
      </c>
    </row>
    <row r="8" customFormat="false" ht="17.15" hidden="false" customHeight="false" outlineLevel="0" collapsed="false">
      <c r="A8" s="0" t="s">
        <v>451</v>
      </c>
      <c r="B8" s="15" t="n">
        <v>23.5</v>
      </c>
      <c r="C8" s="15" t="n">
        <v>35.9</v>
      </c>
      <c r="D8" s="15" t="n">
        <v>27.4</v>
      </c>
      <c r="E8" s="15" t="n">
        <v>41.1</v>
      </c>
      <c r="F8" s="16" t="n">
        <f aca="false">SUM(B8:E8)</f>
        <v>127.9</v>
      </c>
      <c r="G8" s="15" t="n">
        <v>28.5</v>
      </c>
      <c r="I8" s="8" t="s">
        <v>452</v>
      </c>
      <c r="J8" s="4" t="s">
        <v>453</v>
      </c>
      <c r="K8" s="8" t="s">
        <v>454</v>
      </c>
    </row>
    <row r="9" customFormat="false" ht="17.15" hidden="false" customHeight="false" outlineLevel="0" collapsed="false">
      <c r="A9" s="0" t="s">
        <v>455</v>
      </c>
      <c r="B9" s="15" t="n">
        <v>4</v>
      </c>
      <c r="C9" s="15" t="n">
        <v>8.3</v>
      </c>
      <c r="D9" s="15" t="n">
        <v>5.3</v>
      </c>
      <c r="E9" s="15" t="n">
        <v>10.7</v>
      </c>
      <c r="F9" s="16" t="n">
        <f aca="false">SUM(B9:E9)</f>
        <v>28.3</v>
      </c>
      <c r="G9" s="15" t="n">
        <v>5.4</v>
      </c>
      <c r="I9" s="8" t="s">
        <v>452</v>
      </c>
      <c r="J9" s="4" t="s">
        <v>456</v>
      </c>
    </row>
    <row r="10" customFormat="false" ht="17.15" hidden="false" customHeight="false" outlineLevel="0" collapsed="false">
      <c r="A10" s="0" t="s">
        <v>457</v>
      </c>
      <c r="B10" s="15" t="n">
        <v>26.4</v>
      </c>
      <c r="C10" s="15" t="n">
        <v>34.9</v>
      </c>
      <c r="D10" s="15" t="n">
        <v>26</v>
      </c>
      <c r="E10" s="15" t="n">
        <v>36.1</v>
      </c>
      <c r="F10" s="16" t="n">
        <f aca="false">SUM(B10:E10)</f>
        <v>123.4</v>
      </c>
      <c r="G10" s="15" t="n">
        <v>53.2</v>
      </c>
      <c r="I10" s="8" t="s">
        <v>452</v>
      </c>
      <c r="J10" s="4" t="s">
        <v>456</v>
      </c>
      <c r="K10" s="4" t="s">
        <v>458</v>
      </c>
    </row>
    <row r="11" customFormat="false" ht="17.15" hidden="false" customHeight="false" outlineLevel="0" collapsed="false">
      <c r="A11" s="4" t="s">
        <v>459</v>
      </c>
      <c r="B11" s="15" t="n">
        <v>7.3</v>
      </c>
      <c r="C11" s="15" t="n">
        <v>10.3</v>
      </c>
      <c r="D11" s="15" t="n">
        <v>8.5</v>
      </c>
      <c r="E11" s="15" t="n">
        <v>12.8</v>
      </c>
      <c r="F11" s="16" t="n">
        <f aca="false">SUM(B11:E11)</f>
        <v>38.9</v>
      </c>
      <c r="G11" s="15" t="n">
        <v>8.2</v>
      </c>
      <c r="I11" s="8" t="s">
        <v>452</v>
      </c>
      <c r="J11" s="4" t="s">
        <v>456</v>
      </c>
    </row>
    <row r="12" customFormat="false" ht="17.15" hidden="false" customHeight="false" outlineLevel="0" collapsed="false">
      <c r="A12" s="4" t="s">
        <v>460</v>
      </c>
      <c r="B12" s="15" t="n">
        <v>0.5</v>
      </c>
      <c r="C12" s="15" t="n">
        <v>1.8</v>
      </c>
      <c r="D12" s="15" t="n">
        <v>0.9</v>
      </c>
      <c r="E12" s="15" t="n">
        <v>2.1</v>
      </c>
      <c r="F12" s="16" t="n">
        <f aca="false">SUM(B12:E12)</f>
        <v>5.3</v>
      </c>
      <c r="G12" s="15" t="n">
        <v>0.5</v>
      </c>
      <c r="I12" s="8" t="s">
        <v>452</v>
      </c>
      <c r="J12" s="4" t="s">
        <v>456</v>
      </c>
    </row>
    <row r="13" customFormat="false" ht="15" hidden="false" customHeight="false" outlineLevel="0" collapsed="false">
      <c r="A13" s="4" t="s">
        <v>461</v>
      </c>
      <c r="B13" s="11" t="n">
        <f aca="false">B5/B4</f>
        <v>0.148367664205208</v>
      </c>
      <c r="C13" s="11" t="n">
        <f aca="false">C5/C4</f>
        <v>0.219422435814175</v>
      </c>
      <c r="D13" s="11" t="n">
        <f aca="false">D5/D4</f>
        <v>0.173114955015181</v>
      </c>
      <c r="E13" s="11" t="n">
        <f aca="false">E5/E4</f>
        <v>0.237729264127126</v>
      </c>
      <c r="F13" s="11" t="n">
        <f aca="false">F5/F4</f>
        <v>0.202218905651556</v>
      </c>
      <c r="G13" s="11" t="n">
        <f aca="false">G5/G4</f>
        <v>0.161237607582525</v>
      </c>
      <c r="H13" s="11" t="n">
        <f aca="false">H5/H4</f>
        <v>0.254518770276533</v>
      </c>
    </row>
    <row r="14" customFormat="false" ht="17.15" hidden="false" customHeight="false" outlineLevel="0" collapsed="false">
      <c r="A14" s="4" t="s">
        <v>462</v>
      </c>
      <c r="B14" s="19" t="n">
        <f aca="false">F4-a25_rev</f>
        <v>0</v>
      </c>
      <c r="C14" s="19" t="n">
        <f aca="false">F5-a25_oi</f>
        <v>0</v>
      </c>
      <c r="D14" s="19" t="n">
        <f aca="false">F6-a25_ni</f>
        <v>0</v>
      </c>
    </row>
    <row r="15" customFormat="false" ht="17.15" hidden="false" customHeight="false" outlineLevel="0" collapsed="false">
      <c r="A15" s="4" t="s">
        <v>463</v>
      </c>
      <c r="B15" s="11" t="n">
        <f aca="false">q1_rev/g26_rev</f>
        <v>0.19426455026455</v>
      </c>
      <c r="C15" s="8" t="s">
        <v>464</v>
      </c>
      <c r="D15" s="11" t="n">
        <f aca="false">B4/a25_rev</f>
        <v>0.185064643158974</v>
      </c>
    </row>
    <row r="17" customFormat="false" ht="17.15" hidden="false" customHeight="false" outlineLevel="0" collapsed="false">
      <c r="A17" s="4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2"/>
    <col collapsed="false" customWidth="true" hidden="false" outlineLevel="0" max="8" min="8" style="0" width="30"/>
    <col collapsed="false" customWidth="true" hidden="false" outlineLevel="0" max="12" min="9" style="0" width="12"/>
    <col collapsed="false" customWidth="true" hidden="false" outlineLevel="0" max="13" min="13" style="0" width="50"/>
    <col collapsed="false" customWidth="true" hidden="false" outlineLevel="0" max="14" min="14" style="0" width="60"/>
  </cols>
  <sheetData>
    <row r="1" customFormat="false" ht="17.15" hidden="false" customHeight="false" outlineLevel="0" collapsed="false">
      <c r="A1" s="0" t="s">
        <v>466</v>
      </c>
    </row>
    <row r="2" customFormat="false" ht="17.15" hidden="false" customHeight="false" outlineLevel="0" collapsed="false">
      <c r="A2" s="4" t="s">
        <v>467</v>
      </c>
    </row>
    <row r="5" customFormat="false" ht="17.15" hidden="false" customHeight="false" outlineLevel="0" collapsed="false">
      <c r="A5" s="5" t="s">
        <v>468</v>
      </c>
      <c r="B5" s="5" t="s">
        <v>438</v>
      </c>
      <c r="C5" s="5" t="s">
        <v>442</v>
      </c>
      <c r="D5" s="5" t="s">
        <v>445</v>
      </c>
      <c r="E5" s="14" t="s">
        <v>469</v>
      </c>
      <c r="F5" s="5" t="s">
        <v>470</v>
      </c>
      <c r="G5" s="5" t="s">
        <v>461</v>
      </c>
      <c r="H5" s="5" t="s">
        <v>28</v>
      </c>
      <c r="I5" s="14" t="s">
        <v>471</v>
      </c>
      <c r="J5" s="14" t="s">
        <v>472</v>
      </c>
      <c r="K5" s="5" t="s">
        <v>459</v>
      </c>
      <c r="L5" s="5" t="s">
        <v>460</v>
      </c>
      <c r="M5" s="5" t="s">
        <v>29</v>
      </c>
      <c r="N5" s="5" t="s">
        <v>473</v>
      </c>
    </row>
    <row r="6" customFormat="false" ht="17.15" hidden="false" customHeight="false" outlineLevel="0" collapsed="false">
      <c r="A6" s="0" t="s">
        <v>474</v>
      </c>
      <c r="B6" s="20" t="n">
        <v>70.274</v>
      </c>
      <c r="C6" s="20" t="n">
        <v>13.219</v>
      </c>
      <c r="D6" s="20" t="n">
        <v>9.704</v>
      </c>
      <c r="E6" s="17" t="n">
        <v>234.58</v>
      </c>
      <c r="F6" s="11" t="n">
        <f aca="false">D6/B6</f>
        <v>0.138088055326294</v>
      </c>
      <c r="G6" s="11" t="n">
        <f aca="false">C6/B6</f>
        <v>0.188106554344423</v>
      </c>
      <c r="H6" s="8" t="s">
        <v>475</v>
      </c>
      <c r="M6" s="8" t="s">
        <v>476</v>
      </c>
      <c r="N6" s="4" t="s">
        <v>477</v>
      </c>
    </row>
    <row r="7" customFormat="false" ht="17.15" hidden="false" customHeight="false" outlineLevel="0" collapsed="false">
      <c r="A7" s="0" t="s">
        <v>478</v>
      </c>
      <c r="B7" s="20" t="n">
        <v>77.792</v>
      </c>
      <c r="C7" s="20" t="n">
        <v>13.66</v>
      </c>
      <c r="D7" s="20" t="n">
        <v>9.909</v>
      </c>
      <c r="E7" s="17" t="n">
        <v>239.31</v>
      </c>
      <c r="F7" s="11" t="n">
        <f aca="false">D7/B7</f>
        <v>0.127378136569313</v>
      </c>
      <c r="G7" s="11" t="n">
        <f aca="false">C7/B7</f>
        <v>0.175596462361168</v>
      </c>
      <c r="H7" s="8" t="s">
        <v>479</v>
      </c>
      <c r="M7" s="8" t="s">
        <v>476</v>
      </c>
      <c r="N7" s="4" t="s">
        <v>477</v>
      </c>
    </row>
    <row r="8" customFormat="false" ht="17.15" hidden="false" customHeight="false" outlineLevel="0" collapsed="false">
      <c r="A8" s="0" t="s">
        <v>480</v>
      </c>
      <c r="B8" s="20" t="n">
        <v>88.194</v>
      </c>
      <c r="C8" s="20" t="n">
        <v>17.286</v>
      </c>
      <c r="D8" s="20" t="n">
        <v>12.717</v>
      </c>
      <c r="E8" s="17" t="n">
        <v>306.4</v>
      </c>
      <c r="F8" s="11" t="n">
        <f aca="false">D8/B8</f>
        <v>0.144193482549833</v>
      </c>
      <c r="G8" s="11" t="n">
        <f aca="false">C8/B8</f>
        <v>0.195999727872644</v>
      </c>
      <c r="H8" s="8" t="s">
        <v>481</v>
      </c>
      <c r="M8" s="8" t="s">
        <v>476</v>
      </c>
      <c r="N8" s="4" t="s">
        <v>477</v>
      </c>
    </row>
    <row r="9" customFormat="false" ht="17.15" hidden="false" customHeight="false" outlineLevel="0" collapsed="false">
      <c r="A9" s="0" t="s">
        <v>482</v>
      </c>
      <c r="B9" s="20" t="n">
        <v>101.52</v>
      </c>
      <c r="C9" s="20" t="n">
        <v>20.221</v>
      </c>
      <c r="D9" s="20" t="n">
        <v>14.665</v>
      </c>
      <c r="E9" s="17" t="n">
        <v>352.92</v>
      </c>
      <c r="F9" s="11" t="n">
        <f aca="false">D9/B9</f>
        <v>0.144454294720252</v>
      </c>
      <c r="G9" s="11" t="n">
        <f aca="false">C9/B9</f>
        <v>0.199182427107959</v>
      </c>
      <c r="H9" s="8" t="s">
        <v>35</v>
      </c>
      <c r="I9" s="20" t="n">
        <v>69.117</v>
      </c>
      <c r="J9" s="20" t="n">
        <v>13.195</v>
      </c>
      <c r="K9" s="20" t="n">
        <v>32.403</v>
      </c>
      <c r="L9" s="20" t="n">
        <v>7.025</v>
      </c>
      <c r="M9" s="4" t="s">
        <v>483</v>
      </c>
      <c r="N9" s="8" t="s">
        <v>484</v>
      </c>
    </row>
    <row r="10" customFormat="false" ht="17.15" hidden="false" customHeight="false" outlineLevel="0" collapsed="false">
      <c r="A10" s="0" t="s">
        <v>485</v>
      </c>
      <c r="B10" s="20" t="n">
        <v>87.927</v>
      </c>
      <c r="C10" s="20" t="n">
        <v>12.282</v>
      </c>
      <c r="D10" s="20" t="n">
        <v>7.156</v>
      </c>
      <c r="E10" s="17" t="n">
        <v>171.89</v>
      </c>
      <c r="F10" s="11" t="n">
        <f aca="false">D10/B10</f>
        <v>0.0813856949514938</v>
      </c>
      <c r="G10" s="11" t="n">
        <f aca="false">C10/B10</f>
        <v>0.139684056091985</v>
      </c>
      <c r="H10" s="8" t="s">
        <v>35</v>
      </c>
      <c r="I10" s="20" t="n">
        <v>56.198</v>
      </c>
      <c r="J10" s="20" t="n">
        <v>7.915</v>
      </c>
      <c r="K10" s="20" t="n">
        <v>31.728</v>
      </c>
      <c r="L10" s="20" t="n">
        <v>4.366</v>
      </c>
      <c r="M10" s="4" t="s">
        <v>486</v>
      </c>
      <c r="N10" s="8" t="s">
        <v>476</v>
      </c>
    </row>
    <row r="11" customFormat="false" ht="17.15" hidden="false" customHeight="false" outlineLevel="0" collapsed="false">
      <c r="A11" s="0" t="s">
        <v>487</v>
      </c>
      <c r="B11" s="20" t="n">
        <v>97.105</v>
      </c>
      <c r="C11" s="20" t="n">
        <v>15.566</v>
      </c>
      <c r="D11" s="20" t="n">
        <v>12.175</v>
      </c>
      <c r="E11" s="17" t="n">
        <v>293.83</v>
      </c>
      <c r="F11" s="11" t="n">
        <f aca="false">D11/B11</f>
        <v>0.125379743576541</v>
      </c>
      <c r="G11" s="11" t="n">
        <f aca="false">C11/B11</f>
        <v>0.160300705421966</v>
      </c>
      <c r="H11" s="8" t="s">
        <v>488</v>
      </c>
      <c r="I11" s="20" t="n">
        <v>71.745</v>
      </c>
      <c r="J11" s="20" t="n">
        <v>13.565</v>
      </c>
      <c r="K11" s="20" t="n">
        <v>25.359</v>
      </c>
      <c r="L11" s="20" t="n">
        <v>1.996</v>
      </c>
      <c r="M11" s="8" t="s">
        <v>476</v>
      </c>
      <c r="N11" s="4" t="s">
        <v>489</v>
      </c>
    </row>
    <row r="12" customFormat="false" ht="17.15" hidden="false" customHeight="false" outlineLevel="0" collapsed="false">
      <c r="A12" s="0" t="s">
        <v>490</v>
      </c>
      <c r="B12" s="20" t="n">
        <v>130.702</v>
      </c>
      <c r="C12" s="20" t="n">
        <v>28.327</v>
      </c>
      <c r="D12" s="20" t="n">
        <v>21.326</v>
      </c>
      <c r="E12" s="17" t="n">
        <v>522.52</v>
      </c>
      <c r="F12" s="11" t="n">
        <f aca="false">D12/B12</f>
        <v>0.163165062508607</v>
      </c>
      <c r="G12" s="11" t="n">
        <f aca="false">C12/B12</f>
        <v>0.216729659836881</v>
      </c>
      <c r="H12" s="8" t="s">
        <v>35</v>
      </c>
      <c r="I12" s="20" t="n">
        <v>101.145</v>
      </c>
      <c r="J12" s="20" t="n">
        <v>24.698</v>
      </c>
      <c r="K12" s="20" t="n">
        <v>29.556</v>
      </c>
      <c r="L12" s="20" t="n">
        <v>3.628</v>
      </c>
      <c r="M12" s="4" t="s">
        <v>123</v>
      </c>
      <c r="N12" s="4" t="s">
        <v>491</v>
      </c>
    </row>
    <row r="13" customFormat="false" ht="17.15" hidden="false" customHeight="false" outlineLevel="0" collapsed="false">
      <c r="A13" s="0" t="s">
        <v>492</v>
      </c>
      <c r="B13" s="20" t="n">
        <v>146.801</v>
      </c>
      <c r="C13" s="20" t="n">
        <v>34.494</v>
      </c>
      <c r="D13" s="20" t="n">
        <v>23.63</v>
      </c>
      <c r="E13" s="17" t="n">
        <v>581.33</v>
      </c>
      <c r="F13" s="11" t="n">
        <f aca="false">D13/B13</f>
        <v>0.160966205952276</v>
      </c>
      <c r="G13" s="11" t="n">
        <f aca="false">C13/B13</f>
        <v>0.234971151422674</v>
      </c>
      <c r="H13" s="8" t="s">
        <v>35</v>
      </c>
      <c r="I13" s="20" t="n">
        <v>112.365</v>
      </c>
      <c r="J13" s="20" t="n">
        <v>29.866</v>
      </c>
      <c r="K13" s="20" t="n">
        <v>34.436</v>
      </c>
      <c r="L13" s="20" t="n">
        <v>4.628</v>
      </c>
      <c r="M13" s="4" t="s">
        <v>123</v>
      </c>
      <c r="N13" s="4" t="s">
        <v>493</v>
      </c>
    </row>
    <row r="14" customFormat="false" ht="17.15" hidden="false" customHeight="false" outlineLevel="0" collapsed="false">
      <c r="A14" s="0" t="s">
        <v>494</v>
      </c>
      <c r="B14" s="20" t="n">
        <v>134.68</v>
      </c>
      <c r="C14" s="20" t="n">
        <v>25.307</v>
      </c>
      <c r="D14" s="20" t="n">
        <v>19.378</v>
      </c>
      <c r="E14" s="17" t="n">
        <v>480.49</v>
      </c>
      <c r="F14" s="11" t="n">
        <f aca="false">D14/B14</f>
        <v>0.143881793881794</v>
      </c>
      <c r="G14" s="11" t="n">
        <f aca="false">C14/B14</f>
        <v>0.187904662904663</v>
      </c>
      <c r="H14" s="8" t="s">
        <v>35</v>
      </c>
      <c r="I14" s="20" t="n">
        <v>100.055</v>
      </c>
      <c r="J14" s="20" t="n">
        <v>19.899</v>
      </c>
      <c r="K14" s="20" t="n">
        <v>34.624</v>
      </c>
      <c r="L14" s="20" t="n">
        <v>5.408</v>
      </c>
      <c r="M14" s="4" t="s">
        <v>123</v>
      </c>
      <c r="N14" s="4" t="s">
        <v>495</v>
      </c>
    </row>
    <row r="15" customFormat="false" ht="17.15" hidden="false" customHeight="false" outlineLevel="0" collapsed="false">
      <c r="A15" s="0" t="s">
        <v>496</v>
      </c>
      <c r="B15" s="20" t="n">
        <v>150.534</v>
      </c>
      <c r="C15" s="20" t="n">
        <v>29.703</v>
      </c>
      <c r="D15" s="20" t="n">
        <v>25.637</v>
      </c>
      <c r="E15" s="17" t="n">
        <v>633.75</v>
      </c>
      <c r="F15" s="11" t="n">
        <f aca="false">D15/B15</f>
        <v>0.170307040269972</v>
      </c>
      <c r="G15" s="11" t="n">
        <f aca="false">C15/B15</f>
        <v>0.197317549523696</v>
      </c>
      <c r="H15" s="8" t="s">
        <v>35</v>
      </c>
      <c r="I15" s="20" t="n">
        <v>113.481</v>
      </c>
      <c r="J15" s="20" t="n">
        <v>24.311</v>
      </c>
      <c r="K15" s="20" t="n">
        <v>37.053</v>
      </c>
      <c r="L15" s="20" t="n">
        <v>5.392</v>
      </c>
      <c r="M15" s="4" t="s">
        <v>123</v>
      </c>
      <c r="N15" s="4" t="s">
        <v>497</v>
      </c>
    </row>
    <row r="16" customFormat="false" ht="17.15" hidden="false" customHeight="false" outlineLevel="0" collapsed="false">
      <c r="A16" s="0" t="s">
        <v>498</v>
      </c>
      <c r="B16" s="20" t="n">
        <v>166.839</v>
      </c>
      <c r="C16" s="20" t="n">
        <v>33.738</v>
      </c>
      <c r="D16" s="20" t="n">
        <v>24.739</v>
      </c>
      <c r="E16" s="17" t="n">
        <v>610.02</v>
      </c>
      <c r="F16" s="11" t="n">
        <f aca="false">D16/B16</f>
        <v>0.148280677779176</v>
      </c>
      <c r="G16" s="11" t="n">
        <f aca="false">C16/B16</f>
        <v>0.202218905651556</v>
      </c>
      <c r="H16" s="8" t="s">
        <v>35</v>
      </c>
      <c r="I16" s="20" t="n">
        <v>127.878</v>
      </c>
      <c r="J16" s="20" t="n">
        <v>28.404</v>
      </c>
      <c r="K16" s="20" t="n">
        <v>38.96</v>
      </c>
      <c r="L16" s="20" t="n">
        <v>5.333</v>
      </c>
      <c r="M16" s="4" t="s">
        <v>499</v>
      </c>
      <c r="N16" s="4" t="s">
        <v>500</v>
      </c>
    </row>
    <row r="18" customFormat="false" ht="17.15" hidden="false" customHeight="false" outlineLevel="0" collapsed="false">
      <c r="A18" s="4" t="s">
        <v>501</v>
      </c>
      <c r="B18" s="19" t="n">
        <f aca="false">ABS(B16-a25_rev)+ABS(C16-a25_oi)+ABS(D16-a25_ni)+ABS(E16-a25_eps)+ABS(I16+K16-B16)+ABS(J16+L16-C16)</f>
        <v>0.00200000000000244</v>
      </c>
    </row>
    <row r="20" customFormat="false" ht="17.15" hidden="false" customHeight="false" outlineLevel="0" collapsed="false">
      <c r="A20" s="1" t="s">
        <v>502</v>
      </c>
    </row>
    <row r="21" customFormat="false" ht="17.15" hidden="false" customHeight="false" outlineLevel="0" collapsed="false">
      <c r="A21" s="0" t="s">
        <v>503</v>
      </c>
      <c r="B21" s="19" t="n">
        <f aca="false">v_s</f>
        <v>0.300783432421288</v>
      </c>
    </row>
    <row r="22" customFormat="false" ht="15" hidden="false" customHeight="false" outlineLevel="0" collapsed="false">
      <c r="A22" s="0" t="s">
        <v>504</v>
      </c>
      <c r="B22" s="19" t="n">
        <f aca="false">RSQ(J9:J16,I9:I16)</f>
        <v>0.920261841108384</v>
      </c>
    </row>
    <row r="23" customFormat="false" ht="17.15" hidden="false" customHeight="false" outlineLevel="0" collapsed="false">
      <c r="A23" s="4" t="s">
        <v>505</v>
      </c>
      <c r="B23" s="21" t="n">
        <f aca="false">INTERCEPT(J9:J16,I9:I16)</f>
        <v>-8.04141608073626</v>
      </c>
    </row>
    <row r="24" customFormat="false" ht="17.15" hidden="false" customHeight="false" outlineLevel="0" collapsed="false">
      <c r="A24" s="4" t="s">
        <v>506</v>
      </c>
      <c r="B24" s="19" t="n">
        <f aca="false">v_m</f>
        <v>0.24064584648856</v>
      </c>
    </row>
    <row r="25" customFormat="false" ht="15" hidden="false" customHeight="false" outlineLevel="0" collapsed="false">
      <c r="A25" s="0" t="s">
        <v>504</v>
      </c>
      <c r="B25" s="19" t="n">
        <f aca="false">RSQ(L9:L16,K9:K16)</f>
        <v>0.485850348083776</v>
      </c>
    </row>
    <row r="26" customFormat="false" ht="17.15" hidden="false" customHeight="false" outlineLevel="0" collapsed="false">
      <c r="A26" s="0" t="s">
        <v>507</v>
      </c>
      <c r="B26" s="19" t="n">
        <f aca="false">v_s2</f>
        <v>0.237790393163693</v>
      </c>
    </row>
    <row r="27" customFormat="false" ht="17.15" hidden="false" customHeight="false" outlineLevel="0" collapsed="false">
      <c r="A27" s="4" t="s">
        <v>508</v>
      </c>
      <c r="B27" s="11" t="n">
        <f aca="false">(K16/K9)^(1/7)-1</f>
        <v>0.0266759520944031</v>
      </c>
    </row>
    <row r="28" customFormat="false" ht="17.15" hidden="false" customHeight="false" outlineLevel="0" collapsed="false">
      <c r="A28" s="4" t="s">
        <v>509</v>
      </c>
      <c r="B28" s="11" t="n">
        <f aca="false">(K16/K11)^(1/5)-1</f>
        <v>0.0896759477872087</v>
      </c>
    </row>
    <row r="29" customFormat="false" ht="17.15" hidden="false" customHeight="false" outlineLevel="0" collapsed="false">
      <c r="A29" s="0" t="s">
        <v>510</v>
      </c>
      <c r="B29" s="11" t="n">
        <f aca="false">(I16/I9)^(1/7)-1</f>
        <v>0.0918751794243666</v>
      </c>
    </row>
    <row r="30" customFormat="false" ht="17.15" hidden="false" customHeight="false" outlineLevel="0" collapsed="false">
      <c r="A30" s="4" t="s">
        <v>511</v>
      </c>
      <c r="B30" s="11" t="n">
        <f aca="false">nim10</f>
        <v>0.140939213275926</v>
      </c>
    </row>
    <row r="31" customFormat="false" ht="17.15" hidden="false" customHeight="false" outlineLevel="0" collapsed="false">
      <c r="A31" s="4" t="s">
        <v>512</v>
      </c>
      <c r="B31" s="11" t="n">
        <f aca="false">I10/I9-1</f>
        <v>-0.186914941331366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9" min="3" style="0" width="13"/>
    <col collapsed="false" customWidth="true" hidden="false" outlineLevel="0" max="10" min="10" style="0" width="46"/>
    <col collapsed="false" customWidth="true" hidden="false" outlineLevel="0" max="11" min="11" style="0" width="36"/>
  </cols>
  <sheetData>
    <row r="1" customFormat="false" ht="17.15" hidden="false" customHeight="false" outlineLevel="0" collapsed="false">
      <c r="A1" s="0" t="s">
        <v>513</v>
      </c>
    </row>
    <row r="3" customFormat="false" ht="15" hidden="false" customHeight="false" outlineLevel="0" collapsed="false">
      <c r="A3" s="5" t="s">
        <v>514</v>
      </c>
      <c r="B3" s="5" t="s">
        <v>24</v>
      </c>
      <c r="C3" s="14" t="s">
        <v>515</v>
      </c>
      <c r="D3" s="14" t="s">
        <v>516</v>
      </c>
      <c r="E3" s="14" t="s">
        <v>517</v>
      </c>
      <c r="F3" s="14" t="s">
        <v>518</v>
      </c>
      <c r="G3" s="14" t="s">
        <v>519</v>
      </c>
      <c r="H3" s="5" t="s">
        <v>520</v>
      </c>
    </row>
    <row r="4" customFormat="false" ht="17.15" hidden="false" customHeight="false" outlineLevel="0" collapsed="false">
      <c r="A4" s="1" t="s">
        <v>521</v>
      </c>
    </row>
    <row r="5" customFormat="false" ht="15" hidden="false" customHeight="false" outlineLevel="0" collapsed="false">
      <c r="A5" s="4" t="s">
        <v>438</v>
      </c>
      <c r="B5" s="0" t="s">
        <v>34</v>
      </c>
      <c r="C5" s="16" t="n">
        <f aca="false">C76</f>
        <v>166.838</v>
      </c>
      <c r="D5" s="16" t="n">
        <f aca="false">D76</f>
        <v>189</v>
      </c>
      <c r="E5" s="16" t="n">
        <f aca="false">E76</f>
        <v>219.670278394298</v>
      </c>
      <c r="F5" s="16" t="n">
        <f aca="false">F76</f>
        <v>251.406592241356</v>
      </c>
      <c r="G5" s="16" t="n">
        <f aca="false">G76</f>
        <v>272.551816268834</v>
      </c>
    </row>
    <row r="6" customFormat="false" ht="15" hidden="false" customHeight="false" outlineLevel="0" collapsed="false">
      <c r="A6" s="4" t="s">
        <v>522</v>
      </c>
      <c r="B6" s="0" t="s">
        <v>34</v>
      </c>
      <c r="C6" s="16" t="n">
        <f aca="false">C72</f>
        <v>92.07216</v>
      </c>
      <c r="D6" s="16" t="n">
        <f aca="false">D72</f>
        <v>106.2</v>
      </c>
      <c r="E6" s="16" t="n">
        <f aca="false">E72</f>
        <v>126.895938738845</v>
      </c>
      <c r="F6" s="16" t="n">
        <f aca="false">F72</f>
        <v>148.715730470903</v>
      </c>
      <c r="G6" s="16" t="n">
        <f aca="false">G72</f>
        <v>162.187626054737</v>
      </c>
    </row>
    <row r="7" customFormat="false" ht="15" hidden="false" customHeight="false" outlineLevel="0" collapsed="false">
      <c r="A7" s="4" t="s">
        <v>523</v>
      </c>
      <c r="B7" s="0" t="s">
        <v>34</v>
      </c>
      <c r="C7" s="16" t="n">
        <f aca="false">C73</f>
        <v>35.80584</v>
      </c>
      <c r="D7" s="16" t="n">
        <f aca="false">D73</f>
        <v>41.3</v>
      </c>
      <c r="E7" s="16" t="n">
        <f aca="false">E73</f>
        <v>48.7843396554535</v>
      </c>
      <c r="F7" s="16" t="n">
        <f aca="false">F73</f>
        <v>56.061461770453</v>
      </c>
      <c r="G7" s="16" t="n">
        <f aca="false">G73</f>
        <v>60.9370262140963</v>
      </c>
    </row>
    <row r="8" customFormat="false" ht="15" hidden="false" customHeight="false" outlineLevel="0" collapsed="false">
      <c r="A8" s="4" t="s">
        <v>524</v>
      </c>
      <c r="B8" s="0" t="s">
        <v>34</v>
      </c>
      <c r="C8" s="16" t="n">
        <f aca="false">C75</f>
        <v>38.96</v>
      </c>
      <c r="D8" s="16" t="n">
        <f aca="false">D75</f>
        <v>41.5</v>
      </c>
      <c r="E8" s="16" t="n">
        <f aca="false">E75</f>
        <v>43.99</v>
      </c>
      <c r="F8" s="16" t="n">
        <f aca="false">F75</f>
        <v>46.6294</v>
      </c>
      <c r="G8" s="16" t="n">
        <f aca="false">G75</f>
        <v>49.427164</v>
      </c>
    </row>
    <row r="9" customFormat="false" ht="15" hidden="false" customHeight="false" outlineLevel="0" collapsed="false">
      <c r="A9" s="4" t="s">
        <v>442</v>
      </c>
      <c r="B9" s="0" t="s">
        <v>34</v>
      </c>
      <c r="C9" s="16" t="n">
        <f aca="false">C81</f>
        <v>33.737</v>
      </c>
      <c r="D9" s="16" t="n">
        <f aca="false">D81</f>
        <v>44</v>
      </c>
      <c r="E9" s="16" t="n">
        <f aca="false">E81</f>
        <v>53.0753690197811</v>
      </c>
      <c r="F9" s="16" t="n">
        <f aca="false">F81</f>
        <v>62.4623992867873</v>
      </c>
      <c r="G9" s="16" t="n">
        <f aca="false">G81</f>
        <v>68.6542815761198</v>
      </c>
    </row>
    <row r="10" customFormat="false" ht="15" hidden="false" customHeight="false" outlineLevel="0" collapsed="false">
      <c r="A10" s="4" t="s">
        <v>461</v>
      </c>
      <c r="B10" s="0" t="s">
        <v>108</v>
      </c>
      <c r="C10" s="11" t="n">
        <f aca="false">C83</f>
        <v>0.202214123880651</v>
      </c>
      <c r="D10" s="11" t="n">
        <f aca="false">D83</f>
        <v>0.232804232804233</v>
      </c>
      <c r="E10" s="11" t="n">
        <f aca="false">E83</f>
        <v>0.24161379230609</v>
      </c>
      <c r="F10" s="11" t="n">
        <f aca="false">F83</f>
        <v>0.248451716122154</v>
      </c>
      <c r="G10" s="11" t="n">
        <f aca="false">G83</f>
        <v>0.251894419622587</v>
      </c>
    </row>
    <row r="11" customFormat="false" ht="17.15" hidden="false" customHeight="false" outlineLevel="0" collapsed="false">
      <c r="A11" s="0" t="s">
        <v>525</v>
      </c>
      <c r="B11" s="0" t="s">
        <v>108</v>
      </c>
      <c r="C11" s="11" t="n">
        <f aca="false">C82</f>
        <v>0.222117956176981</v>
      </c>
      <c r="D11" s="11" t="n">
        <f aca="false">D82</f>
        <v>0.255</v>
      </c>
      <c r="E11" s="11" t="n">
        <f aca="false">E82</f>
        <v>0.262343965317397</v>
      </c>
      <c r="F11" s="11" t="n">
        <f aca="false">F82</f>
        <v>0.267805852212157</v>
      </c>
      <c r="G11" s="11" t="n">
        <f aca="false">G82</f>
        <v>0.270517586789836</v>
      </c>
    </row>
    <row r="12" customFormat="false" ht="15" hidden="false" customHeight="false" outlineLevel="0" collapsed="false">
      <c r="A12" s="4" t="s">
        <v>445</v>
      </c>
      <c r="B12" s="0" t="s">
        <v>34</v>
      </c>
      <c r="C12" s="16" t="n">
        <f aca="false">C84</f>
        <v>24.739</v>
      </c>
      <c r="D12" s="16" t="n">
        <f aca="false">D84</f>
        <v>30.8</v>
      </c>
      <c r="E12" s="16" t="n">
        <f aca="false">E84</f>
        <v>37.1527583138467</v>
      </c>
      <c r="F12" s="16" t="n">
        <f aca="false">F84</f>
        <v>43.7236795007511</v>
      </c>
      <c r="G12" s="16" t="n">
        <f aca="false">G84</f>
        <v>48.0579971032839</v>
      </c>
    </row>
    <row r="13" customFormat="false" ht="15" hidden="false" customHeight="false" outlineLevel="0" collapsed="false">
      <c r="A13" s="0" t="s">
        <v>526</v>
      </c>
      <c r="B13" s="0" t="s">
        <v>56</v>
      </c>
      <c r="C13" s="13" t="n">
        <f aca="false">C85</f>
        <v>610.02</v>
      </c>
      <c r="D13" s="13" t="n">
        <f aca="false">D85</f>
        <v>758.83675253348</v>
      </c>
      <c r="E13" s="13" t="n">
        <f aca="false">E85</f>
        <v>915.353196965608</v>
      </c>
      <c r="F13" s="13" t="n">
        <f aca="false">F85</f>
        <v>1077.24464159626</v>
      </c>
      <c r="G13" s="13" t="n">
        <f aca="false">G85</f>
        <v>1184.03163815322</v>
      </c>
    </row>
    <row r="15" customFormat="false" ht="17.15" hidden="false" customHeight="false" outlineLevel="0" collapsed="false">
      <c r="A15" s="1" t="s">
        <v>527</v>
      </c>
    </row>
    <row r="16" customFormat="false" ht="15" hidden="false" customHeight="false" outlineLevel="0" collapsed="false">
      <c r="A16" s="4" t="s">
        <v>438</v>
      </c>
      <c r="B16" s="0" t="s">
        <v>34</v>
      </c>
      <c r="C16" s="16" t="n">
        <f aca="false">C105</f>
        <v>166.838</v>
      </c>
      <c r="D16" s="16" t="n">
        <f aca="false">D105</f>
        <v>189</v>
      </c>
      <c r="E16" s="16" t="n">
        <f aca="false">E105</f>
        <v>205.629490035978</v>
      </c>
      <c r="F16" s="16" t="n">
        <f aca="false">F105</f>
        <v>203.499550370459</v>
      </c>
      <c r="G16" s="16" t="n">
        <f aca="false">G105</f>
        <v>199.271722179176</v>
      </c>
    </row>
    <row r="17" customFormat="false" ht="15" hidden="false" customHeight="false" outlineLevel="0" collapsed="false">
      <c r="A17" s="4" t="s">
        <v>522</v>
      </c>
      <c r="B17" s="0" t="s">
        <v>34</v>
      </c>
      <c r="C17" s="16" t="n">
        <f aca="false">C101</f>
        <v>92.07216</v>
      </c>
      <c r="D17" s="16" t="n">
        <f aca="false">D101</f>
        <v>106.2</v>
      </c>
      <c r="E17" s="16" t="n">
        <f aca="false">E101</f>
        <v>117.12387347691</v>
      </c>
      <c r="F17" s="16" t="n">
        <f aca="false">F101</f>
        <v>114.343847276494</v>
      </c>
      <c r="G17" s="16" t="n">
        <f aca="false">G101</f>
        <v>110.001675860931</v>
      </c>
    </row>
    <row r="18" customFormat="false" ht="15" hidden="false" customHeight="false" outlineLevel="0" collapsed="false">
      <c r="A18" s="4" t="s">
        <v>523</v>
      </c>
      <c r="B18" s="0" t="s">
        <v>34</v>
      </c>
      <c r="C18" s="16" t="n">
        <f aca="false">C102</f>
        <v>35.80584</v>
      </c>
      <c r="D18" s="16" t="n">
        <f aca="false">D102</f>
        <v>41.3</v>
      </c>
      <c r="E18" s="16" t="n">
        <f aca="false">E102</f>
        <v>45.345616559068</v>
      </c>
      <c r="F18" s="16" t="n">
        <f aca="false">F102</f>
        <v>44.269303093965</v>
      </c>
      <c r="G18" s="16" t="n">
        <f aca="false">G102</f>
        <v>42.5881903182448</v>
      </c>
    </row>
    <row r="19" customFormat="false" ht="15" hidden="false" customHeight="false" outlineLevel="0" collapsed="false">
      <c r="A19" s="4" t="s">
        <v>524</v>
      </c>
      <c r="B19" s="0" t="s">
        <v>34</v>
      </c>
      <c r="C19" s="16" t="n">
        <f aca="false">C104</f>
        <v>38.96</v>
      </c>
      <c r="D19" s="16" t="n">
        <f aca="false">D104</f>
        <v>41.5</v>
      </c>
      <c r="E19" s="16" t="n">
        <f aca="false">E104</f>
        <v>43.16</v>
      </c>
      <c r="F19" s="16" t="n">
        <f aca="false">F104</f>
        <v>44.8864</v>
      </c>
      <c r="G19" s="16" t="n">
        <f aca="false">G104</f>
        <v>46.681856</v>
      </c>
    </row>
    <row r="20" customFormat="false" ht="15" hidden="false" customHeight="false" outlineLevel="0" collapsed="false">
      <c r="A20" s="4" t="s">
        <v>442</v>
      </c>
      <c r="B20" s="0" t="s">
        <v>34</v>
      </c>
      <c r="C20" s="16" t="n">
        <f aca="false">C110</f>
        <v>33.737</v>
      </c>
      <c r="D20" s="16" t="n">
        <f aca="false">D110</f>
        <v>44</v>
      </c>
      <c r="E20" s="16" t="n">
        <f aca="false">E110</f>
        <v>48.9020466997887</v>
      </c>
      <c r="F20" s="16" t="n">
        <f aca="false">F110</f>
        <v>48.1575746079894</v>
      </c>
      <c r="G20" s="16" t="n">
        <f aca="false">G110</f>
        <v>46.7779395434393</v>
      </c>
    </row>
    <row r="21" customFormat="false" ht="15" hidden="false" customHeight="false" outlineLevel="0" collapsed="false">
      <c r="A21" s="4" t="s">
        <v>461</v>
      </c>
      <c r="B21" s="0" t="s">
        <v>108</v>
      </c>
      <c r="C21" s="11" t="n">
        <f aca="false">C112</f>
        <v>0.202214123880651</v>
      </c>
      <c r="D21" s="11" t="n">
        <f aca="false">D112</f>
        <v>0.232804232804233</v>
      </c>
      <c r="E21" s="11" t="n">
        <f aca="false">E112</f>
        <v>0.237816310740413</v>
      </c>
      <c r="F21" s="11" t="n">
        <f aca="false">F112</f>
        <v>0.236647081137631</v>
      </c>
      <c r="G21" s="11" t="n">
        <f aca="false">G112</f>
        <v>0.234744493759023</v>
      </c>
    </row>
    <row r="22" customFormat="false" ht="17.15" hidden="false" customHeight="false" outlineLevel="0" collapsed="false">
      <c r="A22" s="0" t="s">
        <v>525</v>
      </c>
      <c r="B22" s="0" t="s">
        <v>108</v>
      </c>
      <c r="C22" s="11" t="n">
        <f aca="false">C111</f>
        <v>0.222117956176981</v>
      </c>
      <c r="D22" s="11" t="n">
        <f aca="false">D111</f>
        <v>0.255</v>
      </c>
      <c r="E22" s="11" t="n">
        <f aca="false">E111</f>
        <v>0.259218358999536</v>
      </c>
      <c r="F22" s="11" t="n">
        <f aca="false">F111</f>
        <v>0.258207793097768</v>
      </c>
      <c r="G22" s="11" t="n">
        <f aca="false">G111</f>
        <v>0.25652717575605</v>
      </c>
    </row>
    <row r="23" customFormat="false" ht="15" hidden="false" customHeight="false" outlineLevel="0" collapsed="false">
      <c r="A23" s="4" t="s">
        <v>445</v>
      </c>
      <c r="B23" s="0" t="s">
        <v>34</v>
      </c>
      <c r="C23" s="16" t="n">
        <f aca="false">C113</f>
        <v>24.739</v>
      </c>
      <c r="D23" s="16" t="n">
        <f aca="false">D113</f>
        <v>30.8</v>
      </c>
      <c r="E23" s="16" t="n">
        <f aca="false">E113</f>
        <v>34.2314326898521</v>
      </c>
      <c r="F23" s="16" t="n">
        <f aca="false">F113</f>
        <v>33.7103022255926</v>
      </c>
      <c r="G23" s="16" t="n">
        <f aca="false">G113</f>
        <v>32.7445576804075</v>
      </c>
    </row>
    <row r="24" customFormat="false" ht="15" hidden="false" customHeight="false" outlineLevel="0" collapsed="false">
      <c r="A24" s="0" t="s">
        <v>526</v>
      </c>
      <c r="B24" s="0" t="s">
        <v>56</v>
      </c>
      <c r="C24" s="13" t="n">
        <f aca="false">C114</f>
        <v>610.02</v>
      </c>
      <c r="D24" s="13" t="n">
        <f aca="false">D114</f>
        <v>758.83675253348</v>
      </c>
      <c r="E24" s="13" t="n">
        <f aca="false">E114</f>
        <v>843.378870679733</v>
      </c>
      <c r="F24" s="13" t="n">
        <f aca="false">F114</f>
        <v>830.539489213988</v>
      </c>
      <c r="G24" s="13" t="n">
        <f aca="false">G114</f>
        <v>806.745903030704</v>
      </c>
    </row>
    <row r="26" customFormat="false" ht="17.15" hidden="false" customHeight="false" outlineLevel="0" collapsed="false">
      <c r="A26" s="1" t="s">
        <v>528</v>
      </c>
    </row>
    <row r="27" customFormat="false" ht="15" hidden="false" customHeight="false" outlineLevel="0" collapsed="false">
      <c r="A27" s="4" t="s">
        <v>438</v>
      </c>
      <c r="B27" s="0" t="s">
        <v>34</v>
      </c>
      <c r="C27" s="16" t="n">
        <f aca="false">C134</f>
        <v>166.838</v>
      </c>
      <c r="D27" s="16" t="n">
        <f aca="false">D134</f>
        <v>189</v>
      </c>
      <c r="E27" s="16" t="n">
        <f aca="false">E134</f>
        <v>186.520240445094</v>
      </c>
      <c r="F27" s="16" t="n">
        <f aca="false">F134</f>
        <v>154.887951700422</v>
      </c>
      <c r="G27" s="16" t="n">
        <f aca="false">G134</f>
        <v>151.934679149409</v>
      </c>
    </row>
    <row r="28" customFormat="false" ht="15" hidden="false" customHeight="false" outlineLevel="0" collapsed="false">
      <c r="A28" s="4" t="s">
        <v>522</v>
      </c>
      <c r="B28" s="0" t="s">
        <v>34</v>
      </c>
      <c r="C28" s="16" t="n">
        <f aca="false">C130</f>
        <v>92.07216</v>
      </c>
      <c r="D28" s="16" t="n">
        <f aca="false">D130</f>
        <v>106.2</v>
      </c>
      <c r="E28" s="16" t="n">
        <f aca="false">E130</f>
        <v>104.245577937364</v>
      </c>
      <c r="F28" s="16" t="n">
        <f aca="false">F130</f>
        <v>81.1397710843195</v>
      </c>
      <c r="G28" s="16" t="n">
        <f aca="false">G130</f>
        <v>78.7055779517899</v>
      </c>
    </row>
    <row r="29" customFormat="false" ht="15" hidden="false" customHeight="false" outlineLevel="0" collapsed="false">
      <c r="A29" s="4" t="s">
        <v>523</v>
      </c>
      <c r="B29" s="0" t="s">
        <v>34</v>
      </c>
      <c r="C29" s="16" t="n">
        <f aca="false">C131</f>
        <v>35.80584</v>
      </c>
      <c r="D29" s="16" t="n">
        <f aca="false">D131</f>
        <v>41.3</v>
      </c>
      <c r="E29" s="16" t="n">
        <f aca="false">E131</f>
        <v>40.35966250773</v>
      </c>
      <c r="F29" s="16" t="n">
        <f aca="false">F131</f>
        <v>31.4140306161021</v>
      </c>
      <c r="G29" s="16" t="n">
        <f aca="false">G131</f>
        <v>30.471609697619</v>
      </c>
    </row>
    <row r="30" customFormat="false" ht="15" hidden="false" customHeight="false" outlineLevel="0" collapsed="false">
      <c r="A30" s="4" t="s">
        <v>524</v>
      </c>
      <c r="B30" s="0" t="s">
        <v>34</v>
      </c>
      <c r="C30" s="16" t="n">
        <f aca="false">C133</f>
        <v>38.96</v>
      </c>
      <c r="D30" s="16" t="n">
        <f aca="false">D133</f>
        <v>41.5</v>
      </c>
      <c r="E30" s="16" t="n">
        <f aca="false">E133</f>
        <v>41.915</v>
      </c>
      <c r="F30" s="16" t="n">
        <f aca="false">F133</f>
        <v>42.33415</v>
      </c>
      <c r="G30" s="16" t="n">
        <f aca="false">G133</f>
        <v>42.7574915</v>
      </c>
    </row>
    <row r="31" customFormat="false" ht="15" hidden="false" customHeight="false" outlineLevel="0" collapsed="false">
      <c r="A31" s="4" t="s">
        <v>442</v>
      </c>
      <c r="B31" s="0" t="s">
        <v>34</v>
      </c>
      <c r="C31" s="16" t="n">
        <f aca="false">C139</f>
        <v>33.737</v>
      </c>
      <c r="D31" s="16" t="n">
        <f aca="false">D139</f>
        <v>44</v>
      </c>
      <c r="E31" s="16" t="n">
        <f aca="false">E139</f>
        <v>43.2291723113338</v>
      </c>
      <c r="F31" s="16" t="n">
        <f aca="false">F139</f>
        <v>32.563959241222</v>
      </c>
      <c r="G31" s="16" t="n">
        <f aca="false">G139</f>
        <v>31.6839711911279</v>
      </c>
    </row>
    <row r="32" customFormat="false" ht="15" hidden="false" customHeight="false" outlineLevel="0" collapsed="false">
      <c r="A32" s="4" t="s">
        <v>461</v>
      </c>
      <c r="B32" s="0" t="s">
        <v>108</v>
      </c>
      <c r="C32" s="11" t="n">
        <f aca="false">C141</f>
        <v>0.202214123880651</v>
      </c>
      <c r="D32" s="11" t="n">
        <f aca="false">D141</f>
        <v>0.232804232804233</v>
      </c>
      <c r="E32" s="11" t="n">
        <f aca="false">E141</f>
        <v>0.231766655501708</v>
      </c>
      <c r="F32" s="11" t="n">
        <f aca="false">F141</f>
        <v>0.210242041964671</v>
      </c>
      <c r="G32" s="11" t="n">
        <f aca="false">G141</f>
        <v>0.208536796000146</v>
      </c>
    </row>
    <row r="33" customFormat="false" ht="17.15" hidden="false" customHeight="false" outlineLevel="0" collapsed="false">
      <c r="A33" s="0" t="s">
        <v>525</v>
      </c>
      <c r="B33" s="0" t="s">
        <v>108</v>
      </c>
      <c r="C33" s="11" t="n">
        <f aca="false">C140</f>
        <v>0.222117956176981</v>
      </c>
      <c r="D33" s="11" t="n">
        <f aca="false">D140</f>
        <v>0.255</v>
      </c>
      <c r="E33" s="11" t="n">
        <f aca="false">E140</f>
        <v>0.254083490833043</v>
      </c>
      <c r="F33" s="11" t="n">
        <f aca="false">F140</f>
        <v>0.2307849589791</v>
      </c>
      <c r="G33" s="11" t="n">
        <f aca="false">G140</f>
        <v>0.228929336089136</v>
      </c>
    </row>
    <row r="34" customFormat="false" ht="15" hidden="false" customHeight="false" outlineLevel="0" collapsed="false">
      <c r="A34" s="4" t="s">
        <v>445</v>
      </c>
      <c r="B34" s="0" t="s">
        <v>34</v>
      </c>
      <c r="C34" s="16" t="n">
        <f aca="false">C142</f>
        <v>24.739</v>
      </c>
      <c r="D34" s="16" t="n">
        <f aca="false">D142</f>
        <v>30.8</v>
      </c>
      <c r="E34" s="16" t="n">
        <f aca="false">E142</f>
        <v>30.2604206179337</v>
      </c>
      <c r="F34" s="16" t="n">
        <f aca="false">F142</f>
        <v>22.7947714688554</v>
      </c>
      <c r="G34" s="16" t="n">
        <f aca="false">G142</f>
        <v>22.1787798337895</v>
      </c>
    </row>
    <row r="35" customFormat="false" ht="15" hidden="false" customHeight="false" outlineLevel="0" collapsed="false">
      <c r="A35" s="0" t="s">
        <v>526</v>
      </c>
      <c r="B35" s="0" t="s">
        <v>56</v>
      </c>
      <c r="C35" s="13" t="n">
        <f aca="false">C143</f>
        <v>610.02</v>
      </c>
      <c r="D35" s="13" t="n">
        <f aca="false">D143</f>
        <v>758.83675253348</v>
      </c>
      <c r="E35" s="13" t="n">
        <f aca="false">E143</f>
        <v>745.542834805518</v>
      </c>
      <c r="F35" s="13" t="n">
        <f aca="false">F143</f>
        <v>561.607479096399</v>
      </c>
      <c r="G35" s="13" t="n">
        <f aca="false">G143</f>
        <v>546.430950137269</v>
      </c>
    </row>
    <row r="37" customFormat="false" ht="17.15" hidden="false" customHeight="false" outlineLevel="0" collapsed="false">
      <c r="A37" s="4" t="s">
        <v>529</v>
      </c>
      <c r="C37" s="19" t="n">
        <f aca="false">C86+C115+C144</f>
        <v>0.00600000000000733</v>
      </c>
    </row>
    <row r="38" customFormat="false" ht="17.15" hidden="false" customHeight="false" outlineLevel="0" collapsed="false">
      <c r="A38" s="4" t="s">
        <v>530</v>
      </c>
      <c r="C38" s="19" t="n">
        <f aca="false">ABS(D5-g26_rev)+ABS(D9-g26_oi)</f>
        <v>0</v>
      </c>
      <c r="D38" s="21" t="n">
        <f aca="false">D13-g26_eps</f>
        <v>0.00675253347992566</v>
      </c>
    </row>
    <row r="60" customFormat="false" ht="17.15" hidden="false" customHeight="false" outlineLevel="0" collapsed="false">
      <c r="A60" s="1" t="s">
        <v>531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4" t="s">
        <v>532</v>
      </c>
      <c r="D61" s="14" t="s">
        <v>533</v>
      </c>
      <c r="E61" s="14" t="s">
        <v>534</v>
      </c>
      <c r="F61" s="14" t="s">
        <v>535</v>
      </c>
      <c r="G61" s="14" t="s">
        <v>536</v>
      </c>
      <c r="H61" s="14" t="s">
        <v>537</v>
      </c>
      <c r="I61" s="5"/>
      <c r="J61" s="5" t="s">
        <v>520</v>
      </c>
    </row>
    <row r="62" customFormat="false" ht="17.15" hidden="false" customHeight="false" outlineLevel="0" collapsed="false">
      <c r="A62" s="6" t="s">
        <v>538</v>
      </c>
    </row>
    <row r="63" customFormat="false" ht="17.15" hidden="false" customHeight="false" outlineLevel="0" collapsed="false">
      <c r="A63" s="4" t="s">
        <v>539</v>
      </c>
      <c r="B63" s="0" t="s">
        <v>160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540</v>
      </c>
    </row>
    <row r="64" customFormat="false" ht="17.15" hidden="false" customHeight="false" outlineLevel="0" collapsed="false">
      <c r="A64" s="4" t="s">
        <v>541</v>
      </c>
      <c r="B64" s="0" t="s">
        <v>160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542</v>
      </c>
      <c r="B65" s="0" t="s">
        <v>160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543</v>
      </c>
    </row>
    <row r="67" customFormat="false" ht="15" hidden="false" customHeight="false" outlineLevel="0" collapsed="false">
      <c r="A67" s="4" t="s">
        <v>544</v>
      </c>
      <c r="B67" s="0" t="s">
        <v>301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545</v>
      </c>
      <c r="B68" s="0" t="s">
        <v>301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546</v>
      </c>
      <c r="B69" s="0" t="s">
        <v>301</v>
      </c>
      <c r="D69" s="19" t="n">
        <f aca="false">(1+exc_A)^0</f>
        <v>1</v>
      </c>
      <c r="E69" s="19" t="n">
        <f aca="false">(1+exc_A)^1</f>
        <v>1.03</v>
      </c>
      <c r="F69" s="19" t="n">
        <f aca="false">(1+exc_A)^2</f>
        <v>1.0609</v>
      </c>
      <c r="G69" s="19" t="n">
        <f aca="false">(1+exc_A)^3</f>
        <v>1.092727</v>
      </c>
    </row>
    <row r="70" customFormat="false" ht="17.15" hidden="false" customHeight="false" outlineLevel="0" collapsed="false">
      <c r="A70" s="4" t="s">
        <v>547</v>
      </c>
      <c r="B70" s="0" t="s">
        <v>301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548</v>
      </c>
    </row>
    <row r="72" customFormat="false" ht="17.15" hidden="false" customHeight="false" outlineLevel="0" collapsed="false">
      <c r="A72" s="4" t="s">
        <v>549</v>
      </c>
      <c r="B72" s="0" t="s">
        <v>34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126.895938738845</v>
      </c>
      <c r="F72" s="16" t="n">
        <f aca="false">$D72*F67*F69*F70</f>
        <v>148.715730470903</v>
      </c>
      <c r="G72" s="16" t="n">
        <f aca="false">$D72*G67*G69*G70</f>
        <v>162.187626054737</v>
      </c>
      <c r="J72" s="8" t="s">
        <v>550</v>
      </c>
    </row>
    <row r="73" customFormat="false" ht="17.15" hidden="false" customHeight="false" outlineLevel="0" collapsed="false">
      <c r="A73" s="4" t="s">
        <v>551</v>
      </c>
      <c r="B73" s="0" t="s">
        <v>34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48.7843396554535</v>
      </c>
      <c r="F73" s="16" t="n">
        <f aca="false">$D73*F68*F69*F70</f>
        <v>56.061461770453</v>
      </c>
      <c r="G73" s="16" t="n">
        <f aca="false">$D73*G68*G69*G70</f>
        <v>60.9370262140963</v>
      </c>
    </row>
    <row r="74" customFormat="false" ht="17.15" hidden="false" customHeight="false" outlineLevel="0" collapsed="false">
      <c r="A74" s="4" t="s">
        <v>552</v>
      </c>
      <c r="B74" s="0" t="s">
        <v>34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175.680278394298</v>
      </c>
      <c r="F74" s="16" t="n">
        <f aca="false">F72+F73</f>
        <v>204.777192241356</v>
      </c>
      <c r="G74" s="16" t="n">
        <f aca="false">G72+G73</f>
        <v>223.124652268834</v>
      </c>
    </row>
    <row r="75" customFormat="false" ht="15" hidden="false" customHeight="false" outlineLevel="0" collapsed="false">
      <c r="A75" s="4" t="s">
        <v>553</v>
      </c>
      <c r="B75" s="0" t="s">
        <v>34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438</v>
      </c>
      <c r="B76" s="0" t="s">
        <v>34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219.670278394298</v>
      </c>
      <c r="F76" s="16" t="n">
        <f aca="false">F74+F75</f>
        <v>251.406592241356</v>
      </c>
      <c r="G76" s="16" t="n">
        <f aca="false">G74+G75</f>
        <v>272.551816268834</v>
      </c>
      <c r="J76" s="8" t="s">
        <v>554</v>
      </c>
    </row>
    <row r="77" customFormat="false" ht="17.15" hidden="false" customHeight="false" outlineLevel="0" collapsed="false">
      <c r="A77" s="0" t="s">
        <v>555</v>
      </c>
      <c r="B77" s="0" t="s">
        <v>108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0.799745325942366</v>
      </c>
      <c r="F77" s="11" t="n">
        <f aca="false">F74/F76</f>
        <v>0.814525945464331</v>
      </c>
      <c r="G77" s="11" t="n">
        <f aca="false">G74/G76</f>
        <v>0.818650395815939</v>
      </c>
    </row>
    <row r="78" customFormat="false" ht="17.15" hidden="false" customHeight="false" outlineLevel="0" collapsed="false">
      <c r="A78" s="6" t="s">
        <v>556</v>
      </c>
    </row>
    <row r="79" customFormat="false" ht="17.15" hidden="false" customHeight="false" outlineLevel="0" collapsed="false">
      <c r="A79" s="0" t="s">
        <v>455</v>
      </c>
      <c r="B79" s="0" t="s">
        <v>34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46.0886608620245</v>
      </c>
      <c r="F79" s="16" t="n">
        <f aca="false">$D79+v_s*(F74-$D74)+0*F74</f>
        <v>54.8405304818089</v>
      </c>
      <c r="G79" s="16" t="n">
        <f aca="false">$D79+v_s*(G74-$D74)+0*G74</f>
        <v>60.3591424850862</v>
      </c>
      <c r="J79" s="4" t="s">
        <v>557</v>
      </c>
    </row>
    <row r="80" customFormat="false" ht="17.15" hidden="false" customHeight="false" outlineLevel="0" collapsed="false">
      <c r="A80" s="4" t="s">
        <v>460</v>
      </c>
      <c r="B80" s="0" t="s">
        <v>34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558</v>
      </c>
    </row>
    <row r="81" customFormat="false" ht="15" hidden="false" customHeight="false" outlineLevel="0" collapsed="false">
      <c r="A81" s="4" t="s">
        <v>442</v>
      </c>
      <c r="B81" s="0" t="s">
        <v>34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53.0753690197811</v>
      </c>
      <c r="F81" s="16" t="n">
        <f aca="false">F79+F80</f>
        <v>62.4623992867873</v>
      </c>
      <c r="G81" s="16" t="n">
        <f aca="false">G79+G80</f>
        <v>68.6542815761198</v>
      </c>
    </row>
    <row r="82" customFormat="false" ht="17.15" hidden="false" customHeight="false" outlineLevel="0" collapsed="false">
      <c r="A82" s="0" t="s">
        <v>525</v>
      </c>
      <c r="B82" s="0" t="s">
        <v>108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0.262343965317397</v>
      </c>
      <c r="F82" s="11" t="n">
        <f aca="false">F79/F74</f>
        <v>0.267805852212157</v>
      </c>
      <c r="G82" s="11" t="n">
        <f aca="false">G79/G74</f>
        <v>0.270517586789836</v>
      </c>
    </row>
    <row r="83" customFormat="false" ht="15" hidden="false" customHeight="false" outlineLevel="0" collapsed="false">
      <c r="A83" s="4" t="s">
        <v>559</v>
      </c>
      <c r="B83" s="0" t="s">
        <v>108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0.24161379230609</v>
      </c>
      <c r="F83" s="11" t="n">
        <f aca="false">F81/F76</f>
        <v>0.248451716122154</v>
      </c>
      <c r="G83" s="11" t="n">
        <f aca="false">G81/G76</f>
        <v>0.251894419622587</v>
      </c>
    </row>
    <row r="84" customFormat="false" ht="17.15" hidden="false" customHeight="false" outlineLevel="0" collapsed="false">
      <c r="A84" s="4" t="s">
        <v>445</v>
      </c>
      <c r="B84" s="0" t="s">
        <v>34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37.1527583138467</v>
      </c>
      <c r="F84" s="16" t="n">
        <f aca="false">F81*nioi</f>
        <v>43.7236795007511</v>
      </c>
      <c r="G84" s="16" t="n">
        <f aca="false">G81*nioi</f>
        <v>48.0579971032839</v>
      </c>
      <c r="J84" s="8" t="s">
        <v>560</v>
      </c>
    </row>
    <row r="85" customFormat="false" ht="15" hidden="false" customHeight="false" outlineLevel="0" collapsed="false">
      <c r="A85" s="0" t="s">
        <v>526</v>
      </c>
      <c r="B85" s="0" t="s">
        <v>56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915.353196965608</v>
      </c>
      <c r="F85" s="16" t="n">
        <f aca="false">F84*1000/shares</f>
        <v>1077.24464159626</v>
      </c>
      <c r="G85" s="16" t="n">
        <f aca="false">G84*1000/shares</f>
        <v>1184.03163815322</v>
      </c>
    </row>
    <row r="86" customFormat="false" ht="17.15" hidden="false" customHeight="false" outlineLevel="0" collapsed="false">
      <c r="A86" s="4" t="s">
        <v>561</v>
      </c>
      <c r="B86" s="0" t="s">
        <v>34</v>
      </c>
      <c r="C86" s="19" t="n">
        <f aca="false">ABS(C76-a25_rev)+ABS(C81-a25_oi)</f>
        <v>0.00200000000000244</v>
      </c>
    </row>
    <row r="89" customFormat="false" ht="17.15" hidden="false" customHeight="false" outlineLevel="0" collapsed="false">
      <c r="A89" s="1" t="s">
        <v>562</v>
      </c>
    </row>
    <row r="90" customFormat="false" ht="17.15" hidden="false" customHeight="false" outlineLevel="0" collapsed="false">
      <c r="A90" s="5" t="s">
        <v>23</v>
      </c>
      <c r="B90" s="5" t="s">
        <v>24</v>
      </c>
      <c r="C90" s="14" t="s">
        <v>532</v>
      </c>
      <c r="D90" s="14" t="s">
        <v>533</v>
      </c>
      <c r="E90" s="14" t="s">
        <v>534</v>
      </c>
      <c r="F90" s="14" t="s">
        <v>535</v>
      </c>
      <c r="G90" s="14" t="s">
        <v>536</v>
      </c>
      <c r="H90" s="14" t="s">
        <v>537</v>
      </c>
      <c r="I90" s="5"/>
      <c r="J90" s="5" t="s">
        <v>520</v>
      </c>
    </row>
    <row r="91" customFormat="false" ht="17.15" hidden="false" customHeight="false" outlineLevel="0" collapsed="false">
      <c r="A91" s="6" t="s">
        <v>563</v>
      </c>
    </row>
    <row r="92" customFormat="false" ht="17.15" hidden="false" customHeight="false" outlineLevel="0" collapsed="false">
      <c r="A92" s="4" t="s">
        <v>539</v>
      </c>
      <c r="B92" s="0" t="s">
        <v>160</v>
      </c>
      <c r="C92" s="16" t="n">
        <f aca="false">tstB_25</f>
        <v>14.7359586560428</v>
      </c>
      <c r="D92" s="16" t="n">
        <f aca="false">tstB_26</f>
        <v>18.65</v>
      </c>
      <c r="E92" s="16" t="n">
        <f aca="false">tstB_27</f>
        <v>21.6346744396519</v>
      </c>
      <c r="F92" s="16" t="n">
        <f aca="false">tstB_28</f>
        <v>21.6346744396519</v>
      </c>
      <c r="G92" s="16" t="n">
        <f aca="false">tstB_29</f>
        <v>20.5529407176693</v>
      </c>
      <c r="H92" s="16" t="n">
        <f aca="false">G92*(1+g_tail)</f>
        <v>20.5529407176693</v>
      </c>
      <c r="J92" s="8" t="s">
        <v>540</v>
      </c>
    </row>
    <row r="93" customFormat="false" ht="17.15" hidden="false" customHeight="false" outlineLevel="0" collapsed="false">
      <c r="A93" s="4" t="s">
        <v>541</v>
      </c>
      <c r="B93" s="0" t="s">
        <v>160</v>
      </c>
      <c r="C93" s="16" t="n">
        <f aca="false">apkB_25</f>
        <v>3.05656934306569</v>
      </c>
      <c r="D93" s="16" t="n">
        <f aca="false">apkB_26</f>
        <v>3.35</v>
      </c>
      <c r="E93" s="16" t="n">
        <f aca="false">apkB_27</f>
        <v>3.79539194286967</v>
      </c>
      <c r="F93" s="16" t="n">
        <f aca="false">apkB_28</f>
        <v>3.79539194286967</v>
      </c>
      <c r="G93" s="16" t="n">
        <f aca="false">apkB_29</f>
        <v>3.60562234572619</v>
      </c>
      <c r="H93" s="16" t="n">
        <f aca="false">G93*(1+g_tail)</f>
        <v>3.60562234572619</v>
      </c>
    </row>
    <row r="94" customFormat="false" ht="15" hidden="false" customHeight="false" outlineLevel="0" collapsed="false">
      <c r="A94" s="4" t="s">
        <v>542</v>
      </c>
      <c r="B94" s="0" t="s">
        <v>160</v>
      </c>
      <c r="C94" s="16" t="n">
        <f aca="false">wfeB_25</f>
        <v>116.896831844029</v>
      </c>
      <c r="D94" s="16" t="n">
        <f aca="false">wfeB_26</f>
        <v>156.157050570127</v>
      </c>
      <c r="E94" s="16" t="n">
        <f aca="false">wfeB_27</f>
        <v>192.795469377561</v>
      </c>
      <c r="F94" s="16" t="n">
        <f aca="false">wfeB_28</f>
        <v>192.795469377561</v>
      </c>
      <c r="G94" s="16" t="n">
        <f aca="false">wfeB_29</f>
        <v>183.155695908683</v>
      </c>
      <c r="H94" s="16" t="n">
        <f aca="false">G94*(1+g_tail)</f>
        <v>183.155695908683</v>
      </c>
    </row>
    <row r="95" customFormat="false" ht="17.15" hidden="false" customHeight="false" outlineLevel="0" collapsed="false">
      <c r="A95" s="6" t="s">
        <v>543</v>
      </c>
    </row>
    <row r="96" customFormat="false" ht="15" hidden="false" customHeight="false" outlineLevel="0" collapsed="false">
      <c r="A96" s="4" t="s">
        <v>544</v>
      </c>
      <c r="B96" s="0" t="s">
        <v>301</v>
      </c>
      <c r="C96" s="19" t="n">
        <f aca="false">(0.75*C92+0.25*D92)/(0.75*D92+0.25*E92)</f>
        <v>0.810184181632695</v>
      </c>
      <c r="D96" s="19" t="n">
        <f aca="false">(0.75*D92+0.25*E92)/(0.75*D92+0.25*E92)</f>
        <v>1</v>
      </c>
      <c r="E96" s="19" t="n">
        <f aca="false">(0.75*E92+0.25*F92)/(0.75*D92+0.25*E92)</f>
        <v>1.1154096912003</v>
      </c>
      <c r="F96" s="19" t="n">
        <f aca="false">(0.75*F92+0.25*G92)/(0.75*D92+0.25*E92)</f>
        <v>1.10146707006029</v>
      </c>
      <c r="G96" s="19" t="n">
        <f aca="false">(0.75*G92+0.25*H92)/(0.75*D92+0.25*E92)</f>
        <v>1.05963920664028</v>
      </c>
    </row>
    <row r="97" customFormat="false" ht="17.15" hidden="false" customHeight="false" outlineLevel="0" collapsed="false">
      <c r="A97" s="4" t="s">
        <v>545</v>
      </c>
      <c r="B97" s="0" t="s">
        <v>301</v>
      </c>
      <c r="C97" s="19" t="n">
        <f aca="false">w_cmp*(0.75*C94+0.25*D94)/(0.75*D94+0.25*E94)+(1-w_cmp)*(0.75*C93+0.25*D93)/(0.75*D93+0.25*E93)</f>
        <v>0.876696686135123</v>
      </c>
      <c r="D97" s="19" t="n">
        <f aca="false">w_cmp*(0.75*D94+0.25*E94)/(0.75*D94+0.25*E94)+(1-w_cmp)*(0.75*D93+0.25*E93)/(0.75*D93+0.25*E93)</f>
        <v>1</v>
      </c>
      <c r="E97" s="19" t="n">
        <f aca="false">w_cmp*(0.75*E94+0.25*F94)/(0.75*D94+0.25*E94)+(1-w_cmp)*(0.75*E93+0.25*F93)/(0.75*D93+0.25*E93)</f>
        <v>1.11044937285547</v>
      </c>
      <c r="F97" s="19" t="n">
        <f aca="false">w_cmp*(0.75*F94+0.25*G94)/(0.75*D94+0.25*E94)+(1-w_cmp)*(0.75*F93+0.25*G93)/(0.75*D93+0.25*E93)</f>
        <v>1.09656875569478</v>
      </c>
      <c r="G97" s="19" t="n">
        <f aca="false">w_cmp*(0.75*G94+0.25*H94)/(0.75*D94+0.25*E94)+(1-w_cmp)*(0.75*G93+0.25*H93)/(0.75*D93+0.25*E93)</f>
        <v>1.0549269042127</v>
      </c>
    </row>
    <row r="98" customFormat="false" ht="17.15" hidden="false" customHeight="false" outlineLevel="0" collapsed="false">
      <c r="A98" s="4" t="s">
        <v>546</v>
      </c>
      <c r="B98" s="0" t="s">
        <v>301</v>
      </c>
      <c r="D98" s="19" t="n">
        <f aca="false">(1+exc_B)^0</f>
        <v>1</v>
      </c>
      <c r="E98" s="19" t="n">
        <f aca="false">(1+exc_B)^1</f>
        <v>1</v>
      </c>
      <c r="F98" s="19" t="n">
        <f aca="false">(1+exc_B)^2</f>
        <v>1</v>
      </c>
      <c r="G98" s="19" t="n">
        <f aca="false">(1+exc_B)^3</f>
        <v>1</v>
      </c>
    </row>
    <row r="99" customFormat="false" ht="17.15" hidden="false" customHeight="false" outlineLevel="0" collapsed="false">
      <c r="A99" s="4" t="s">
        <v>547</v>
      </c>
      <c r="B99" s="0" t="s">
        <v>301</v>
      </c>
      <c r="D99" s="19" t="n">
        <f aca="false">1</f>
        <v>1</v>
      </c>
      <c r="E99" s="19" t="n">
        <f aca="false">1+chn*chh_B*0.5</f>
        <v>0.98875</v>
      </c>
      <c r="F99" s="19" t="n">
        <f aca="false">1+chn*chh_B</f>
        <v>0.9775</v>
      </c>
      <c r="G99" s="19" t="n">
        <f aca="false">1+chn*chh_B</f>
        <v>0.9775</v>
      </c>
    </row>
    <row r="100" customFormat="false" ht="17.15" hidden="false" customHeight="false" outlineLevel="0" collapsed="false">
      <c r="A100" s="6" t="s">
        <v>548</v>
      </c>
    </row>
    <row r="101" customFormat="false" ht="17.15" hidden="false" customHeight="false" outlineLevel="0" collapsed="false">
      <c r="A101" s="4" t="s">
        <v>549</v>
      </c>
      <c r="B101" s="0" t="s">
        <v>34</v>
      </c>
      <c r="C101" s="16" t="n">
        <f aca="false">spe_25*w_pr</f>
        <v>92.07216</v>
      </c>
      <c r="D101" s="16" t="n">
        <f aca="false">g26_spe*(1+g_anc)*w_pr</f>
        <v>106.2</v>
      </c>
      <c r="E101" s="16" t="n">
        <f aca="false">$D101*E96*E98*E99</f>
        <v>117.12387347691</v>
      </c>
      <c r="F101" s="16" t="n">
        <f aca="false">$D101*F96*F98*F99</f>
        <v>114.343847276494</v>
      </c>
      <c r="G101" s="16" t="n">
        <f aca="false">$D101*G96*G98*G99</f>
        <v>110.001675860931</v>
      </c>
      <c r="J101" s="8" t="s">
        <v>550</v>
      </c>
    </row>
    <row r="102" customFormat="false" ht="17.15" hidden="false" customHeight="false" outlineLevel="0" collapsed="false">
      <c r="A102" s="4" t="s">
        <v>551</v>
      </c>
      <c r="B102" s="0" t="s">
        <v>34</v>
      </c>
      <c r="C102" s="16" t="n">
        <f aca="false">spe_25*(1-w_pr)</f>
        <v>35.80584</v>
      </c>
      <c r="D102" s="16" t="n">
        <f aca="false">g26_spe*(1+g_anc)*(1-w_pr)</f>
        <v>41.3</v>
      </c>
      <c r="E102" s="16" t="n">
        <f aca="false">$D102*E97*E98*E99</f>
        <v>45.345616559068</v>
      </c>
      <c r="F102" s="16" t="n">
        <f aca="false">$D102*F97*F98*F99</f>
        <v>44.269303093965</v>
      </c>
      <c r="G102" s="16" t="n">
        <f aca="false">$D102*G97*G98*G99</f>
        <v>42.5881903182448</v>
      </c>
    </row>
    <row r="103" customFormat="false" ht="17.15" hidden="false" customHeight="false" outlineLevel="0" collapsed="false">
      <c r="A103" s="4" t="s">
        <v>552</v>
      </c>
      <c r="B103" s="0" t="s">
        <v>34</v>
      </c>
      <c r="C103" s="16" t="n">
        <f aca="false">C101+C102</f>
        <v>127.878</v>
      </c>
      <c r="D103" s="16" t="n">
        <f aca="false">D101+D102</f>
        <v>147.5</v>
      </c>
      <c r="E103" s="16" t="n">
        <f aca="false">E101+E102</f>
        <v>162.469490035978</v>
      </c>
      <c r="F103" s="16" t="n">
        <f aca="false">F101+F102</f>
        <v>158.613150370459</v>
      </c>
      <c r="G103" s="16" t="n">
        <f aca="false">G101+G102</f>
        <v>152.589866179176</v>
      </c>
    </row>
    <row r="104" customFormat="false" ht="15" hidden="false" customHeight="false" outlineLevel="0" collapsed="false">
      <c r="A104" s="4" t="s">
        <v>553</v>
      </c>
      <c r="B104" s="0" t="s">
        <v>34</v>
      </c>
      <c r="C104" s="16" t="n">
        <f aca="false">met_25</f>
        <v>38.96</v>
      </c>
      <c r="D104" s="16" t="n">
        <f aca="false">g26_met*(1+g_anc)</f>
        <v>41.5</v>
      </c>
      <c r="E104" s="16" t="n">
        <f aca="false">D104*(1+gmet_B)</f>
        <v>43.16</v>
      </c>
      <c r="F104" s="16" t="n">
        <f aca="false">E104*(1+gmet_B)</f>
        <v>44.8864</v>
      </c>
      <c r="G104" s="16" t="n">
        <f aca="false">F104*(1+gmet_B)</f>
        <v>46.681856</v>
      </c>
    </row>
    <row r="105" customFormat="false" ht="17.15" hidden="false" customHeight="false" outlineLevel="0" collapsed="false">
      <c r="A105" s="4" t="s">
        <v>438</v>
      </c>
      <c r="B105" s="0" t="s">
        <v>34</v>
      </c>
      <c r="C105" s="16" t="n">
        <f aca="false">C103+C104</f>
        <v>166.838</v>
      </c>
      <c r="D105" s="16" t="n">
        <f aca="false">D103+D104</f>
        <v>189</v>
      </c>
      <c r="E105" s="16" t="n">
        <f aca="false">E103+E104</f>
        <v>205.629490035978</v>
      </c>
      <c r="F105" s="16" t="n">
        <f aca="false">F103+F104</f>
        <v>203.499550370459</v>
      </c>
      <c r="G105" s="16" t="n">
        <f aca="false">G103+G104</f>
        <v>199.271722179176</v>
      </c>
      <c r="J105" s="8" t="s">
        <v>554</v>
      </c>
    </row>
    <row r="106" customFormat="false" ht="17.15" hidden="false" customHeight="false" outlineLevel="0" collapsed="false">
      <c r="A106" s="0" t="s">
        <v>555</v>
      </c>
      <c r="B106" s="0" t="s">
        <v>108</v>
      </c>
      <c r="C106" s="11" t="n">
        <f aca="false">C103/C105</f>
        <v>0.766480058499862</v>
      </c>
      <c r="D106" s="11" t="n">
        <f aca="false">D103/D105</f>
        <v>0.780423280423281</v>
      </c>
      <c r="E106" s="11" t="n">
        <f aca="false">E103/E105</f>
        <v>0.790107926677013</v>
      </c>
      <c r="F106" s="11" t="n">
        <f aca="false">F103/F105</f>
        <v>0.779427522477141</v>
      </c>
      <c r="G106" s="11" t="n">
        <f aca="false">G103/G105</f>
        <v>0.765737679739497</v>
      </c>
    </row>
    <row r="107" customFormat="false" ht="17.15" hidden="false" customHeight="false" outlineLevel="0" collapsed="false">
      <c r="A107" s="6" t="s">
        <v>556</v>
      </c>
    </row>
    <row r="108" customFormat="false" ht="17.15" hidden="false" customHeight="false" outlineLevel="0" collapsed="false">
      <c r="A108" s="0" t="s">
        <v>455</v>
      </c>
      <c r="B108" s="0" t="s">
        <v>34</v>
      </c>
      <c r="C108" s="16" t="n">
        <f aca="false">spe_op25</f>
        <v>28.404</v>
      </c>
      <c r="D108" s="16" t="n">
        <f aca="false">g26_spe*m_spe26+v_s*(D103-g26_spe)</f>
        <v>37.6125</v>
      </c>
      <c r="E108" s="16" t="n">
        <f aca="false">$D108+v_s*(E103-$D103)</f>
        <v>42.1150745946177</v>
      </c>
      <c r="F108" s="16" t="n">
        <f aca="false">$D108+v_s*(F103-$D103)+0*F103</f>
        <v>40.9551515134405</v>
      </c>
      <c r="G108" s="16" t="n">
        <f aca="false">$D108+v_s*(G103-$D103)+0*G103</f>
        <v>39.1434474199375</v>
      </c>
      <c r="J108" s="4" t="s">
        <v>557</v>
      </c>
    </row>
    <row r="109" customFormat="false" ht="17.15" hidden="false" customHeight="false" outlineLevel="0" collapsed="false">
      <c r="A109" s="4" t="s">
        <v>460</v>
      </c>
      <c r="B109" s="0" t="s">
        <v>34</v>
      </c>
      <c r="C109" s="16" t="n">
        <f aca="false">met_op25</f>
        <v>5.333</v>
      </c>
      <c r="D109" s="16" t="n">
        <f aca="false">(g26_oi-g26_spe*m_spe26)+v_m*(D104-g26_met)</f>
        <v>6.3875</v>
      </c>
      <c r="E109" s="16" t="n">
        <f aca="false">$D109+v_m*(E104-$D104)</f>
        <v>6.78697210517101</v>
      </c>
      <c r="F109" s="16" t="n">
        <f aca="false">$D109+v_m*(F104-$D104)</f>
        <v>7.20242309454886</v>
      </c>
      <c r="G109" s="16" t="n">
        <f aca="false">$D109+v_m*(G104-$D104)</f>
        <v>7.63449212350183</v>
      </c>
      <c r="J109" s="8" t="s">
        <v>558</v>
      </c>
    </row>
    <row r="110" customFormat="false" ht="15" hidden="false" customHeight="false" outlineLevel="0" collapsed="false">
      <c r="A110" s="4" t="s">
        <v>442</v>
      </c>
      <c r="B110" s="0" t="s">
        <v>34</v>
      </c>
      <c r="C110" s="16" t="n">
        <f aca="false">C108+C109</f>
        <v>33.737</v>
      </c>
      <c r="D110" s="16" t="n">
        <f aca="false">D108+D109</f>
        <v>44</v>
      </c>
      <c r="E110" s="16" t="n">
        <f aca="false">E108+E109</f>
        <v>48.9020466997887</v>
      </c>
      <c r="F110" s="16" t="n">
        <f aca="false">F108+F109</f>
        <v>48.1575746079894</v>
      </c>
      <c r="G110" s="16" t="n">
        <f aca="false">G108+G109</f>
        <v>46.7779395434393</v>
      </c>
    </row>
    <row r="111" customFormat="false" ht="17.15" hidden="false" customHeight="false" outlineLevel="0" collapsed="false">
      <c r="A111" s="0" t="s">
        <v>525</v>
      </c>
      <c r="B111" s="0" t="s">
        <v>108</v>
      </c>
      <c r="C111" s="11" t="n">
        <f aca="false">C108/C103</f>
        <v>0.222117956176981</v>
      </c>
      <c r="D111" s="11" t="n">
        <f aca="false">D108/D103</f>
        <v>0.255</v>
      </c>
      <c r="E111" s="11" t="n">
        <f aca="false">E108/E103</f>
        <v>0.259218358999536</v>
      </c>
      <c r="F111" s="11" t="n">
        <f aca="false">F108/F103</f>
        <v>0.258207793097768</v>
      </c>
      <c r="G111" s="11" t="n">
        <f aca="false">G108/G103</f>
        <v>0.25652717575605</v>
      </c>
    </row>
    <row r="112" customFormat="false" ht="15" hidden="false" customHeight="false" outlineLevel="0" collapsed="false">
      <c r="A112" s="4" t="s">
        <v>559</v>
      </c>
      <c r="B112" s="0" t="s">
        <v>108</v>
      </c>
      <c r="C112" s="11" t="n">
        <f aca="false">C110/C105</f>
        <v>0.202214123880651</v>
      </c>
      <c r="D112" s="11" t="n">
        <f aca="false">D110/D105</f>
        <v>0.232804232804233</v>
      </c>
      <c r="E112" s="11" t="n">
        <f aca="false">E110/E105</f>
        <v>0.237816310740413</v>
      </c>
      <c r="F112" s="11" t="n">
        <f aca="false">F110/F105</f>
        <v>0.236647081137631</v>
      </c>
      <c r="G112" s="11" t="n">
        <f aca="false">G110/G105</f>
        <v>0.234744493759023</v>
      </c>
    </row>
    <row r="113" customFormat="false" ht="17.15" hidden="false" customHeight="false" outlineLevel="0" collapsed="false">
      <c r="A113" s="4" t="s">
        <v>445</v>
      </c>
      <c r="B113" s="0" t="s">
        <v>34</v>
      </c>
      <c r="C113" s="16" t="n">
        <f aca="false">a25_ni</f>
        <v>24.739</v>
      </c>
      <c r="D113" s="16" t="n">
        <f aca="false">D110*g26_ni/g26_oi</f>
        <v>30.8</v>
      </c>
      <c r="E113" s="16" t="n">
        <f aca="false">E110*nioi</f>
        <v>34.2314326898521</v>
      </c>
      <c r="F113" s="16" t="n">
        <f aca="false">F110*nioi</f>
        <v>33.7103022255926</v>
      </c>
      <c r="G113" s="16" t="n">
        <f aca="false">G110*nioi</f>
        <v>32.7445576804075</v>
      </c>
      <c r="J113" s="8" t="s">
        <v>560</v>
      </c>
    </row>
    <row r="114" customFormat="false" ht="15" hidden="false" customHeight="false" outlineLevel="0" collapsed="false">
      <c r="A114" s="0" t="s">
        <v>526</v>
      </c>
      <c r="B114" s="0" t="s">
        <v>56</v>
      </c>
      <c r="C114" s="16" t="n">
        <f aca="false">a25_eps</f>
        <v>610.02</v>
      </c>
      <c r="D114" s="16" t="n">
        <f aca="false">D113*1000/shares</f>
        <v>758.83675253348</v>
      </c>
      <c r="E114" s="16" t="n">
        <f aca="false">E113*1000/shares</f>
        <v>843.378870679733</v>
      </c>
      <c r="F114" s="16" t="n">
        <f aca="false">F113*1000/shares</f>
        <v>830.539489213988</v>
      </c>
      <c r="G114" s="16" t="n">
        <f aca="false">G113*1000/shares</f>
        <v>806.745903030704</v>
      </c>
    </row>
    <row r="115" customFormat="false" ht="17.15" hidden="false" customHeight="false" outlineLevel="0" collapsed="false">
      <c r="A115" s="4" t="s">
        <v>561</v>
      </c>
      <c r="B115" s="0" t="s">
        <v>34</v>
      </c>
      <c r="C115" s="19" t="n">
        <f aca="false">ABS(C105-a25_rev)+ABS(C110-a25_oi)</f>
        <v>0.00200000000000244</v>
      </c>
    </row>
    <row r="118" customFormat="false" ht="17.15" hidden="false" customHeight="false" outlineLevel="0" collapsed="false">
      <c r="A118" s="1" t="s">
        <v>564</v>
      </c>
    </row>
    <row r="119" customFormat="false" ht="17.15" hidden="false" customHeight="false" outlineLevel="0" collapsed="false">
      <c r="A119" s="5" t="s">
        <v>23</v>
      </c>
      <c r="B119" s="5" t="s">
        <v>24</v>
      </c>
      <c r="C119" s="14" t="s">
        <v>532</v>
      </c>
      <c r="D119" s="14" t="s">
        <v>533</v>
      </c>
      <c r="E119" s="14" t="s">
        <v>534</v>
      </c>
      <c r="F119" s="14" t="s">
        <v>535</v>
      </c>
      <c r="G119" s="14" t="s">
        <v>536</v>
      </c>
      <c r="H119" s="14" t="s">
        <v>537</v>
      </c>
      <c r="I119" s="5"/>
      <c r="J119" s="5" t="s">
        <v>520</v>
      </c>
    </row>
    <row r="120" customFormat="false" ht="17.15" hidden="false" customHeight="false" outlineLevel="0" collapsed="false">
      <c r="A120" s="6" t="s">
        <v>565</v>
      </c>
    </row>
    <row r="121" customFormat="false" ht="17.15" hidden="false" customHeight="false" outlineLevel="0" collapsed="false">
      <c r="A121" s="4" t="s">
        <v>539</v>
      </c>
      <c r="B121" s="0" t="s">
        <v>160</v>
      </c>
      <c r="C121" s="16" t="n">
        <f aca="false">tstC_25</f>
        <v>14.7359586560428</v>
      </c>
      <c r="D121" s="16" t="n">
        <f aca="false">tstC_26</f>
        <v>18.65</v>
      </c>
      <c r="E121" s="16" t="n">
        <f aca="false">tstC_27</f>
        <v>21.6346744396519</v>
      </c>
      <c r="F121" s="16" t="n">
        <f aca="false">tstC_28</f>
        <v>17.3077395517215</v>
      </c>
      <c r="G121" s="16" t="n">
        <f aca="false">tstC_29</f>
        <v>17.3077395517215</v>
      </c>
      <c r="H121" s="16" t="n">
        <f aca="false">G121*(1+g_tail)</f>
        <v>17.3077395517215</v>
      </c>
      <c r="J121" s="8" t="s">
        <v>540</v>
      </c>
    </row>
    <row r="122" customFormat="false" ht="17.15" hidden="false" customHeight="false" outlineLevel="0" collapsed="false">
      <c r="A122" s="4" t="s">
        <v>541</v>
      </c>
      <c r="B122" s="0" t="s">
        <v>160</v>
      </c>
      <c r="C122" s="16" t="n">
        <f aca="false">apkC_25</f>
        <v>3.05656934306569</v>
      </c>
      <c r="D122" s="16" t="n">
        <f aca="false">apkC_26</f>
        <v>3.35</v>
      </c>
      <c r="E122" s="16" t="n">
        <f aca="false">apkC_27</f>
        <v>3.79539194286967</v>
      </c>
      <c r="F122" s="16" t="n">
        <f aca="false">apkC_28</f>
        <v>3.03631355429574</v>
      </c>
      <c r="G122" s="16" t="n">
        <f aca="false">apkC_29</f>
        <v>3.03631355429574</v>
      </c>
      <c r="H122" s="16" t="n">
        <f aca="false">G122*(1+g_tail)</f>
        <v>3.03631355429574</v>
      </c>
    </row>
    <row r="123" customFormat="false" ht="15" hidden="false" customHeight="false" outlineLevel="0" collapsed="false">
      <c r="A123" s="4" t="s">
        <v>542</v>
      </c>
      <c r="B123" s="0" t="s">
        <v>160</v>
      </c>
      <c r="C123" s="16" t="n">
        <f aca="false">wfeC_25</f>
        <v>116.896831844029</v>
      </c>
      <c r="D123" s="16" t="n">
        <f aca="false">wfeC_26</f>
        <v>156.157050570127</v>
      </c>
      <c r="E123" s="16" t="n">
        <f aca="false">wfeC_27</f>
        <v>192.795469377561</v>
      </c>
      <c r="F123" s="16" t="n">
        <f aca="false">wfeC_28</f>
        <v>154.236375502049</v>
      </c>
      <c r="G123" s="16" t="n">
        <f aca="false">wfeC_29</f>
        <v>154.236375502049</v>
      </c>
      <c r="H123" s="16" t="n">
        <f aca="false">G123*(1+g_tail)</f>
        <v>154.236375502049</v>
      </c>
    </row>
    <row r="124" customFormat="false" ht="17.15" hidden="false" customHeight="false" outlineLevel="0" collapsed="false">
      <c r="A124" s="6" t="s">
        <v>543</v>
      </c>
    </row>
    <row r="125" customFormat="false" ht="15" hidden="false" customHeight="false" outlineLevel="0" collapsed="false">
      <c r="A125" s="4" t="s">
        <v>544</v>
      </c>
      <c r="B125" s="0" t="s">
        <v>301</v>
      </c>
      <c r="C125" s="19" t="n">
        <f aca="false">(0.75*C121+0.25*D121)/(0.75*D121+0.25*E121)</f>
        <v>0.810184181632695</v>
      </c>
      <c r="D125" s="19" t="n">
        <f aca="false">(0.75*D121+0.25*E121)/(0.75*D121+0.25*E121)</f>
        <v>1</v>
      </c>
      <c r="E125" s="19" t="n">
        <f aca="false">(0.75*E121+0.25*F121)/(0.75*D121+0.25*E121)</f>
        <v>1.05963920664028</v>
      </c>
      <c r="F125" s="19" t="n">
        <f aca="false">(0.75*F121+0.25*G121)/(0.75*D121+0.25*E121)</f>
        <v>0.892327752960236</v>
      </c>
      <c r="G125" s="19" t="n">
        <f aca="false">(0.75*G121+0.25*H121)/(0.75*D121+0.25*E121)</f>
        <v>0.892327752960236</v>
      </c>
    </row>
    <row r="126" customFormat="false" ht="17.15" hidden="false" customHeight="false" outlineLevel="0" collapsed="false">
      <c r="A126" s="4" t="s">
        <v>545</v>
      </c>
      <c r="B126" s="0" t="s">
        <v>301</v>
      </c>
      <c r="C126" s="19" t="n">
        <f aca="false">w_cmp*(0.75*C123+0.25*D123)/(0.75*D123+0.25*E123)+(1-w_cmp)*(0.75*C122+0.25*D122)/(0.75*D122+0.25*E122)</f>
        <v>0.876696686135123</v>
      </c>
      <c r="D126" s="19" t="n">
        <f aca="false">w_cmp*(0.75*D123+0.25*E123)/(0.75*D123+0.25*E123)+(1-w_cmp)*(0.75*D122+0.25*E122)/(0.75*D122+0.25*E122)</f>
        <v>1</v>
      </c>
      <c r="E126" s="19" t="n">
        <f aca="false">w_cmp*(0.75*E123+0.25*F123)/(0.75*D123+0.25*E123)+(1-w_cmp)*(0.75*E122+0.25*F122)/(0.75*D122+0.25*E122)</f>
        <v>1.0549269042127</v>
      </c>
      <c r="F126" s="19" t="n">
        <f aca="false">w_cmp*(0.75*F123+0.25*G123)/(0.75*D123+0.25*E123)+(1-w_cmp)*(0.75*F122+0.25*G122)/(0.75*D122+0.25*E122)</f>
        <v>0.888359498284378</v>
      </c>
      <c r="G126" s="19" t="n">
        <f aca="false">w_cmp*(0.75*G123+0.25*H123)/(0.75*D123+0.25*E123)+(1-w_cmp)*(0.75*G122+0.25*H122)/(0.75*D122+0.25*E122)</f>
        <v>0.888359498284378</v>
      </c>
    </row>
    <row r="127" customFormat="false" ht="17.15" hidden="false" customHeight="false" outlineLevel="0" collapsed="false">
      <c r="A127" s="4" t="s">
        <v>546</v>
      </c>
      <c r="B127" s="0" t="s">
        <v>301</v>
      </c>
      <c r="D127" s="19" t="n">
        <f aca="false">(1+exc_C)^0</f>
        <v>1</v>
      </c>
      <c r="E127" s="19" t="n">
        <f aca="false">(1+exc_C)^1</f>
        <v>0.97</v>
      </c>
      <c r="F127" s="19" t="n">
        <f aca="false">(1+exc_C)^2</f>
        <v>0.9409</v>
      </c>
      <c r="G127" s="19" t="n">
        <f aca="false">(1+exc_C)^3</f>
        <v>0.912673</v>
      </c>
    </row>
    <row r="128" customFormat="false" ht="17.15" hidden="false" customHeight="false" outlineLevel="0" collapsed="false">
      <c r="A128" s="4" t="s">
        <v>547</v>
      </c>
      <c r="B128" s="0" t="s">
        <v>301</v>
      </c>
      <c r="D128" s="19" t="n">
        <f aca="false">1</f>
        <v>1</v>
      </c>
      <c r="E128" s="19" t="n">
        <f aca="false">1+chn*chh_C*0.5</f>
        <v>0.955</v>
      </c>
      <c r="F128" s="19" t="n">
        <f aca="false">1+chn*chh_C</f>
        <v>0.91</v>
      </c>
      <c r="G128" s="19" t="n">
        <f aca="false">1+chn*chh_C</f>
        <v>0.91</v>
      </c>
    </row>
    <row r="129" customFormat="false" ht="17.15" hidden="false" customHeight="false" outlineLevel="0" collapsed="false">
      <c r="A129" s="6" t="s">
        <v>548</v>
      </c>
    </row>
    <row r="130" customFormat="false" ht="17.15" hidden="false" customHeight="false" outlineLevel="0" collapsed="false">
      <c r="A130" s="4" t="s">
        <v>549</v>
      </c>
      <c r="B130" s="0" t="s">
        <v>34</v>
      </c>
      <c r="C130" s="16" t="n">
        <f aca="false">spe_25*w_pr</f>
        <v>92.07216</v>
      </c>
      <c r="D130" s="16" t="n">
        <f aca="false">g26_spe*(1+g_anc)*w_pr</f>
        <v>106.2</v>
      </c>
      <c r="E130" s="16" t="n">
        <f aca="false">$D130*E125*E127*E128</f>
        <v>104.245577937364</v>
      </c>
      <c r="F130" s="16" t="n">
        <f aca="false">$D130*F125*F127*F128</f>
        <v>81.1397710843195</v>
      </c>
      <c r="G130" s="16" t="n">
        <f aca="false">$D130*G125*G127*G128</f>
        <v>78.7055779517899</v>
      </c>
      <c r="J130" s="8" t="s">
        <v>550</v>
      </c>
    </row>
    <row r="131" customFormat="false" ht="17.15" hidden="false" customHeight="false" outlineLevel="0" collapsed="false">
      <c r="A131" s="4" t="s">
        <v>551</v>
      </c>
      <c r="B131" s="0" t="s">
        <v>34</v>
      </c>
      <c r="C131" s="16" t="n">
        <f aca="false">spe_25*(1-w_pr)</f>
        <v>35.80584</v>
      </c>
      <c r="D131" s="16" t="n">
        <f aca="false">g26_spe*(1+g_anc)*(1-w_pr)</f>
        <v>41.3</v>
      </c>
      <c r="E131" s="16" t="n">
        <f aca="false">$D131*E126*E127*E128</f>
        <v>40.35966250773</v>
      </c>
      <c r="F131" s="16" t="n">
        <f aca="false">$D131*F126*F127*F128</f>
        <v>31.4140306161021</v>
      </c>
      <c r="G131" s="16" t="n">
        <f aca="false">$D131*G126*G127*G128</f>
        <v>30.471609697619</v>
      </c>
    </row>
    <row r="132" customFormat="false" ht="17.15" hidden="false" customHeight="false" outlineLevel="0" collapsed="false">
      <c r="A132" s="4" t="s">
        <v>552</v>
      </c>
      <c r="B132" s="0" t="s">
        <v>34</v>
      </c>
      <c r="C132" s="16" t="n">
        <f aca="false">C130+C131</f>
        <v>127.878</v>
      </c>
      <c r="D132" s="16" t="n">
        <f aca="false">D130+D131</f>
        <v>147.5</v>
      </c>
      <c r="E132" s="16" t="n">
        <f aca="false">E130+E131</f>
        <v>144.605240445094</v>
      </c>
      <c r="F132" s="16" t="n">
        <f aca="false">F130+F131</f>
        <v>112.553801700422</v>
      </c>
      <c r="G132" s="16" t="n">
        <f aca="false">G130+G131</f>
        <v>109.177187649409</v>
      </c>
    </row>
    <row r="133" customFormat="false" ht="15" hidden="false" customHeight="false" outlineLevel="0" collapsed="false">
      <c r="A133" s="4" t="s">
        <v>553</v>
      </c>
      <c r="B133" s="0" t="s">
        <v>34</v>
      </c>
      <c r="C133" s="16" t="n">
        <f aca="false">met_25</f>
        <v>38.96</v>
      </c>
      <c r="D133" s="16" t="n">
        <f aca="false">g26_met*(1+g_anc)</f>
        <v>41.5</v>
      </c>
      <c r="E133" s="16" t="n">
        <f aca="false">D133*(1+gmet_C)</f>
        <v>41.915</v>
      </c>
      <c r="F133" s="16" t="n">
        <f aca="false">E133*(1+gmet_C)</f>
        <v>42.33415</v>
      </c>
      <c r="G133" s="16" t="n">
        <f aca="false">F133*(1+gmet_C)</f>
        <v>42.7574915</v>
      </c>
    </row>
    <row r="134" customFormat="false" ht="17.15" hidden="false" customHeight="false" outlineLevel="0" collapsed="false">
      <c r="A134" s="4" t="s">
        <v>438</v>
      </c>
      <c r="B134" s="0" t="s">
        <v>34</v>
      </c>
      <c r="C134" s="16" t="n">
        <f aca="false">C132+C133</f>
        <v>166.838</v>
      </c>
      <c r="D134" s="16" t="n">
        <f aca="false">D132+D133</f>
        <v>189</v>
      </c>
      <c r="E134" s="16" t="n">
        <f aca="false">E132+E133</f>
        <v>186.520240445094</v>
      </c>
      <c r="F134" s="16" t="n">
        <f aca="false">F132+F133</f>
        <v>154.887951700422</v>
      </c>
      <c r="G134" s="16" t="n">
        <f aca="false">G132+G133</f>
        <v>151.934679149409</v>
      </c>
      <c r="J134" s="8" t="s">
        <v>554</v>
      </c>
    </row>
    <row r="135" customFormat="false" ht="17.15" hidden="false" customHeight="false" outlineLevel="0" collapsed="false">
      <c r="A135" s="0" t="s">
        <v>555</v>
      </c>
      <c r="B135" s="0" t="s">
        <v>108</v>
      </c>
      <c r="C135" s="11" t="n">
        <f aca="false">C132/C134</f>
        <v>0.766480058499862</v>
      </c>
      <c r="D135" s="11" t="n">
        <f aca="false">D132/D134</f>
        <v>0.780423280423281</v>
      </c>
      <c r="E135" s="11" t="n">
        <f aca="false">E132/E134</f>
        <v>0.775279080168575</v>
      </c>
      <c r="F135" s="11" t="n">
        <f aca="false">F132/F134</f>
        <v>0.726678869884721</v>
      </c>
      <c r="G135" s="11" t="n">
        <f aca="false">G132/G134</f>
        <v>0.718579775602427</v>
      </c>
    </row>
    <row r="136" customFormat="false" ht="17.15" hidden="false" customHeight="false" outlineLevel="0" collapsed="false">
      <c r="A136" s="6" t="s">
        <v>556</v>
      </c>
    </row>
    <row r="137" customFormat="false" ht="17.15" hidden="false" customHeight="false" outlineLevel="0" collapsed="false">
      <c r="A137" s="0" t="s">
        <v>455</v>
      </c>
      <c r="B137" s="0" t="s">
        <v>34</v>
      </c>
      <c r="C137" s="16" t="n">
        <f aca="false">spe_op25</f>
        <v>28.404</v>
      </c>
      <c r="D137" s="16" t="n">
        <f aca="false">g26_spe*m_spe26+v_s*(D132-g26_spe)</f>
        <v>37.6125</v>
      </c>
      <c r="E137" s="16" t="n">
        <f aca="false">$D137+v_s*(E132-$D132)</f>
        <v>36.741804285041</v>
      </c>
      <c r="F137" s="16" t="n">
        <f aca="false">$D137+v_s*(F132-$D132)+madjC*F132</f>
        <v>25.9757245083736</v>
      </c>
      <c r="G137" s="16" t="n">
        <f aca="false">$D137+v_s*(G132-$D132)+madjC*G132</f>
        <v>24.9938610846582</v>
      </c>
      <c r="J137" s="4" t="s">
        <v>557</v>
      </c>
    </row>
    <row r="138" customFormat="false" ht="17.15" hidden="false" customHeight="false" outlineLevel="0" collapsed="false">
      <c r="A138" s="4" t="s">
        <v>460</v>
      </c>
      <c r="B138" s="0" t="s">
        <v>34</v>
      </c>
      <c r="C138" s="16" t="n">
        <f aca="false">met_op25</f>
        <v>5.333</v>
      </c>
      <c r="D138" s="16" t="n">
        <f aca="false">(g26_oi-g26_spe*m_spe26)+v_m*(D133-g26_met)</f>
        <v>6.3875</v>
      </c>
      <c r="E138" s="16" t="n">
        <f aca="false">$D138+v_m*(E133-$D133)</f>
        <v>6.48736802629276</v>
      </c>
      <c r="F138" s="16" t="n">
        <f aca="false">$D138+v_m*(F133-$D133)</f>
        <v>6.58823473284844</v>
      </c>
      <c r="G138" s="16" t="n">
        <f aca="false">$D138+v_m*(G133-$D133)</f>
        <v>6.69011010646967</v>
      </c>
      <c r="J138" s="8" t="s">
        <v>558</v>
      </c>
    </row>
    <row r="139" customFormat="false" ht="15" hidden="false" customHeight="false" outlineLevel="0" collapsed="false">
      <c r="A139" s="4" t="s">
        <v>442</v>
      </c>
      <c r="B139" s="0" t="s">
        <v>34</v>
      </c>
      <c r="C139" s="16" t="n">
        <f aca="false">C137+C138</f>
        <v>33.737</v>
      </c>
      <c r="D139" s="16" t="n">
        <f aca="false">D137+D138</f>
        <v>44</v>
      </c>
      <c r="E139" s="16" t="n">
        <f aca="false">E137+E138</f>
        <v>43.2291723113338</v>
      </c>
      <c r="F139" s="16" t="n">
        <f aca="false">F137+F138</f>
        <v>32.563959241222</v>
      </c>
      <c r="G139" s="16" t="n">
        <f aca="false">G137+G138</f>
        <v>31.6839711911279</v>
      </c>
    </row>
    <row r="140" customFormat="false" ht="17.15" hidden="false" customHeight="false" outlineLevel="0" collapsed="false">
      <c r="A140" s="0" t="s">
        <v>525</v>
      </c>
      <c r="B140" s="0" t="s">
        <v>108</v>
      </c>
      <c r="C140" s="11" t="n">
        <f aca="false">C137/C132</f>
        <v>0.222117956176981</v>
      </c>
      <c r="D140" s="11" t="n">
        <f aca="false">D137/D132</f>
        <v>0.255</v>
      </c>
      <c r="E140" s="11" t="n">
        <f aca="false">E137/E132</f>
        <v>0.254083490833043</v>
      </c>
      <c r="F140" s="11" t="n">
        <f aca="false">F137/F132</f>
        <v>0.2307849589791</v>
      </c>
      <c r="G140" s="11" t="n">
        <f aca="false">G137/G132</f>
        <v>0.228929336089136</v>
      </c>
    </row>
    <row r="141" customFormat="false" ht="15" hidden="false" customHeight="false" outlineLevel="0" collapsed="false">
      <c r="A141" s="4" t="s">
        <v>559</v>
      </c>
      <c r="B141" s="0" t="s">
        <v>108</v>
      </c>
      <c r="C141" s="11" t="n">
        <f aca="false">C139/C134</f>
        <v>0.202214123880651</v>
      </c>
      <c r="D141" s="11" t="n">
        <f aca="false">D139/D134</f>
        <v>0.232804232804233</v>
      </c>
      <c r="E141" s="11" t="n">
        <f aca="false">E139/E134</f>
        <v>0.231766655501708</v>
      </c>
      <c r="F141" s="11" t="n">
        <f aca="false">F139/F134</f>
        <v>0.210242041964671</v>
      </c>
      <c r="G141" s="11" t="n">
        <f aca="false">G139/G134</f>
        <v>0.208536796000146</v>
      </c>
    </row>
    <row r="142" customFormat="false" ht="17.15" hidden="false" customHeight="false" outlineLevel="0" collapsed="false">
      <c r="A142" s="4" t="s">
        <v>445</v>
      </c>
      <c r="B142" s="0" t="s">
        <v>34</v>
      </c>
      <c r="C142" s="16" t="n">
        <f aca="false">a25_ni</f>
        <v>24.739</v>
      </c>
      <c r="D142" s="16" t="n">
        <f aca="false">D139*g26_ni/g26_oi</f>
        <v>30.8</v>
      </c>
      <c r="E142" s="16" t="n">
        <f aca="false">E139*nioi</f>
        <v>30.2604206179337</v>
      </c>
      <c r="F142" s="16" t="n">
        <f aca="false">F139*nioi</f>
        <v>22.7947714688554</v>
      </c>
      <c r="G142" s="16" t="n">
        <f aca="false">G139*nioi</f>
        <v>22.1787798337895</v>
      </c>
      <c r="J142" s="8" t="s">
        <v>560</v>
      </c>
    </row>
    <row r="143" customFormat="false" ht="15" hidden="false" customHeight="false" outlineLevel="0" collapsed="false">
      <c r="A143" s="0" t="s">
        <v>526</v>
      </c>
      <c r="B143" s="0" t="s">
        <v>56</v>
      </c>
      <c r="C143" s="16" t="n">
        <f aca="false">a25_eps</f>
        <v>610.02</v>
      </c>
      <c r="D143" s="16" t="n">
        <f aca="false">D142*1000/shares</f>
        <v>758.83675253348</v>
      </c>
      <c r="E143" s="16" t="n">
        <f aca="false">E142*1000/shares</f>
        <v>745.542834805518</v>
      </c>
      <c r="F143" s="16" t="n">
        <f aca="false">F142*1000/shares</f>
        <v>561.607479096399</v>
      </c>
      <c r="G143" s="16" t="n">
        <f aca="false">G142*1000/shares</f>
        <v>546.430950137269</v>
      </c>
    </row>
    <row r="144" customFormat="false" ht="17.15" hidden="false" customHeight="false" outlineLevel="0" collapsed="false">
      <c r="A144" s="4" t="s">
        <v>561</v>
      </c>
      <c r="B144" s="0" t="s">
        <v>34</v>
      </c>
      <c r="C144" s="19" t="n">
        <f aca="false">ABS(C134-a25_rev)+ABS(C139-a25_oi)</f>
        <v>0.00200000000000244</v>
      </c>
    </row>
    <row r="148" customFormat="false" ht="17.15" hidden="false" customHeight="false" outlineLevel="0" collapsed="false">
      <c r="A148" s="1" t="s">
        <v>566</v>
      </c>
    </row>
    <row r="149" customFormat="false" ht="17.15" hidden="false" customHeight="false" outlineLevel="0" collapsed="false">
      <c r="A149" s="4" t="s">
        <v>567</v>
      </c>
    </row>
    <row r="150" customFormat="false" ht="17.15" hidden="false" customHeight="false" outlineLevel="0" collapsed="false">
      <c r="A150" s="5" t="s">
        <v>568</v>
      </c>
      <c r="B150" s="5" t="s">
        <v>24</v>
      </c>
      <c r="C150" s="14" t="s">
        <v>515</v>
      </c>
      <c r="D150" s="14" t="s">
        <v>516</v>
      </c>
      <c r="E150" s="14" t="s">
        <v>517</v>
      </c>
      <c r="F150" s="14" t="s">
        <v>518</v>
      </c>
      <c r="G150" s="14" t="s">
        <v>519</v>
      </c>
      <c r="H150" s="14" t="s">
        <v>569</v>
      </c>
      <c r="I150" s="14" t="s">
        <v>570</v>
      </c>
      <c r="J150" s="14" t="s">
        <v>571</v>
      </c>
      <c r="K150" s="5" t="s">
        <v>520</v>
      </c>
    </row>
    <row r="151" customFormat="false" ht="17.15" hidden="false" customHeight="false" outlineLevel="0" collapsed="false">
      <c r="A151" s="1" t="s">
        <v>521</v>
      </c>
    </row>
    <row r="152" customFormat="false" ht="17.15" hidden="false" customHeight="false" outlineLevel="0" collapsed="false">
      <c r="A152" s="4" t="s">
        <v>438</v>
      </c>
      <c r="B152" s="0" t="s">
        <v>34</v>
      </c>
      <c r="C152" s="16" t="n">
        <f aca="false">C5</f>
        <v>166.838</v>
      </c>
      <c r="D152" s="16" t="n">
        <f aca="false">D5</f>
        <v>189</v>
      </c>
      <c r="E152" s="16" t="n">
        <f aca="false">E5</f>
        <v>219.670278394298</v>
      </c>
      <c r="F152" s="16" t="n">
        <f aca="false">F5</f>
        <v>251.406592241356</v>
      </c>
      <c r="G152" s="16" t="n">
        <f aca="false">G5</f>
        <v>272.551816268834</v>
      </c>
      <c r="H152" s="22" t="n">
        <f aca="false">G152*(1+H153)</f>
        <v>293.285319036903</v>
      </c>
      <c r="I152" s="22" t="n">
        <f aca="false">H152*(1+I153)</f>
        <v>313.239247259247</v>
      </c>
      <c r="J152" s="22" t="n">
        <f aca="false">I152*(1+J153)</f>
        <v>332.033602094802</v>
      </c>
      <c r="K152" s="8" t="s">
        <v>572</v>
      </c>
    </row>
    <row r="153" customFormat="false" ht="15" hidden="false" customHeight="false" outlineLevel="0" collapsed="false">
      <c r="A153" s="4" t="s">
        <v>573</v>
      </c>
      <c r="B153" s="0" t="s">
        <v>108</v>
      </c>
      <c r="D153" s="11" t="n">
        <f aca="false">D152/C152-1</f>
        <v>0.132835445162373</v>
      </c>
      <c r="E153" s="11" t="n">
        <f aca="false">E152/D152-1</f>
        <v>0.162276605260838</v>
      </c>
      <c r="F153" s="11" t="n">
        <f aca="false">F152/E152-1</f>
        <v>0.144472497959382</v>
      </c>
      <c r="G153" s="11" t="n">
        <f aca="false">G152/F152-1</f>
        <v>0.0841076752958736</v>
      </c>
      <c r="H153" s="23" t="n">
        <f aca="false">$G153+((tp_g+0.02)-$G153)*1/3</f>
        <v>0.0760717835305824</v>
      </c>
      <c r="I153" s="23" t="n">
        <f aca="false">$G153+((tp_g+0.02)-$G153)*2/3</f>
        <v>0.0680358917652912</v>
      </c>
      <c r="J153" s="23" t="n">
        <f aca="false">$G153+((tp_g+0.02)-$G153)*3/3</f>
        <v>0.06</v>
      </c>
    </row>
    <row r="154" customFormat="false" ht="17.15" hidden="false" customHeight="false" outlineLevel="0" collapsed="false">
      <c r="A154" s="4" t="s">
        <v>574</v>
      </c>
      <c r="B154" s="0" t="s">
        <v>108</v>
      </c>
      <c r="C154" s="11" t="n">
        <f aca="false">C155/C152</f>
        <v>0.148281566549587</v>
      </c>
      <c r="D154" s="11" t="n">
        <f aca="false">D155/D152</f>
        <v>0.162962962962963</v>
      </c>
      <c r="E154" s="11" t="n">
        <f aca="false">E155/E152</f>
        <v>0.169129654614263</v>
      </c>
      <c r="F154" s="11" t="n">
        <f aca="false">F155/F152</f>
        <v>0.173916201285508</v>
      </c>
      <c r="G154" s="11" t="n">
        <f aca="false">G155/G152</f>
        <v>0.176326093735811</v>
      </c>
      <c r="H154" s="23" t="n">
        <f aca="false">$G154+($G154-$G154)*1/3</f>
        <v>0.176326093735811</v>
      </c>
      <c r="I154" s="23" t="n">
        <f aca="false">$G154+($G154-$G154)*2/3</f>
        <v>0.176326093735811</v>
      </c>
      <c r="J154" s="23" t="n">
        <f aca="false">$G154+($G154-$G154)*3/3</f>
        <v>0.176326093735811</v>
      </c>
    </row>
    <row r="155" customFormat="false" ht="15" hidden="false" customHeight="false" outlineLevel="0" collapsed="false">
      <c r="A155" s="4" t="s">
        <v>575</v>
      </c>
      <c r="B155" s="0" t="s">
        <v>34</v>
      </c>
      <c r="C155" s="16" t="n">
        <f aca="false">C12</f>
        <v>24.739</v>
      </c>
      <c r="D155" s="16" t="n">
        <f aca="false">D12</f>
        <v>30.8</v>
      </c>
      <c r="E155" s="16" t="n">
        <f aca="false">E12</f>
        <v>37.1527583138467</v>
      </c>
      <c r="F155" s="16" t="n">
        <f aca="false">F12</f>
        <v>43.7236795007511</v>
      </c>
      <c r="G155" s="16" t="n">
        <f aca="false">G12</f>
        <v>48.0579971032839</v>
      </c>
      <c r="H155" s="22" t="n">
        <f aca="false">H152*H154</f>
        <v>51.7138546558382</v>
      </c>
      <c r="I155" s="22" t="n">
        <f aca="false">I152*I154</f>
        <v>55.2322528739688</v>
      </c>
      <c r="J155" s="22" t="n">
        <f aca="false">J152*J154</f>
        <v>58.546188046407</v>
      </c>
    </row>
    <row r="156" customFormat="false" ht="17.15" hidden="false" customHeight="false" outlineLevel="0" collapsed="false">
      <c r="A156" s="0" t="s">
        <v>576</v>
      </c>
      <c r="B156" s="0" t="s">
        <v>56</v>
      </c>
      <c r="C156" s="13" t="n">
        <f aca="false">C13</f>
        <v>610.02</v>
      </c>
      <c r="D156" s="13" t="n">
        <f aca="false">D13</f>
        <v>758.83675253348</v>
      </c>
      <c r="E156" s="13" t="n">
        <f aca="false">E13</f>
        <v>915.353196965608</v>
      </c>
      <c r="F156" s="13" t="n">
        <f aca="false">F13</f>
        <v>1077.24464159626</v>
      </c>
      <c r="G156" s="13" t="n">
        <f aca="false">G13</f>
        <v>1184.03163815322</v>
      </c>
      <c r="H156" s="24" t="n">
        <f aca="false">$G156*H155/$G155</f>
        <v>1274.10303662418</v>
      </c>
      <c r="I156" s="24" t="n">
        <f aca="false">$G156*I155/$G155</f>
        <v>1360.78777292177</v>
      </c>
      <c r="J156" s="24" t="n">
        <f aca="false">$G156*J155/$G155</f>
        <v>1442.43503929707</v>
      </c>
    </row>
    <row r="158" customFormat="false" ht="17.15" hidden="false" customHeight="false" outlineLevel="0" collapsed="false">
      <c r="A158" s="1" t="s">
        <v>527</v>
      </c>
    </row>
    <row r="159" customFormat="false" ht="17.15" hidden="false" customHeight="false" outlineLevel="0" collapsed="false">
      <c r="A159" s="4" t="s">
        <v>438</v>
      </c>
      <c r="B159" s="0" t="s">
        <v>34</v>
      </c>
      <c r="C159" s="16" t="n">
        <f aca="false">C16</f>
        <v>166.838</v>
      </c>
      <c r="D159" s="16" t="n">
        <f aca="false">D16</f>
        <v>189</v>
      </c>
      <c r="E159" s="16" t="n">
        <f aca="false">E16</f>
        <v>205.629490035978</v>
      </c>
      <c r="F159" s="16" t="n">
        <f aca="false">F16</f>
        <v>203.499550370459</v>
      </c>
      <c r="G159" s="16" t="n">
        <f aca="false">G16</f>
        <v>199.271722179176</v>
      </c>
      <c r="H159" s="22" t="n">
        <f aca="false">G159*(1+H160)</f>
        <v>199.168683499574</v>
      </c>
      <c r="I159" s="22" t="n">
        <f aca="false">H159*(1+I160)</f>
        <v>203.100564469193</v>
      </c>
      <c r="J159" s="22" t="n">
        <f aca="false">I159*(1+J160)</f>
        <v>211.224587047961</v>
      </c>
      <c r="K159" s="8" t="s">
        <v>572</v>
      </c>
    </row>
    <row r="160" customFormat="false" ht="15" hidden="false" customHeight="false" outlineLevel="0" collapsed="false">
      <c r="A160" s="4" t="s">
        <v>573</v>
      </c>
      <c r="B160" s="0" t="s">
        <v>108</v>
      </c>
      <c r="D160" s="11" t="n">
        <f aca="false">D159/C159-1</f>
        <v>0.132835445162373</v>
      </c>
      <c r="E160" s="11" t="n">
        <f aca="false">E159/D159-1</f>
        <v>0.0879867197670787</v>
      </c>
      <c r="F160" s="11" t="n">
        <f aca="false">F159/E159-1</f>
        <v>-0.0103581430131752</v>
      </c>
      <c r="G160" s="11" t="n">
        <f aca="false">G159/F159-1</f>
        <v>-0.0207756144108756</v>
      </c>
      <c r="H160" s="23" t="n">
        <f aca="false">$G160+((tp_g)-$G160)*1/3</f>
        <v>-0.000517076273917071</v>
      </c>
      <c r="I160" s="23" t="n">
        <f aca="false">$G160+((tp_g)-$G160)*2/3</f>
        <v>0.0197414618630415</v>
      </c>
      <c r="J160" s="23" t="n">
        <f aca="false">$G160+((tp_g)-$G160)*3/3</f>
        <v>0.04</v>
      </c>
    </row>
    <row r="161" customFormat="false" ht="17.15" hidden="false" customHeight="false" outlineLevel="0" collapsed="false">
      <c r="A161" s="4" t="s">
        <v>574</v>
      </c>
      <c r="B161" s="0" t="s">
        <v>108</v>
      </c>
      <c r="C161" s="11" t="n">
        <f aca="false">C162/C159</f>
        <v>0.148281566549587</v>
      </c>
      <c r="D161" s="11" t="n">
        <f aca="false">D162/D159</f>
        <v>0.162962962962963</v>
      </c>
      <c r="E161" s="11" t="n">
        <f aca="false">E162/E159</f>
        <v>0.166471417518289</v>
      </c>
      <c r="F161" s="11" t="n">
        <f aca="false">F162/F159</f>
        <v>0.165652956796342</v>
      </c>
      <c r="G161" s="11" t="n">
        <f aca="false">G162/G159</f>
        <v>0.164321145631316</v>
      </c>
      <c r="H161" s="23" t="n">
        <f aca="false">$G161+(($G161+nim10)/2-$G161)*1/3</f>
        <v>0.160424156905418</v>
      </c>
      <c r="I161" s="23" t="n">
        <f aca="false">$G161+(($G161+nim10)/2-$G161)*2/3</f>
        <v>0.156527168179519</v>
      </c>
      <c r="J161" s="23" t="n">
        <f aca="false">$G161+(($G161+nim10)/2-$G161)*3/3</f>
        <v>0.152630179453621</v>
      </c>
    </row>
    <row r="162" customFormat="false" ht="15" hidden="false" customHeight="false" outlineLevel="0" collapsed="false">
      <c r="A162" s="4" t="s">
        <v>575</v>
      </c>
      <c r="B162" s="0" t="s">
        <v>34</v>
      </c>
      <c r="C162" s="16" t="n">
        <f aca="false">C23</f>
        <v>24.739</v>
      </c>
      <c r="D162" s="16" t="n">
        <f aca="false">D23</f>
        <v>30.8</v>
      </c>
      <c r="E162" s="16" t="n">
        <f aca="false">E23</f>
        <v>34.2314326898521</v>
      </c>
      <c r="F162" s="16" t="n">
        <f aca="false">F23</f>
        <v>33.7103022255926</v>
      </c>
      <c r="G162" s="16" t="n">
        <f aca="false">G23</f>
        <v>32.7445576804075</v>
      </c>
      <c r="H162" s="22" t="n">
        <f aca="false">H159*H161</f>
        <v>31.9514681323812</v>
      </c>
      <c r="I162" s="22" t="n">
        <f aca="false">I159*I161</f>
        <v>31.7907562120248</v>
      </c>
      <c r="J162" s="22" t="n">
        <f aca="false">J159*J161</f>
        <v>32.2392466261473</v>
      </c>
    </row>
    <row r="163" customFormat="false" ht="17.15" hidden="false" customHeight="false" outlineLevel="0" collapsed="false">
      <c r="A163" s="0" t="s">
        <v>576</v>
      </c>
      <c r="B163" s="0" t="s">
        <v>56</v>
      </c>
      <c r="C163" s="13" t="n">
        <f aca="false">C24</f>
        <v>610.02</v>
      </c>
      <c r="D163" s="13" t="n">
        <f aca="false">D24</f>
        <v>758.83675253348</v>
      </c>
      <c r="E163" s="13" t="n">
        <f aca="false">E24</f>
        <v>843.378870679733</v>
      </c>
      <c r="F163" s="13" t="n">
        <f aca="false">F24</f>
        <v>830.539489213988</v>
      </c>
      <c r="G163" s="13" t="n">
        <f aca="false">G24</f>
        <v>806.745903030704</v>
      </c>
      <c r="H163" s="24" t="n">
        <f aca="false">$G163*H162/$G162</f>
        <v>787.206114164063</v>
      </c>
      <c r="I163" s="24" t="n">
        <f aca="false">$G163*I162/$G162</f>
        <v>783.246565081702</v>
      </c>
      <c r="J163" s="24" t="n">
        <f aca="false">$G163*J162/$G162</f>
        <v>794.296273178947</v>
      </c>
    </row>
    <row r="165" customFormat="false" ht="17.15" hidden="false" customHeight="false" outlineLevel="0" collapsed="false">
      <c r="A165" s="1" t="s">
        <v>528</v>
      </c>
    </row>
    <row r="166" customFormat="false" ht="17.15" hidden="false" customHeight="false" outlineLevel="0" collapsed="false">
      <c r="A166" s="4" t="s">
        <v>438</v>
      </c>
      <c r="B166" s="0" t="s">
        <v>34</v>
      </c>
      <c r="C166" s="16" t="n">
        <f aca="false">C27</f>
        <v>166.838</v>
      </c>
      <c r="D166" s="16" t="n">
        <f aca="false">D27</f>
        <v>189</v>
      </c>
      <c r="E166" s="16" t="n">
        <f aca="false">E27</f>
        <v>186.520240445094</v>
      </c>
      <c r="F166" s="16" t="n">
        <f aca="false">F27</f>
        <v>154.887951700422</v>
      </c>
      <c r="G166" s="16" t="n">
        <f aca="false">G27</f>
        <v>151.934679149409</v>
      </c>
      <c r="H166" s="22" t="n">
        <f aca="false">G166*(1+H167)</f>
        <v>151.016268979652</v>
      </c>
      <c r="I166" s="22" t="n">
        <f aca="false">H166*(1+I167)</f>
        <v>152.070002373628</v>
      </c>
      <c r="J166" s="22" t="n">
        <f aca="false">I166*(1+J167)</f>
        <v>155.111402421101</v>
      </c>
      <c r="K166" s="8" t="s">
        <v>572</v>
      </c>
    </row>
    <row r="167" customFormat="false" ht="15" hidden="false" customHeight="false" outlineLevel="0" collapsed="false">
      <c r="A167" s="4" t="s">
        <v>573</v>
      </c>
      <c r="B167" s="0" t="s">
        <v>108</v>
      </c>
      <c r="D167" s="11" t="n">
        <f aca="false">D166/C166-1</f>
        <v>0.132835445162373</v>
      </c>
      <c r="E167" s="11" t="n">
        <f aca="false">E166/D166-1</f>
        <v>-0.0131204209254289</v>
      </c>
      <c r="F167" s="11" t="n">
        <f aca="false">F166/E166-1</f>
        <v>-0.169591721891351</v>
      </c>
      <c r="G167" s="11" t="n">
        <f aca="false">G166/F166-1</f>
        <v>-0.019067154795389</v>
      </c>
      <c r="H167" s="23" t="n">
        <f aca="false">$G167+((tp_g-0.02)-$G167)*1/3</f>
        <v>-0.00604476986359267</v>
      </c>
      <c r="I167" s="23" t="n">
        <f aca="false">$G167+((tp_g-0.02)-$G167)*2/3</f>
        <v>0.00697761506820367</v>
      </c>
      <c r="J167" s="23" t="n">
        <f aca="false">$G167+((tp_g-0.02)-$G167)*3/3</f>
        <v>0.02</v>
      </c>
    </row>
    <row r="168" customFormat="false" ht="17.15" hidden="false" customHeight="false" outlineLevel="0" collapsed="false">
      <c r="A168" s="4" t="s">
        <v>574</v>
      </c>
      <c r="B168" s="0" t="s">
        <v>108</v>
      </c>
      <c r="C168" s="11" t="n">
        <f aca="false">C169/C166</f>
        <v>0.148281566549587</v>
      </c>
      <c r="D168" s="11" t="n">
        <f aca="false">D169/D166</f>
        <v>0.162962962962963</v>
      </c>
      <c r="E168" s="11" t="n">
        <f aca="false">E169/E166</f>
        <v>0.162236658851195</v>
      </c>
      <c r="F168" s="11" t="n">
        <f aca="false">F169/F166</f>
        <v>0.14716942937527</v>
      </c>
      <c r="G168" s="11" t="n">
        <f aca="false">G169/G166</f>
        <v>0.145975757200102</v>
      </c>
      <c r="H168" s="23" t="n">
        <f aca="false">$G168+(nim10-$G168)*1/3</f>
        <v>0.144296909225377</v>
      </c>
      <c r="I168" s="23" t="n">
        <f aca="false">$G168+(nim10-$G168)*2/3</f>
        <v>0.142618061250651</v>
      </c>
      <c r="J168" s="23" t="n">
        <f aca="false">$G168+(nim10-$G168)*3/3</f>
        <v>0.140939213275926</v>
      </c>
    </row>
    <row r="169" customFormat="false" ht="15" hidden="false" customHeight="false" outlineLevel="0" collapsed="false">
      <c r="A169" s="4" t="s">
        <v>575</v>
      </c>
      <c r="B169" s="0" t="s">
        <v>34</v>
      </c>
      <c r="C169" s="16" t="n">
        <f aca="false">C34</f>
        <v>24.739</v>
      </c>
      <c r="D169" s="16" t="n">
        <f aca="false">D34</f>
        <v>30.8</v>
      </c>
      <c r="E169" s="16" t="n">
        <f aca="false">E34</f>
        <v>30.2604206179337</v>
      </c>
      <c r="F169" s="16" t="n">
        <f aca="false">F34</f>
        <v>22.7947714688554</v>
      </c>
      <c r="G169" s="16" t="n">
        <f aca="false">G34</f>
        <v>22.1787798337895</v>
      </c>
      <c r="H169" s="22" t="n">
        <f aca="false">H166*H168</f>
        <v>21.7911808565119</v>
      </c>
      <c r="I169" s="22" t="n">
        <f aca="false">I166*I168</f>
        <v>21.6879289129088</v>
      </c>
      <c r="J169" s="22" t="n">
        <f aca="false">J166*J168</f>
        <v>21.8612790273555</v>
      </c>
    </row>
    <row r="170" customFormat="false" ht="17.15" hidden="false" customHeight="false" outlineLevel="0" collapsed="false">
      <c r="A170" s="0" t="s">
        <v>576</v>
      </c>
      <c r="B170" s="0" t="s">
        <v>56</v>
      </c>
      <c r="C170" s="13" t="n">
        <f aca="false">C35</f>
        <v>610.02</v>
      </c>
      <c r="D170" s="13" t="n">
        <f aca="false">D35</f>
        <v>758.83675253348</v>
      </c>
      <c r="E170" s="13" t="n">
        <f aca="false">E35</f>
        <v>745.542834805518</v>
      </c>
      <c r="F170" s="13" t="n">
        <f aca="false">F35</f>
        <v>561.607479096399</v>
      </c>
      <c r="G170" s="13" t="n">
        <f aca="false">G35</f>
        <v>546.430950137269</v>
      </c>
      <c r="H170" s="24" t="n">
        <f aca="false">$G170*H169/$G169</f>
        <v>536.88145828004</v>
      </c>
      <c r="I170" s="24" t="n">
        <f aca="false">$G170*I169/$G169</f>
        <v>534.337582644438</v>
      </c>
      <c r="J170" s="24" t="n">
        <f aca="false">$G170*J169/$G169</f>
        <v>538.608505952816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4"/>
    <col collapsed="false" customWidth="true" hidden="false" outlineLevel="0" max="5" min="5" style="0" width="60"/>
    <col collapsed="false" customWidth="true" hidden="false" outlineLevel="0" max="9" min="6" style="0" width="14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577</v>
      </c>
    </row>
    <row r="2" customFormat="false" ht="17.15" hidden="false" customHeight="false" outlineLevel="0" collapsed="false">
      <c r="A2" s="0" t="s">
        <v>578</v>
      </c>
    </row>
    <row r="4" customFormat="false" ht="17.15" hidden="false" customHeight="false" outlineLevel="0" collapsed="false">
      <c r="A4" s="6" t="s">
        <v>579</v>
      </c>
    </row>
    <row r="5" customFormat="false" ht="17.15" hidden="false" customHeight="false" outlineLevel="0" collapsed="false">
      <c r="A5" s="6" t="s">
        <v>580</v>
      </c>
    </row>
    <row r="6" customFormat="false" ht="17.15" hidden="false" customHeight="false" outlineLevel="0" collapsed="false">
      <c r="A6" s="5" t="s">
        <v>23</v>
      </c>
      <c r="B6" s="14" t="s">
        <v>581</v>
      </c>
      <c r="C6" s="14" t="s">
        <v>582</v>
      </c>
      <c r="D6" s="14" t="s">
        <v>583</v>
      </c>
      <c r="E6" s="5" t="s">
        <v>520</v>
      </c>
    </row>
    <row r="7" customFormat="false" ht="17.15" hidden="false" customHeight="false" outlineLevel="0" collapsed="false">
      <c r="A7" s="4" t="s">
        <v>584</v>
      </c>
      <c r="E7" s="0" t="s">
        <v>585</v>
      </c>
    </row>
    <row r="8" customFormat="false" ht="15" hidden="false" customHeight="false" outlineLevel="0" collapsed="false">
      <c r="A8" s="0" t="s">
        <v>586</v>
      </c>
      <c r="B8" s="13" t="n">
        <f aca="false">PL!E156</f>
        <v>915.353196965608</v>
      </c>
      <c r="C8" s="13" t="n">
        <f aca="false">PL!E163</f>
        <v>843.378870679733</v>
      </c>
      <c r="D8" s="13" t="n">
        <f aca="false">PL!E170</f>
        <v>745.542834805518</v>
      </c>
    </row>
    <row r="9" customFormat="false" ht="15" hidden="false" customHeight="false" outlineLevel="0" collapsed="false">
      <c r="A9" s="0" t="s">
        <v>587</v>
      </c>
      <c r="B9" s="13" t="n">
        <f aca="false">PL!F156</f>
        <v>1077.24464159626</v>
      </c>
      <c r="C9" s="13" t="n">
        <f aca="false">PL!F163</f>
        <v>830.539489213988</v>
      </c>
      <c r="D9" s="13" t="n">
        <f aca="false">PL!F170</f>
        <v>561.607479096399</v>
      </c>
    </row>
    <row r="10" customFormat="false" ht="15" hidden="false" customHeight="false" outlineLevel="0" collapsed="false">
      <c r="A10" s="0" t="s">
        <v>588</v>
      </c>
      <c r="B10" s="13" t="n">
        <f aca="false">PL!G156</f>
        <v>1184.03163815322</v>
      </c>
      <c r="C10" s="13" t="n">
        <f aca="false">PL!G163</f>
        <v>806.745903030704</v>
      </c>
      <c r="D10" s="13" t="n">
        <f aca="false">PL!G170</f>
        <v>546.430950137269</v>
      </c>
    </row>
    <row r="11" customFormat="false" ht="15" hidden="false" customHeight="false" outlineLevel="0" collapsed="false">
      <c r="A11" s="0" t="s">
        <v>589</v>
      </c>
      <c r="B11" s="13" t="n">
        <f aca="false">PL!H156</f>
        <v>1274.10303662418</v>
      </c>
      <c r="C11" s="13" t="n">
        <f aca="false">PL!H163</f>
        <v>787.206114164063</v>
      </c>
      <c r="D11" s="13" t="n">
        <f aca="false">PL!H170</f>
        <v>536.88145828004</v>
      </c>
    </row>
    <row r="12" customFormat="false" ht="15" hidden="false" customHeight="false" outlineLevel="0" collapsed="false">
      <c r="A12" s="0" t="s">
        <v>590</v>
      </c>
      <c r="B12" s="13" t="n">
        <f aca="false">PL!I156</f>
        <v>1360.78777292177</v>
      </c>
      <c r="C12" s="13" t="n">
        <f aca="false">PL!I163</f>
        <v>783.246565081702</v>
      </c>
      <c r="D12" s="13" t="n">
        <f aca="false">PL!I170</f>
        <v>534.337582644438</v>
      </c>
    </row>
    <row r="13" customFormat="false" ht="15" hidden="false" customHeight="false" outlineLevel="0" collapsed="false">
      <c r="A13" s="0" t="s">
        <v>591</v>
      </c>
      <c r="B13" s="13" t="n">
        <f aca="false">PL!J156</f>
        <v>1442.43503929707</v>
      </c>
      <c r="C13" s="13" t="n">
        <f aca="false">PL!J163</f>
        <v>794.296273178947</v>
      </c>
      <c r="D13" s="13" t="n">
        <f aca="false">PL!J170</f>
        <v>538.608505952816</v>
      </c>
    </row>
    <row r="14" customFormat="false" ht="17.15" hidden="false" customHeight="false" outlineLevel="0" collapsed="false">
      <c r="A14" s="4" t="s">
        <v>592</v>
      </c>
      <c r="E14" s="4" t="s">
        <v>593</v>
      </c>
    </row>
    <row r="15" customFormat="false" ht="17.15" hidden="false" customHeight="false" outlineLevel="0" collapsed="false">
      <c r="A15" s="4" t="s">
        <v>594</v>
      </c>
      <c r="B15" s="11" t="n">
        <f aca="false">MIN(tp_g/tp_roe,0.8)</f>
        <v>0.287081339712919</v>
      </c>
      <c r="E15" s="8" t="s">
        <v>595</v>
      </c>
    </row>
    <row r="16" customFormat="false" ht="15" hidden="false" customHeight="false" outlineLevel="0" collapsed="false">
      <c r="A16" s="0" t="s">
        <v>586</v>
      </c>
      <c r="B16" s="13" t="n">
        <f aca="false">B8*(1-$B$15)</f>
        <v>652.572374870218</v>
      </c>
      <c r="C16" s="13" t="n">
        <f aca="false">C8*(1-$B$15)</f>
        <v>601.260534599427</v>
      </c>
      <c r="D16" s="13" t="n">
        <f aca="false">D8*(1-$B$15)</f>
        <v>531.511398976182</v>
      </c>
    </row>
    <row r="17" customFormat="false" ht="15" hidden="false" customHeight="false" outlineLevel="0" collapsed="false">
      <c r="A17" s="0" t="s">
        <v>587</v>
      </c>
      <c r="B17" s="13" t="n">
        <f aca="false">B9*(1-$B$15)</f>
        <v>767.98780668824</v>
      </c>
      <c r="C17" s="13" t="n">
        <f aca="false">C9*(1-$B$15)</f>
        <v>592.107099965953</v>
      </c>
      <c r="D17" s="13" t="n">
        <f aca="false">D9*(1-$B$15)</f>
        <v>400.38045160461</v>
      </c>
    </row>
    <row r="18" customFormat="false" ht="15" hidden="false" customHeight="false" outlineLevel="0" collapsed="false">
      <c r="A18" s="0" t="s">
        <v>588</v>
      </c>
      <c r="B18" s="13" t="n">
        <f aca="false">B10*(1-$B$15)</f>
        <v>844.118249209715</v>
      </c>
      <c r="C18" s="13" t="n">
        <f aca="false">C10*(1-$B$15)</f>
        <v>575.144208380741</v>
      </c>
      <c r="D18" s="13" t="n">
        <f aca="false">D10*(1-$B$15)</f>
        <v>389.560820911258</v>
      </c>
    </row>
    <row r="19" customFormat="false" ht="15" hidden="false" customHeight="false" outlineLevel="0" collapsed="false">
      <c r="A19" s="0" t="s">
        <v>589</v>
      </c>
      <c r="B19" s="13" t="n">
        <f aca="false">B11*(1-$B$15)</f>
        <v>908.331829937811</v>
      </c>
      <c r="C19" s="13" t="n">
        <f aca="false">C11*(1-$B$15)</f>
        <v>561.213928279643</v>
      </c>
      <c r="D19" s="13" t="n">
        <f aca="false">D11*(1-$B$15)</f>
        <v>382.752809969981</v>
      </c>
    </row>
    <row r="20" customFormat="false" ht="15" hidden="false" customHeight="false" outlineLevel="0" collapsed="false">
      <c r="A20" s="0" t="s">
        <v>590</v>
      </c>
      <c r="B20" s="13" t="n">
        <f aca="false">B12*(1-$B$15)</f>
        <v>970.130996006429</v>
      </c>
      <c r="C20" s="13" t="n">
        <f aca="false">C12*(1-$B$15)</f>
        <v>558.391091852505</v>
      </c>
      <c r="D20" s="13" t="n">
        <f aca="false">D12*(1-$B$15)</f>
        <v>380.93923355991</v>
      </c>
    </row>
    <row r="21" customFormat="false" ht="15" hidden="false" customHeight="false" outlineLevel="0" collapsed="false">
      <c r="A21" s="0" t="s">
        <v>591</v>
      </c>
      <c r="B21" s="13" t="n">
        <f aca="false">B13*(1-$B$15)</f>
        <v>1028.33885576681</v>
      </c>
      <c r="C21" s="13" t="n">
        <f aca="false">C13*(1-$B$15)</f>
        <v>566.268634945757</v>
      </c>
      <c r="D21" s="13" t="n">
        <f aca="false">D13*(1-$B$15)</f>
        <v>383.984054483108</v>
      </c>
    </row>
    <row r="22" customFormat="false" ht="17.15" hidden="false" customHeight="false" outlineLevel="0" collapsed="false">
      <c r="A22" s="0" t="s">
        <v>596</v>
      </c>
      <c r="B22" s="13" t="n">
        <f aca="false">MAX(0,SUMPRODUCT(B16:B21,1/(1+tp_r)^{1;2;3;4;5;6})+B21*(1+tp_g)/(tp_r-tp_g)/(1+tp_r)^6)</f>
        <v>13726.883412508</v>
      </c>
      <c r="C22" s="13" t="n">
        <f aca="false">MAX(0,SUMPRODUCT(C16:C21,1/(1+tp_r)^{1;2;3;4;5;6})+C21*(1+tp_g)/(tp_r-tp_g)/(1+tp_r)^6)</f>
        <v>8058.23098663888</v>
      </c>
      <c r="D22" s="13" t="n">
        <f aca="false">MAX(0,SUMPRODUCT(D16:D21,1/(1+tp_r)^{1;2;3;4;5;6})+D21*(1+tp_g)/(tp_r-tp_g)/(1+tp_r)^6)</f>
        <v>5578.45799128314</v>
      </c>
      <c r="E22" s="8" t="s">
        <v>597</v>
      </c>
    </row>
    <row r="23" customFormat="false" ht="17.15" hidden="false" customHeight="false" outlineLevel="0" collapsed="false">
      <c r="A23" s="0" t="s">
        <v>598</v>
      </c>
      <c r="B23" s="13" t="n">
        <f aca="false">B22*(1+tp_r)</f>
        <v>15099.5717537588</v>
      </c>
      <c r="C23" s="13" t="n">
        <f aca="false">C22*(1+tp_r)</f>
        <v>8864.05408530277</v>
      </c>
      <c r="D23" s="13" t="n">
        <f aca="false">D22*(1+tp_r)</f>
        <v>6136.30379041145</v>
      </c>
    </row>
    <row r="24" customFormat="false" ht="17.15" hidden="false" customHeight="false" outlineLevel="0" collapsed="false">
      <c r="A24" s="0" t="s">
        <v>599</v>
      </c>
      <c r="B24" s="25" t="n">
        <f aca="false">tp_wA*B23+tp_wB*C23+tp_wC*D23</f>
        <v>10189.1593268613</v>
      </c>
      <c r="E24" s="8" t="s">
        <v>600</v>
      </c>
    </row>
    <row r="26" customFormat="false" ht="17.15" hidden="false" customHeight="false" outlineLevel="0" collapsed="false">
      <c r="A26" s="6" t="s">
        <v>601</v>
      </c>
    </row>
    <row r="27" customFormat="false" ht="17.15" hidden="false" customHeight="false" outlineLevel="0" collapsed="false">
      <c r="A27" s="5" t="s">
        <v>602</v>
      </c>
      <c r="B27" s="5" t="s">
        <v>603</v>
      </c>
      <c r="C27" s="5" t="s">
        <v>604</v>
      </c>
      <c r="D27" s="5" t="s">
        <v>605</v>
      </c>
      <c r="E27" s="5" t="s">
        <v>606</v>
      </c>
      <c r="F27" s="5" t="s">
        <v>28</v>
      </c>
    </row>
    <row r="28" customFormat="false" ht="17.15" hidden="false" customHeight="false" outlineLevel="0" collapsed="false">
      <c r="A28" s="0" t="s">
        <v>607</v>
      </c>
      <c r="B28" s="0" t="s">
        <v>608</v>
      </c>
      <c r="C28" s="26" t="n">
        <v>26.01</v>
      </c>
      <c r="D28" s="8" t="s">
        <v>609</v>
      </c>
      <c r="E28" s="8" t="s">
        <v>610</v>
      </c>
      <c r="F28" s="8" t="s">
        <v>82</v>
      </c>
    </row>
    <row r="29" customFormat="false" ht="17.15" hidden="false" customHeight="false" outlineLevel="0" collapsed="false">
      <c r="A29" s="4" t="s">
        <v>611</v>
      </c>
      <c r="B29" s="0" t="s">
        <v>612</v>
      </c>
      <c r="C29" s="26" t="n">
        <v>27.09</v>
      </c>
      <c r="D29" s="8" t="s">
        <v>613</v>
      </c>
      <c r="E29" s="4" t="s">
        <v>165</v>
      </c>
      <c r="F29" s="8" t="s">
        <v>82</v>
      </c>
    </row>
    <row r="30" customFormat="false" ht="15" hidden="false" customHeight="false" outlineLevel="0" collapsed="false">
      <c r="A30" s="0" t="s">
        <v>614</v>
      </c>
      <c r="B30" s="0" t="s">
        <v>615</v>
      </c>
      <c r="C30" s="26" t="n">
        <v>37.69</v>
      </c>
      <c r="D30" s="8" t="s">
        <v>613</v>
      </c>
      <c r="E30" s="4" t="s">
        <v>165</v>
      </c>
      <c r="F30" s="8" t="s">
        <v>82</v>
      </c>
    </row>
    <row r="31" customFormat="false" ht="15" hidden="false" customHeight="false" outlineLevel="0" collapsed="false">
      <c r="A31" s="0" t="s">
        <v>616</v>
      </c>
      <c r="B31" s="0" t="s">
        <v>617</v>
      </c>
      <c r="C31" s="26" t="n">
        <v>34.02</v>
      </c>
      <c r="D31" s="8" t="s">
        <v>609</v>
      </c>
      <c r="E31" s="4" t="s">
        <v>165</v>
      </c>
      <c r="F31" s="8" t="s">
        <v>82</v>
      </c>
    </row>
    <row r="32" customFormat="false" ht="15" hidden="false" customHeight="false" outlineLevel="0" collapsed="false">
      <c r="A32" s="0" t="s">
        <v>618</v>
      </c>
      <c r="B32" s="0" t="s">
        <v>619</v>
      </c>
      <c r="C32" s="26" t="n">
        <v>35.83</v>
      </c>
      <c r="D32" s="8" t="s">
        <v>620</v>
      </c>
      <c r="E32" s="4" t="s">
        <v>621</v>
      </c>
      <c r="F32" s="8" t="s">
        <v>82</v>
      </c>
    </row>
    <row r="33" customFormat="false" ht="17.15" hidden="false" customHeight="false" outlineLevel="0" collapsed="false">
      <c r="A33" s="4" t="s">
        <v>622</v>
      </c>
      <c r="C33" s="27" t="n">
        <f aca="false">sa_fpe</f>
        <v>21.86</v>
      </c>
      <c r="D33" s="8" t="s">
        <v>623</v>
      </c>
      <c r="E33" s="8" t="s">
        <v>624</v>
      </c>
    </row>
    <row r="34" customFormat="false" ht="17.15" hidden="false" customHeight="false" outlineLevel="0" collapsed="false">
      <c r="A34" s="4" t="s">
        <v>625</v>
      </c>
      <c r="B34" s="27" t="n">
        <f aca="false">MEDIAN(C28:C32)</f>
        <v>34.02</v>
      </c>
      <c r="E34" s="4" t="s">
        <v>626</v>
      </c>
    </row>
    <row r="35" customFormat="false" ht="17.15" hidden="false" customHeight="false" outlineLevel="0" collapsed="false">
      <c r="A35" s="0" t="s">
        <v>627</v>
      </c>
      <c r="B35" s="13" t="n">
        <f aca="false">tp_wA*(5/12*B8+7/12*B9)+tp_wB*(5/12*C8+7/12*C9)+tp_wC*(5/12*D8+7/12*D9)</f>
        <v>848.53101977411</v>
      </c>
      <c r="E35" s="4" t="s">
        <v>628</v>
      </c>
    </row>
    <row r="36" customFormat="false" ht="17.15" hidden="false" customHeight="false" outlineLevel="0" collapsed="false">
      <c r="A36" s="0" t="s">
        <v>629</v>
      </c>
      <c r="B36" s="25" t="n">
        <f aca="false">B34*B35</f>
        <v>28867.0252927152</v>
      </c>
      <c r="E36" s="4" t="s">
        <v>630</v>
      </c>
    </row>
    <row r="38" customFormat="false" ht="17.15" hidden="false" customHeight="false" outlineLevel="0" collapsed="false">
      <c r="A38" s="6" t="s">
        <v>631</v>
      </c>
    </row>
    <row r="39" customFormat="false" ht="15" hidden="false" customHeight="false" outlineLevel="0" collapsed="false">
      <c r="A39" s="5" t="s">
        <v>23</v>
      </c>
      <c r="B39" s="5" t="s">
        <v>632</v>
      </c>
      <c r="C39" s="5"/>
      <c r="D39" s="5"/>
      <c r="E39" s="5" t="s">
        <v>520</v>
      </c>
    </row>
    <row r="40" customFormat="false" ht="17.15" hidden="false" customHeight="false" outlineLevel="0" collapsed="false">
      <c r="A40" s="4" t="s">
        <v>633</v>
      </c>
      <c r="B40" s="25" t="n">
        <f aca="false">tp_w_dcf*B24+(1-tp_w_dcf)*B36</f>
        <v>19528.0923097883</v>
      </c>
      <c r="E40" s="8" t="s">
        <v>634</v>
      </c>
    </row>
    <row r="41" customFormat="false" ht="17.15" hidden="false" customHeight="false" outlineLevel="0" collapsed="false">
      <c r="A41" s="0" t="s">
        <v>635</v>
      </c>
      <c r="B41" s="13" t="n">
        <f aca="false">B36</f>
        <v>28867.0252927152</v>
      </c>
      <c r="E41" s="4" t="s">
        <v>636</v>
      </c>
    </row>
    <row r="42" customFormat="false" ht="17.15" hidden="false" customHeight="false" outlineLevel="0" collapsed="false">
      <c r="A42" s="4" t="s">
        <v>637</v>
      </c>
      <c r="B42" s="13" t="n">
        <f aca="false">cons_tp</f>
        <v>20900</v>
      </c>
      <c r="E42" s="8" t="s">
        <v>638</v>
      </c>
    </row>
    <row r="43" customFormat="false" ht="17.15" hidden="false" customHeight="false" outlineLevel="0" collapsed="false">
      <c r="A43" s="4" t="s">
        <v>639</v>
      </c>
      <c r="B43" s="11" t="n">
        <f aca="false">B40/px-1</f>
        <v>0.258253370476048</v>
      </c>
      <c r="E43" s="4" t="s">
        <v>640</v>
      </c>
    </row>
    <row r="44" customFormat="false" ht="17.15" hidden="false" customHeight="false" outlineLevel="0" collapsed="false">
      <c r="A44" s="4" t="s">
        <v>641</v>
      </c>
      <c r="B44" s="11" t="n">
        <f aca="false">B41/px-1</f>
        <v>0.85998874308732</v>
      </c>
    </row>
    <row r="45" customFormat="false" ht="17.15" hidden="false" customHeight="false" outlineLevel="0" collapsed="false">
      <c r="A45" s="4" t="s">
        <v>642</v>
      </c>
      <c r="B45" s="11" t="n">
        <f aca="false">B35/cons_feps-1</f>
        <v>0.0587315895666778</v>
      </c>
      <c r="E45" s="4" t="s">
        <v>643</v>
      </c>
    </row>
    <row r="46" customFormat="false" ht="17.15" hidden="false" customHeight="false" outlineLevel="0" collapsed="false">
      <c r="A46" s="4" t="s">
        <v>644</v>
      </c>
      <c r="B46" s="11" t="n">
        <f aca="false">(cons_tp/cons_feps)/B34-1</f>
        <v>-0.233468291326589</v>
      </c>
      <c r="E46" s="0" t="str">
        <f aca="false">"共識目標價 ÷ 共識前瞻 EPS 隱含 "&amp;TEXT(cons_tp/cons_feps,"0.0")&amp;"x，同業中位數 "&amp;TEXT(B34,"0.0")&amp;"x"</f>
        <v>共識目標價 ÷ 共識前瞻 EPS 隱含 26.1x，同業中位數 34.0x</v>
      </c>
    </row>
    <row r="47" customFormat="false" ht="17.15" hidden="false" customHeight="false" outlineLevel="0" collapsed="false">
      <c r="A47" s="4" t="s">
        <v>645</v>
      </c>
      <c r="B47" s="28" t="str">
        <f aca="false">TEXT(D23,"#,##0")&amp;"～"&amp;TEXT(B23,"#,##0")</f>
        <v>6,136～15,100</v>
      </c>
      <c r="E47" s="8" t="s">
        <v>646</v>
      </c>
    </row>
    <row r="48" customFormat="false" ht="17.15" hidden="false" customHeight="false" outlineLevel="0" collapsed="false">
      <c r="A48" s="4" t="s">
        <v>647</v>
      </c>
      <c r="B48" s="29" t="n">
        <f aca="false">IF(px/B9&lt;MIN(H65:H74),0,IF(px/B9&gt;MAX(H65:H74),1,PERCENTRANK(H65:H74,px/B9)))</f>
        <v>0.442</v>
      </c>
      <c r="C48" s="29" t="n">
        <f aca="false">IF(px/C9&lt;MIN(H65:H74),0,IF(px/C9&gt;MAX(H65:H74),1,PERCENTRANK(H65:H74,px/C9)))</f>
        <v>0.897</v>
      </c>
      <c r="D48" s="29" t="n">
        <f aca="false">IF(px/D9&lt;MIN(H65:H74),0,IF(px/D9&gt;MAX(H65:H74),1,PERCENTRANK(H65:H74,px/D9)))</f>
        <v>1</v>
      </c>
      <c r="E48" s="4" t="s">
        <v>648</v>
      </c>
    </row>
    <row r="49" customFormat="false" ht="17.15" hidden="false" customHeight="false" outlineLevel="0" collapsed="false">
      <c r="A49" s="4" t="s">
        <v>649</v>
      </c>
      <c r="B49" s="0" t="s">
        <v>650</v>
      </c>
    </row>
    <row r="51" customFormat="false" ht="17.15" hidden="false" customHeight="false" outlineLevel="0" collapsed="false">
      <c r="A51" s="6" t="s">
        <v>651</v>
      </c>
    </row>
    <row r="52" customFormat="false" ht="15" hidden="false" customHeight="false" outlineLevel="0" collapsed="false">
      <c r="A52" s="5" t="s">
        <v>23</v>
      </c>
      <c r="B52" s="14" t="s">
        <v>652</v>
      </c>
      <c r="C52" s="14" t="s">
        <v>653</v>
      </c>
      <c r="D52" s="14" t="s">
        <v>654</v>
      </c>
      <c r="E52" s="5" t="s">
        <v>520</v>
      </c>
    </row>
    <row r="53" customFormat="false" ht="17.15" hidden="false" customHeight="false" outlineLevel="0" collapsed="false">
      <c r="A53" s="4" t="s">
        <v>655</v>
      </c>
      <c r="B53" s="13" t="n">
        <f aca="false">px</f>
        <v>15520</v>
      </c>
      <c r="E53" s="8" t="s">
        <v>656</v>
      </c>
    </row>
    <row r="54" customFormat="false" ht="17.15" hidden="false" customHeight="false" outlineLevel="0" collapsed="false">
      <c r="A54" s="4" t="s">
        <v>657</v>
      </c>
      <c r="B54" s="27" t="n">
        <f aca="false">px/PL!D13</f>
        <v>20.4523567792208</v>
      </c>
      <c r="C54" s="27" t="n">
        <f aca="false">px/PL!D24</f>
        <v>20.4523567792208</v>
      </c>
      <c r="D54" s="27" t="n">
        <f aca="false">px/PL!D35</f>
        <v>20.4523567792208</v>
      </c>
      <c r="E54" s="8" t="s">
        <v>658</v>
      </c>
    </row>
    <row r="55" customFormat="false" ht="17.15" hidden="false" customHeight="false" outlineLevel="0" collapsed="false">
      <c r="A55" s="4" t="s">
        <v>659</v>
      </c>
      <c r="B55" s="27" t="n">
        <f aca="false">px/PL!E13</f>
        <v>16.9552037961398</v>
      </c>
      <c r="C55" s="27" t="n">
        <f aca="false">px/PL!E24</f>
        <v>18.4021683961461</v>
      </c>
      <c r="D55" s="27" t="n">
        <f aca="false">px/PL!E35</f>
        <v>20.8170466879325</v>
      </c>
    </row>
    <row r="56" customFormat="false" ht="17.15" hidden="false" customHeight="false" outlineLevel="0" collapsed="false">
      <c r="A56" s="4" t="s">
        <v>660</v>
      </c>
      <c r="B56" s="27" t="n">
        <f aca="false">px/PL!F13</f>
        <v>14.4071266643782</v>
      </c>
      <c r="C56" s="27" t="n">
        <f aca="false">px/PL!F24</f>
        <v>18.6866491016435</v>
      </c>
      <c r="D56" s="27" t="n">
        <f aca="false">px/PL!F35</f>
        <v>27.6349596073239</v>
      </c>
    </row>
    <row r="57" customFormat="false" ht="17.15" hidden="false" customHeight="false" outlineLevel="0" collapsed="false">
      <c r="A57" s="4" t="s">
        <v>661</v>
      </c>
      <c r="B57" s="27" t="n">
        <f aca="false">px/PL!G13</f>
        <v>13.1077578502945</v>
      </c>
      <c r="C57" s="27" t="n">
        <f aca="false">px/PL!G24</f>
        <v>19.2377797540663</v>
      </c>
      <c r="D57" s="27" t="n">
        <f aca="false">px/PL!G35</f>
        <v>28.4024907375785</v>
      </c>
    </row>
    <row r="58" customFormat="false" ht="17.15" hidden="false" customHeight="false" outlineLevel="0" collapsed="false">
      <c r="A58" s="0" t="s">
        <v>662</v>
      </c>
      <c r="B58" s="27" t="n">
        <f aca="false">px/a25_eps</f>
        <v>25.44178879381</v>
      </c>
      <c r="E58" s="4" t="s">
        <v>663</v>
      </c>
    </row>
    <row r="59" customFormat="false" ht="17.15" hidden="false" customHeight="false" outlineLevel="0" collapsed="false">
      <c r="A59" s="0" t="s">
        <v>664</v>
      </c>
      <c r="B59" s="27" t="n">
        <f aca="false">px/(157.5+111.88+261.16+115.01)</f>
        <v>24.0415149872202</v>
      </c>
      <c r="E59" s="4" t="s">
        <v>665</v>
      </c>
    </row>
    <row r="60" customFormat="false" ht="17.15" hidden="false" customHeight="false" outlineLevel="0" collapsed="false">
      <c r="A60" s="0" t="s">
        <v>666</v>
      </c>
      <c r="B60" s="27" t="n">
        <f aca="false">sa_ttm</f>
        <v>28.7</v>
      </c>
      <c r="E60" s="4" t="s">
        <v>667</v>
      </c>
    </row>
    <row r="61" customFormat="false" ht="17.15" hidden="false" customHeight="false" outlineLevel="0" collapsed="false">
      <c r="A61" s="4" t="s">
        <v>668</v>
      </c>
      <c r="B61" s="27" t="n">
        <f aca="false">sa_fpe</f>
        <v>21.86</v>
      </c>
      <c r="E61" s="4" t="s">
        <v>669</v>
      </c>
    </row>
    <row r="63" customFormat="false" ht="17.15" hidden="false" customHeight="false" outlineLevel="0" collapsed="false">
      <c r="A63" s="6" t="s">
        <v>670</v>
      </c>
    </row>
    <row r="64" customFormat="false" ht="17.15" hidden="false" customHeight="false" outlineLevel="0" collapsed="false">
      <c r="A64" s="5" t="s">
        <v>671</v>
      </c>
      <c r="B64" s="5" t="s">
        <v>672</v>
      </c>
      <c r="C64" s="5" t="s">
        <v>673</v>
      </c>
      <c r="D64" s="5" t="s">
        <v>674</v>
      </c>
      <c r="E64" s="5"/>
      <c r="F64" s="5"/>
      <c r="G64" s="5" t="s">
        <v>675</v>
      </c>
      <c r="H64" s="14" t="s">
        <v>676</v>
      </c>
      <c r="I64" s="5" t="s">
        <v>28</v>
      </c>
      <c r="J64" s="5" t="s">
        <v>520</v>
      </c>
    </row>
    <row r="65" customFormat="false" ht="17.15" hidden="false" customHeight="false" outlineLevel="0" collapsed="false">
      <c r="A65" s="0" t="s">
        <v>677</v>
      </c>
      <c r="B65" s="12" t="n">
        <v>3465</v>
      </c>
      <c r="C65" s="12" t="n">
        <v>3465</v>
      </c>
      <c r="D65" s="30" t="n">
        <f aca="false">B65/C65-1</f>
        <v>0</v>
      </c>
      <c r="G65" s="18" t="n">
        <f aca="false">Hist!E7</f>
        <v>239.31</v>
      </c>
      <c r="H65" s="27" t="n">
        <f aca="false">B65/G65</f>
        <v>14.4791274915382</v>
      </c>
      <c r="I65" s="8" t="s">
        <v>35</v>
      </c>
      <c r="J65" s="4" t="s">
        <v>678</v>
      </c>
    </row>
    <row r="66" customFormat="false" ht="17.15" hidden="false" customHeight="false" outlineLevel="0" collapsed="false">
      <c r="A66" s="0" t="s">
        <v>679</v>
      </c>
      <c r="B66" s="12" t="n">
        <v>4460</v>
      </c>
      <c r="C66" s="12" t="n">
        <v>4460</v>
      </c>
      <c r="D66" s="30" t="n">
        <f aca="false">B66/C66-1</f>
        <v>0</v>
      </c>
      <c r="G66" s="18" t="n">
        <f aca="false">Hist!E8</f>
        <v>306.4</v>
      </c>
      <c r="H66" s="27" t="n">
        <f aca="false">B66/G66</f>
        <v>14.556135770235</v>
      </c>
      <c r="I66" s="8" t="s">
        <v>35</v>
      </c>
    </row>
    <row r="67" customFormat="false" ht="17.15" hidden="false" customHeight="false" outlineLevel="0" collapsed="false">
      <c r="A67" s="0" t="s">
        <v>680</v>
      </c>
      <c r="B67" s="12" t="n">
        <v>2773</v>
      </c>
      <c r="C67" s="12" t="n">
        <v>2773</v>
      </c>
      <c r="D67" s="30" t="n">
        <f aca="false">B67/C67-1</f>
        <v>0</v>
      </c>
      <c r="G67" s="18" t="n">
        <f aca="false">Hist!E9</f>
        <v>352.92</v>
      </c>
      <c r="H67" s="27" t="n">
        <f aca="false">B67/G67</f>
        <v>7.85730477161963</v>
      </c>
      <c r="I67" s="8" t="s">
        <v>35</v>
      </c>
    </row>
    <row r="68" customFormat="false" ht="17.15" hidden="false" customHeight="false" outlineLevel="0" collapsed="false">
      <c r="A68" s="0" t="s">
        <v>681</v>
      </c>
      <c r="B68" s="12" t="n">
        <v>4260</v>
      </c>
      <c r="C68" s="12" t="n">
        <v>4260</v>
      </c>
      <c r="D68" s="30" t="n">
        <f aca="false">B68/C68-1</f>
        <v>0</v>
      </c>
      <c r="G68" s="18" t="n">
        <f aca="false">Hist!E10</f>
        <v>171.89</v>
      </c>
      <c r="H68" s="27" t="n">
        <f aca="false">B68/G68</f>
        <v>24.7832916400023</v>
      </c>
      <c r="I68" s="8" t="s">
        <v>35</v>
      </c>
      <c r="J68" s="8" t="s">
        <v>682</v>
      </c>
    </row>
    <row r="69" customFormat="false" ht="17.15" hidden="false" customHeight="false" outlineLevel="0" collapsed="false">
      <c r="A69" s="0" t="s">
        <v>683</v>
      </c>
      <c r="B69" s="12" t="n">
        <v>4850</v>
      </c>
      <c r="C69" s="12" t="n">
        <v>4850</v>
      </c>
      <c r="D69" s="30" t="n">
        <f aca="false">B69/C69-1</f>
        <v>0</v>
      </c>
      <c r="G69" s="18" t="n">
        <f aca="false">Hist!E11</f>
        <v>293.83</v>
      </c>
      <c r="H69" s="27" t="n">
        <f aca="false">B69/G69</f>
        <v>16.5061430078617</v>
      </c>
      <c r="I69" s="8" t="s">
        <v>35</v>
      </c>
    </row>
    <row r="70" customFormat="false" ht="17.15" hidden="false" customHeight="false" outlineLevel="0" collapsed="false">
      <c r="A70" s="0" t="s">
        <v>684</v>
      </c>
      <c r="B70" s="12" t="n">
        <v>5100</v>
      </c>
      <c r="C70" s="12" t="n">
        <v>5100</v>
      </c>
      <c r="D70" s="30" t="n">
        <f aca="false">B70/C70-1</f>
        <v>0</v>
      </c>
      <c r="G70" s="18" t="n">
        <f aca="false">Hist!E12</f>
        <v>522.52</v>
      </c>
      <c r="H70" s="27" t="n">
        <f aca="false">B70/G70</f>
        <v>9.76039194671974</v>
      </c>
      <c r="I70" s="8" t="s">
        <v>35</v>
      </c>
    </row>
    <row r="71" customFormat="false" ht="17.15" hidden="false" customHeight="false" outlineLevel="0" collapsed="false">
      <c r="A71" s="0" t="s">
        <v>685</v>
      </c>
      <c r="B71" s="12" t="n">
        <v>4270</v>
      </c>
      <c r="C71" s="12" t="n">
        <v>4270</v>
      </c>
      <c r="D71" s="30" t="n">
        <f aca="false">B71/C71-1</f>
        <v>0</v>
      </c>
      <c r="G71" s="18" t="n">
        <f aca="false">Hist!E13</f>
        <v>581.33</v>
      </c>
      <c r="H71" s="27" t="n">
        <f aca="false">B71/G71</f>
        <v>7.34522560335782</v>
      </c>
      <c r="I71" s="8" t="s">
        <v>35</v>
      </c>
    </row>
    <row r="72" customFormat="false" ht="17.15" hidden="false" customHeight="false" outlineLevel="0" collapsed="false">
      <c r="A72" s="0" t="s">
        <v>686</v>
      </c>
      <c r="B72" s="12" t="n">
        <v>8671</v>
      </c>
      <c r="C72" s="12" t="n">
        <v>8671</v>
      </c>
      <c r="D72" s="30" t="n">
        <f aca="false">B72/C72-1</f>
        <v>0</v>
      </c>
      <c r="G72" s="18" t="n">
        <f aca="false">Hist!E14</f>
        <v>480.49</v>
      </c>
      <c r="H72" s="27" t="n">
        <f aca="false">B72/G72</f>
        <v>18.046161210431</v>
      </c>
      <c r="I72" s="8" t="s">
        <v>35</v>
      </c>
    </row>
    <row r="73" customFormat="false" ht="17.15" hidden="false" customHeight="false" outlineLevel="0" collapsed="false">
      <c r="A73" s="0" t="s">
        <v>687</v>
      </c>
      <c r="B73" s="12" t="n">
        <v>7357</v>
      </c>
      <c r="C73" s="12" t="n">
        <v>7357</v>
      </c>
      <c r="D73" s="30" t="n">
        <f aca="false">B73/C73-1</f>
        <v>0</v>
      </c>
      <c r="G73" s="18" t="n">
        <f aca="false">Hist!E15</f>
        <v>633.75</v>
      </c>
      <c r="H73" s="27" t="n">
        <f aca="false">B73/G73</f>
        <v>11.6086785009862</v>
      </c>
      <c r="I73" s="8" t="s">
        <v>35</v>
      </c>
    </row>
    <row r="74" customFormat="false" ht="17.15" hidden="false" customHeight="false" outlineLevel="0" collapsed="false">
      <c r="A74" s="0" t="s">
        <v>688</v>
      </c>
      <c r="B74" s="12" t="n">
        <v>11105</v>
      </c>
      <c r="C74" s="12" t="n">
        <v>11105</v>
      </c>
      <c r="D74" s="30" t="n">
        <f aca="false">B74/C74-1</f>
        <v>0</v>
      </c>
      <c r="G74" s="18" t="n">
        <f aca="false">Hist!E16</f>
        <v>610.02</v>
      </c>
      <c r="H74" s="27" t="n">
        <f aca="false">B74/G74</f>
        <v>18.2043211697977</v>
      </c>
      <c r="I74" s="8" t="s">
        <v>35</v>
      </c>
    </row>
    <row r="75" customFormat="false" ht="17.15" hidden="false" customHeight="false" outlineLevel="0" collapsed="false">
      <c r="A75" s="4" t="s">
        <v>689</v>
      </c>
    </row>
    <row r="77" customFormat="false" ht="17.15" hidden="false" customHeight="false" outlineLevel="0" collapsed="false">
      <c r="A77" s="6" t="s">
        <v>690</v>
      </c>
    </row>
    <row r="78" customFormat="false" ht="17.15" hidden="false" customHeight="false" outlineLevel="0" collapsed="false">
      <c r="A78" s="5" t="s">
        <v>691</v>
      </c>
      <c r="B78" s="14" t="s">
        <v>676</v>
      </c>
      <c r="C78" s="5" t="s">
        <v>692</v>
      </c>
    </row>
    <row r="79" customFormat="false" ht="17.15" hidden="false" customHeight="false" outlineLevel="0" collapsed="false">
      <c r="A79" s="0" t="s">
        <v>693</v>
      </c>
      <c r="B79" s="27" t="n">
        <f aca="false">PERCENTILE(H65:H74,0.25)</f>
        <v>10.2224635852864</v>
      </c>
      <c r="C79" s="4" t="s">
        <v>694</v>
      </c>
    </row>
    <row r="80" customFormat="false" ht="15" hidden="false" customHeight="false" outlineLevel="0" collapsed="false">
      <c r="A80" s="4" t="s">
        <v>695</v>
      </c>
      <c r="B80" s="27" t="n">
        <f aca="false">PERCENTILE(H65:H74,0.5)</f>
        <v>14.5176316308866</v>
      </c>
      <c r="C80" s="4" t="s">
        <v>696</v>
      </c>
    </row>
    <row r="81" customFormat="false" ht="17.15" hidden="false" customHeight="false" outlineLevel="0" collapsed="false">
      <c r="A81" s="0" t="s">
        <v>697</v>
      </c>
      <c r="B81" s="27" t="n">
        <f aca="false">PERCENTILE(H65:H74,0.75)</f>
        <v>17.6611566597887</v>
      </c>
      <c r="C81" s="4" t="s">
        <v>698</v>
      </c>
    </row>
    <row r="82" customFormat="false" ht="15" hidden="false" customHeight="false" outlineLevel="0" collapsed="false">
      <c r="A82" s="4" t="s">
        <v>699</v>
      </c>
      <c r="B82" s="0" t="n">
        <f aca="false">COUNT(H65:H74)</f>
        <v>10</v>
      </c>
    </row>
    <row r="84" customFormat="false" ht="17.15" hidden="false" customHeight="false" outlineLevel="0" collapsed="false">
      <c r="A84" s="6" t="s">
        <v>700</v>
      </c>
    </row>
    <row r="85" customFormat="false" ht="17.15" hidden="false" customHeight="false" outlineLevel="0" collapsed="false">
      <c r="A85" s="4" t="s">
        <v>701</v>
      </c>
    </row>
    <row r="86" customFormat="false" ht="17.15" hidden="false" customHeight="false" outlineLevel="0" collapsed="false">
      <c r="A86" s="5" t="s">
        <v>702</v>
      </c>
      <c r="B86" s="5" t="s">
        <v>703</v>
      </c>
      <c r="C86" s="14" t="s">
        <v>704</v>
      </c>
      <c r="D86" s="5" t="s">
        <v>705</v>
      </c>
      <c r="E86" s="5" t="s">
        <v>706</v>
      </c>
    </row>
    <row r="87" customFormat="false" ht="15" hidden="false" customHeight="false" outlineLevel="0" collapsed="false">
      <c r="A87" s="0" t="s">
        <v>652</v>
      </c>
      <c r="B87" s="0" t="n">
        <f aca="false">pk_A</f>
        <v>2029</v>
      </c>
      <c r="C87" s="7" t="n">
        <v>2027</v>
      </c>
      <c r="D87" s="0" t="str">
        <f aca="false">IF(C87&lt;pk_A,"中段",IF(C87=pk_A,"見頂","谷底"))</f>
        <v>中段</v>
      </c>
      <c r="E87" s="27" t="n">
        <f aca="false">IF(D87="見頂",pe_peak,IF(D87="谷底",pe_trough,pe_mid))</f>
        <v>14.5176316308866</v>
      </c>
    </row>
    <row r="88" customFormat="false" ht="15" hidden="false" customHeight="false" outlineLevel="0" collapsed="false">
      <c r="A88" s="0" t="s">
        <v>653</v>
      </c>
      <c r="B88" s="0" t="n">
        <f aca="false">pk_B</f>
        <v>2028</v>
      </c>
      <c r="C88" s="7" t="n">
        <v>2027</v>
      </c>
      <c r="D88" s="0" t="str">
        <f aca="false">IF(C88&lt;pk_B,"中段",IF(C88=pk_B,"見頂","谷底"))</f>
        <v>中段</v>
      </c>
      <c r="E88" s="27" t="n">
        <f aca="false">IF(D88="見頂",pe_peak,IF(D88="谷底",pe_trough,pe_mid))</f>
        <v>14.5176316308866</v>
      </c>
    </row>
    <row r="89" customFormat="false" ht="15" hidden="false" customHeight="false" outlineLevel="0" collapsed="false">
      <c r="A89" s="0" t="s">
        <v>654</v>
      </c>
      <c r="B89" s="0" t="n">
        <f aca="false">pk_C</f>
        <v>2027</v>
      </c>
      <c r="C89" s="7" t="n">
        <v>2027</v>
      </c>
      <c r="D89" s="0" t="str">
        <f aca="false">IF(C89&lt;pk_C,"中段",IF(C89=pk_C,"見頂","谷底"))</f>
        <v>見頂</v>
      </c>
      <c r="E89" s="27" t="n">
        <f aca="false">IF(D89="見頂",pe_peak,IF(D89="谷底",pe_trough,pe_mid))</f>
        <v>10.2224635852864</v>
      </c>
    </row>
    <row r="91" customFormat="false" ht="17.15" hidden="false" customHeight="false" outlineLevel="0" collapsed="false">
      <c r="A91" s="6" t="s">
        <v>707</v>
      </c>
    </row>
    <row r="92" customFormat="false" ht="17.15" hidden="false" customHeight="false" outlineLevel="0" collapsed="false">
      <c r="A92" s="5" t="s">
        <v>702</v>
      </c>
      <c r="B92" s="14" t="s">
        <v>708</v>
      </c>
      <c r="C92" s="14" t="s">
        <v>526</v>
      </c>
      <c r="D92" s="5" t="s">
        <v>709</v>
      </c>
      <c r="E92" s="5" t="s">
        <v>706</v>
      </c>
      <c r="F92" s="5" t="s">
        <v>710</v>
      </c>
      <c r="G92" s="5" t="s">
        <v>711</v>
      </c>
      <c r="H92" s="5" t="s">
        <v>712</v>
      </c>
    </row>
    <row r="93" customFormat="false" ht="15" hidden="false" customHeight="false" outlineLevel="0" collapsed="false">
      <c r="A93" s="31" t="s">
        <v>652</v>
      </c>
      <c r="B93" s="31" t="s">
        <v>517</v>
      </c>
      <c r="C93" s="25" t="n">
        <f aca="false">PL!E13</f>
        <v>915.353196965608</v>
      </c>
      <c r="D93" s="31" t="str">
        <f aca="false">"規則值："&amp;D87</f>
        <v>規則值：中段</v>
      </c>
      <c r="E93" s="32" t="n">
        <f aca="false">E87</f>
        <v>14.5176316308866</v>
      </c>
      <c r="F93" s="25" t="n">
        <f aca="false">C93*E93</f>
        <v>13288.7605257011</v>
      </c>
      <c r="G93" s="33" t="n">
        <f aca="false">F93/px-1</f>
        <v>-0.143765430045035</v>
      </c>
      <c r="H93" s="31"/>
    </row>
    <row r="94" customFormat="false" ht="17.15" hidden="false" customHeight="false" outlineLevel="0" collapsed="false">
      <c r="A94" s="0" t="s">
        <v>652</v>
      </c>
      <c r="B94" s="0" t="s">
        <v>517</v>
      </c>
      <c r="C94" s="13" t="n">
        <f aca="false">PL!E13</f>
        <v>915.353196965608</v>
      </c>
      <c r="D94" s="4" t="s">
        <v>713</v>
      </c>
      <c r="E94" s="27" t="n">
        <f aca="false">pe_peak</f>
        <v>10.2224635852864</v>
      </c>
      <c r="F94" s="13" t="n">
        <f aca="false">C94*E94</f>
        <v>9357.16472365637</v>
      </c>
      <c r="G94" s="29" t="n">
        <f aca="false">F94/px-1</f>
        <v>-0.397089901826265</v>
      </c>
    </row>
    <row r="95" customFormat="false" ht="15" hidden="false" customHeight="false" outlineLevel="0" collapsed="false">
      <c r="A95" s="0" t="s">
        <v>652</v>
      </c>
      <c r="B95" s="0" t="s">
        <v>517</v>
      </c>
      <c r="C95" s="13" t="n">
        <f aca="false">PL!E13</f>
        <v>915.353196965608</v>
      </c>
      <c r="D95" s="4" t="s">
        <v>714</v>
      </c>
      <c r="E95" s="27" t="n">
        <f aca="false">pe_mid</f>
        <v>14.5176316308866</v>
      </c>
      <c r="F95" s="13" t="n">
        <f aca="false">C95*E95</f>
        <v>13288.7605257011</v>
      </c>
      <c r="G95" s="29" t="n">
        <f aca="false">F95/px-1</f>
        <v>-0.143765430045035</v>
      </c>
    </row>
    <row r="96" customFormat="false" ht="17.15" hidden="false" customHeight="false" outlineLevel="0" collapsed="false">
      <c r="A96" s="0" t="s">
        <v>652</v>
      </c>
      <c r="B96" s="0" t="s">
        <v>517</v>
      </c>
      <c r="C96" s="13" t="n">
        <f aca="false">PL!E13</f>
        <v>915.353196965608</v>
      </c>
      <c r="D96" s="4" t="s">
        <v>715</v>
      </c>
      <c r="E96" s="27" t="n">
        <f aca="false">pe_trough</f>
        <v>17.6611566597887</v>
      </c>
      <c r="F96" s="13" t="n">
        <f aca="false">C96*E96</f>
        <v>16166.196210648</v>
      </c>
      <c r="G96" s="29" t="n">
        <f aca="false">F96/px-1</f>
        <v>0.0416363537788662</v>
      </c>
    </row>
    <row r="97" customFormat="false" ht="17.15" hidden="false" customHeight="false" outlineLevel="0" collapsed="false">
      <c r="A97" s="0" t="s">
        <v>652</v>
      </c>
      <c r="B97" s="0" t="s">
        <v>518</v>
      </c>
      <c r="C97" s="13" t="n">
        <f aca="false">PL!F13</f>
        <v>1077.24464159626</v>
      </c>
      <c r="D97" s="4" t="s">
        <v>716</v>
      </c>
      <c r="E97" s="27" t="n">
        <f aca="false">pe_mid</f>
        <v>14.5176316308866</v>
      </c>
      <c r="F97" s="13" t="n">
        <f aca="false">C97*E97</f>
        <v>15639.0408830409</v>
      </c>
      <c r="G97" s="29" t="n">
        <f aca="false">F97/px-1</f>
        <v>0.00767015998974774</v>
      </c>
    </row>
    <row r="98" customFormat="false" ht="15" hidden="false" customHeight="false" outlineLevel="0" collapsed="false">
      <c r="A98" s="31" t="s">
        <v>653</v>
      </c>
      <c r="B98" s="31" t="s">
        <v>517</v>
      </c>
      <c r="C98" s="25" t="n">
        <f aca="false">PL!E24</f>
        <v>843.378870679733</v>
      </c>
      <c r="D98" s="31" t="str">
        <f aca="false">"規則值："&amp;D88</f>
        <v>規則值：中段</v>
      </c>
      <c r="E98" s="32" t="n">
        <f aca="false">E88</f>
        <v>14.5176316308866</v>
      </c>
      <c r="F98" s="25" t="n">
        <f aca="false">C98*E98</f>
        <v>12243.8637698015</v>
      </c>
      <c r="G98" s="33" t="n">
        <f aca="false">F98/px-1</f>
        <v>-0.21109125194578</v>
      </c>
      <c r="H98" s="31"/>
    </row>
    <row r="99" customFormat="false" ht="17.15" hidden="false" customHeight="false" outlineLevel="0" collapsed="false">
      <c r="A99" s="0" t="s">
        <v>653</v>
      </c>
      <c r="B99" s="0" t="s">
        <v>517</v>
      </c>
      <c r="C99" s="13" t="n">
        <f aca="false">PL!E24</f>
        <v>843.378870679733</v>
      </c>
      <c r="D99" s="4" t="s">
        <v>713</v>
      </c>
      <c r="E99" s="27" t="n">
        <f aca="false">pe_peak</f>
        <v>10.2224635852864</v>
      </c>
      <c r="F99" s="13" t="n">
        <f aca="false">C99*E99</f>
        <v>8621.4097941235</v>
      </c>
      <c r="G99" s="29" t="n">
        <f aca="false">F99/px-1</f>
        <v>-0.444496791615754</v>
      </c>
    </row>
    <row r="100" customFormat="false" ht="15" hidden="false" customHeight="false" outlineLevel="0" collapsed="false">
      <c r="A100" s="0" t="s">
        <v>653</v>
      </c>
      <c r="B100" s="0" t="s">
        <v>517</v>
      </c>
      <c r="C100" s="13" t="n">
        <f aca="false">PL!E24</f>
        <v>843.378870679733</v>
      </c>
      <c r="D100" s="4" t="s">
        <v>714</v>
      </c>
      <c r="E100" s="27" t="n">
        <f aca="false">pe_mid</f>
        <v>14.5176316308866</v>
      </c>
      <c r="F100" s="13" t="n">
        <f aca="false">C100*E100</f>
        <v>12243.8637698015</v>
      </c>
      <c r="G100" s="29" t="n">
        <f aca="false">F100/px-1</f>
        <v>-0.21109125194578</v>
      </c>
    </row>
    <row r="101" customFormat="false" ht="17.15" hidden="false" customHeight="false" outlineLevel="0" collapsed="false">
      <c r="A101" s="0" t="s">
        <v>653</v>
      </c>
      <c r="B101" s="0" t="s">
        <v>517</v>
      </c>
      <c r="C101" s="13" t="n">
        <f aca="false">PL!E24</f>
        <v>843.378870679733</v>
      </c>
      <c r="D101" s="4" t="s">
        <v>715</v>
      </c>
      <c r="E101" s="27" t="n">
        <f aca="false">pe_trough</f>
        <v>17.6611566597887</v>
      </c>
      <c r="F101" s="13" t="n">
        <f aca="false">C101*E101</f>
        <v>14895.0463586304</v>
      </c>
      <c r="G101" s="29" t="n">
        <f aca="false">F101/px-1</f>
        <v>-0.0402676315315448</v>
      </c>
    </row>
    <row r="102" customFormat="false" ht="17.15" hidden="false" customHeight="false" outlineLevel="0" collapsed="false">
      <c r="A102" s="0" t="s">
        <v>653</v>
      </c>
      <c r="B102" s="0" t="s">
        <v>518</v>
      </c>
      <c r="C102" s="13" t="n">
        <f aca="false">PL!F24</f>
        <v>830.539489213988</v>
      </c>
      <c r="D102" s="4" t="s">
        <v>716</v>
      </c>
      <c r="E102" s="27" t="n">
        <f aca="false">pe_mid</f>
        <v>14.5176316308866</v>
      </c>
      <c r="F102" s="13" t="n">
        <f aca="false">C102*E102</f>
        <v>12057.4663593134</v>
      </c>
      <c r="G102" s="29" t="n">
        <f aca="false">F102/px-1</f>
        <v>-0.223101394374139</v>
      </c>
    </row>
    <row r="103" customFormat="false" ht="15" hidden="false" customHeight="false" outlineLevel="0" collapsed="false">
      <c r="A103" s="31" t="s">
        <v>654</v>
      </c>
      <c r="B103" s="31" t="s">
        <v>517</v>
      </c>
      <c r="C103" s="25" t="n">
        <f aca="false">PL!E35</f>
        <v>745.542834805518</v>
      </c>
      <c r="D103" s="31" t="str">
        <f aca="false">"規則值："&amp;D89</f>
        <v>規則值：見頂</v>
      </c>
      <c r="E103" s="32" t="n">
        <f aca="false">E89</f>
        <v>10.2224635852864</v>
      </c>
      <c r="F103" s="25" t="n">
        <f aca="false">C103*E103</f>
        <v>7621.28448007056</v>
      </c>
      <c r="G103" s="33" t="n">
        <f aca="false">F103/px-1</f>
        <v>-0.508937855665557</v>
      </c>
      <c r="H103" s="31"/>
    </row>
    <row r="104" customFormat="false" ht="17.15" hidden="false" customHeight="false" outlineLevel="0" collapsed="false">
      <c r="A104" s="0" t="s">
        <v>654</v>
      </c>
      <c r="B104" s="0" t="s">
        <v>517</v>
      </c>
      <c r="C104" s="13" t="n">
        <f aca="false">PL!E35</f>
        <v>745.542834805518</v>
      </c>
      <c r="D104" s="4" t="s">
        <v>713</v>
      </c>
      <c r="E104" s="27" t="n">
        <f aca="false">pe_peak</f>
        <v>10.2224635852864</v>
      </c>
      <c r="F104" s="13" t="n">
        <f aca="false">C104*E104</f>
        <v>7621.28448007056</v>
      </c>
      <c r="G104" s="29" t="n">
        <f aca="false">F104/px-1</f>
        <v>-0.508937855665557</v>
      </c>
    </row>
    <row r="105" customFormat="false" ht="15" hidden="false" customHeight="false" outlineLevel="0" collapsed="false">
      <c r="A105" s="0" t="s">
        <v>654</v>
      </c>
      <c r="B105" s="0" t="s">
        <v>517</v>
      </c>
      <c r="C105" s="13" t="n">
        <f aca="false">PL!E35</f>
        <v>745.542834805518</v>
      </c>
      <c r="D105" s="4" t="s">
        <v>714</v>
      </c>
      <c r="E105" s="27" t="n">
        <f aca="false">pe_mid</f>
        <v>14.5176316308866</v>
      </c>
      <c r="F105" s="13" t="n">
        <f aca="false">C105*E105</f>
        <v>10823.5162407534</v>
      </c>
      <c r="G105" s="29" t="n">
        <f aca="false">F105/px-1</f>
        <v>-0.302608489642176</v>
      </c>
    </row>
    <row r="106" customFormat="false" ht="17.15" hidden="false" customHeight="false" outlineLevel="0" collapsed="false">
      <c r="A106" s="0" t="s">
        <v>654</v>
      </c>
      <c r="B106" s="0" t="s">
        <v>517</v>
      </c>
      <c r="C106" s="13" t="n">
        <f aca="false">PL!E35</f>
        <v>745.542834805518</v>
      </c>
      <c r="D106" s="4" t="s">
        <v>715</v>
      </c>
      <c r="E106" s="27" t="n">
        <f aca="false">pe_trough</f>
        <v>17.6611566597887</v>
      </c>
      <c r="F106" s="13" t="n">
        <f aca="false">C106*E106</f>
        <v>13167.1488020832</v>
      </c>
      <c r="G106" s="29" t="n">
        <f aca="false">F106/px-1</f>
        <v>-0.151601236979175</v>
      </c>
    </row>
    <row r="107" customFormat="false" ht="17.15" hidden="false" customHeight="false" outlineLevel="0" collapsed="false">
      <c r="A107" s="0" t="s">
        <v>654</v>
      </c>
      <c r="B107" s="0" t="s">
        <v>518</v>
      </c>
      <c r="C107" s="13" t="n">
        <f aca="false">PL!F35</f>
        <v>561.607479096399</v>
      </c>
      <c r="D107" s="4" t="s">
        <v>716</v>
      </c>
      <c r="E107" s="27" t="n">
        <f aca="false">pe_mid</f>
        <v>14.5176316308866</v>
      </c>
      <c r="F107" s="13" t="n">
        <f aca="false">C107*E107</f>
        <v>8153.21050267235</v>
      </c>
      <c r="G107" s="29" t="n">
        <f aca="false">F107/px-1</f>
        <v>-0.474664271735029</v>
      </c>
    </row>
    <row r="109" customFormat="false" ht="17.15" hidden="false" customHeight="false" outlineLevel="0" collapsed="false">
      <c r="A109" s="6" t="s">
        <v>717</v>
      </c>
    </row>
    <row r="110" customFormat="false" ht="15" hidden="false" customHeight="false" outlineLevel="0" collapsed="false">
      <c r="A110" s="5" t="s">
        <v>23</v>
      </c>
      <c r="B110" s="5" t="s">
        <v>632</v>
      </c>
      <c r="C110" s="5"/>
      <c r="D110" s="5"/>
      <c r="E110" s="5" t="s">
        <v>520</v>
      </c>
    </row>
    <row r="111" customFormat="false" ht="17.15" hidden="false" customHeight="false" outlineLevel="0" collapsed="false">
      <c r="A111" s="4" t="s">
        <v>718</v>
      </c>
      <c r="B111" s="13" t="n">
        <f aca="false">tp_wA*F93+tp_wB*F98+tp_wC*F103</f>
        <v>11632.8169386252</v>
      </c>
    </row>
    <row r="112" customFormat="false" ht="17.15" hidden="false" customHeight="false" outlineLevel="0" collapsed="false">
      <c r="A112" s="4" t="s">
        <v>719</v>
      </c>
      <c r="B112" s="11" t="n">
        <f aca="false">B111/px-1</f>
        <v>-0.250462826119512</v>
      </c>
    </row>
    <row r="113" customFormat="false" ht="17.15" hidden="false" customHeight="false" outlineLevel="0" collapsed="false">
      <c r="A113" s="4" t="s">
        <v>720</v>
      </c>
      <c r="B113" s="4" t="s">
        <v>721</v>
      </c>
    </row>
    <row r="115" customFormat="false" ht="17.15" hidden="false" customHeight="false" outlineLevel="0" collapsed="false">
      <c r="A115" s="4" t="s">
        <v>722</v>
      </c>
      <c r="B115" s="28" t="str">
        <f aca="false">IF(B43&gt;0.5,"大於 50%",IF(B43&gt;0.25,"25%–50%",IF(B43&gt;=0,"0%–25%",IF(B43&gt;=-0.25,"0%～−25%",IF(B43&gt;=-0.5,"−25%～−50%","小於 −50%")))))</f>
        <v>25%–50%</v>
      </c>
      <c r="E115" s="4" t="s">
        <v>723</v>
      </c>
    </row>
    <row r="116" customFormat="false" ht="17.15" hidden="false" customHeight="false" outlineLevel="0" collapsed="false">
      <c r="A116" s="4" t="s">
        <v>724</v>
      </c>
      <c r="B116" s="28" t="str">
        <f aca="false">IF(B43&gt;0.5,"強力買進",IF(B43&gt;0.25,"買進",IF(B43&gt;=-0.25,"中立",IF(B43&gt;=-0.5,"放空","強力放空"))))</f>
        <v>買進</v>
      </c>
      <c r="E116" s="4" t="s">
        <v>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8" min="2" style="0" width="12"/>
    <col collapsed="false" customWidth="true" hidden="false" outlineLevel="0" max="9" min="9" style="0" width="40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726</v>
      </c>
    </row>
    <row r="3" customFormat="false" ht="17.15" hidden="false" customHeight="false" outlineLevel="0" collapsed="false">
      <c r="A3" s="5" t="s">
        <v>23</v>
      </c>
      <c r="B3" s="5" t="s">
        <v>727</v>
      </c>
      <c r="C3" s="5" t="s">
        <v>728</v>
      </c>
      <c r="D3" s="5" t="s">
        <v>729</v>
      </c>
      <c r="E3" s="5" t="s">
        <v>730</v>
      </c>
      <c r="F3" s="5" t="s">
        <v>731</v>
      </c>
      <c r="G3" s="5" t="s">
        <v>732</v>
      </c>
      <c r="H3" s="5" t="s">
        <v>733</v>
      </c>
      <c r="I3" s="5" t="s">
        <v>734</v>
      </c>
      <c r="J3" s="5" t="s">
        <v>520</v>
      </c>
    </row>
    <row r="4" customFormat="false" ht="17.15" hidden="false" customHeight="false" outlineLevel="0" collapsed="false">
      <c r="A4" s="6" t="s">
        <v>735</v>
      </c>
    </row>
    <row r="5" customFormat="false" ht="17.15" hidden="false" customHeight="false" outlineLevel="0" collapsed="false">
      <c r="A5" s="0" t="s">
        <v>736</v>
      </c>
      <c r="B5" s="16" t="n">
        <f aca="false">g26_rev</f>
        <v>189</v>
      </c>
      <c r="C5" s="16" t="n">
        <f aca="false">PL!D5</f>
        <v>189</v>
      </c>
      <c r="D5" s="11" t="n">
        <f aca="false">C5/B5-1</f>
        <v>0</v>
      </c>
      <c r="E5" s="16" t="n">
        <f aca="false">PL!D16</f>
        <v>189</v>
      </c>
      <c r="F5" s="11" t="n">
        <f aca="false">E5/B5-1</f>
        <v>0</v>
      </c>
      <c r="G5" s="16" t="n">
        <f aca="false">PL!D27</f>
        <v>189</v>
      </c>
      <c r="H5" s="11" t="n">
        <f aca="false">G5/B5-1</f>
        <v>0</v>
      </c>
      <c r="I5" s="4" t="s">
        <v>737</v>
      </c>
    </row>
    <row r="6" customFormat="false" ht="17.15" hidden="false" customHeight="false" outlineLevel="0" collapsed="false">
      <c r="A6" s="0" t="s">
        <v>738</v>
      </c>
      <c r="B6" s="16" t="n">
        <f aca="false">g26_oi</f>
        <v>44</v>
      </c>
      <c r="C6" s="16" t="n">
        <f aca="false">PL!D9</f>
        <v>44</v>
      </c>
      <c r="D6" s="11" t="n">
        <f aca="false">C6/B6-1</f>
        <v>0</v>
      </c>
      <c r="E6" s="16" t="n">
        <f aca="false">PL!D20</f>
        <v>44</v>
      </c>
      <c r="F6" s="11" t="n">
        <f aca="false">E6/B6-1</f>
        <v>0</v>
      </c>
      <c r="G6" s="16" t="n">
        <f aca="false">PL!D31</f>
        <v>44</v>
      </c>
      <c r="H6" s="11" t="n">
        <f aca="false">G6/B6-1</f>
        <v>0</v>
      </c>
      <c r="I6" s="8" t="s">
        <v>739</v>
      </c>
    </row>
    <row r="7" customFormat="false" ht="17.15" hidden="false" customHeight="false" outlineLevel="0" collapsed="false">
      <c r="A7" s="0" t="s">
        <v>740</v>
      </c>
      <c r="B7" s="18" t="n">
        <f aca="false">g26_eps</f>
        <v>758.83</v>
      </c>
      <c r="C7" s="18" t="n">
        <f aca="false">PL!D13</f>
        <v>758.83675253348</v>
      </c>
      <c r="D7" s="11" t="n">
        <f aca="false">C7/B7-1</f>
        <v>8.89861165198624E-006</v>
      </c>
      <c r="E7" s="18" t="n">
        <f aca="false">PL!D24</f>
        <v>758.83675253348</v>
      </c>
      <c r="F7" s="11" t="n">
        <f aca="false">E7/B7-1</f>
        <v>8.89861165198624E-006</v>
      </c>
      <c r="G7" s="18" t="n">
        <f aca="false">PL!D35</f>
        <v>758.83675253348</v>
      </c>
      <c r="H7" s="11" t="n">
        <f aca="false">G7/B7-1</f>
        <v>8.89861165198624E-006</v>
      </c>
      <c r="I7" s="8" t="s">
        <v>741</v>
      </c>
      <c r="J7" s="4" t="s">
        <v>742</v>
      </c>
    </row>
    <row r="8" customFormat="false" ht="17.15" hidden="false" customHeight="false" outlineLevel="0" collapsed="false">
      <c r="A8" s="0" t="s">
        <v>743</v>
      </c>
      <c r="B8" s="11" t="n">
        <f aca="false">a25_oi/a25_rev</f>
        <v>0.202218905651556</v>
      </c>
      <c r="C8" s="11" t="n">
        <f aca="false">PL!D10</f>
        <v>0.232804232804233</v>
      </c>
      <c r="D8" s="11" t="n">
        <f aca="false">C8-B8</f>
        <v>0.0305853271526765</v>
      </c>
      <c r="E8" s="11" t="n">
        <f aca="false">PL!D21</f>
        <v>0.232804232804233</v>
      </c>
      <c r="F8" s="11" t="n">
        <f aca="false">E8-B8</f>
        <v>0.0305853271526765</v>
      </c>
      <c r="G8" s="11" t="n">
        <f aca="false">PL!D32</f>
        <v>0.232804232804233</v>
      </c>
      <c r="H8" s="11" t="n">
        <f aca="false">G8-B8</f>
        <v>0.0305853271526765</v>
      </c>
      <c r="I8" s="8" t="s">
        <v>744</v>
      </c>
      <c r="J8" s="4" t="s">
        <v>745</v>
      </c>
    </row>
    <row r="9" customFormat="false" ht="17.15" hidden="false" customHeight="false" outlineLevel="0" collapsed="false">
      <c r="A9" s="6" t="s">
        <v>746</v>
      </c>
    </row>
    <row r="10" customFormat="false" ht="17.15" hidden="false" customHeight="false" outlineLevel="0" collapsed="false">
      <c r="A10" s="0" t="s">
        <v>747</v>
      </c>
      <c r="B10" s="16" t="n">
        <f aca="false">q1_rev</f>
        <v>36.716</v>
      </c>
      <c r="C10" s="16" t="n">
        <f aca="false">gh1_rev-q1_rev</f>
        <v>51.784</v>
      </c>
      <c r="D10" s="11" t="n">
        <f aca="false">C10/B10-1</f>
        <v>0.410393289029306</v>
      </c>
      <c r="E10" s="16" t="n">
        <f aca="false">gh1_rev-q1_rev</f>
        <v>51.784</v>
      </c>
      <c r="F10" s="11" t="n">
        <f aca="false">E10/B10-1</f>
        <v>0.410393289029306</v>
      </c>
      <c r="G10" s="16" t="n">
        <f aca="false">gh1_rev-q1_rev</f>
        <v>51.784</v>
      </c>
      <c r="H10" s="11" t="n">
        <f aca="false">G10/B10-1</f>
        <v>0.410393289029306</v>
      </c>
      <c r="I10" s="4" t="s">
        <v>748</v>
      </c>
      <c r="J10" s="4" t="s">
        <v>749</v>
      </c>
    </row>
    <row r="11" customFormat="false" ht="17.15" hidden="false" customHeight="false" outlineLevel="0" collapsed="false">
      <c r="A11" s="0" t="s">
        <v>750</v>
      </c>
      <c r="B11" s="16" t="n">
        <f aca="false">a25_rev-77.07</f>
        <v>89.769</v>
      </c>
      <c r="C11" s="16" t="n">
        <f aca="false">PL!D5-gh1_rev</f>
        <v>100.5</v>
      </c>
      <c r="D11" s="11" t="n">
        <f aca="false">C11/B11-1</f>
        <v>0.119540153059519</v>
      </c>
      <c r="E11" s="16" t="n">
        <f aca="false">PL!D16-gh1_rev</f>
        <v>100.5</v>
      </c>
      <c r="F11" s="11" t="n">
        <f aca="false">E11/B11-1</f>
        <v>0.119540153059519</v>
      </c>
      <c r="G11" s="16" t="n">
        <f aca="false">PL!D27-gh1_rev</f>
        <v>100.5</v>
      </c>
      <c r="H11" s="11" t="n">
        <f aca="false">G11/B11-1</f>
        <v>0.119540153059519</v>
      </c>
      <c r="I11" s="8" t="s">
        <v>751</v>
      </c>
      <c r="J11" s="4" t="s">
        <v>752</v>
      </c>
    </row>
    <row r="12" customFormat="false" ht="17.15" hidden="false" customHeight="false" outlineLevel="0" collapsed="false">
      <c r="A12" s="6" t="s">
        <v>753</v>
      </c>
    </row>
    <row r="13" customFormat="false" ht="17.15" hidden="false" customHeight="false" outlineLevel="0" collapsed="false">
      <c r="A13" s="4" t="s">
        <v>754</v>
      </c>
      <c r="B13" s="16" t="n">
        <f aca="false">cons_rev26</f>
        <v>192.141</v>
      </c>
      <c r="C13" s="16" t="n">
        <f aca="false">PL!D5</f>
        <v>189</v>
      </c>
      <c r="D13" s="11" t="n">
        <f aca="false">C13/B13-1</f>
        <v>-0.0163473699002294</v>
      </c>
      <c r="E13" s="16" t="n">
        <f aca="false">PL!D16</f>
        <v>189</v>
      </c>
      <c r="F13" s="11" t="n">
        <f aca="false">E13/B13-1</f>
        <v>-0.0163473699002294</v>
      </c>
      <c r="G13" s="16" t="n">
        <f aca="false">PL!D27</f>
        <v>189</v>
      </c>
      <c r="H13" s="11" t="n">
        <f aca="false">G13/B13-1</f>
        <v>-0.0163473699002294</v>
      </c>
      <c r="I13" s="8" t="s">
        <v>755</v>
      </c>
    </row>
    <row r="14" customFormat="false" ht="17.15" hidden="false" customHeight="false" outlineLevel="0" collapsed="false">
      <c r="A14" s="4" t="s">
        <v>756</v>
      </c>
      <c r="B14" s="16" t="n">
        <f aca="false">cons_ni26</f>
        <v>32.556</v>
      </c>
      <c r="C14" s="16" t="n">
        <f aca="false">PL!D12</f>
        <v>30.8</v>
      </c>
      <c r="D14" s="11" t="n">
        <f aca="false">C14/B14-1</f>
        <v>-0.0539378302002702</v>
      </c>
      <c r="E14" s="16" t="n">
        <f aca="false">PL!D23</f>
        <v>30.8</v>
      </c>
      <c r="F14" s="11" t="n">
        <f aca="false">E14/B14-1</f>
        <v>-0.0539378302002702</v>
      </c>
      <c r="G14" s="16" t="n">
        <f aca="false">PL!D34</f>
        <v>30.8</v>
      </c>
      <c r="H14" s="11" t="n">
        <f aca="false">G14/B14-1</f>
        <v>-0.0539378302002702</v>
      </c>
      <c r="I14" s="8" t="s">
        <v>757</v>
      </c>
    </row>
    <row r="15" customFormat="false" ht="17.15" hidden="false" customHeight="false" outlineLevel="0" collapsed="false">
      <c r="A15" s="0" t="s">
        <v>758</v>
      </c>
      <c r="B15" s="13" t="n">
        <f aca="false">cons_eps26</f>
        <v>801.46</v>
      </c>
      <c r="C15" s="13" t="n">
        <f aca="false">PL!D13</f>
        <v>758.83675253348</v>
      </c>
      <c r="D15" s="11" t="n">
        <f aca="false">C15/B15-1</f>
        <v>-0.0531820021791731</v>
      </c>
      <c r="E15" s="13" t="n">
        <f aca="false">PL!D24</f>
        <v>758.83675253348</v>
      </c>
      <c r="F15" s="11" t="n">
        <f aca="false">E15/B15-1</f>
        <v>-0.0531820021791731</v>
      </c>
      <c r="G15" s="13" t="n">
        <f aca="false">PL!D35</f>
        <v>758.83675253348</v>
      </c>
      <c r="H15" s="11" t="n">
        <f aca="false">G15/B15-1</f>
        <v>-0.0531820021791731</v>
      </c>
      <c r="I15" s="8" t="s">
        <v>759</v>
      </c>
      <c r="J15" s="4" t="s">
        <v>760</v>
      </c>
    </row>
    <row r="16" customFormat="false" ht="17.15" hidden="false" customHeight="false" outlineLevel="0" collapsed="false">
      <c r="A16" s="0" t="s">
        <v>761</v>
      </c>
      <c r="B16" s="13" t="n">
        <f aca="false">ks_12m</f>
        <v>816.2</v>
      </c>
      <c r="C16" s="13" t="n">
        <f aca="false">PL!E13</f>
        <v>915.353196965608</v>
      </c>
      <c r="D16" s="11" t="n">
        <f aca="false">C16/B16-1</f>
        <v>0.121481495914736</v>
      </c>
      <c r="E16" s="13" t="n">
        <f aca="false">PL!E24</f>
        <v>843.378870679733</v>
      </c>
      <c r="F16" s="11" t="n">
        <f aca="false">E16/B16-1</f>
        <v>0.0332992779707582</v>
      </c>
      <c r="G16" s="13" t="n">
        <f aca="false">PL!E35</f>
        <v>745.542834805518</v>
      </c>
      <c r="H16" s="11" t="n">
        <f aca="false">G16/B16-1</f>
        <v>-0.0865684454722894</v>
      </c>
      <c r="I16" s="8" t="s">
        <v>762</v>
      </c>
      <c r="J16" s="4" t="s">
        <v>763</v>
      </c>
    </row>
    <row r="17" customFormat="false" ht="17.15" hidden="false" customHeight="false" outlineLevel="0" collapsed="false">
      <c r="A17" s="0" t="s">
        <v>764</v>
      </c>
      <c r="B17" s="16" t="n">
        <f aca="false">mtp_rev</f>
        <v>185</v>
      </c>
      <c r="C17" s="16" t="n">
        <f aca="false">PL!E5</f>
        <v>219.670278394298</v>
      </c>
      <c r="D17" s="11" t="n">
        <f aca="false">C17/B17-1</f>
        <v>0.187406910239451</v>
      </c>
      <c r="E17" s="16" t="n">
        <f aca="false">PL!E16</f>
        <v>205.629490035978</v>
      </c>
      <c r="F17" s="11" t="n">
        <f aca="false">E17/B17-1</f>
        <v>0.111510756951232</v>
      </c>
      <c r="G17" s="16" t="n">
        <f aca="false">PL!E27</f>
        <v>186.520240445094</v>
      </c>
      <c r="H17" s="11" t="n">
        <f aca="false">G17/B17-1</f>
        <v>0.00821751591942665</v>
      </c>
      <c r="I17" s="4" t="s">
        <v>765</v>
      </c>
      <c r="J17" s="4" t="s">
        <v>766</v>
      </c>
    </row>
    <row r="18" customFormat="false" ht="17.15" hidden="false" customHeight="false" outlineLevel="0" collapsed="false">
      <c r="A18" s="0" t="s">
        <v>767</v>
      </c>
      <c r="B18" s="16" t="n">
        <f aca="false">mtp_oi</f>
        <v>45</v>
      </c>
      <c r="C18" s="16" t="n">
        <f aca="false">PL!E9</f>
        <v>53.0753690197811</v>
      </c>
      <c r="D18" s="11" t="n">
        <f aca="false">C18/B18-1</f>
        <v>0.179452644884023</v>
      </c>
      <c r="E18" s="16" t="n">
        <f aca="false">PL!E20</f>
        <v>48.9020466997887</v>
      </c>
      <c r="F18" s="11" t="n">
        <f aca="false">E18/B18-1</f>
        <v>0.0867121488841935</v>
      </c>
      <c r="G18" s="16" t="n">
        <f aca="false">PL!E31</f>
        <v>43.2291723113338</v>
      </c>
      <c r="H18" s="11" t="n">
        <f aca="false">G18/B18-1</f>
        <v>-0.0393517264148047</v>
      </c>
      <c r="I18" s="4" t="s">
        <v>165</v>
      </c>
    </row>
    <row r="19" customFormat="false" ht="17.15" hidden="false" customHeight="false" outlineLevel="0" collapsed="false">
      <c r="A19" s="6" t="s">
        <v>768</v>
      </c>
    </row>
    <row r="20" customFormat="false" ht="17.15" hidden="false" customHeight="false" outlineLevel="0" collapsed="false">
      <c r="A20" s="0" t="s">
        <v>769</v>
      </c>
      <c r="B20" s="11" t="n">
        <f aca="false">tstA_26/tstA_25-1</f>
        <v>0.265611585599296</v>
      </c>
      <c r="C20" s="11" t="n">
        <f aca="false">PL!D74/PL!C74-1</f>
        <v>0.153443125478972</v>
      </c>
      <c r="D20" s="11" t="n">
        <f aca="false">C20-B20</f>
        <v>-0.112168460120324</v>
      </c>
      <c r="E20" s="11" t="n">
        <f aca="false">PL!D103/PL!C103-1</f>
        <v>0.153443125478972</v>
      </c>
      <c r="F20" s="11" t="n">
        <f aca="false">E20-B20</f>
        <v>-0.112168460120324</v>
      </c>
      <c r="G20" s="11" t="n">
        <f aca="false">PL!D132/PL!C132-1</f>
        <v>0.153443125478972</v>
      </c>
      <c r="H20" s="11" t="n">
        <f aca="false">G20-B20</f>
        <v>-0.112168460120324</v>
      </c>
      <c r="I20" s="8" t="s">
        <v>770</v>
      </c>
      <c r="J20" s="4" t="s">
        <v>771</v>
      </c>
    </row>
    <row r="21" customFormat="false" ht="17.15" hidden="false" customHeight="false" outlineLevel="0" collapsed="false">
      <c r="A21" s="0" t="s">
        <v>772</v>
      </c>
      <c r="B21" s="11" t="n">
        <f aca="false">0</f>
        <v>0</v>
      </c>
      <c r="C21" s="11" t="n">
        <f aca="false">PL!F74/PL!D74-1-(tot_A_28/tot_A_26-1)</f>
        <v>0.0073550879021187</v>
      </c>
      <c r="D21" s="11" t="n">
        <f aca="false">C21-B21</f>
        <v>0.0073550879021187</v>
      </c>
      <c r="E21" s="11" t="n">
        <f aca="false">PL!F103/PL!D103-1-(tot_B_28/tot_B_26-1)</f>
        <v>-0.149562021514558</v>
      </c>
      <c r="F21" s="11" t="n">
        <f aca="false">E21-B21</f>
        <v>-0.149562021514558</v>
      </c>
      <c r="G21" s="11" t="n">
        <f aca="false">PL!F132/PL!D132-1-(tot_C_28/tot_C_26-1)</f>
        <v>-0.216847709387551</v>
      </c>
      <c r="H21" s="11" t="n">
        <f aca="false">G21-B21</f>
        <v>-0.216847709387551</v>
      </c>
      <c r="I21" s="8" t="s">
        <v>773</v>
      </c>
      <c r="J21" s="4" t="s">
        <v>774</v>
      </c>
    </row>
    <row r="22" customFormat="false" ht="17.15" hidden="false" customHeight="false" outlineLevel="0" collapsed="false">
      <c r="A22" s="4" t="s">
        <v>775</v>
      </c>
      <c r="C22" s="29" t="n">
        <f aca="false">hpc</f>
        <v>0.45</v>
      </c>
      <c r="J22" s="4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777</v>
      </c>
    </row>
    <row r="3" customFormat="false" ht="17.15" hidden="false" customHeight="false" outlineLevel="0" collapsed="false">
      <c r="A3" s="5" t="s">
        <v>778</v>
      </c>
      <c r="B3" s="5" t="s">
        <v>779</v>
      </c>
      <c r="C3" s="14" t="s">
        <v>780</v>
      </c>
      <c r="D3" s="14" t="s">
        <v>781</v>
      </c>
      <c r="E3" s="5" t="s">
        <v>782</v>
      </c>
      <c r="F3" s="14" t="s">
        <v>783</v>
      </c>
      <c r="G3" s="14" t="s">
        <v>784</v>
      </c>
      <c r="H3" s="5" t="s">
        <v>782</v>
      </c>
      <c r="I3" s="14" t="s">
        <v>785</v>
      </c>
      <c r="J3" s="5" t="s">
        <v>782</v>
      </c>
    </row>
    <row r="4" customFormat="false" ht="17.15" hidden="false" customHeight="false" outlineLevel="0" collapsed="false">
      <c r="A4" s="4" t="s">
        <v>786</v>
      </c>
      <c r="B4" s="0" t="s">
        <v>787</v>
      </c>
      <c r="C4" s="13" t="n">
        <f aca="false">PL!E76</f>
        <v>219.670278394298</v>
      </c>
      <c r="D4" s="13" t="n">
        <f aca="false">PL!E85</f>
        <v>915.353196965608</v>
      </c>
      <c r="E4" s="11" t="n">
        <f aca="false">D4/D$4-1</f>
        <v>0</v>
      </c>
      <c r="F4" s="13" t="n">
        <f aca="false">PL!F76</f>
        <v>251.406592241356</v>
      </c>
      <c r="G4" s="13" t="n">
        <f aca="false">PL!F85</f>
        <v>1077.24464159626</v>
      </c>
      <c r="H4" s="11" t="n">
        <f aca="false">G4/G$4-1</f>
        <v>0</v>
      </c>
      <c r="I4" s="13" t="n">
        <f aca="false">PL!D85</f>
        <v>758.83675253348</v>
      </c>
      <c r="J4" s="11" t="n">
        <f aca="false">I4/I$4-1</f>
        <v>0</v>
      </c>
    </row>
    <row r="5" customFormat="false" ht="17.15" hidden="false" customHeight="false" outlineLevel="0" collapsed="false">
      <c r="A5" s="0" t="s">
        <v>788</v>
      </c>
      <c r="B5" s="0" t="s">
        <v>789</v>
      </c>
      <c r="C5" s="13" t="n">
        <f aca="false">E76</f>
        <v>216.259010852662</v>
      </c>
      <c r="D5" s="13" t="n">
        <f aca="false">E85</f>
        <v>897.657593684067</v>
      </c>
      <c r="E5" s="11" t="n">
        <f aca="false">D5/D$4-1</f>
        <v>-0.0193319948411186</v>
      </c>
      <c r="F5" s="13" t="n">
        <f aca="false">F76</f>
        <v>243.531288778779</v>
      </c>
      <c r="G5" s="13" t="n">
        <f aca="false">F85</f>
        <v>1036.39230618294</v>
      </c>
      <c r="H5" s="11" t="n">
        <f aca="false">G5/G$4-1</f>
        <v>-0.0379229878115498</v>
      </c>
      <c r="I5" s="13" t="n">
        <f aca="false">D85</f>
        <v>758.83675253348</v>
      </c>
      <c r="J5" s="11" t="n">
        <f aca="false">I5/I$4-1</f>
        <v>0</v>
      </c>
    </row>
    <row r="6" customFormat="false" ht="17.15" hidden="false" customHeight="false" outlineLevel="0" collapsed="false">
      <c r="A6" s="0" t="s">
        <v>790</v>
      </c>
      <c r="B6" s="0" t="s">
        <v>791</v>
      </c>
      <c r="C6" s="13" t="n">
        <f aca="false">E116</f>
        <v>223.081545935935</v>
      </c>
      <c r="D6" s="13" t="n">
        <f aca="false">E125</f>
        <v>933.048800247148</v>
      </c>
      <c r="E6" s="11" t="n">
        <f aca="false">D6/D$4-1</f>
        <v>0.0193319948411184</v>
      </c>
      <c r="F6" s="13" t="n">
        <f aca="false">F116</f>
        <v>259.436313418885</v>
      </c>
      <c r="G6" s="13" t="n">
        <f aca="false">F125</f>
        <v>1118.89800319414</v>
      </c>
      <c r="H6" s="11" t="n">
        <f aca="false">G6/G$4-1</f>
        <v>0.0386665758078548</v>
      </c>
      <c r="I6" s="13" t="n">
        <f aca="false">D125</f>
        <v>758.83675253348</v>
      </c>
      <c r="J6" s="11" t="n">
        <f aca="false">I6/I$4-1</f>
        <v>0</v>
      </c>
    </row>
    <row r="7" customFormat="false" ht="17.15" hidden="false" customHeight="false" outlineLevel="0" collapsed="false">
      <c r="A7" s="4" t="s">
        <v>792</v>
      </c>
      <c r="B7" s="0" t="s">
        <v>793</v>
      </c>
      <c r="C7" s="13" t="n">
        <f aca="false">E156</f>
        <v>214.553377081843</v>
      </c>
      <c r="D7" s="13" t="n">
        <f aca="false">E165</f>
        <v>888.809792043297</v>
      </c>
      <c r="E7" s="11" t="n">
        <f aca="false">D7/D$4-1</f>
        <v>-0.0289979922616777</v>
      </c>
      <c r="F7" s="13" t="n">
        <f aca="false">F156</f>
        <v>239.651543690598</v>
      </c>
      <c r="G7" s="13" t="n">
        <f aca="false">F165</f>
        <v>1016.2665232955</v>
      </c>
      <c r="H7" s="11" t="n">
        <f aca="false">G7/G$4-1</f>
        <v>-0.0566056362187102</v>
      </c>
      <c r="I7" s="13" t="n">
        <f aca="false">D165</f>
        <v>758.83675253348</v>
      </c>
      <c r="J7" s="11" t="n">
        <f aca="false">I7/I$4-1</f>
        <v>0</v>
      </c>
    </row>
    <row r="8" customFormat="false" ht="17.15" hidden="false" customHeight="false" outlineLevel="0" collapsed="false">
      <c r="A8" s="4" t="s">
        <v>794</v>
      </c>
      <c r="B8" s="0" t="s">
        <v>795</v>
      </c>
      <c r="C8" s="13" t="n">
        <f aca="false">E196</f>
        <v>211.764665866555</v>
      </c>
      <c r="D8" s="13" t="n">
        <f aca="false">E205</f>
        <v>874.343636360638</v>
      </c>
      <c r="E8" s="11" t="n">
        <f aca="false">D8/D$4-1</f>
        <v>-0.044801898044292</v>
      </c>
      <c r="F8" s="13" t="n">
        <f aca="false">F196</f>
        <v>232.976644939634</v>
      </c>
      <c r="G8" s="13" t="n">
        <f aca="false">F205</f>
        <v>981.641165184529</v>
      </c>
      <c r="H8" s="11" t="n">
        <f aca="false">G8/G$4-1</f>
        <v>-0.0887481568439847</v>
      </c>
      <c r="I8" s="13" t="n">
        <f aca="false">D205</f>
        <v>758.83675253348</v>
      </c>
      <c r="J8" s="11" t="n">
        <f aca="false">I8/I$4-1</f>
        <v>0</v>
      </c>
    </row>
    <row r="9" customFormat="false" ht="17.15" hidden="false" customHeight="false" outlineLevel="0" collapsed="false">
      <c r="A9" s="4" t="s">
        <v>796</v>
      </c>
      <c r="B9" s="0" t="s">
        <v>797</v>
      </c>
      <c r="C9" s="13" t="n">
        <f aca="false">E236</f>
        <v>212.643067258526</v>
      </c>
      <c r="D9" s="13" t="n">
        <f aca="false">E245</f>
        <v>878.900254205634</v>
      </c>
      <c r="E9" s="11" t="n">
        <f aca="false">D9/D$4-1</f>
        <v>-0.039823909372704</v>
      </c>
      <c r="F9" s="13" t="n">
        <f aca="false">F236</f>
        <v>235.024416862047</v>
      </c>
      <c r="G9" s="13" t="n">
        <f aca="false">F245</f>
        <v>992.263773674721</v>
      </c>
      <c r="H9" s="11" t="n">
        <f aca="false">G9/G$4-1</f>
        <v>-0.0788872505279866</v>
      </c>
      <c r="I9" s="13" t="n">
        <f aca="false">D245</f>
        <v>758.83675253348</v>
      </c>
      <c r="J9" s="11" t="n">
        <f aca="false">I9/I$4-1</f>
        <v>0</v>
      </c>
    </row>
    <row r="10" customFormat="false" ht="17.15" hidden="false" customHeight="false" outlineLevel="0" collapsed="false">
      <c r="A10" s="4" t="s">
        <v>798</v>
      </c>
      <c r="B10" s="0" t="s">
        <v>799</v>
      </c>
      <c r="C10" s="13" t="n">
        <f aca="false">E276</f>
        <v>210.886264474583</v>
      </c>
      <c r="D10" s="13" t="n">
        <f aca="false">E285</f>
        <v>869.787018515641</v>
      </c>
      <c r="E10" s="11" t="n">
        <f aca="false">D10/D$4-1</f>
        <v>-0.0497798867158801</v>
      </c>
      <c r="F10" s="13" t="n">
        <f aca="false">F276</f>
        <v>230.92887301722</v>
      </c>
      <c r="G10" s="13" t="n">
        <f aca="false">F285</f>
        <v>971.018556694338</v>
      </c>
      <c r="H10" s="11" t="n">
        <f aca="false">G10/G$4-1</f>
        <v>-0.0986090631599832</v>
      </c>
      <c r="I10" s="13" t="n">
        <f aca="false">D285</f>
        <v>758.83675253348</v>
      </c>
      <c r="J10" s="11" t="n">
        <f aca="false">I10/I$4-1</f>
        <v>0</v>
      </c>
    </row>
    <row r="11" customFormat="false" ht="17.15" hidden="false" customHeight="false" outlineLevel="0" collapsed="false">
      <c r="A11" s="4" t="s">
        <v>800</v>
      </c>
      <c r="B11" s="0" t="s">
        <v>801</v>
      </c>
      <c r="C11" s="13" t="n">
        <f aca="false">E316</f>
        <v>219.629986896784</v>
      </c>
      <c r="D11" s="13" t="n">
        <f aca="false">E325</f>
        <v>915.144188921841</v>
      </c>
      <c r="E11" s="11" t="n">
        <f aca="false">D11/D$4-1</f>
        <v>-0.000228335952132452</v>
      </c>
      <c r="F11" s="13" t="n">
        <f aca="false">F316</f>
        <v>251.279989854736</v>
      </c>
      <c r="G11" s="13" t="n">
        <f aca="false">F325</f>
        <v>1076.58790459725</v>
      </c>
      <c r="H11" s="11" t="n">
        <f aca="false">G11/G$4-1</f>
        <v>-0.000609645175897788</v>
      </c>
      <c r="I11" s="13" t="n">
        <f aca="false">D325</f>
        <v>758.83675253348</v>
      </c>
      <c r="J11" s="11" t="n">
        <f aca="false">I11/I$4-1</f>
        <v>0</v>
      </c>
    </row>
    <row r="12" customFormat="false" ht="17.15" hidden="false" customHeight="false" outlineLevel="0" collapsed="false">
      <c r="A12" s="4" t="s">
        <v>802</v>
      </c>
      <c r="B12" s="0" t="s">
        <v>803</v>
      </c>
      <c r="C12" s="13" t="n">
        <f aca="false">E356</f>
        <v>219.710569891813</v>
      </c>
      <c r="D12" s="13" t="n">
        <f aca="false">E365</f>
        <v>915.562205009374</v>
      </c>
      <c r="E12" s="11" t="n">
        <f aca="false">D12/D$4-1</f>
        <v>0.000228335952132452</v>
      </c>
      <c r="F12" s="13" t="n">
        <f aca="false">F356</f>
        <v>251.533194627975</v>
      </c>
      <c r="G12" s="13" t="n">
        <f aca="false">F365</f>
        <v>1077.90137859527</v>
      </c>
      <c r="H12" s="11" t="n">
        <f aca="false">G12/G$4-1</f>
        <v>0.000609645175898121</v>
      </c>
      <c r="I12" s="13" t="n">
        <f aca="false">D365</f>
        <v>758.83675253348</v>
      </c>
      <c r="J12" s="11" t="n">
        <f aca="false">I12/I$4-1</f>
        <v>0</v>
      </c>
    </row>
    <row r="13" customFormat="false" ht="17.15" hidden="false" customHeight="false" outlineLevel="0" collapsed="false">
      <c r="A13" s="4" t="s">
        <v>804</v>
      </c>
      <c r="B13" s="0" t="s">
        <v>805</v>
      </c>
      <c r="C13" s="13" t="n">
        <f aca="false">E396</f>
        <v>219.375448545338</v>
      </c>
      <c r="D13" s="13" t="n">
        <f aca="false">E405</f>
        <v>913.823797122562</v>
      </c>
      <c r="E13" s="11" t="n">
        <f aca="false">D13/D$4-1</f>
        <v>-0.00167083028509119</v>
      </c>
      <c r="F13" s="13" t="n">
        <f aca="false">F396</f>
        <v>251.135759582624</v>
      </c>
      <c r="G13" s="13" t="n">
        <f aca="false">F405</f>
        <v>1075.83972473585</v>
      </c>
      <c r="H13" s="11" t="n">
        <f aca="false">G13/G$4-1</f>
        <v>-0.00130417623458445</v>
      </c>
      <c r="I13" s="13" t="n">
        <f aca="false">D405</f>
        <v>758.83675253348</v>
      </c>
      <c r="J13" s="11" t="n">
        <f aca="false">I13/I$4-1</f>
        <v>0</v>
      </c>
    </row>
    <row r="14" customFormat="false" ht="17.15" hidden="false" customHeight="false" outlineLevel="0" collapsed="false">
      <c r="A14" s="4" t="s">
        <v>806</v>
      </c>
      <c r="B14" s="0" t="s">
        <v>807</v>
      </c>
      <c r="C14" s="13" t="n">
        <f aca="false">E436</f>
        <v>220.112523167739</v>
      </c>
      <c r="D14" s="13" t="n">
        <f aca="false">E445</f>
        <v>917.647296730175</v>
      </c>
      <c r="E14" s="11" t="n">
        <f aca="false">D14/D$4-1</f>
        <v>0.00250624542763656</v>
      </c>
      <c r="F14" s="13" t="n">
        <f aca="false">F436</f>
        <v>251.812841229452</v>
      </c>
      <c r="G14" s="13" t="n">
        <f aca="false">F445</f>
        <v>1079.35201688686</v>
      </c>
      <c r="H14" s="11" t="n">
        <f aca="false">G14/G$4-1</f>
        <v>0.00195626435187646</v>
      </c>
      <c r="I14" s="13" t="n">
        <f aca="false">D445</f>
        <v>758.83675253348</v>
      </c>
      <c r="J14" s="11" t="n">
        <f aca="false">I14/I$4-1</f>
        <v>0</v>
      </c>
    </row>
    <row r="15" customFormat="false" ht="17.15" hidden="false" customHeight="false" outlineLevel="0" collapsed="false">
      <c r="A15" s="0" t="s">
        <v>808</v>
      </c>
      <c r="B15" s="0" t="s">
        <v>809</v>
      </c>
      <c r="C15" s="13" t="n">
        <f aca="false">E476</f>
        <v>219.670278394298</v>
      </c>
      <c r="D15" s="13" t="n">
        <f aca="false">E485</f>
        <v>915.353196965608</v>
      </c>
      <c r="E15" s="11" t="n">
        <f aca="false">D15/D$4-1</f>
        <v>0</v>
      </c>
      <c r="F15" s="13" t="n">
        <f aca="false">F476</f>
        <v>251.406592241356</v>
      </c>
      <c r="G15" s="13" t="n">
        <f aca="false">F485</f>
        <v>1077.24464159626</v>
      </c>
      <c r="H15" s="11" t="n">
        <f aca="false">G15/G$4-1</f>
        <v>0</v>
      </c>
      <c r="I15" s="13" t="n">
        <f aca="false">D485</f>
        <v>758.83675253348</v>
      </c>
      <c r="J15" s="11" t="n">
        <f aca="false">I15/I$4-1</f>
        <v>0</v>
      </c>
    </row>
    <row r="16" customFormat="false" ht="17.15" hidden="false" customHeight="false" outlineLevel="0" collapsed="false">
      <c r="A16" s="0" t="s">
        <v>810</v>
      </c>
      <c r="B16" s="0" t="s">
        <v>811</v>
      </c>
      <c r="C16" s="13" t="n">
        <f aca="false">E516</f>
        <v>219.670278394298</v>
      </c>
      <c r="D16" s="13" t="n">
        <f aca="false">E525</f>
        <v>915.353196965608</v>
      </c>
      <c r="E16" s="11" t="n">
        <f aca="false">D16/D$4-1</f>
        <v>0</v>
      </c>
      <c r="F16" s="13" t="n">
        <f aca="false">F516</f>
        <v>251.406592241356</v>
      </c>
      <c r="G16" s="13" t="n">
        <f aca="false">F525</f>
        <v>1077.24464159626</v>
      </c>
      <c r="H16" s="11" t="n">
        <f aca="false">G16/G$4-1</f>
        <v>0</v>
      </c>
      <c r="I16" s="13" t="n">
        <f aca="false">D525</f>
        <v>758.83675253348</v>
      </c>
      <c r="J16" s="11" t="n">
        <f aca="false">I16/I$4-1</f>
        <v>0</v>
      </c>
    </row>
    <row r="17" customFormat="false" ht="17.15" hidden="false" customHeight="false" outlineLevel="0" collapsed="false">
      <c r="A17" s="4" t="s">
        <v>812</v>
      </c>
      <c r="B17" s="0" t="s">
        <v>813</v>
      </c>
      <c r="C17" s="13" t="n">
        <f aca="false">E556</f>
        <v>218.840278394298</v>
      </c>
      <c r="D17" s="13" t="n">
        <f aca="false">E565</f>
        <v>911.908491113157</v>
      </c>
      <c r="E17" s="11" t="n">
        <f aca="false">D17/D$4-1</f>
        <v>-0.00376325320528759</v>
      </c>
      <c r="F17" s="13" t="n">
        <f aca="false">F556</f>
        <v>249.663592241356</v>
      </c>
      <c r="G17" s="13" t="n">
        <f aca="false">F565</f>
        <v>1070.01075930611</v>
      </c>
      <c r="H17" s="11" t="n">
        <f aca="false">G17/G$4-1</f>
        <v>-0.00671517129055088</v>
      </c>
      <c r="I17" s="13" t="n">
        <f aca="false">D565</f>
        <v>758.83675253348</v>
      </c>
      <c r="J17" s="11" t="n">
        <f aca="false">I17/I$4-1</f>
        <v>0</v>
      </c>
    </row>
    <row r="18" customFormat="false" ht="17.15" hidden="false" customHeight="false" outlineLevel="0" collapsed="false">
      <c r="A18" s="4" t="s">
        <v>814</v>
      </c>
      <c r="B18" s="0" t="s">
        <v>815</v>
      </c>
      <c r="C18" s="13" t="n">
        <f aca="false">E596</f>
        <v>220.500278394298</v>
      </c>
      <c r="D18" s="13" t="n">
        <f aca="false">E605</f>
        <v>918.797902818058</v>
      </c>
      <c r="E18" s="11" t="n">
        <f aca="false">D18/D$4-1</f>
        <v>0.00376325320528714</v>
      </c>
      <c r="F18" s="13" t="n">
        <f aca="false">F596</f>
        <v>253.182792241356</v>
      </c>
      <c r="G18" s="13" t="n">
        <f aca="false">F605</f>
        <v>1084.6163121205</v>
      </c>
      <c r="H18" s="11" t="n">
        <f aca="false">G18/G$4-1</f>
        <v>0.00684307931513284</v>
      </c>
      <c r="I18" s="13" t="n">
        <f aca="false">D605</f>
        <v>758.83675253348</v>
      </c>
      <c r="J18" s="11" t="n">
        <f aca="false">I18/I$4-1</f>
        <v>0</v>
      </c>
    </row>
    <row r="19" customFormat="false" ht="17.15" hidden="false" customHeight="false" outlineLevel="0" collapsed="false">
      <c r="A19" s="0" t="s">
        <v>816</v>
      </c>
      <c r="B19" s="0" t="s">
        <v>307</v>
      </c>
      <c r="C19" s="13" t="n">
        <f aca="false">E636</f>
        <v>219.670278394298</v>
      </c>
      <c r="D19" s="13" t="n">
        <f aca="false">E645</f>
        <v>884.738249255683</v>
      </c>
      <c r="E19" s="11" t="n">
        <f aca="false">D19/D$4-1</f>
        <v>-0.0334460488163614</v>
      </c>
      <c r="F19" s="13" t="n">
        <f aca="false">F636</f>
        <v>251.406592241356</v>
      </c>
      <c r="G19" s="13" t="n">
        <f aca="false">F645</f>
        <v>1015.01891689244</v>
      </c>
      <c r="H19" s="11" t="n">
        <f aca="false">G19/G$4-1</f>
        <v>-0.0577637820612464</v>
      </c>
      <c r="I19" s="13" t="n">
        <f aca="false">D645</f>
        <v>758.83675253348</v>
      </c>
      <c r="J19" s="11" t="n">
        <f aca="false">I19/I$4-1</f>
        <v>0</v>
      </c>
    </row>
    <row r="20" customFormat="false" ht="17.15" hidden="false" customHeight="false" outlineLevel="0" collapsed="false">
      <c r="A20" s="4" t="s">
        <v>817</v>
      </c>
      <c r="B20" s="0" t="s">
        <v>818</v>
      </c>
      <c r="C20" s="13" t="n">
        <f aca="false">E676</f>
        <v>219.670278394298</v>
      </c>
      <c r="D20" s="13" t="n">
        <f aca="false">E685</f>
        <v>889.200248480876</v>
      </c>
      <c r="E20" s="11" t="n">
        <f aca="false">D20/D$4-1</f>
        <v>-0.0285714285714287</v>
      </c>
      <c r="F20" s="13" t="n">
        <f aca="false">F676</f>
        <v>251.406592241356</v>
      </c>
      <c r="G20" s="13" t="n">
        <f aca="false">F685</f>
        <v>1046.46622326493</v>
      </c>
      <c r="H20" s="11" t="n">
        <f aca="false">G20/G$4-1</f>
        <v>-0.0285714285714285</v>
      </c>
      <c r="I20" s="13" t="n">
        <f aca="false">D685</f>
        <v>758.83675253348</v>
      </c>
      <c r="J20" s="11" t="n">
        <f aca="false">I20/I$4-1</f>
        <v>0</v>
      </c>
    </row>
    <row r="21" customFormat="false" ht="17.15" hidden="false" customHeight="false" outlineLevel="0" collapsed="false">
      <c r="A21" s="4" t="s">
        <v>819</v>
      </c>
      <c r="B21" s="0" t="s">
        <v>820</v>
      </c>
      <c r="C21" s="13" t="n">
        <f aca="false">E716</f>
        <v>219.670278394298</v>
      </c>
      <c r="D21" s="13" t="n">
        <f aca="false">E725</f>
        <v>958.85617488259</v>
      </c>
      <c r="E21" s="11" t="n">
        <f aca="false">D21/D$4-1</f>
        <v>0.0475258928042139</v>
      </c>
      <c r="F21" s="13" t="n">
        <f aca="false">F716</f>
        <v>251.406592241356</v>
      </c>
      <c r="G21" s="13" t="n">
        <f aca="false">F725</f>
        <v>1128.44165495667</v>
      </c>
      <c r="H21" s="11" t="n">
        <f aca="false">G21/G$4-1</f>
        <v>0.0475258928042139</v>
      </c>
      <c r="I21" s="13" t="n">
        <f aca="false">D725</f>
        <v>758.83675253348</v>
      </c>
      <c r="J21" s="11" t="n">
        <f aca="false">I21/I$4-1</f>
        <v>0</v>
      </c>
    </row>
    <row r="22" customFormat="false" ht="17.15" hidden="false" customHeight="false" outlineLevel="0" collapsed="false">
      <c r="A22" s="0" t="s">
        <v>821</v>
      </c>
      <c r="B22" s="0" t="s">
        <v>822</v>
      </c>
      <c r="C22" s="13" t="n">
        <f aca="false">E756</f>
        <v>213.080170042469</v>
      </c>
      <c r="D22" s="13" t="n">
        <f aca="false">E765</f>
        <v>882.53640759023</v>
      </c>
      <c r="E22" s="11" t="n">
        <f aca="false">D22/D$4-1</f>
        <v>-0.0358515046259355</v>
      </c>
      <c r="F22" s="13" t="n">
        <f aca="false">F756</f>
        <v>243.864394474115</v>
      </c>
      <c r="G22" s="13" t="n">
        <f aca="false">F765</f>
        <v>1039.57110888196</v>
      </c>
      <c r="H22" s="11" t="n">
        <f aca="false">G22/G$4-1</f>
        <v>-0.0349721235637543</v>
      </c>
      <c r="I22" s="13" t="n">
        <f aca="false">D765</f>
        <v>730.715456491067</v>
      </c>
      <c r="J22" s="11" t="n">
        <f aca="false">I22/I$4-1</f>
        <v>-0.0370584265305105</v>
      </c>
    </row>
    <row r="23" customFormat="false" ht="17.15" hidden="false" customHeight="false" outlineLevel="0" collapsed="false">
      <c r="A23" s="0" t="s">
        <v>823</v>
      </c>
      <c r="B23" s="0" t="s">
        <v>824</v>
      </c>
      <c r="C23" s="13" t="n">
        <f aca="false">E796</f>
        <v>230.653792314013</v>
      </c>
      <c r="D23" s="13" t="n">
        <f aca="false">E805</f>
        <v>970.047845924569</v>
      </c>
      <c r="E23" s="11" t="n">
        <f aca="false">D23/D$4-1</f>
        <v>0.0597525077098915</v>
      </c>
      <c r="F23" s="13" t="n">
        <f aca="false">F796</f>
        <v>263.976921853423</v>
      </c>
      <c r="G23" s="13" t="n">
        <f aca="false">F805</f>
        <v>1140.03386278675</v>
      </c>
      <c r="H23" s="11" t="n">
        <f aca="false">G23/G$4-1</f>
        <v>0.0582868726062571</v>
      </c>
      <c r="I23" s="13" t="n">
        <f aca="false">D805</f>
        <v>805.705579270835</v>
      </c>
      <c r="J23" s="11" t="n">
        <f aca="false">I23/I$4-1</f>
        <v>0.0617640442175176</v>
      </c>
    </row>
    <row r="24" customFormat="false" ht="17.15" hidden="false" customHeight="false" outlineLevel="0" collapsed="false">
      <c r="A24" s="4" t="s">
        <v>825</v>
      </c>
      <c r="B24" s="4" t="s">
        <v>826</v>
      </c>
      <c r="C24" s="13" t="n">
        <f aca="false">PL!E105</f>
        <v>205.629490035978</v>
      </c>
      <c r="D24" s="13" t="n">
        <f aca="false">PL!E114</f>
        <v>843.378870679733</v>
      </c>
      <c r="E24" s="11" t="n">
        <f aca="false">D24/D$4-1</f>
        <v>-0.0786301140635869</v>
      </c>
      <c r="F24" s="13" t="n">
        <f aca="false">PL!F105</f>
        <v>203.499550370459</v>
      </c>
      <c r="G24" s="13" t="n">
        <f aca="false">PL!F114</f>
        <v>830.539489213988</v>
      </c>
      <c r="H24" s="11" t="n">
        <f aca="false">G24/G$4-1</f>
        <v>-0.229014972881835</v>
      </c>
      <c r="I24" s="13" t="n">
        <f aca="false">PL!D114</f>
        <v>758.83675253348</v>
      </c>
      <c r="J24" s="11" t="n">
        <f aca="false">I24/I$4-1</f>
        <v>0</v>
      </c>
    </row>
    <row r="25" customFormat="false" ht="17.15" hidden="false" customHeight="false" outlineLevel="0" collapsed="false">
      <c r="A25" s="4" t="s">
        <v>827</v>
      </c>
      <c r="B25" s="4" t="s">
        <v>828</v>
      </c>
      <c r="C25" s="13" t="n">
        <f aca="false">PL!E134</f>
        <v>186.520240445094</v>
      </c>
      <c r="D25" s="13" t="n">
        <f aca="false">PL!E143</f>
        <v>745.542834805518</v>
      </c>
      <c r="E25" s="11" t="n">
        <f aca="false">D25/D$4-1</f>
        <v>-0.185513485639216</v>
      </c>
      <c r="F25" s="13" t="n">
        <f aca="false">PL!F134</f>
        <v>154.887951700422</v>
      </c>
      <c r="G25" s="13" t="n">
        <f aca="false">PL!F143</f>
        <v>561.607479096399</v>
      </c>
      <c r="H25" s="11" t="n">
        <f aca="false">G25/G$4-1</f>
        <v>-0.478663009857992</v>
      </c>
      <c r="I25" s="13" t="n">
        <f aca="false">PL!D143</f>
        <v>758.83675253348</v>
      </c>
      <c r="J25" s="11" t="n">
        <f aca="false">I25/I$4-1</f>
        <v>0</v>
      </c>
    </row>
    <row r="27" customFormat="false" ht="17.15" hidden="false" customHeight="false" outlineLevel="0" collapsed="false">
      <c r="A27" s="4" t="s">
        <v>829</v>
      </c>
    </row>
    <row r="60" customFormat="false" ht="17.15" hidden="false" customHeight="false" outlineLevel="0" collapsed="false">
      <c r="A60" s="1" t="s">
        <v>830</v>
      </c>
    </row>
    <row r="61" customFormat="false" ht="17.15" hidden="false" customHeight="false" outlineLevel="0" collapsed="false">
      <c r="A61" s="5" t="s">
        <v>23</v>
      </c>
      <c r="B61" s="5" t="s">
        <v>24</v>
      </c>
      <c r="C61" s="14" t="s">
        <v>532</v>
      </c>
      <c r="D61" s="14" t="s">
        <v>533</v>
      </c>
      <c r="E61" s="14" t="s">
        <v>534</v>
      </c>
      <c r="F61" s="14" t="s">
        <v>535</v>
      </c>
      <c r="G61" s="14" t="s">
        <v>536</v>
      </c>
      <c r="H61" s="14" t="s">
        <v>537</v>
      </c>
      <c r="I61" s="5"/>
      <c r="J61" s="5" t="s">
        <v>520</v>
      </c>
    </row>
    <row r="62" customFormat="false" ht="17.15" hidden="false" customHeight="false" outlineLevel="0" collapsed="false">
      <c r="A62" s="6" t="s">
        <v>538</v>
      </c>
    </row>
    <row r="63" customFormat="false" ht="17.15" hidden="false" customHeight="false" outlineLevel="0" collapsed="false">
      <c r="A63" s="4" t="s">
        <v>539</v>
      </c>
      <c r="B63" s="0" t="s">
        <v>160</v>
      </c>
      <c r="C63" s="16" t="n">
        <f aca="false">tstA_25</f>
        <v>14.7359586560428</v>
      </c>
      <c r="D63" s="16" t="n">
        <f aca="false">tstA_26</f>
        <v>18.65</v>
      </c>
      <c r="E63" s="16" t="n">
        <f aca="false">tstA_27</f>
        <v>21.6346744396519</v>
      </c>
      <c r="F63" s="16" t="n">
        <f aca="false">tstA_28</f>
        <v>25.1</v>
      </c>
      <c r="G63" s="16" t="n">
        <f aca="false">tstA_29</f>
        <v>27.108</v>
      </c>
      <c r="H63" s="16" t="n">
        <f aca="false">G63*(1+g_tail)</f>
        <v>27.108</v>
      </c>
      <c r="J63" s="8" t="s">
        <v>540</v>
      </c>
    </row>
    <row r="64" customFormat="false" ht="17.15" hidden="false" customHeight="false" outlineLevel="0" collapsed="false">
      <c r="A64" s="4" t="s">
        <v>541</v>
      </c>
      <c r="B64" s="0" t="s">
        <v>160</v>
      </c>
      <c r="C64" s="16" t="n">
        <f aca="false">apkA_25</f>
        <v>3.05656934306569</v>
      </c>
      <c r="D64" s="16" t="n">
        <f aca="false">apkA_26</f>
        <v>3.35</v>
      </c>
      <c r="E64" s="16" t="n">
        <f aca="false">apkA_27</f>
        <v>3.79539194286967</v>
      </c>
      <c r="F64" s="16" t="n">
        <f aca="false">apkA_28</f>
        <v>4.3</v>
      </c>
      <c r="G64" s="16" t="n">
        <f aca="false">apkA_29</f>
        <v>4.644</v>
      </c>
      <c r="H64" s="16" t="n">
        <f aca="false">G64*(1+g_tail)</f>
        <v>4.644</v>
      </c>
    </row>
    <row r="65" customFormat="false" ht="15" hidden="false" customHeight="false" outlineLevel="0" collapsed="false">
      <c r="A65" s="4" t="s">
        <v>542</v>
      </c>
      <c r="B65" s="0" t="s">
        <v>160</v>
      </c>
      <c r="C65" s="16" t="n">
        <f aca="false">wfeA_25</f>
        <v>116.896831844029</v>
      </c>
      <c r="D65" s="16" t="n">
        <f aca="false">wfeA_26</f>
        <v>156.157050570127</v>
      </c>
      <c r="E65" s="16" t="n">
        <f aca="false">wfeA_27</f>
        <v>192.795469377561</v>
      </c>
      <c r="F65" s="16" t="n">
        <f aca="false">wfeA_28</f>
        <v>216.628626308958</v>
      </c>
      <c r="G65" s="16" t="n">
        <f aca="false">wfeA_29</f>
        <v>228.903685855226</v>
      </c>
      <c r="H65" s="16" t="n">
        <f aca="false">G65*(1+g_tail)</f>
        <v>228.903685855226</v>
      </c>
    </row>
    <row r="66" customFormat="false" ht="17.15" hidden="false" customHeight="false" outlineLevel="0" collapsed="false">
      <c r="A66" s="6" t="s">
        <v>543</v>
      </c>
    </row>
    <row r="67" customFormat="false" ht="15" hidden="false" customHeight="false" outlineLevel="0" collapsed="false">
      <c r="A67" s="4" t="s">
        <v>544</v>
      </c>
      <c r="B67" s="0" t="s">
        <v>301</v>
      </c>
      <c r="C67" s="19" t="n">
        <f aca="false">(0.75*C63+0.25*D63)/(0.75*D63+0.25*E63)</f>
        <v>0.810184181632695</v>
      </c>
      <c r="D67" s="19" t="n">
        <f aca="false">(0.75*D63+0.25*E63)/(0.75*D63+0.25*E63)</f>
        <v>1</v>
      </c>
      <c r="E67" s="19" t="n">
        <f aca="false">(0.75*E63+0.25*F63)/(0.75*D63+0.25*E63)</f>
        <v>1.16007476952119</v>
      </c>
      <c r="F67" s="19" t="n">
        <f aca="false">(0.75*F63+0.25*G63)/(0.75*D63+0.25*E63)</f>
        <v>1.31995140457355</v>
      </c>
      <c r="G67" s="19" t="n">
        <f aca="false">(0.75*G63+0.25*H63)/(0.75*D63+0.25*E63)</f>
        <v>1.39759560484258</v>
      </c>
    </row>
    <row r="68" customFormat="false" ht="17.15" hidden="false" customHeight="false" outlineLevel="0" collapsed="false">
      <c r="A68" s="4" t="s">
        <v>545</v>
      </c>
      <c r="B68" s="0" t="s">
        <v>301</v>
      </c>
      <c r="C68" s="19" t="n">
        <f aca="false">w_cmp*(0.75*C65+0.25*D65)/(0.75*D65+0.25*E65)+(1-w_cmp)*(0.75*C64+0.25*D64)/(0.75*D64+0.25*E64)</f>
        <v>0.876696686135123</v>
      </c>
      <c r="D68" s="19" t="n">
        <f aca="false">w_cmp*(0.75*D65+0.25*E65)/(0.75*D65+0.25*E65)+(1-w_cmp)*(0.75*D64+0.25*E64)/(0.75*D64+0.25*E64)</f>
        <v>1</v>
      </c>
      <c r="E68" s="19" t="n">
        <f aca="false">w_cmp*(0.75*E65+0.25*F65)/(0.75*D65+0.25*E65)+(1-w_cmp)*(0.75*E64+0.25*F64)/(0.75*D64+0.25*E64)</f>
        <v>1.14681444452041</v>
      </c>
      <c r="F68" s="19" t="n">
        <f aca="false">w_cmp*(0.75*F65+0.25*G65)/(0.75*D65+0.25*E65)+(1-w_cmp)*(0.75*F64+0.25*G64)/(0.75*D64+0.25*E64)</f>
        <v>1.27949889890768</v>
      </c>
      <c r="G68" s="19" t="n">
        <f aca="false">w_cmp*(0.75*G65+0.25*H65)/(0.75*D65+0.25*E65)+(1-w_cmp)*(0.75*G64+0.25*H64)/(0.75*D64+0.25*E64)</f>
        <v>1.35026661708511</v>
      </c>
    </row>
    <row r="69" customFormat="false" ht="17.15" hidden="false" customHeight="false" outlineLevel="0" collapsed="false">
      <c r="A69" s="4" t="s">
        <v>546</v>
      </c>
      <c r="B69" s="0" t="s">
        <v>301</v>
      </c>
      <c r="D69" s="19" t="n">
        <f aca="false">(1+exc_A_lo)^0</f>
        <v>1</v>
      </c>
      <c r="E69" s="19" t="n">
        <f aca="false">(1+exc_A_lo)^1</f>
        <v>1.01</v>
      </c>
      <c r="F69" s="19" t="n">
        <f aca="false">(1+exc_A_lo)^2</f>
        <v>1.0201</v>
      </c>
      <c r="G69" s="19" t="n">
        <f aca="false">(1+exc_A_lo)^3</f>
        <v>1.030301</v>
      </c>
    </row>
    <row r="70" customFormat="false" ht="17.15" hidden="false" customHeight="false" outlineLevel="0" collapsed="false">
      <c r="A70" s="4" t="s">
        <v>547</v>
      </c>
      <c r="B70" s="0" t="s">
        <v>301</v>
      </c>
      <c r="D70" s="19" t="n">
        <f aca="false">1</f>
        <v>1</v>
      </c>
      <c r="E70" s="19" t="n">
        <f aca="false">1+chn*chh_A*0.5</f>
        <v>1</v>
      </c>
      <c r="F70" s="19" t="n">
        <f aca="false">1+chn*chh_A</f>
        <v>1</v>
      </c>
      <c r="G70" s="19" t="n">
        <f aca="false">1+chn*chh_A</f>
        <v>1</v>
      </c>
    </row>
    <row r="71" customFormat="false" ht="17.15" hidden="false" customHeight="false" outlineLevel="0" collapsed="false">
      <c r="A71" s="6" t="s">
        <v>548</v>
      </c>
    </row>
    <row r="72" customFormat="false" ht="17.15" hidden="false" customHeight="false" outlineLevel="0" collapsed="false">
      <c r="A72" s="4" t="s">
        <v>549</v>
      </c>
      <c r="B72" s="0" t="s">
        <v>34</v>
      </c>
      <c r="C72" s="16" t="n">
        <f aca="false">spe_25*w_pr</f>
        <v>92.07216</v>
      </c>
      <c r="D72" s="16" t="n">
        <f aca="false">g26_spe*(1+g_anc)*w_pr</f>
        <v>106.2</v>
      </c>
      <c r="E72" s="16" t="n">
        <f aca="false">$D72*E67*E69*E70</f>
        <v>124.431939928382</v>
      </c>
      <c r="F72" s="16" t="n">
        <f aca="false">$D72*F67*F69*F70</f>
        <v>142.996433832942</v>
      </c>
      <c r="G72" s="16" t="n">
        <f aca="false">$D72*G67*G69*G70</f>
        <v>152.922068651934</v>
      </c>
      <c r="J72" s="8" t="s">
        <v>550</v>
      </c>
    </row>
    <row r="73" customFormat="false" ht="17.15" hidden="false" customHeight="false" outlineLevel="0" collapsed="false">
      <c r="A73" s="4" t="s">
        <v>551</v>
      </c>
      <c r="B73" s="0" t="s">
        <v>34</v>
      </c>
      <c r="C73" s="16" t="n">
        <f aca="false">spe_25*(1-w_pr)</f>
        <v>35.80584</v>
      </c>
      <c r="D73" s="16" t="n">
        <f aca="false">g26_spe*(1+g_anc)*(1-w_pr)</f>
        <v>41.3</v>
      </c>
      <c r="E73" s="16" t="n">
        <f aca="false">$D73*E68*E69*E70</f>
        <v>47.8370709242797</v>
      </c>
      <c r="F73" s="16" t="n">
        <f aca="false">$D73*F68*F69*F70</f>
        <v>53.9054549458376</v>
      </c>
      <c r="G73" s="16" t="n">
        <f aca="false">$D73*G68*G69*G70</f>
        <v>57.4557771935805</v>
      </c>
    </row>
    <row r="74" customFormat="false" ht="17.15" hidden="false" customHeight="false" outlineLevel="0" collapsed="false">
      <c r="A74" s="4" t="s">
        <v>552</v>
      </c>
      <c r="B74" s="0" t="s">
        <v>34</v>
      </c>
      <c r="C74" s="16" t="n">
        <f aca="false">C72+C73</f>
        <v>127.878</v>
      </c>
      <c r="D74" s="16" t="n">
        <f aca="false">D72+D73</f>
        <v>147.5</v>
      </c>
      <c r="E74" s="16" t="n">
        <f aca="false">E72+E73</f>
        <v>172.269010852662</v>
      </c>
      <c r="F74" s="16" t="n">
        <f aca="false">F72+F73</f>
        <v>196.901888778779</v>
      </c>
      <c r="G74" s="16" t="n">
        <f aca="false">G72+G73</f>
        <v>210.377845845515</v>
      </c>
    </row>
    <row r="75" customFormat="false" ht="15" hidden="false" customHeight="false" outlineLevel="0" collapsed="false">
      <c r="A75" s="4" t="s">
        <v>553</v>
      </c>
      <c r="B75" s="0" t="s">
        <v>34</v>
      </c>
      <c r="C75" s="16" t="n">
        <f aca="false">met_25</f>
        <v>38.96</v>
      </c>
      <c r="D75" s="16" t="n">
        <f aca="false">g26_met*(1+g_anc)</f>
        <v>41.5</v>
      </c>
      <c r="E75" s="16" t="n">
        <f aca="false">D75*(1+gmet_A)</f>
        <v>43.99</v>
      </c>
      <c r="F75" s="16" t="n">
        <f aca="false">E75*(1+gmet_A)</f>
        <v>46.6294</v>
      </c>
      <c r="G75" s="16" t="n">
        <f aca="false">F75*(1+gmet_A)</f>
        <v>49.427164</v>
      </c>
    </row>
    <row r="76" customFormat="false" ht="17.15" hidden="false" customHeight="false" outlineLevel="0" collapsed="false">
      <c r="A76" s="4" t="s">
        <v>438</v>
      </c>
      <c r="B76" s="0" t="s">
        <v>34</v>
      </c>
      <c r="C76" s="16" t="n">
        <f aca="false">C74+C75</f>
        <v>166.838</v>
      </c>
      <c r="D76" s="16" t="n">
        <f aca="false">D74+D75</f>
        <v>189</v>
      </c>
      <c r="E76" s="16" t="n">
        <f aca="false">E74+E75</f>
        <v>216.259010852662</v>
      </c>
      <c r="F76" s="16" t="n">
        <f aca="false">F74+F75</f>
        <v>243.531288778779</v>
      </c>
      <c r="G76" s="16" t="n">
        <f aca="false">G74+G75</f>
        <v>259.805009845515</v>
      </c>
      <c r="J76" s="8" t="s">
        <v>554</v>
      </c>
    </row>
    <row r="77" customFormat="false" ht="17.15" hidden="false" customHeight="false" outlineLevel="0" collapsed="false">
      <c r="A77" s="0" t="s">
        <v>555</v>
      </c>
      <c r="B77" s="0" t="s">
        <v>108</v>
      </c>
      <c r="C77" s="11" t="n">
        <f aca="false">C74/C76</f>
        <v>0.766480058499862</v>
      </c>
      <c r="D77" s="11" t="n">
        <f aca="false">D74/D76</f>
        <v>0.780423280423281</v>
      </c>
      <c r="E77" s="11" t="n">
        <f aca="false">E74/E76</f>
        <v>0.796586510654251</v>
      </c>
      <c r="F77" s="11" t="n">
        <f aca="false">F74/F76</f>
        <v>0.808528094135955</v>
      </c>
      <c r="G77" s="11" t="n">
        <f aca="false">G74/G76</f>
        <v>0.809752844914767</v>
      </c>
    </row>
    <row r="78" customFormat="false" ht="17.15" hidden="false" customHeight="false" outlineLevel="0" collapsed="false">
      <c r="A78" s="6" t="s">
        <v>556</v>
      </c>
    </row>
    <row r="79" customFormat="false" ht="17.15" hidden="false" customHeight="false" outlineLevel="0" collapsed="false">
      <c r="A79" s="0" t="s">
        <v>455</v>
      </c>
      <c r="B79" s="0" t="s">
        <v>34</v>
      </c>
      <c r="C79" s="16" t="n">
        <f aca="false">spe_op25</f>
        <v>28.404</v>
      </c>
      <c r="D79" s="16" t="n">
        <f aca="false">g26_spe*m_spe26+v_s*(D74-g26_spe)</f>
        <v>37.6125</v>
      </c>
      <c r="E79" s="16" t="n">
        <f aca="false">$D79+v_s*(E74-$D74)</f>
        <v>45.0626081019437</v>
      </c>
      <c r="F79" s="16" t="n">
        <f aca="false">$D79+v_s*(F74-$D74)+0*F74</f>
        <v>52.4717696749759</v>
      </c>
      <c r="G79" s="16" t="n">
        <f aca="false">$D79+v_s*(G74-$D74)+0*G74</f>
        <v>56.5251142966705</v>
      </c>
      <c r="J79" s="4" t="s">
        <v>557</v>
      </c>
    </row>
    <row r="80" customFormat="false" ht="17.15" hidden="false" customHeight="false" outlineLevel="0" collapsed="false">
      <c r="A80" s="4" t="s">
        <v>460</v>
      </c>
      <c r="B80" s="0" t="s">
        <v>34</v>
      </c>
      <c r="C80" s="16" t="n">
        <f aca="false">met_op25</f>
        <v>5.333</v>
      </c>
      <c r="D80" s="16" t="n">
        <f aca="false">(g26_oi-g26_spe*m_spe26)+v_m*(D75-g26_met)</f>
        <v>6.3875</v>
      </c>
      <c r="E80" s="16" t="n">
        <f aca="false">$D80+v_m*(E75-$D75)</f>
        <v>6.98670815775652</v>
      </c>
      <c r="F80" s="16" t="n">
        <f aca="false">$D80+v_m*(F75-$D75)</f>
        <v>7.62186880497842</v>
      </c>
      <c r="G80" s="16" t="n">
        <f aca="false">$D80+v_m*(G75-$D75)</f>
        <v>8.29513909103364</v>
      </c>
      <c r="J80" s="8" t="s">
        <v>558</v>
      </c>
    </row>
    <row r="81" customFormat="false" ht="15" hidden="false" customHeight="false" outlineLevel="0" collapsed="false">
      <c r="A81" s="4" t="s">
        <v>442</v>
      </c>
      <c r="B81" s="0" t="s">
        <v>34</v>
      </c>
      <c r="C81" s="16" t="n">
        <f aca="false">C79+C80</f>
        <v>33.737</v>
      </c>
      <c r="D81" s="16" t="n">
        <f aca="false">D79+D80</f>
        <v>44</v>
      </c>
      <c r="E81" s="16" t="n">
        <f aca="false">E79+E80</f>
        <v>52.0493162597002</v>
      </c>
      <c r="F81" s="16" t="n">
        <f aca="false">F79+F80</f>
        <v>60.0936384799544</v>
      </c>
      <c r="G81" s="16" t="n">
        <f aca="false">G79+G80</f>
        <v>64.8202533877042</v>
      </c>
    </row>
    <row r="82" customFormat="false" ht="17.15" hidden="false" customHeight="false" outlineLevel="0" collapsed="false">
      <c r="A82" s="0" t="s">
        <v>525</v>
      </c>
      <c r="B82" s="0" t="s">
        <v>108</v>
      </c>
      <c r="C82" s="11" t="n">
        <f aca="false">C79/C74</f>
        <v>0.222117956176981</v>
      </c>
      <c r="D82" s="11" t="n">
        <f aca="false">D79/D74</f>
        <v>0.255</v>
      </c>
      <c r="E82" s="11" t="n">
        <f aca="false">E79/E74</f>
        <v>0.261582787750984</v>
      </c>
      <c r="F82" s="11" t="n">
        <f aca="false">F79/F74</f>
        <v>0.266486878314958</v>
      </c>
      <c r="G82" s="11" t="n">
        <f aca="false">G79/G74</f>
        <v>0.268683777369687</v>
      </c>
    </row>
    <row r="83" customFormat="false" ht="15" hidden="false" customHeight="false" outlineLevel="0" collapsed="false">
      <c r="A83" s="4" t="s">
        <v>559</v>
      </c>
      <c r="B83" s="0" t="s">
        <v>108</v>
      </c>
      <c r="C83" s="11" t="n">
        <f aca="false">C81/C76</f>
        <v>0.202214123880651</v>
      </c>
      <c r="D83" s="11" t="n">
        <f aca="false">D81/D76</f>
        <v>0.232804232804233</v>
      </c>
      <c r="E83" s="11" t="n">
        <f aca="false">E81/E76</f>
        <v>0.240680450976268</v>
      </c>
      <c r="F83" s="11" t="n">
        <f aca="false">F81/F76</f>
        <v>0.246759415520289</v>
      </c>
      <c r="G83" s="11" t="n">
        <f aca="false">G81/G76</f>
        <v>0.249495779262485</v>
      </c>
    </row>
    <row r="84" customFormat="false" ht="17.15" hidden="false" customHeight="false" outlineLevel="0" collapsed="false">
      <c r="A84" s="4" t="s">
        <v>445</v>
      </c>
      <c r="B84" s="0" t="s">
        <v>34</v>
      </c>
      <c r="C84" s="16" t="n">
        <f aca="false">a25_ni</f>
        <v>24.739</v>
      </c>
      <c r="D84" s="16" t="n">
        <f aca="false">D81*g26_ni/g26_oi</f>
        <v>30.8</v>
      </c>
      <c r="E84" s="16" t="n">
        <f aca="false">E81*nioi</f>
        <v>36.4345213817901</v>
      </c>
      <c r="F84" s="16" t="n">
        <f aca="false">F81*nioi</f>
        <v>42.0655469359681</v>
      </c>
      <c r="G84" s="16" t="n">
        <f aca="false">G81*nioi</f>
        <v>45.3741773713929</v>
      </c>
      <c r="J84" s="8" t="s">
        <v>560</v>
      </c>
    </row>
    <row r="85" customFormat="false" ht="15" hidden="false" customHeight="false" outlineLevel="0" collapsed="false">
      <c r="A85" s="0" t="s">
        <v>526</v>
      </c>
      <c r="B85" s="0" t="s">
        <v>56</v>
      </c>
      <c r="C85" s="16" t="n">
        <f aca="false">a25_eps</f>
        <v>610.02</v>
      </c>
      <c r="D85" s="16" t="n">
        <f aca="false">D84*1000/shares</f>
        <v>758.83675253348</v>
      </c>
      <c r="E85" s="16" t="n">
        <f aca="false">E84*1000/shares</f>
        <v>897.657593684067</v>
      </c>
      <c r="F85" s="16" t="n">
        <f aca="false">F84*1000/shares</f>
        <v>1036.39230618294</v>
      </c>
      <c r="G85" s="16" t="n">
        <f aca="false">G84*1000/shares</f>
        <v>1117.90887679824</v>
      </c>
    </row>
    <row r="86" customFormat="false" ht="17.15" hidden="false" customHeight="false" outlineLevel="0" collapsed="false">
      <c r="A86" s="4" t="s">
        <v>561</v>
      </c>
      <c r="B86" s="0" t="s">
        <v>34</v>
      </c>
      <c r="C86" s="19" t="n">
        <f aca="false">ABS(C76-a25_rev)+ABS(C81-a25_oi)</f>
        <v>0.00200000000000244</v>
      </c>
    </row>
    <row r="100" customFormat="false" ht="17.15" hidden="false" customHeight="false" outlineLevel="0" collapsed="false">
      <c r="A100" s="1" t="s">
        <v>831</v>
      </c>
    </row>
    <row r="101" customFormat="false" ht="17.15" hidden="false" customHeight="false" outlineLevel="0" collapsed="false">
      <c r="A101" s="5" t="s">
        <v>23</v>
      </c>
      <c r="B101" s="5" t="s">
        <v>24</v>
      </c>
      <c r="C101" s="14" t="s">
        <v>532</v>
      </c>
      <c r="D101" s="14" t="s">
        <v>533</v>
      </c>
      <c r="E101" s="14" t="s">
        <v>534</v>
      </c>
      <c r="F101" s="14" t="s">
        <v>535</v>
      </c>
      <c r="G101" s="14" t="s">
        <v>536</v>
      </c>
      <c r="H101" s="14" t="s">
        <v>537</v>
      </c>
      <c r="I101" s="5"/>
      <c r="J101" s="5" t="s">
        <v>520</v>
      </c>
    </row>
    <row r="102" customFormat="false" ht="17.15" hidden="false" customHeight="false" outlineLevel="0" collapsed="false">
      <c r="A102" s="6" t="s">
        <v>538</v>
      </c>
    </row>
    <row r="103" customFormat="false" ht="17.15" hidden="false" customHeight="false" outlineLevel="0" collapsed="false">
      <c r="A103" s="4" t="s">
        <v>539</v>
      </c>
      <c r="B103" s="0" t="s">
        <v>160</v>
      </c>
      <c r="C103" s="16" t="n">
        <f aca="false">tstA_25</f>
        <v>14.7359586560428</v>
      </c>
      <c r="D103" s="16" t="n">
        <f aca="false">tstA_26</f>
        <v>18.65</v>
      </c>
      <c r="E103" s="16" t="n">
        <f aca="false">tstA_27</f>
        <v>21.6346744396519</v>
      </c>
      <c r="F103" s="16" t="n">
        <f aca="false">tstA_28</f>
        <v>25.1</v>
      </c>
      <c r="G103" s="16" t="n">
        <f aca="false">tstA_29</f>
        <v>27.108</v>
      </c>
      <c r="H103" s="16" t="n">
        <f aca="false">G103*(1+g_tail)</f>
        <v>27.108</v>
      </c>
      <c r="J103" s="8" t="s">
        <v>540</v>
      </c>
    </row>
    <row r="104" customFormat="false" ht="17.15" hidden="false" customHeight="false" outlineLevel="0" collapsed="false">
      <c r="A104" s="4" t="s">
        <v>541</v>
      </c>
      <c r="B104" s="0" t="s">
        <v>160</v>
      </c>
      <c r="C104" s="16" t="n">
        <f aca="false">apkA_25</f>
        <v>3.05656934306569</v>
      </c>
      <c r="D104" s="16" t="n">
        <f aca="false">apkA_26</f>
        <v>3.35</v>
      </c>
      <c r="E104" s="16" t="n">
        <f aca="false">apkA_27</f>
        <v>3.79539194286967</v>
      </c>
      <c r="F104" s="16" t="n">
        <f aca="false">apkA_28</f>
        <v>4.3</v>
      </c>
      <c r="G104" s="16" t="n">
        <f aca="false">apkA_29</f>
        <v>4.644</v>
      </c>
      <c r="H104" s="16" t="n">
        <f aca="false">G104*(1+g_tail)</f>
        <v>4.644</v>
      </c>
    </row>
    <row r="105" customFormat="false" ht="15" hidden="false" customHeight="false" outlineLevel="0" collapsed="false">
      <c r="A105" s="4" t="s">
        <v>542</v>
      </c>
      <c r="B105" s="0" t="s">
        <v>160</v>
      </c>
      <c r="C105" s="16" t="n">
        <f aca="false">wfeA_25</f>
        <v>116.896831844029</v>
      </c>
      <c r="D105" s="16" t="n">
        <f aca="false">wfeA_26</f>
        <v>156.157050570127</v>
      </c>
      <c r="E105" s="16" t="n">
        <f aca="false">wfeA_27</f>
        <v>192.795469377561</v>
      </c>
      <c r="F105" s="16" t="n">
        <f aca="false">wfeA_28</f>
        <v>216.628626308958</v>
      </c>
      <c r="G105" s="16" t="n">
        <f aca="false">wfeA_29</f>
        <v>228.903685855226</v>
      </c>
      <c r="H105" s="16" t="n">
        <f aca="false">G105*(1+g_tail)</f>
        <v>228.903685855226</v>
      </c>
    </row>
    <row r="106" customFormat="false" ht="17.15" hidden="false" customHeight="false" outlineLevel="0" collapsed="false">
      <c r="A106" s="6" t="s">
        <v>543</v>
      </c>
    </row>
    <row r="107" customFormat="false" ht="15" hidden="false" customHeight="false" outlineLevel="0" collapsed="false">
      <c r="A107" s="4" t="s">
        <v>544</v>
      </c>
      <c r="B107" s="0" t="s">
        <v>301</v>
      </c>
      <c r="C107" s="19" t="n">
        <f aca="false">(0.75*C103+0.25*D103)/(0.75*D103+0.25*E103)</f>
        <v>0.810184181632695</v>
      </c>
      <c r="D107" s="19" t="n">
        <f aca="false">(0.75*D103+0.25*E103)/(0.75*D103+0.25*E103)</f>
        <v>1</v>
      </c>
      <c r="E107" s="19" t="n">
        <f aca="false">(0.75*E103+0.25*F103)/(0.75*D103+0.25*E103)</f>
        <v>1.16007476952119</v>
      </c>
      <c r="F107" s="19" t="n">
        <f aca="false">(0.75*F103+0.25*G103)/(0.75*D103+0.25*E103)</f>
        <v>1.31995140457355</v>
      </c>
      <c r="G107" s="19" t="n">
        <f aca="false">(0.75*G103+0.25*H103)/(0.75*D103+0.25*E103)</f>
        <v>1.39759560484258</v>
      </c>
    </row>
    <row r="108" customFormat="false" ht="17.15" hidden="false" customHeight="false" outlineLevel="0" collapsed="false">
      <c r="A108" s="4" t="s">
        <v>545</v>
      </c>
      <c r="B108" s="0" t="s">
        <v>301</v>
      </c>
      <c r="C108" s="19" t="n">
        <f aca="false">w_cmp*(0.75*C105+0.25*D105)/(0.75*D105+0.25*E105)+(1-w_cmp)*(0.75*C104+0.25*D104)/(0.75*D104+0.25*E104)</f>
        <v>0.876696686135123</v>
      </c>
      <c r="D108" s="19" t="n">
        <f aca="false">w_cmp*(0.75*D105+0.25*E105)/(0.75*D105+0.25*E105)+(1-w_cmp)*(0.75*D104+0.25*E104)/(0.75*D104+0.25*E104)</f>
        <v>1</v>
      </c>
      <c r="E108" s="19" t="n">
        <f aca="false">w_cmp*(0.75*E105+0.25*F105)/(0.75*D105+0.25*E105)+(1-w_cmp)*(0.75*E104+0.25*F104)/(0.75*D104+0.25*E104)</f>
        <v>1.14681444452041</v>
      </c>
      <c r="F108" s="19" t="n">
        <f aca="false">w_cmp*(0.75*F105+0.25*G105)/(0.75*D105+0.25*E105)+(1-w_cmp)*(0.75*F104+0.25*G104)/(0.75*D104+0.25*E104)</f>
        <v>1.27949889890768</v>
      </c>
      <c r="G108" s="19" t="n">
        <f aca="false">w_cmp*(0.75*G105+0.25*H105)/(0.75*D105+0.25*E105)+(1-w_cmp)*(0.75*G104+0.25*H104)/(0.75*D104+0.25*E104)</f>
        <v>1.35026661708511</v>
      </c>
    </row>
    <row r="109" customFormat="false" ht="17.15" hidden="false" customHeight="false" outlineLevel="0" collapsed="false">
      <c r="A109" s="4" t="s">
        <v>546</v>
      </c>
      <c r="B109" s="0" t="s">
        <v>301</v>
      </c>
      <c r="D109" s="19" t="n">
        <f aca="false">(1+exc_A_hi)^0</f>
        <v>1</v>
      </c>
      <c r="E109" s="19" t="n">
        <f aca="false">(1+exc_A_hi)^1</f>
        <v>1.05</v>
      </c>
      <c r="F109" s="19" t="n">
        <f aca="false">(1+exc_A_hi)^2</f>
        <v>1.1025</v>
      </c>
      <c r="G109" s="19" t="n">
        <f aca="false">(1+exc_A_hi)^3</f>
        <v>1.157625</v>
      </c>
    </row>
    <row r="110" customFormat="false" ht="17.15" hidden="false" customHeight="false" outlineLevel="0" collapsed="false">
      <c r="A110" s="4" t="s">
        <v>547</v>
      </c>
      <c r="B110" s="0" t="s">
        <v>301</v>
      </c>
      <c r="D110" s="19" t="n">
        <f aca="false">1</f>
        <v>1</v>
      </c>
      <c r="E110" s="19" t="n">
        <f aca="false">1+chn*chh_A*0.5</f>
        <v>1</v>
      </c>
      <c r="F110" s="19" t="n">
        <f aca="false">1+chn*chh_A</f>
        <v>1</v>
      </c>
      <c r="G110" s="19" t="n">
        <f aca="false">1+chn*chh_A</f>
        <v>1</v>
      </c>
    </row>
    <row r="111" customFormat="false" ht="17.15" hidden="false" customHeight="false" outlineLevel="0" collapsed="false">
      <c r="A111" s="6" t="s">
        <v>548</v>
      </c>
    </row>
    <row r="112" customFormat="false" ht="17.15" hidden="false" customHeight="false" outlineLevel="0" collapsed="false">
      <c r="A112" s="4" t="s">
        <v>549</v>
      </c>
      <c r="B112" s="0" t="s">
        <v>34</v>
      </c>
      <c r="C112" s="16" t="n">
        <f aca="false">spe_25*w_pr</f>
        <v>92.07216</v>
      </c>
      <c r="D112" s="16" t="n">
        <f aca="false">g26_spe*(1+g_anc)*w_pr</f>
        <v>106.2</v>
      </c>
      <c r="E112" s="16" t="n">
        <f aca="false">$D112*E107*E109*E110</f>
        <v>129.359937549308</v>
      </c>
      <c r="F112" s="16" t="n">
        <f aca="false">$D112*F107*F109*F110</f>
        <v>154.547170180196</v>
      </c>
      <c r="G112" s="16" t="n">
        <f aca="false">$D112*G107*G109*G110</f>
        <v>171.820089200336</v>
      </c>
      <c r="J112" s="8" t="s">
        <v>550</v>
      </c>
    </row>
    <row r="113" customFormat="false" ht="17.15" hidden="false" customHeight="false" outlineLevel="0" collapsed="false">
      <c r="A113" s="4" t="s">
        <v>551</v>
      </c>
      <c r="B113" s="0" t="s">
        <v>34</v>
      </c>
      <c r="C113" s="16" t="n">
        <f aca="false">spe_25*(1-w_pr)</f>
        <v>35.80584</v>
      </c>
      <c r="D113" s="16" t="n">
        <f aca="false">g26_spe*(1+g_anc)*(1-w_pr)</f>
        <v>41.3</v>
      </c>
      <c r="E113" s="16" t="n">
        <f aca="false">$D113*E108*E109*E110</f>
        <v>49.7316083866274</v>
      </c>
      <c r="F113" s="16" t="n">
        <f aca="false">$D113*F108*F109*F110</f>
        <v>58.2597432386883</v>
      </c>
      <c r="G113" s="16" t="n">
        <f aca="false">$D113*G108*G109*G110</f>
        <v>64.5561288145101</v>
      </c>
    </row>
    <row r="114" customFormat="false" ht="17.15" hidden="false" customHeight="false" outlineLevel="0" collapsed="false">
      <c r="A114" s="4" t="s">
        <v>552</v>
      </c>
      <c r="B114" s="0" t="s">
        <v>34</v>
      </c>
      <c r="C114" s="16" t="n">
        <f aca="false">C112+C113</f>
        <v>127.878</v>
      </c>
      <c r="D114" s="16" t="n">
        <f aca="false">D112+D113</f>
        <v>147.5</v>
      </c>
      <c r="E114" s="16" t="n">
        <f aca="false">E112+E113</f>
        <v>179.091545935935</v>
      </c>
      <c r="F114" s="16" t="n">
        <f aca="false">F112+F113</f>
        <v>212.806913418885</v>
      </c>
      <c r="G114" s="16" t="n">
        <f aca="false">G112+G113</f>
        <v>236.376218014846</v>
      </c>
    </row>
    <row r="115" customFormat="false" ht="15" hidden="false" customHeight="false" outlineLevel="0" collapsed="false">
      <c r="A115" s="4" t="s">
        <v>553</v>
      </c>
      <c r="B115" s="0" t="s">
        <v>34</v>
      </c>
      <c r="C115" s="16" t="n">
        <f aca="false">met_25</f>
        <v>38.96</v>
      </c>
      <c r="D115" s="16" t="n">
        <f aca="false">g26_met*(1+g_anc)</f>
        <v>41.5</v>
      </c>
      <c r="E115" s="16" t="n">
        <f aca="false">D115*(1+gmet_A)</f>
        <v>43.99</v>
      </c>
      <c r="F115" s="16" t="n">
        <f aca="false">E115*(1+gmet_A)</f>
        <v>46.6294</v>
      </c>
      <c r="G115" s="16" t="n">
        <f aca="false">F115*(1+gmet_A)</f>
        <v>49.427164</v>
      </c>
    </row>
    <row r="116" customFormat="false" ht="17.15" hidden="false" customHeight="false" outlineLevel="0" collapsed="false">
      <c r="A116" s="4" t="s">
        <v>438</v>
      </c>
      <c r="B116" s="0" t="s">
        <v>34</v>
      </c>
      <c r="C116" s="16" t="n">
        <f aca="false">C114+C115</f>
        <v>166.838</v>
      </c>
      <c r="D116" s="16" t="n">
        <f aca="false">D114+D115</f>
        <v>189</v>
      </c>
      <c r="E116" s="16" t="n">
        <f aca="false">E114+E115</f>
        <v>223.081545935935</v>
      </c>
      <c r="F116" s="16" t="n">
        <f aca="false">F114+F115</f>
        <v>259.436313418885</v>
      </c>
      <c r="G116" s="16" t="n">
        <f aca="false">G114+G115</f>
        <v>285.803382014846</v>
      </c>
      <c r="J116" s="8" t="s">
        <v>554</v>
      </c>
    </row>
    <row r="117" customFormat="false" ht="17.15" hidden="false" customHeight="false" outlineLevel="0" collapsed="false">
      <c r="A117" s="0" t="s">
        <v>555</v>
      </c>
      <c r="B117" s="0" t="s">
        <v>108</v>
      </c>
      <c r="C117" s="11" t="n">
        <f aca="false">C114/C116</f>
        <v>0.766480058499862</v>
      </c>
      <c r="D117" s="11" t="n">
        <f aca="false">D114/D116</f>
        <v>0.780423280423281</v>
      </c>
      <c r="E117" s="11" t="n">
        <f aca="false">E114/E116</f>
        <v>0.802807534727085</v>
      </c>
      <c r="F117" s="11" t="n">
        <f aca="false">F114/F116</f>
        <v>0.820266487040646</v>
      </c>
      <c r="G117" s="11" t="n">
        <f aca="false">G114/G116</f>
        <v>0.827058855456677</v>
      </c>
    </row>
    <row r="118" customFormat="false" ht="17.15" hidden="false" customHeight="false" outlineLevel="0" collapsed="false">
      <c r="A118" s="6" t="s">
        <v>556</v>
      </c>
    </row>
    <row r="119" customFormat="false" ht="17.15" hidden="false" customHeight="false" outlineLevel="0" collapsed="false">
      <c r="A119" s="0" t="s">
        <v>455</v>
      </c>
      <c r="B119" s="0" t="s">
        <v>34</v>
      </c>
      <c r="C119" s="16" t="n">
        <f aca="false">spe_op25</f>
        <v>28.404</v>
      </c>
      <c r="D119" s="16" t="n">
        <f aca="false">g26_spe*m_spe26+v_s*(D114-g26_spe)</f>
        <v>37.6125</v>
      </c>
      <c r="E119" s="16" t="n">
        <f aca="false">$D119+v_s*(E114-$D114)</f>
        <v>47.1147136221054</v>
      </c>
      <c r="F119" s="16" t="n">
        <f aca="false">$D119+v_s*(F114-$D114)+0*F114</f>
        <v>57.255737578972</v>
      </c>
      <c r="G119" s="16" t="n">
        <f aca="false">$D119+v_s*(G114-$D114)+0*G114</f>
        <v>64.3449939151281</v>
      </c>
      <c r="J119" s="4" t="s">
        <v>557</v>
      </c>
    </row>
    <row r="120" customFormat="false" ht="17.15" hidden="false" customHeight="false" outlineLevel="0" collapsed="false">
      <c r="A120" s="4" t="s">
        <v>460</v>
      </c>
      <c r="B120" s="0" t="s">
        <v>34</v>
      </c>
      <c r="C120" s="16" t="n">
        <f aca="false">met_op25</f>
        <v>5.333</v>
      </c>
      <c r="D120" s="16" t="n">
        <f aca="false">(g26_oi-g26_spe*m_spe26)+v_m*(D115-g26_met)</f>
        <v>6.3875</v>
      </c>
      <c r="E120" s="16" t="n">
        <f aca="false">$D120+v_m*(E115-$D115)</f>
        <v>6.98670815775652</v>
      </c>
      <c r="F120" s="16" t="n">
        <f aca="false">$D120+v_m*(F115-$D115)</f>
        <v>7.62186880497842</v>
      </c>
      <c r="G120" s="16" t="n">
        <f aca="false">$D120+v_m*(G115-$D115)</f>
        <v>8.29513909103364</v>
      </c>
      <c r="J120" s="8" t="s">
        <v>558</v>
      </c>
    </row>
    <row r="121" customFormat="false" ht="15" hidden="false" customHeight="false" outlineLevel="0" collapsed="false">
      <c r="A121" s="4" t="s">
        <v>442</v>
      </c>
      <c r="B121" s="0" t="s">
        <v>34</v>
      </c>
      <c r="C121" s="16" t="n">
        <f aca="false">C119+C120</f>
        <v>33.737</v>
      </c>
      <c r="D121" s="16" t="n">
        <f aca="false">D119+D120</f>
        <v>44</v>
      </c>
      <c r="E121" s="16" t="n">
        <f aca="false">E119+E120</f>
        <v>54.1014217798619</v>
      </c>
      <c r="F121" s="16" t="n">
        <f aca="false">F119+F120</f>
        <v>64.8776063839504</v>
      </c>
      <c r="G121" s="16" t="n">
        <f aca="false">G119+G120</f>
        <v>72.6401330061617</v>
      </c>
    </row>
    <row r="122" customFormat="false" ht="17.15" hidden="false" customHeight="false" outlineLevel="0" collapsed="false">
      <c r="A122" s="0" t="s">
        <v>525</v>
      </c>
      <c r="B122" s="0" t="s">
        <v>108</v>
      </c>
      <c r="C122" s="11" t="n">
        <f aca="false">C119/C114</f>
        <v>0.222117956176981</v>
      </c>
      <c r="D122" s="11" t="n">
        <f aca="false">D119/D114</f>
        <v>0.255</v>
      </c>
      <c r="E122" s="11" t="n">
        <f aca="false">E119/E114</f>
        <v>0.263076145643186</v>
      </c>
      <c r="F122" s="11" t="n">
        <f aca="false">F119/F114</f>
        <v>0.269050176327077</v>
      </c>
      <c r="G122" s="11" t="n">
        <f aca="false">G119/G114</f>
        <v>0.272214330424251</v>
      </c>
    </row>
    <row r="123" customFormat="false" ht="15" hidden="false" customHeight="false" outlineLevel="0" collapsed="false">
      <c r="A123" s="4" t="s">
        <v>559</v>
      </c>
      <c r="B123" s="0" t="s">
        <v>108</v>
      </c>
      <c r="C123" s="11" t="n">
        <f aca="false">C121/C116</f>
        <v>0.202214123880651</v>
      </c>
      <c r="D123" s="11" t="n">
        <f aca="false">D121/D116</f>
        <v>0.232804232804233</v>
      </c>
      <c r="E123" s="11" t="n">
        <f aca="false">E121/E116</f>
        <v>0.242518589123454</v>
      </c>
      <c r="F123" s="11" t="n">
        <f aca="false">F121/F116</f>
        <v>0.250071416483626</v>
      </c>
      <c r="G123" s="11" t="n">
        <f aca="false">G121/G116</f>
        <v>0.254161208639541</v>
      </c>
    </row>
    <row r="124" customFormat="false" ht="17.15" hidden="false" customHeight="false" outlineLevel="0" collapsed="false">
      <c r="A124" s="4" t="s">
        <v>445</v>
      </c>
      <c r="B124" s="0" t="s">
        <v>34</v>
      </c>
      <c r="C124" s="16" t="n">
        <f aca="false">a25_ni</f>
        <v>24.739</v>
      </c>
      <c r="D124" s="16" t="n">
        <f aca="false">D121*g26_ni/g26_oi</f>
        <v>30.8</v>
      </c>
      <c r="E124" s="16" t="n">
        <f aca="false">E121*nioi</f>
        <v>37.8709952459033</v>
      </c>
      <c r="F124" s="16" t="n">
        <f aca="false">F121*nioi</f>
        <v>45.4143244687653</v>
      </c>
      <c r="G124" s="16" t="n">
        <f aca="false">G121*nioi</f>
        <v>50.8480931043132</v>
      </c>
      <c r="J124" s="8" t="s">
        <v>560</v>
      </c>
    </row>
    <row r="125" customFormat="false" ht="15" hidden="false" customHeight="false" outlineLevel="0" collapsed="false">
      <c r="A125" s="0" t="s">
        <v>526</v>
      </c>
      <c r="B125" s="0" t="s">
        <v>56</v>
      </c>
      <c r="C125" s="16" t="n">
        <f aca="false">a25_eps</f>
        <v>610.02</v>
      </c>
      <c r="D125" s="16" t="n">
        <f aca="false">D124*1000/shares</f>
        <v>758.83675253348</v>
      </c>
      <c r="E125" s="16" t="n">
        <f aca="false">E124*1000/shares</f>
        <v>933.048800247148</v>
      </c>
      <c r="F125" s="16" t="n">
        <f aca="false">F124*1000/shares</f>
        <v>1118.89800319414</v>
      </c>
      <c r="G125" s="16" t="n">
        <f aca="false">G124*1000/shares</f>
        <v>1252.77278713627</v>
      </c>
    </row>
    <row r="126" customFormat="false" ht="17.15" hidden="false" customHeight="false" outlineLevel="0" collapsed="false">
      <c r="A126" s="4" t="s">
        <v>561</v>
      </c>
      <c r="B126" s="0" t="s">
        <v>34</v>
      </c>
      <c r="C126" s="19" t="n">
        <f aca="false">ABS(C116-a25_rev)+ABS(C121-a25_oi)</f>
        <v>0.00200000000000244</v>
      </c>
    </row>
    <row r="140" customFormat="false" ht="17.15" hidden="false" customHeight="false" outlineLevel="0" collapsed="false">
      <c r="A140" s="1" t="s">
        <v>832</v>
      </c>
    </row>
    <row r="141" customFormat="false" ht="17.15" hidden="false" customHeight="false" outlineLevel="0" collapsed="false">
      <c r="A141" s="5" t="s">
        <v>23</v>
      </c>
      <c r="B141" s="5" t="s">
        <v>24</v>
      </c>
      <c r="C141" s="14" t="s">
        <v>532</v>
      </c>
      <c r="D141" s="14" t="s">
        <v>533</v>
      </c>
      <c r="E141" s="14" t="s">
        <v>534</v>
      </c>
      <c r="F141" s="14" t="s">
        <v>535</v>
      </c>
      <c r="G141" s="14" t="s">
        <v>536</v>
      </c>
      <c r="H141" s="14" t="s">
        <v>537</v>
      </c>
      <c r="I141" s="5"/>
      <c r="J141" s="5" t="s">
        <v>520</v>
      </c>
    </row>
    <row r="142" customFormat="false" ht="17.15" hidden="false" customHeight="false" outlineLevel="0" collapsed="false">
      <c r="A142" s="6" t="s">
        <v>538</v>
      </c>
    </row>
    <row r="143" customFormat="false" ht="17.15" hidden="false" customHeight="false" outlineLevel="0" collapsed="false">
      <c r="A143" s="4" t="s">
        <v>539</v>
      </c>
      <c r="B143" s="0" t="s">
        <v>160</v>
      </c>
      <c r="C143" s="16" t="n">
        <f aca="false">tstA_25</f>
        <v>14.7359586560428</v>
      </c>
      <c r="D143" s="16" t="n">
        <f aca="false">tstA_26</f>
        <v>18.65</v>
      </c>
      <c r="E143" s="16" t="n">
        <f aca="false">tstA_27</f>
        <v>21.6346744396519</v>
      </c>
      <c r="F143" s="16" t="n">
        <f aca="false">tstA_28</f>
        <v>25.1</v>
      </c>
      <c r="G143" s="16" t="n">
        <f aca="false">tstA_29</f>
        <v>27.108</v>
      </c>
      <c r="H143" s="16" t="n">
        <f aca="false">G143*(1+g_tail)</f>
        <v>27.108</v>
      </c>
      <c r="J143" s="8" t="s">
        <v>540</v>
      </c>
    </row>
    <row r="144" customFormat="false" ht="17.15" hidden="false" customHeight="false" outlineLevel="0" collapsed="false">
      <c r="A144" s="4" t="s">
        <v>541</v>
      </c>
      <c r="B144" s="0" t="s">
        <v>160</v>
      </c>
      <c r="C144" s="16" t="n">
        <f aca="false">apkA_25</f>
        <v>3.05656934306569</v>
      </c>
      <c r="D144" s="16" t="n">
        <f aca="false">apkA_26</f>
        <v>3.35</v>
      </c>
      <c r="E144" s="16" t="n">
        <f aca="false">apkA_27</f>
        <v>3.79539194286967</v>
      </c>
      <c r="F144" s="16" t="n">
        <f aca="false">apkA_28</f>
        <v>4.3</v>
      </c>
      <c r="G144" s="16" t="n">
        <f aca="false">apkA_29</f>
        <v>4.644</v>
      </c>
      <c r="H144" s="16" t="n">
        <f aca="false">G144*(1+g_tail)</f>
        <v>4.644</v>
      </c>
    </row>
    <row r="145" customFormat="false" ht="15" hidden="false" customHeight="false" outlineLevel="0" collapsed="false">
      <c r="A145" s="4" t="s">
        <v>542</v>
      </c>
      <c r="B145" s="0" t="s">
        <v>160</v>
      </c>
      <c r="C145" s="16" t="n">
        <f aca="false">wfeA_25</f>
        <v>116.896831844029</v>
      </c>
      <c r="D145" s="16" t="n">
        <f aca="false">wfeA_26</f>
        <v>156.157050570127</v>
      </c>
      <c r="E145" s="16" t="n">
        <f aca="false">wfeA_27</f>
        <v>192.795469377561</v>
      </c>
      <c r="F145" s="16" t="n">
        <f aca="false">wfeA_28</f>
        <v>216.628626308958</v>
      </c>
      <c r="G145" s="16" t="n">
        <f aca="false">wfeA_29</f>
        <v>228.903685855226</v>
      </c>
      <c r="H145" s="16" t="n">
        <f aca="false">G145*(1+g_tail)</f>
        <v>228.903685855226</v>
      </c>
    </row>
    <row r="146" customFormat="false" ht="17.15" hidden="false" customHeight="false" outlineLevel="0" collapsed="false">
      <c r="A146" s="6" t="s">
        <v>543</v>
      </c>
    </row>
    <row r="147" customFormat="false" ht="15" hidden="false" customHeight="false" outlineLevel="0" collapsed="false">
      <c r="A147" s="4" t="s">
        <v>544</v>
      </c>
      <c r="B147" s="0" t="s">
        <v>301</v>
      </c>
      <c r="C147" s="19" t="n">
        <f aca="false">(0.75*C143+0.25*D143)/(0.75*D143+0.25*E143)</f>
        <v>0.810184181632695</v>
      </c>
      <c r="D147" s="19" t="n">
        <f aca="false">(0.75*D143+0.25*E143)/(0.75*D143+0.25*E143)</f>
        <v>1</v>
      </c>
      <c r="E147" s="19" t="n">
        <f aca="false">(0.75*E143+0.25*F143)/(0.75*D143+0.25*E143)</f>
        <v>1.16007476952119</v>
      </c>
      <c r="F147" s="19" t="n">
        <f aca="false">(0.75*F143+0.25*G143)/(0.75*D143+0.25*E143)</f>
        <v>1.31995140457355</v>
      </c>
      <c r="G147" s="19" t="n">
        <f aca="false">(0.75*G143+0.25*H143)/(0.75*D143+0.25*E143)</f>
        <v>1.39759560484258</v>
      </c>
    </row>
    <row r="148" customFormat="false" ht="17.15" hidden="false" customHeight="false" outlineLevel="0" collapsed="false">
      <c r="A148" s="4" t="s">
        <v>545</v>
      </c>
      <c r="B148" s="0" t="s">
        <v>301</v>
      </c>
      <c r="C148" s="19" t="n">
        <f aca="false">w_cmp*(0.75*C145+0.25*D145)/(0.75*D145+0.25*E145)+(1-w_cmp)*(0.75*C144+0.25*D144)/(0.75*D144+0.25*E144)</f>
        <v>0.876696686135123</v>
      </c>
      <c r="D148" s="19" t="n">
        <f aca="false">w_cmp*(0.75*D145+0.25*E145)/(0.75*D145+0.25*E145)+(1-w_cmp)*(0.75*D144+0.25*E144)/(0.75*D144+0.25*E144)</f>
        <v>1</v>
      </c>
      <c r="E148" s="19" t="n">
        <f aca="false">w_cmp*(0.75*E145+0.25*F145)/(0.75*D145+0.25*E145)+(1-w_cmp)*(0.75*E144+0.25*F144)/(0.75*D144+0.25*E144)</f>
        <v>1.14681444452041</v>
      </c>
      <c r="F148" s="19" t="n">
        <f aca="false">w_cmp*(0.75*F145+0.25*G145)/(0.75*D145+0.25*E145)+(1-w_cmp)*(0.75*F144+0.25*G144)/(0.75*D144+0.25*E144)</f>
        <v>1.27949889890768</v>
      </c>
      <c r="G148" s="19" t="n">
        <f aca="false">w_cmp*(0.75*G145+0.25*H145)/(0.75*D145+0.25*E145)+(1-w_cmp)*(0.75*G144+0.25*H144)/(0.75*D144+0.25*E144)</f>
        <v>1.35026661708511</v>
      </c>
    </row>
    <row r="149" customFormat="false" ht="17.15" hidden="false" customHeight="false" outlineLevel="0" collapsed="false">
      <c r="A149" s="4" t="s">
        <v>546</v>
      </c>
      <c r="B149" s="0" t="s">
        <v>301</v>
      </c>
      <c r="D149" s="19" t="n">
        <f aca="false">(1+0)^0</f>
        <v>1</v>
      </c>
      <c r="E149" s="19" t="n">
        <f aca="false">(1+0)^1</f>
        <v>1</v>
      </c>
      <c r="F149" s="19" t="n">
        <f aca="false">(1+0)^2</f>
        <v>1</v>
      </c>
      <c r="G149" s="19" t="n">
        <f aca="false">(1+0)^3</f>
        <v>1</v>
      </c>
    </row>
    <row r="150" customFormat="false" ht="17.15" hidden="false" customHeight="false" outlineLevel="0" collapsed="false">
      <c r="A150" s="4" t="s">
        <v>547</v>
      </c>
      <c r="B150" s="0" t="s">
        <v>301</v>
      </c>
      <c r="D150" s="19" t="n">
        <f aca="false">1</f>
        <v>1</v>
      </c>
      <c r="E150" s="19" t="n">
        <f aca="false">1+chn*chh_A*0.5</f>
        <v>1</v>
      </c>
      <c r="F150" s="19" t="n">
        <f aca="false">1+chn*chh_A</f>
        <v>1</v>
      </c>
      <c r="G150" s="19" t="n">
        <f aca="false">1+chn*chh_A</f>
        <v>1</v>
      </c>
    </row>
    <row r="151" customFormat="false" ht="17.15" hidden="false" customHeight="false" outlineLevel="0" collapsed="false">
      <c r="A151" s="6" t="s">
        <v>548</v>
      </c>
    </row>
    <row r="152" customFormat="false" ht="17.15" hidden="false" customHeight="false" outlineLevel="0" collapsed="false">
      <c r="A152" s="4" t="s">
        <v>549</v>
      </c>
      <c r="B152" s="0" t="s">
        <v>34</v>
      </c>
      <c r="C152" s="16" t="n">
        <f aca="false">spe_25*w_pr</f>
        <v>92.07216</v>
      </c>
      <c r="D152" s="16" t="n">
        <f aca="false">g26_spe*(1+g_anc)*w_pr</f>
        <v>106.2</v>
      </c>
      <c r="E152" s="16" t="n">
        <f aca="false">$D152*E147*E149*E150</f>
        <v>123.19994052315</v>
      </c>
      <c r="F152" s="16" t="n">
        <f aca="false">$D152*F147*F149*F150</f>
        <v>140.178839165711</v>
      </c>
      <c r="G152" s="16" t="n">
        <f aca="false">$D152*G147*G149*G150</f>
        <v>148.424653234282</v>
      </c>
      <c r="J152" s="8" t="s">
        <v>550</v>
      </c>
    </row>
    <row r="153" customFormat="false" ht="17.15" hidden="false" customHeight="false" outlineLevel="0" collapsed="false">
      <c r="A153" s="4" t="s">
        <v>551</v>
      </c>
      <c r="B153" s="0" t="s">
        <v>34</v>
      </c>
      <c r="C153" s="16" t="n">
        <f aca="false">spe_25*(1-w_pr)</f>
        <v>35.80584</v>
      </c>
      <c r="D153" s="16" t="n">
        <f aca="false">g26_spe*(1+g_anc)*(1-w_pr)</f>
        <v>41.3</v>
      </c>
      <c r="E153" s="16" t="n">
        <f aca="false">$D153*E148*E149*E150</f>
        <v>47.3634365586928</v>
      </c>
      <c r="F153" s="16" t="n">
        <f aca="false">$D153*F148*F149*F150</f>
        <v>52.8433045248873</v>
      </c>
      <c r="G153" s="16" t="n">
        <f aca="false">$D153*G148*G149*G150</f>
        <v>55.766011285615</v>
      </c>
    </row>
    <row r="154" customFormat="false" ht="17.15" hidden="false" customHeight="false" outlineLevel="0" collapsed="false">
      <c r="A154" s="4" t="s">
        <v>552</v>
      </c>
      <c r="B154" s="0" t="s">
        <v>34</v>
      </c>
      <c r="C154" s="16" t="n">
        <f aca="false">C152+C153</f>
        <v>127.878</v>
      </c>
      <c r="D154" s="16" t="n">
        <f aca="false">D152+D153</f>
        <v>147.5</v>
      </c>
      <c r="E154" s="16" t="n">
        <f aca="false">E152+E153</f>
        <v>170.563377081843</v>
      </c>
      <c r="F154" s="16" t="n">
        <f aca="false">F152+F153</f>
        <v>193.022143690598</v>
      </c>
      <c r="G154" s="16" t="n">
        <f aca="false">G152+G153</f>
        <v>204.190664519897</v>
      </c>
    </row>
    <row r="155" customFormat="false" ht="15" hidden="false" customHeight="false" outlineLevel="0" collapsed="false">
      <c r="A155" s="4" t="s">
        <v>553</v>
      </c>
      <c r="B155" s="0" t="s">
        <v>34</v>
      </c>
      <c r="C155" s="16" t="n">
        <f aca="false">met_25</f>
        <v>38.96</v>
      </c>
      <c r="D155" s="16" t="n">
        <f aca="false">g26_met*(1+g_anc)</f>
        <v>41.5</v>
      </c>
      <c r="E155" s="16" t="n">
        <f aca="false">D155*(1+gmet_A)</f>
        <v>43.99</v>
      </c>
      <c r="F155" s="16" t="n">
        <f aca="false">E155*(1+gmet_A)</f>
        <v>46.6294</v>
      </c>
      <c r="G155" s="16" t="n">
        <f aca="false">F155*(1+gmet_A)</f>
        <v>49.427164</v>
      </c>
    </row>
    <row r="156" customFormat="false" ht="17.15" hidden="false" customHeight="false" outlineLevel="0" collapsed="false">
      <c r="A156" s="4" t="s">
        <v>438</v>
      </c>
      <c r="B156" s="0" t="s">
        <v>34</v>
      </c>
      <c r="C156" s="16" t="n">
        <f aca="false">C154+C155</f>
        <v>166.838</v>
      </c>
      <c r="D156" s="16" t="n">
        <f aca="false">D154+D155</f>
        <v>189</v>
      </c>
      <c r="E156" s="16" t="n">
        <f aca="false">E154+E155</f>
        <v>214.553377081843</v>
      </c>
      <c r="F156" s="16" t="n">
        <f aca="false">F154+F155</f>
        <v>239.651543690598</v>
      </c>
      <c r="G156" s="16" t="n">
        <f aca="false">G154+G155</f>
        <v>253.617828519897</v>
      </c>
      <c r="J156" s="8" t="s">
        <v>554</v>
      </c>
    </row>
    <row r="157" customFormat="false" ht="17.15" hidden="false" customHeight="false" outlineLevel="0" collapsed="false">
      <c r="A157" s="0" t="s">
        <v>555</v>
      </c>
      <c r="B157" s="0" t="s">
        <v>108</v>
      </c>
      <c r="C157" s="11" t="n">
        <f aca="false">C154/C156</f>
        <v>0.766480058499862</v>
      </c>
      <c r="D157" s="11" t="n">
        <f aca="false">D154/D156</f>
        <v>0.780423280423281</v>
      </c>
      <c r="E157" s="11" t="n">
        <f aca="false">E154/E156</f>
        <v>0.794969435586094</v>
      </c>
      <c r="F157" s="11" t="n">
        <f aca="false">F154/F156</f>
        <v>0.80542833448133</v>
      </c>
      <c r="G157" s="11" t="n">
        <f aca="false">G154/G156</f>
        <v>0.805111634744076</v>
      </c>
    </row>
    <row r="158" customFormat="false" ht="17.15" hidden="false" customHeight="false" outlineLevel="0" collapsed="false">
      <c r="A158" s="6" t="s">
        <v>556</v>
      </c>
    </row>
    <row r="159" customFormat="false" ht="17.15" hidden="false" customHeight="false" outlineLevel="0" collapsed="false">
      <c r="A159" s="0" t="s">
        <v>455</v>
      </c>
      <c r="B159" s="0" t="s">
        <v>34</v>
      </c>
      <c r="C159" s="16" t="n">
        <f aca="false">spe_op25</f>
        <v>28.404</v>
      </c>
      <c r="D159" s="16" t="n">
        <f aca="false">g26_spe*m_spe26+v_s*(D154-g26_spe)</f>
        <v>37.6125</v>
      </c>
      <c r="E159" s="16" t="n">
        <f aca="false">$D159+v_s*(E154-$D154)</f>
        <v>44.5495817219032</v>
      </c>
      <c r="F159" s="16" t="n">
        <f aca="false">$D159+v_s*(F154-$D154)+0*F154</f>
        <v>51.3048066304332</v>
      </c>
      <c r="G159" s="16" t="n">
        <f aca="false">$D159+v_s*(G154-$D154)+0*G154</f>
        <v>54.6641126605384</v>
      </c>
      <c r="J159" s="4" t="s">
        <v>557</v>
      </c>
    </row>
    <row r="160" customFormat="false" ht="17.15" hidden="false" customHeight="false" outlineLevel="0" collapsed="false">
      <c r="A160" s="4" t="s">
        <v>460</v>
      </c>
      <c r="B160" s="0" t="s">
        <v>34</v>
      </c>
      <c r="C160" s="16" t="n">
        <f aca="false">met_op25</f>
        <v>5.333</v>
      </c>
      <c r="D160" s="16" t="n">
        <f aca="false">(g26_oi-g26_spe*m_spe26)+v_m*(D155-g26_met)</f>
        <v>6.3875</v>
      </c>
      <c r="E160" s="16" t="n">
        <f aca="false">$D160+v_m*(E155-$D155)</f>
        <v>6.98670815775652</v>
      </c>
      <c r="F160" s="16" t="n">
        <f aca="false">$D160+v_m*(F155-$D155)</f>
        <v>7.62186880497842</v>
      </c>
      <c r="G160" s="16" t="n">
        <f aca="false">$D160+v_m*(G155-$D155)</f>
        <v>8.29513909103364</v>
      </c>
      <c r="J160" s="8" t="s">
        <v>558</v>
      </c>
    </row>
    <row r="161" customFormat="false" ht="15" hidden="false" customHeight="false" outlineLevel="0" collapsed="false">
      <c r="A161" s="4" t="s">
        <v>442</v>
      </c>
      <c r="B161" s="0" t="s">
        <v>34</v>
      </c>
      <c r="C161" s="16" t="n">
        <f aca="false">C159+C160</f>
        <v>33.737</v>
      </c>
      <c r="D161" s="16" t="n">
        <f aca="false">D159+D160</f>
        <v>44</v>
      </c>
      <c r="E161" s="16" t="n">
        <f aca="false">E159+E160</f>
        <v>51.5362898796598</v>
      </c>
      <c r="F161" s="16" t="n">
        <f aca="false">F159+F160</f>
        <v>58.9266754354116</v>
      </c>
      <c r="G161" s="16" t="n">
        <f aca="false">G159+G160</f>
        <v>62.959251751572</v>
      </c>
    </row>
    <row r="162" customFormat="false" ht="17.15" hidden="false" customHeight="false" outlineLevel="0" collapsed="false">
      <c r="A162" s="0" t="s">
        <v>525</v>
      </c>
      <c r="B162" s="0" t="s">
        <v>108</v>
      </c>
      <c r="C162" s="11" t="n">
        <f aca="false">C159/C154</f>
        <v>0.222117956176981</v>
      </c>
      <c r="D162" s="11" t="n">
        <f aca="false">D159/D154</f>
        <v>0.255</v>
      </c>
      <c r="E162" s="11" t="n">
        <f aca="false">E159/E154</f>
        <v>0.261190781304281</v>
      </c>
      <c r="F162" s="11" t="n">
        <f aca="false">F159/F154</f>
        <v>0.265797517577421</v>
      </c>
      <c r="G162" s="11" t="n">
        <f aca="false">G159/G154</f>
        <v>0.267711125721968</v>
      </c>
    </row>
    <row r="163" customFormat="false" ht="15" hidden="false" customHeight="false" outlineLevel="0" collapsed="false">
      <c r="A163" s="4" t="s">
        <v>559</v>
      </c>
      <c r="B163" s="0" t="s">
        <v>108</v>
      </c>
      <c r="C163" s="11" t="n">
        <f aca="false">C161/C156</f>
        <v>0.202214123880651</v>
      </c>
      <c r="D163" s="11" t="n">
        <f aca="false">D161/D156</f>
        <v>0.232804232804233</v>
      </c>
      <c r="E163" s="11" t="n">
        <f aca="false">E161/E156</f>
        <v>0.240202650643904</v>
      </c>
      <c r="F163" s="11" t="n">
        <f aca="false">F161/F156</f>
        <v>0.245884814793803</v>
      </c>
      <c r="G163" s="11" t="n">
        <f aca="false">G161/G156</f>
        <v>0.248244581696009</v>
      </c>
    </row>
    <row r="164" customFormat="false" ht="17.15" hidden="false" customHeight="false" outlineLevel="0" collapsed="false">
      <c r="A164" s="4" t="s">
        <v>445</v>
      </c>
      <c r="B164" s="0" t="s">
        <v>34</v>
      </c>
      <c r="C164" s="16" t="n">
        <f aca="false">a25_ni</f>
        <v>24.739</v>
      </c>
      <c r="D164" s="16" t="n">
        <f aca="false">D161*g26_ni/g26_oi</f>
        <v>30.8</v>
      </c>
      <c r="E164" s="16" t="n">
        <f aca="false">E161*nioi</f>
        <v>36.0754029157618</v>
      </c>
      <c r="F164" s="16" t="n">
        <f aca="false">F161*nioi</f>
        <v>41.2486728047882</v>
      </c>
      <c r="G164" s="16" t="n">
        <f aca="false">G161*nioi</f>
        <v>44.0714762261004</v>
      </c>
      <c r="J164" s="8" t="s">
        <v>560</v>
      </c>
    </row>
    <row r="165" customFormat="false" ht="15" hidden="false" customHeight="false" outlineLevel="0" collapsed="false">
      <c r="A165" s="0" t="s">
        <v>526</v>
      </c>
      <c r="B165" s="0" t="s">
        <v>56</v>
      </c>
      <c r="C165" s="16" t="n">
        <f aca="false">a25_eps</f>
        <v>610.02</v>
      </c>
      <c r="D165" s="16" t="n">
        <f aca="false">D164*1000/shares</f>
        <v>758.83675253348</v>
      </c>
      <c r="E165" s="16" t="n">
        <f aca="false">E164*1000/shares</f>
        <v>888.809792043297</v>
      </c>
      <c r="F165" s="16" t="n">
        <f aca="false">F164*1000/shares</f>
        <v>1016.2665232955</v>
      </c>
      <c r="G165" s="16" t="n">
        <f aca="false">G164*1000/shares</f>
        <v>1085.81350320684</v>
      </c>
    </row>
    <row r="166" customFormat="false" ht="17.15" hidden="false" customHeight="false" outlineLevel="0" collapsed="false">
      <c r="A166" s="4" t="s">
        <v>561</v>
      </c>
      <c r="B166" s="0" t="s">
        <v>34</v>
      </c>
      <c r="C166" s="19" t="n">
        <f aca="false">ABS(C156-a25_rev)+ABS(C161-a25_oi)</f>
        <v>0.00200000000000244</v>
      </c>
    </row>
    <row r="180" customFormat="false" ht="17.15" hidden="false" customHeight="false" outlineLevel="0" collapsed="false">
      <c r="A180" s="1" t="s">
        <v>833</v>
      </c>
    </row>
    <row r="181" customFormat="false" ht="17.15" hidden="false" customHeight="false" outlineLevel="0" collapsed="false">
      <c r="A181" s="5" t="s">
        <v>23</v>
      </c>
      <c r="B181" s="5" t="s">
        <v>24</v>
      </c>
      <c r="C181" s="14" t="s">
        <v>532</v>
      </c>
      <c r="D181" s="14" t="s">
        <v>533</v>
      </c>
      <c r="E181" s="14" t="s">
        <v>534</v>
      </c>
      <c r="F181" s="14" t="s">
        <v>535</v>
      </c>
      <c r="G181" s="14" t="s">
        <v>536</v>
      </c>
      <c r="H181" s="14" t="s">
        <v>537</v>
      </c>
      <c r="I181" s="5"/>
      <c r="J181" s="5" t="s">
        <v>520</v>
      </c>
    </row>
    <row r="182" customFormat="false" ht="17.15" hidden="false" customHeight="false" outlineLevel="0" collapsed="false">
      <c r="A182" s="6" t="s">
        <v>538</v>
      </c>
    </row>
    <row r="183" customFormat="false" ht="17.15" hidden="false" customHeight="false" outlineLevel="0" collapsed="false">
      <c r="A183" s="4" t="s">
        <v>539</v>
      </c>
      <c r="B183" s="0" t="s">
        <v>160</v>
      </c>
      <c r="C183" s="16" t="n">
        <f aca="false">tstA_25</f>
        <v>14.7359586560428</v>
      </c>
      <c r="D183" s="16" t="n">
        <f aca="false">tstA_26</f>
        <v>18.65</v>
      </c>
      <c r="E183" s="16" t="n">
        <f aca="false">tstA_27</f>
        <v>21.6346744396519</v>
      </c>
      <c r="F183" s="16" t="n">
        <f aca="false">tstA_28</f>
        <v>25.1</v>
      </c>
      <c r="G183" s="16" t="n">
        <f aca="false">tstA_29</f>
        <v>27.108</v>
      </c>
      <c r="H183" s="16" t="n">
        <f aca="false">G183*(1+g_tail)</f>
        <v>27.108</v>
      </c>
      <c r="J183" s="8" t="s">
        <v>540</v>
      </c>
    </row>
    <row r="184" customFormat="false" ht="17.15" hidden="false" customHeight="false" outlineLevel="0" collapsed="false">
      <c r="A184" s="4" t="s">
        <v>541</v>
      </c>
      <c r="B184" s="0" t="s">
        <v>160</v>
      </c>
      <c r="C184" s="16" t="n">
        <f aca="false">apkA_25</f>
        <v>3.05656934306569</v>
      </c>
      <c r="D184" s="16" t="n">
        <f aca="false">apkA_26</f>
        <v>3.35</v>
      </c>
      <c r="E184" s="16" t="n">
        <f aca="false">apkA_27</f>
        <v>3.79539194286967</v>
      </c>
      <c r="F184" s="16" t="n">
        <f aca="false">apkA_28</f>
        <v>4.3</v>
      </c>
      <c r="G184" s="16" t="n">
        <f aca="false">apkA_29</f>
        <v>4.644</v>
      </c>
      <c r="H184" s="16" t="n">
        <f aca="false">G184*(1+g_tail)</f>
        <v>4.644</v>
      </c>
    </row>
    <row r="185" customFormat="false" ht="15" hidden="false" customHeight="false" outlineLevel="0" collapsed="false">
      <c r="A185" s="4" t="s">
        <v>542</v>
      </c>
      <c r="B185" s="0" t="s">
        <v>160</v>
      </c>
      <c r="C185" s="16" t="n">
        <f aca="false">wfeA_25</f>
        <v>116.896831844029</v>
      </c>
      <c r="D185" s="16" t="n">
        <f aca="false">wfeA_26</f>
        <v>156.157050570127</v>
      </c>
      <c r="E185" s="16" t="n">
        <f aca="false">wfeA_27</f>
        <v>192.795469377561</v>
      </c>
      <c r="F185" s="16" t="n">
        <f aca="false">wfeA_28</f>
        <v>216.628626308958</v>
      </c>
      <c r="G185" s="16" t="n">
        <f aca="false">wfeA_29</f>
        <v>228.903685855226</v>
      </c>
      <c r="H185" s="16" t="n">
        <f aca="false">G185*(1+g_tail)</f>
        <v>228.903685855226</v>
      </c>
    </row>
    <row r="186" customFormat="false" ht="17.15" hidden="false" customHeight="false" outlineLevel="0" collapsed="false">
      <c r="A186" s="6" t="s">
        <v>543</v>
      </c>
    </row>
    <row r="187" customFormat="false" ht="15" hidden="false" customHeight="false" outlineLevel="0" collapsed="false">
      <c r="A187" s="4" t="s">
        <v>544</v>
      </c>
      <c r="B187" s="0" t="s">
        <v>301</v>
      </c>
      <c r="C187" s="19" t="n">
        <f aca="false">(0.75*C183+0.25*D183)/(0.75*D183+0.25*E183)</f>
        <v>0.810184181632695</v>
      </c>
      <c r="D187" s="19" t="n">
        <f aca="false">(0.75*D183+0.25*E183)/(0.75*D183+0.25*E183)</f>
        <v>1</v>
      </c>
      <c r="E187" s="19" t="n">
        <f aca="false">(0.75*E183+0.25*F183)/(0.75*D183+0.25*E183)</f>
        <v>1.16007476952119</v>
      </c>
      <c r="F187" s="19" t="n">
        <f aca="false">(0.75*F183+0.25*G183)/(0.75*D183+0.25*E183)</f>
        <v>1.31995140457355</v>
      </c>
      <c r="G187" s="19" t="n">
        <f aca="false">(0.75*G183+0.25*H183)/(0.75*D183+0.25*E183)</f>
        <v>1.39759560484258</v>
      </c>
    </row>
    <row r="188" customFormat="false" ht="17.15" hidden="false" customHeight="false" outlineLevel="0" collapsed="false">
      <c r="A188" s="4" t="s">
        <v>545</v>
      </c>
      <c r="B188" s="0" t="s">
        <v>301</v>
      </c>
      <c r="C188" s="19" t="n">
        <f aca="false">w_cmp*(0.75*C185+0.25*D185)/(0.75*D185+0.25*E185)+(1-w_cmp)*(0.75*C184+0.25*D184)/(0.75*D184+0.25*E184)</f>
        <v>0.876696686135123</v>
      </c>
      <c r="D188" s="19" t="n">
        <f aca="false">w_cmp*(0.75*D185+0.25*E185)/(0.75*D185+0.25*E185)+(1-w_cmp)*(0.75*D184+0.25*E184)/(0.75*D184+0.25*E184)</f>
        <v>1</v>
      </c>
      <c r="E188" s="19" t="n">
        <f aca="false">w_cmp*(0.75*E185+0.25*F185)/(0.75*D185+0.25*E185)+(1-w_cmp)*(0.75*E184+0.25*F184)/(0.75*D184+0.25*E184)</f>
        <v>1.14681444452041</v>
      </c>
      <c r="F188" s="19" t="n">
        <f aca="false">w_cmp*(0.75*F185+0.25*G185)/(0.75*D185+0.25*E185)+(1-w_cmp)*(0.75*F184+0.25*G184)/(0.75*D184+0.25*E184)</f>
        <v>1.27949889890768</v>
      </c>
      <c r="G188" s="19" t="n">
        <f aca="false">w_cmp*(0.75*G185+0.25*H185)/(0.75*D185+0.25*E185)+(1-w_cmp)*(0.75*G184+0.25*H184)/(0.75*D184+0.25*E184)</f>
        <v>1.35026661708511</v>
      </c>
    </row>
    <row r="189" customFormat="false" ht="17.15" hidden="false" customHeight="false" outlineLevel="0" collapsed="false">
      <c r="A189" s="4" t="s">
        <v>546</v>
      </c>
      <c r="B189" s="0" t="s">
        <v>301</v>
      </c>
      <c r="D189" s="19" t="n">
        <f aca="false">(1+exc_A)^0</f>
        <v>1</v>
      </c>
      <c r="E189" s="19" t="n">
        <f aca="false">(1+exc_A)^1</f>
        <v>1.03</v>
      </c>
      <c r="F189" s="19" t="n">
        <f aca="false">(1+exc_A)^2</f>
        <v>1.0609</v>
      </c>
      <c r="G189" s="19" t="n">
        <f aca="false">(1+exc_A)^3</f>
        <v>1.092727</v>
      </c>
    </row>
    <row r="190" customFormat="false" ht="17.15" hidden="false" customHeight="false" outlineLevel="0" collapsed="false">
      <c r="A190" s="4" t="s">
        <v>547</v>
      </c>
      <c r="B190" s="0" t="s">
        <v>301</v>
      </c>
      <c r="D190" s="19" t="n">
        <f aca="false">1</f>
        <v>1</v>
      </c>
      <c r="E190" s="19" t="n">
        <f aca="false">1+chn*chh_C*0.5</f>
        <v>0.955</v>
      </c>
      <c r="F190" s="19" t="n">
        <f aca="false">1+chn*chh_C</f>
        <v>0.91</v>
      </c>
      <c r="G190" s="19" t="n">
        <f aca="false">1+chn*chh_C</f>
        <v>0.91</v>
      </c>
    </row>
    <row r="191" customFormat="false" ht="17.15" hidden="false" customHeight="false" outlineLevel="0" collapsed="false">
      <c r="A191" s="6" t="s">
        <v>548</v>
      </c>
    </row>
    <row r="192" customFormat="false" ht="17.15" hidden="false" customHeight="false" outlineLevel="0" collapsed="false">
      <c r="A192" s="4" t="s">
        <v>549</v>
      </c>
      <c r="B192" s="0" t="s">
        <v>34</v>
      </c>
      <c r="C192" s="16" t="n">
        <f aca="false">spe_25*w_pr</f>
        <v>92.07216</v>
      </c>
      <c r="D192" s="16" t="n">
        <f aca="false">g26_spe*(1+g_anc)*w_pr</f>
        <v>106.2</v>
      </c>
      <c r="E192" s="16" t="n">
        <f aca="false">$D192*E187*E189*E190</f>
        <v>121.185621495597</v>
      </c>
      <c r="F192" s="16" t="n">
        <f aca="false">$D192*F187*F189*F190</f>
        <v>135.331314728521</v>
      </c>
      <c r="G192" s="16" t="n">
        <f aca="false">$D192*G187*G189*G190</f>
        <v>147.590739709811</v>
      </c>
      <c r="J192" s="8" t="s">
        <v>550</v>
      </c>
    </row>
    <row r="193" customFormat="false" ht="17.15" hidden="false" customHeight="false" outlineLevel="0" collapsed="false">
      <c r="A193" s="4" t="s">
        <v>551</v>
      </c>
      <c r="B193" s="0" t="s">
        <v>34</v>
      </c>
      <c r="C193" s="16" t="n">
        <f aca="false">spe_25*(1-w_pr)</f>
        <v>35.80584</v>
      </c>
      <c r="D193" s="16" t="n">
        <f aca="false">g26_spe*(1+g_anc)*(1-w_pr)</f>
        <v>41.3</v>
      </c>
      <c r="E193" s="16" t="n">
        <f aca="false">$D193*E188*E189*E190</f>
        <v>46.5890443709581</v>
      </c>
      <c r="F193" s="16" t="n">
        <f aca="false">$D193*F188*F189*F190</f>
        <v>51.0159302111122</v>
      </c>
      <c r="G193" s="16" t="n">
        <f aca="false">$D193*G188*G189*G190</f>
        <v>55.4526938548276</v>
      </c>
    </row>
    <row r="194" customFormat="false" ht="17.15" hidden="false" customHeight="false" outlineLevel="0" collapsed="false">
      <c r="A194" s="4" t="s">
        <v>552</v>
      </c>
      <c r="B194" s="0" t="s">
        <v>34</v>
      </c>
      <c r="C194" s="16" t="n">
        <f aca="false">C192+C193</f>
        <v>127.878</v>
      </c>
      <c r="D194" s="16" t="n">
        <f aca="false">D192+D193</f>
        <v>147.5</v>
      </c>
      <c r="E194" s="16" t="n">
        <f aca="false">E192+E193</f>
        <v>167.774665866555</v>
      </c>
      <c r="F194" s="16" t="n">
        <f aca="false">F192+F193</f>
        <v>186.347244939634</v>
      </c>
      <c r="G194" s="16" t="n">
        <f aca="false">G192+G193</f>
        <v>203.043433564639</v>
      </c>
    </row>
    <row r="195" customFormat="false" ht="15" hidden="false" customHeight="false" outlineLevel="0" collapsed="false">
      <c r="A195" s="4" t="s">
        <v>553</v>
      </c>
      <c r="B195" s="0" t="s">
        <v>34</v>
      </c>
      <c r="C195" s="16" t="n">
        <f aca="false">met_25</f>
        <v>38.96</v>
      </c>
      <c r="D195" s="16" t="n">
        <f aca="false">g26_met*(1+g_anc)</f>
        <v>41.5</v>
      </c>
      <c r="E195" s="16" t="n">
        <f aca="false">D195*(1+gmet_A)</f>
        <v>43.99</v>
      </c>
      <c r="F195" s="16" t="n">
        <f aca="false">E195*(1+gmet_A)</f>
        <v>46.6294</v>
      </c>
      <c r="G195" s="16" t="n">
        <f aca="false">F195*(1+gmet_A)</f>
        <v>49.427164</v>
      </c>
    </row>
    <row r="196" customFormat="false" ht="17.15" hidden="false" customHeight="false" outlineLevel="0" collapsed="false">
      <c r="A196" s="4" t="s">
        <v>438</v>
      </c>
      <c r="B196" s="0" t="s">
        <v>34</v>
      </c>
      <c r="C196" s="16" t="n">
        <f aca="false">C194+C195</f>
        <v>166.838</v>
      </c>
      <c r="D196" s="16" t="n">
        <f aca="false">D194+D195</f>
        <v>189</v>
      </c>
      <c r="E196" s="16" t="n">
        <f aca="false">E194+E195</f>
        <v>211.764665866555</v>
      </c>
      <c r="F196" s="16" t="n">
        <f aca="false">F194+F195</f>
        <v>232.976644939634</v>
      </c>
      <c r="G196" s="16" t="n">
        <f aca="false">G194+G195</f>
        <v>252.470597564639</v>
      </c>
      <c r="J196" s="8" t="s">
        <v>554</v>
      </c>
    </row>
    <row r="197" customFormat="false" ht="17.15" hidden="false" customHeight="false" outlineLevel="0" collapsed="false">
      <c r="A197" s="0" t="s">
        <v>555</v>
      </c>
      <c r="B197" s="0" t="s">
        <v>108</v>
      </c>
      <c r="C197" s="11" t="n">
        <f aca="false">C194/C196</f>
        <v>0.766480058499862</v>
      </c>
      <c r="D197" s="11" t="n">
        <f aca="false">D194/D196</f>
        <v>0.780423280423281</v>
      </c>
      <c r="E197" s="11" t="n">
        <f aca="false">E194/E196</f>
        <v>0.792269405190946</v>
      </c>
      <c r="F197" s="11" t="n">
        <f aca="false">F194/F196</f>
        <v>0.799853757821596</v>
      </c>
      <c r="G197" s="11" t="n">
        <f aca="false">G194/G196</f>
        <v>0.804226058492433</v>
      </c>
    </row>
    <row r="198" customFormat="false" ht="17.15" hidden="false" customHeight="false" outlineLevel="0" collapsed="false">
      <c r="A198" s="6" t="s">
        <v>556</v>
      </c>
    </row>
    <row r="199" customFormat="false" ht="17.15" hidden="false" customHeight="false" outlineLevel="0" collapsed="false">
      <c r="A199" s="0" t="s">
        <v>455</v>
      </c>
      <c r="B199" s="0" t="s">
        <v>34</v>
      </c>
      <c r="C199" s="16" t="n">
        <f aca="false">spe_op25</f>
        <v>28.404</v>
      </c>
      <c r="D199" s="16" t="n">
        <f aca="false">g26_spe*m_spe26+v_s*(D194-g26_spe)</f>
        <v>37.6125</v>
      </c>
      <c r="E199" s="16" t="n">
        <f aca="false">$D199+v_s*(E194-$D194)</f>
        <v>43.7107835905371</v>
      </c>
      <c r="F199" s="16" t="n">
        <f aca="false">$D199+v_s*(F194-$D194)+0*F194</f>
        <v>49.2971076730535</v>
      </c>
      <c r="G199" s="16" t="n">
        <f aca="false">$D199+v_s*(G194-$D194)+0*G194</f>
        <v>54.3190445960358</v>
      </c>
      <c r="J199" s="4" t="s">
        <v>557</v>
      </c>
    </row>
    <row r="200" customFormat="false" ht="17.15" hidden="false" customHeight="false" outlineLevel="0" collapsed="false">
      <c r="A200" s="4" t="s">
        <v>460</v>
      </c>
      <c r="B200" s="0" t="s">
        <v>34</v>
      </c>
      <c r="C200" s="16" t="n">
        <f aca="false">met_op25</f>
        <v>5.333</v>
      </c>
      <c r="D200" s="16" t="n">
        <f aca="false">(g26_oi-g26_spe*m_spe26)+v_m*(D195-g26_met)</f>
        <v>6.3875</v>
      </c>
      <c r="E200" s="16" t="n">
        <f aca="false">$D200+v_m*(E195-$D195)</f>
        <v>6.98670815775652</v>
      </c>
      <c r="F200" s="16" t="n">
        <f aca="false">$D200+v_m*(F195-$D195)</f>
        <v>7.62186880497842</v>
      </c>
      <c r="G200" s="16" t="n">
        <f aca="false">$D200+v_m*(G195-$D195)</f>
        <v>8.29513909103364</v>
      </c>
      <c r="J200" s="8" t="s">
        <v>558</v>
      </c>
    </row>
    <row r="201" customFormat="false" ht="15" hidden="false" customHeight="false" outlineLevel="0" collapsed="false">
      <c r="A201" s="4" t="s">
        <v>442</v>
      </c>
      <c r="B201" s="0" t="s">
        <v>34</v>
      </c>
      <c r="C201" s="16" t="n">
        <f aca="false">C199+C200</f>
        <v>33.737</v>
      </c>
      <c r="D201" s="16" t="n">
        <f aca="false">D199+D200</f>
        <v>44</v>
      </c>
      <c r="E201" s="16" t="n">
        <f aca="false">E199+E200</f>
        <v>50.6974917482937</v>
      </c>
      <c r="F201" s="16" t="n">
        <f aca="false">F199+F200</f>
        <v>56.9189764780319</v>
      </c>
      <c r="G201" s="16" t="n">
        <f aca="false">G199+G200</f>
        <v>62.6141836870694</v>
      </c>
    </row>
    <row r="202" customFormat="false" ht="17.15" hidden="false" customHeight="false" outlineLevel="0" collapsed="false">
      <c r="A202" s="0" t="s">
        <v>525</v>
      </c>
      <c r="B202" s="0" t="s">
        <v>108</v>
      </c>
      <c r="C202" s="11" t="n">
        <f aca="false">C199/C194</f>
        <v>0.222117956176981</v>
      </c>
      <c r="D202" s="11" t="n">
        <f aca="false">D199/D194</f>
        <v>0.255</v>
      </c>
      <c r="E202" s="11" t="n">
        <f aca="false">E199/E194</f>
        <v>0.260532681527162</v>
      </c>
      <c r="F202" s="11" t="n">
        <f aca="false">F199/F194</f>
        <v>0.264544333290375</v>
      </c>
      <c r="G202" s="11" t="n">
        <f aca="false">G199/G194</f>
        <v>0.267524261397714</v>
      </c>
    </row>
    <row r="203" customFormat="false" ht="15" hidden="false" customHeight="false" outlineLevel="0" collapsed="false">
      <c r="A203" s="4" t="s">
        <v>559</v>
      </c>
      <c r="B203" s="0" t="s">
        <v>108</v>
      </c>
      <c r="C203" s="11" t="n">
        <f aca="false">C201/C196</f>
        <v>0.202214123880651</v>
      </c>
      <c r="D203" s="11" t="n">
        <f aca="false">D201/D196</f>
        <v>0.232804232804233</v>
      </c>
      <c r="E203" s="11" t="n">
        <f aca="false">E201/E196</f>
        <v>0.239404867383499</v>
      </c>
      <c r="F203" s="11" t="n">
        <f aca="false">F201/F196</f>
        <v>0.244311941623076</v>
      </c>
      <c r="G203" s="11" t="n">
        <f aca="false">G201/G196</f>
        <v>0.248005844209398</v>
      </c>
    </row>
    <row r="204" customFormat="false" ht="17.15" hidden="false" customHeight="false" outlineLevel="0" collapsed="false">
      <c r="A204" s="4" t="s">
        <v>445</v>
      </c>
      <c r="B204" s="0" t="s">
        <v>34</v>
      </c>
      <c r="C204" s="16" t="n">
        <f aca="false">a25_ni</f>
        <v>24.739</v>
      </c>
      <c r="D204" s="16" t="n">
        <f aca="false">D201*g26_ni/g26_oi</f>
        <v>30.8</v>
      </c>
      <c r="E204" s="16" t="n">
        <f aca="false">E201*nioi</f>
        <v>35.4882442238056</v>
      </c>
      <c r="F204" s="16" t="n">
        <f aca="false">F201*nioi</f>
        <v>39.8432835346224</v>
      </c>
      <c r="G204" s="16" t="n">
        <f aca="false">G201*nioi</f>
        <v>43.8299285809486</v>
      </c>
      <c r="J204" s="8" t="s">
        <v>560</v>
      </c>
    </row>
    <row r="205" customFormat="false" ht="15" hidden="false" customHeight="false" outlineLevel="0" collapsed="false">
      <c r="A205" s="0" t="s">
        <v>526</v>
      </c>
      <c r="B205" s="0" t="s">
        <v>56</v>
      </c>
      <c r="C205" s="16" t="n">
        <f aca="false">a25_eps</f>
        <v>610.02</v>
      </c>
      <c r="D205" s="16" t="n">
        <f aca="false">D204*1000/shares</f>
        <v>758.83675253348</v>
      </c>
      <c r="E205" s="16" t="n">
        <f aca="false">E204*1000/shares</f>
        <v>874.343636360638</v>
      </c>
      <c r="F205" s="16" t="n">
        <f aca="false">F204*1000/shares</f>
        <v>981.641165184529</v>
      </c>
      <c r="G205" s="16" t="n">
        <f aca="false">G204*1000/shares</f>
        <v>1079.86235935524</v>
      </c>
    </row>
    <row r="206" customFormat="false" ht="17.15" hidden="false" customHeight="false" outlineLevel="0" collapsed="false">
      <c r="A206" s="4" t="s">
        <v>561</v>
      </c>
      <c r="B206" s="0" t="s">
        <v>34</v>
      </c>
      <c r="C206" s="19" t="n">
        <f aca="false">ABS(C196-a25_rev)+ABS(C201-a25_oi)</f>
        <v>0.00200000000000244</v>
      </c>
    </row>
    <row r="220" customFormat="false" ht="17.15" hidden="false" customHeight="false" outlineLevel="0" collapsed="false">
      <c r="A220" s="1" t="s">
        <v>834</v>
      </c>
    </row>
    <row r="221" customFormat="false" ht="17.15" hidden="false" customHeight="false" outlineLevel="0" collapsed="false">
      <c r="A221" s="5" t="s">
        <v>23</v>
      </c>
      <c r="B221" s="5" t="s">
        <v>24</v>
      </c>
      <c r="C221" s="14" t="s">
        <v>532</v>
      </c>
      <c r="D221" s="14" t="s">
        <v>533</v>
      </c>
      <c r="E221" s="14" t="s">
        <v>534</v>
      </c>
      <c r="F221" s="14" t="s">
        <v>535</v>
      </c>
      <c r="G221" s="14" t="s">
        <v>536</v>
      </c>
      <c r="H221" s="14" t="s">
        <v>537</v>
      </c>
      <c r="I221" s="5"/>
      <c r="J221" s="5" t="s">
        <v>520</v>
      </c>
    </row>
    <row r="222" customFormat="false" ht="17.15" hidden="false" customHeight="false" outlineLevel="0" collapsed="false">
      <c r="A222" s="6" t="s">
        <v>538</v>
      </c>
    </row>
    <row r="223" customFormat="false" ht="17.15" hidden="false" customHeight="false" outlineLevel="0" collapsed="false">
      <c r="A223" s="4" t="s">
        <v>539</v>
      </c>
      <c r="B223" s="0" t="s">
        <v>160</v>
      </c>
      <c r="C223" s="16" t="n">
        <f aca="false">tstA_25</f>
        <v>14.7359586560428</v>
      </c>
      <c r="D223" s="16" t="n">
        <f aca="false">tstA_26</f>
        <v>18.65</v>
      </c>
      <c r="E223" s="16" t="n">
        <f aca="false">tstA_27</f>
        <v>21.6346744396519</v>
      </c>
      <c r="F223" s="16" t="n">
        <f aca="false">tstA_28</f>
        <v>25.1</v>
      </c>
      <c r="G223" s="16" t="n">
        <f aca="false">tstA_29</f>
        <v>27.108</v>
      </c>
      <c r="H223" s="16" t="n">
        <f aca="false">G223*(1+g_tail)</f>
        <v>27.108</v>
      </c>
      <c r="J223" s="8" t="s">
        <v>540</v>
      </c>
    </row>
    <row r="224" customFormat="false" ht="17.15" hidden="false" customHeight="false" outlineLevel="0" collapsed="false">
      <c r="A224" s="4" t="s">
        <v>541</v>
      </c>
      <c r="B224" s="0" t="s">
        <v>160</v>
      </c>
      <c r="C224" s="16" t="n">
        <f aca="false">apkA_25</f>
        <v>3.05656934306569</v>
      </c>
      <c r="D224" s="16" t="n">
        <f aca="false">apkA_26</f>
        <v>3.35</v>
      </c>
      <c r="E224" s="16" t="n">
        <f aca="false">apkA_27</f>
        <v>3.79539194286967</v>
      </c>
      <c r="F224" s="16" t="n">
        <f aca="false">apkA_28</f>
        <v>4.3</v>
      </c>
      <c r="G224" s="16" t="n">
        <f aca="false">apkA_29</f>
        <v>4.644</v>
      </c>
      <c r="H224" s="16" t="n">
        <f aca="false">G224*(1+g_tail)</f>
        <v>4.644</v>
      </c>
    </row>
    <row r="225" customFormat="false" ht="15" hidden="false" customHeight="false" outlineLevel="0" collapsed="false">
      <c r="A225" s="4" t="s">
        <v>542</v>
      </c>
      <c r="B225" s="0" t="s">
        <v>160</v>
      </c>
      <c r="C225" s="16" t="n">
        <f aca="false">wfeA_25</f>
        <v>116.896831844029</v>
      </c>
      <c r="D225" s="16" t="n">
        <f aca="false">wfeA_26</f>
        <v>156.157050570127</v>
      </c>
      <c r="E225" s="16" t="n">
        <f aca="false">wfeA_27</f>
        <v>192.795469377561</v>
      </c>
      <c r="F225" s="16" t="n">
        <f aca="false">wfeA_28</f>
        <v>216.628626308958</v>
      </c>
      <c r="G225" s="16" t="n">
        <f aca="false">wfeA_29</f>
        <v>228.903685855226</v>
      </c>
      <c r="H225" s="16" t="n">
        <f aca="false">G225*(1+g_tail)</f>
        <v>228.903685855226</v>
      </c>
    </row>
    <row r="226" customFormat="false" ht="17.15" hidden="false" customHeight="false" outlineLevel="0" collapsed="false">
      <c r="A226" s="6" t="s">
        <v>543</v>
      </c>
    </row>
    <row r="227" customFormat="false" ht="15" hidden="false" customHeight="false" outlineLevel="0" collapsed="false">
      <c r="A227" s="4" t="s">
        <v>544</v>
      </c>
      <c r="B227" s="0" t="s">
        <v>301</v>
      </c>
      <c r="C227" s="19" t="n">
        <f aca="false">(0.75*C223+0.25*D223)/(0.75*D223+0.25*E223)</f>
        <v>0.810184181632695</v>
      </c>
      <c r="D227" s="19" t="n">
        <f aca="false">(0.75*D223+0.25*E223)/(0.75*D223+0.25*E223)</f>
        <v>1</v>
      </c>
      <c r="E227" s="19" t="n">
        <f aca="false">(0.75*E223+0.25*F223)/(0.75*D223+0.25*E223)</f>
        <v>1.16007476952119</v>
      </c>
      <c r="F227" s="19" t="n">
        <f aca="false">(0.75*F223+0.25*G223)/(0.75*D223+0.25*E223)</f>
        <v>1.31995140457355</v>
      </c>
      <c r="G227" s="19" t="n">
        <f aca="false">(0.75*G223+0.25*H223)/(0.75*D223+0.25*E223)</f>
        <v>1.39759560484258</v>
      </c>
    </row>
    <row r="228" customFormat="false" ht="17.15" hidden="false" customHeight="false" outlineLevel="0" collapsed="false">
      <c r="A228" s="4" t="s">
        <v>545</v>
      </c>
      <c r="B228" s="0" t="s">
        <v>301</v>
      </c>
      <c r="C228" s="19" t="n">
        <f aca="false">w_cmp*(0.75*C225+0.25*D225)/(0.75*D225+0.25*E225)+(1-w_cmp)*(0.75*C224+0.25*D224)/(0.75*D224+0.25*E224)</f>
        <v>0.876696686135123</v>
      </c>
      <c r="D228" s="19" t="n">
        <f aca="false">w_cmp*(0.75*D225+0.25*E225)/(0.75*D225+0.25*E225)+(1-w_cmp)*(0.75*D224+0.25*E224)/(0.75*D224+0.25*E224)</f>
        <v>1</v>
      </c>
      <c r="E228" s="19" t="n">
        <f aca="false">w_cmp*(0.75*E225+0.25*F225)/(0.75*D225+0.25*E225)+(1-w_cmp)*(0.75*E224+0.25*F224)/(0.75*D224+0.25*E224)</f>
        <v>1.14681444452041</v>
      </c>
      <c r="F228" s="19" t="n">
        <f aca="false">w_cmp*(0.75*F225+0.25*G225)/(0.75*D225+0.25*E225)+(1-w_cmp)*(0.75*F224+0.25*G224)/(0.75*D224+0.25*E224)</f>
        <v>1.27949889890768</v>
      </c>
      <c r="G228" s="19" t="n">
        <f aca="false">w_cmp*(0.75*G225+0.25*H225)/(0.75*D225+0.25*E225)+(1-w_cmp)*(0.75*G224+0.25*H224)/(0.75*D224+0.25*E224)</f>
        <v>1.35026661708511</v>
      </c>
    </row>
    <row r="229" customFormat="false" ht="17.15" hidden="false" customHeight="false" outlineLevel="0" collapsed="false">
      <c r="A229" s="4" t="s">
        <v>546</v>
      </c>
      <c r="B229" s="0" t="s">
        <v>301</v>
      </c>
      <c r="D229" s="19" t="n">
        <f aca="false">(1+exc_A)^0</f>
        <v>1</v>
      </c>
      <c r="E229" s="19" t="n">
        <f aca="false">(1+exc_A)^1</f>
        <v>1.03</v>
      </c>
      <c r="F229" s="19" t="n">
        <f aca="false">(1+exc_A)^2</f>
        <v>1.0609</v>
      </c>
      <c r="G229" s="19" t="n">
        <f aca="false">(1+exc_A)^3</f>
        <v>1.092727</v>
      </c>
    </row>
    <row r="230" customFormat="false" ht="17.15" hidden="false" customHeight="false" outlineLevel="0" collapsed="false">
      <c r="A230" s="4" t="s">
        <v>547</v>
      </c>
      <c r="B230" s="0" t="s">
        <v>301</v>
      </c>
      <c r="D230" s="19" t="n">
        <f aca="false">1</f>
        <v>1</v>
      </c>
      <c r="E230" s="19" t="n">
        <f aca="false">1+chn_lo*chh_C*0.5</f>
        <v>0.96</v>
      </c>
      <c r="F230" s="19" t="n">
        <f aca="false">1+chn_lo*chh_C</f>
        <v>0.92</v>
      </c>
      <c r="G230" s="19" t="n">
        <f aca="false">1+chn_lo*chh_C</f>
        <v>0.92</v>
      </c>
    </row>
    <row r="231" customFormat="false" ht="17.15" hidden="false" customHeight="false" outlineLevel="0" collapsed="false">
      <c r="A231" s="6" t="s">
        <v>548</v>
      </c>
    </row>
    <row r="232" customFormat="false" ht="17.15" hidden="false" customHeight="false" outlineLevel="0" collapsed="false">
      <c r="A232" s="4" t="s">
        <v>549</v>
      </c>
      <c r="B232" s="0" t="s">
        <v>34</v>
      </c>
      <c r="C232" s="16" t="n">
        <f aca="false">spe_25*w_pr</f>
        <v>92.07216</v>
      </c>
      <c r="D232" s="16" t="n">
        <f aca="false">g26_spe*(1+g_anc)*w_pr</f>
        <v>106.2</v>
      </c>
      <c r="E232" s="16" t="n">
        <f aca="false">$D232*E227*E229*E230</f>
        <v>121.820101189291</v>
      </c>
      <c r="F232" s="16" t="n">
        <f aca="false">$D232*F227*F229*F230</f>
        <v>136.81847203323</v>
      </c>
      <c r="G232" s="16" t="n">
        <f aca="false">$D232*G227*G229*G230</f>
        <v>149.212615970358</v>
      </c>
      <c r="J232" s="8" t="s">
        <v>550</v>
      </c>
    </row>
    <row r="233" customFormat="false" ht="17.15" hidden="false" customHeight="false" outlineLevel="0" collapsed="false">
      <c r="A233" s="4" t="s">
        <v>551</v>
      </c>
      <c r="B233" s="0" t="s">
        <v>34</v>
      </c>
      <c r="C233" s="16" t="n">
        <f aca="false">spe_25*(1-w_pr)</f>
        <v>35.80584</v>
      </c>
      <c r="D233" s="16" t="n">
        <f aca="false">g26_spe*(1+g_anc)*(1-w_pr)</f>
        <v>41.3</v>
      </c>
      <c r="E233" s="16" t="n">
        <f aca="false">$D233*E228*E229*E230</f>
        <v>46.8329660692354</v>
      </c>
      <c r="F233" s="16" t="n">
        <f aca="false">$D233*F228*F229*F230</f>
        <v>51.5765448288167</v>
      </c>
      <c r="G233" s="16" t="n">
        <f aca="false">$D233*G228*G229*G230</f>
        <v>56.0620641169686</v>
      </c>
    </row>
    <row r="234" customFormat="false" ht="17.15" hidden="false" customHeight="false" outlineLevel="0" collapsed="false">
      <c r="A234" s="4" t="s">
        <v>552</v>
      </c>
      <c r="B234" s="0" t="s">
        <v>34</v>
      </c>
      <c r="C234" s="16" t="n">
        <f aca="false">C232+C233</f>
        <v>127.878</v>
      </c>
      <c r="D234" s="16" t="n">
        <f aca="false">D232+D233</f>
        <v>147.5</v>
      </c>
      <c r="E234" s="16" t="n">
        <f aca="false">E232+E233</f>
        <v>168.653067258526</v>
      </c>
      <c r="F234" s="16" t="n">
        <f aca="false">F232+F233</f>
        <v>188.395016862047</v>
      </c>
      <c r="G234" s="16" t="n">
        <f aca="false">G232+G233</f>
        <v>205.274680087327</v>
      </c>
    </row>
    <row r="235" customFormat="false" ht="15" hidden="false" customHeight="false" outlineLevel="0" collapsed="false">
      <c r="A235" s="4" t="s">
        <v>553</v>
      </c>
      <c r="B235" s="0" t="s">
        <v>34</v>
      </c>
      <c r="C235" s="16" t="n">
        <f aca="false">met_25</f>
        <v>38.96</v>
      </c>
      <c r="D235" s="16" t="n">
        <f aca="false">g26_met*(1+g_anc)</f>
        <v>41.5</v>
      </c>
      <c r="E235" s="16" t="n">
        <f aca="false">D235*(1+gmet_A)</f>
        <v>43.99</v>
      </c>
      <c r="F235" s="16" t="n">
        <f aca="false">E235*(1+gmet_A)</f>
        <v>46.6294</v>
      </c>
      <c r="G235" s="16" t="n">
        <f aca="false">F235*(1+gmet_A)</f>
        <v>49.427164</v>
      </c>
    </row>
    <row r="236" customFormat="false" ht="17.15" hidden="false" customHeight="false" outlineLevel="0" collapsed="false">
      <c r="A236" s="4" t="s">
        <v>438</v>
      </c>
      <c r="B236" s="0" t="s">
        <v>34</v>
      </c>
      <c r="C236" s="16" t="n">
        <f aca="false">C234+C235</f>
        <v>166.838</v>
      </c>
      <c r="D236" s="16" t="n">
        <f aca="false">D234+D235</f>
        <v>189</v>
      </c>
      <c r="E236" s="16" t="n">
        <f aca="false">E234+E235</f>
        <v>212.643067258526</v>
      </c>
      <c r="F236" s="16" t="n">
        <f aca="false">F234+F235</f>
        <v>235.024416862047</v>
      </c>
      <c r="G236" s="16" t="n">
        <f aca="false">G234+G235</f>
        <v>254.701844087327</v>
      </c>
      <c r="J236" s="8" t="s">
        <v>554</v>
      </c>
    </row>
    <row r="237" customFormat="false" ht="17.15" hidden="false" customHeight="false" outlineLevel="0" collapsed="false">
      <c r="A237" s="0" t="s">
        <v>555</v>
      </c>
      <c r="B237" s="0" t="s">
        <v>108</v>
      </c>
      <c r="C237" s="11" t="n">
        <f aca="false">C234/C236</f>
        <v>0.766480058499862</v>
      </c>
      <c r="D237" s="11" t="n">
        <f aca="false">D234/D236</f>
        <v>0.780423280423281</v>
      </c>
      <c r="E237" s="11" t="n">
        <f aca="false">E234/E236</f>
        <v>0.793127513785728</v>
      </c>
      <c r="F237" s="11" t="n">
        <f aca="false">F234/F236</f>
        <v>0.801597635587922</v>
      </c>
      <c r="G237" s="11" t="n">
        <f aca="false">G234/G236</f>
        <v>0.805941083084371</v>
      </c>
    </row>
    <row r="238" customFormat="false" ht="17.15" hidden="false" customHeight="false" outlineLevel="0" collapsed="false">
      <c r="A238" s="6" t="s">
        <v>556</v>
      </c>
    </row>
    <row r="239" customFormat="false" ht="17.15" hidden="false" customHeight="false" outlineLevel="0" collapsed="false">
      <c r="A239" s="0" t="s">
        <v>455</v>
      </c>
      <c r="B239" s="0" t="s">
        <v>34</v>
      </c>
      <c r="C239" s="16" t="n">
        <f aca="false">spe_op25</f>
        <v>28.404</v>
      </c>
      <c r="D239" s="16" t="n">
        <f aca="false">g26_spe*m_spe26+v_s*(D234-g26_spe)</f>
        <v>37.6125</v>
      </c>
      <c r="E239" s="16" t="n">
        <f aca="false">$D239+v_s*(E234-$D234)</f>
        <v>43.974992176258</v>
      </c>
      <c r="F239" s="16" t="n">
        <f aca="false">$D239+v_s*(F234-$D234)+0*F234</f>
        <v>49.913043540693</v>
      </c>
      <c r="G239" s="16" t="n">
        <f aca="false">$D239+v_s*(G234-$D234)+0*G234</f>
        <v>54.9901665837081</v>
      </c>
      <c r="J239" s="4" t="s">
        <v>557</v>
      </c>
    </row>
    <row r="240" customFormat="false" ht="17.15" hidden="false" customHeight="false" outlineLevel="0" collapsed="false">
      <c r="A240" s="4" t="s">
        <v>460</v>
      </c>
      <c r="B240" s="0" t="s">
        <v>34</v>
      </c>
      <c r="C240" s="16" t="n">
        <f aca="false">met_op25</f>
        <v>5.333</v>
      </c>
      <c r="D240" s="16" t="n">
        <f aca="false">(g26_oi-g26_spe*m_spe26)+v_m*(D235-g26_met)</f>
        <v>6.3875</v>
      </c>
      <c r="E240" s="16" t="n">
        <f aca="false">$D240+v_m*(E235-$D235)</f>
        <v>6.98670815775652</v>
      </c>
      <c r="F240" s="16" t="n">
        <f aca="false">$D240+v_m*(F235-$D235)</f>
        <v>7.62186880497842</v>
      </c>
      <c r="G240" s="16" t="n">
        <f aca="false">$D240+v_m*(G235-$D235)</f>
        <v>8.29513909103364</v>
      </c>
      <c r="J240" s="8" t="s">
        <v>558</v>
      </c>
    </row>
    <row r="241" customFormat="false" ht="15" hidden="false" customHeight="false" outlineLevel="0" collapsed="false">
      <c r="A241" s="4" t="s">
        <v>442</v>
      </c>
      <c r="B241" s="0" t="s">
        <v>34</v>
      </c>
      <c r="C241" s="16" t="n">
        <f aca="false">C239+C240</f>
        <v>33.737</v>
      </c>
      <c r="D241" s="16" t="n">
        <f aca="false">D239+D240</f>
        <v>44</v>
      </c>
      <c r="E241" s="16" t="n">
        <f aca="false">E239+E240</f>
        <v>50.9617003340145</v>
      </c>
      <c r="F241" s="16" t="n">
        <f aca="false">F239+F240</f>
        <v>57.5349123456714</v>
      </c>
      <c r="G241" s="16" t="n">
        <f aca="false">G239+G240</f>
        <v>63.2853056747417</v>
      </c>
    </row>
    <row r="242" customFormat="false" ht="17.15" hidden="false" customHeight="false" outlineLevel="0" collapsed="false">
      <c r="A242" s="0" t="s">
        <v>525</v>
      </c>
      <c r="B242" s="0" t="s">
        <v>108</v>
      </c>
      <c r="C242" s="11" t="n">
        <f aca="false">C239/C234</f>
        <v>0.222117956176981</v>
      </c>
      <c r="D242" s="11" t="n">
        <f aca="false">D239/D234</f>
        <v>0.255</v>
      </c>
      <c r="E242" s="11" t="n">
        <f aca="false">E239/E234</f>
        <v>0.260742320854735</v>
      </c>
      <c r="F242" s="11" t="n">
        <f aca="false">F239/F234</f>
        <v>0.264938236541798</v>
      </c>
      <c r="G242" s="11" t="n">
        <f aca="false">G239/G234</f>
        <v>0.267885774126231</v>
      </c>
    </row>
    <row r="243" customFormat="false" ht="15" hidden="false" customHeight="false" outlineLevel="0" collapsed="false">
      <c r="A243" s="4" t="s">
        <v>559</v>
      </c>
      <c r="B243" s="0" t="s">
        <v>108</v>
      </c>
      <c r="C243" s="11" t="n">
        <f aca="false">C241/C236</f>
        <v>0.202214123880651</v>
      </c>
      <c r="D243" s="11" t="n">
        <f aca="false">D241/D236</f>
        <v>0.232804232804233</v>
      </c>
      <c r="E243" s="11" t="n">
        <f aca="false">E241/E236</f>
        <v>0.239658414407917</v>
      </c>
      <c r="F243" s="11" t="n">
        <f aca="false">F241/F236</f>
        <v>0.244803978726359</v>
      </c>
      <c r="G243" s="11" t="n">
        <f aca="false">G241/G236</f>
        <v>0.248468187976856</v>
      </c>
    </row>
    <row r="244" customFormat="false" ht="17.15" hidden="false" customHeight="false" outlineLevel="0" collapsed="false">
      <c r="A244" s="4" t="s">
        <v>445</v>
      </c>
      <c r="B244" s="0" t="s">
        <v>34</v>
      </c>
      <c r="C244" s="16" t="n">
        <f aca="false">a25_ni</f>
        <v>24.739</v>
      </c>
      <c r="D244" s="16" t="n">
        <f aca="false">D241*g26_ni/g26_oi</f>
        <v>30.8</v>
      </c>
      <c r="E244" s="16" t="n">
        <f aca="false">E241*nioi</f>
        <v>35.6731902338101</v>
      </c>
      <c r="F244" s="16" t="n">
        <f aca="false">F241*nioi</f>
        <v>40.27443864197</v>
      </c>
      <c r="G244" s="16" t="n">
        <f aca="false">G241*nioi</f>
        <v>44.2997139723192</v>
      </c>
      <c r="J244" s="8" t="s">
        <v>560</v>
      </c>
    </row>
    <row r="245" customFormat="false" ht="15" hidden="false" customHeight="false" outlineLevel="0" collapsed="false">
      <c r="A245" s="0" t="s">
        <v>526</v>
      </c>
      <c r="B245" s="0" t="s">
        <v>56</v>
      </c>
      <c r="C245" s="16" t="n">
        <f aca="false">a25_eps</f>
        <v>610.02</v>
      </c>
      <c r="D245" s="16" t="n">
        <f aca="false">D244*1000/shares</f>
        <v>758.83675253348</v>
      </c>
      <c r="E245" s="16" t="n">
        <f aca="false">E244*1000/shares</f>
        <v>878.900254205634</v>
      </c>
      <c r="F245" s="16" t="n">
        <f aca="false">F244*1000/shares</f>
        <v>992.263773674721</v>
      </c>
      <c r="G245" s="16" t="n">
        <f aca="false">G244*1000/shares</f>
        <v>1091.43672366613</v>
      </c>
    </row>
    <row r="246" customFormat="false" ht="17.15" hidden="false" customHeight="false" outlineLevel="0" collapsed="false">
      <c r="A246" s="4" t="s">
        <v>561</v>
      </c>
      <c r="B246" s="0" t="s">
        <v>34</v>
      </c>
      <c r="C246" s="19" t="n">
        <f aca="false">ABS(C236-a25_rev)+ABS(C241-a25_oi)</f>
        <v>0.00200000000000244</v>
      </c>
    </row>
    <row r="260" customFormat="false" ht="17.15" hidden="false" customHeight="false" outlineLevel="0" collapsed="false">
      <c r="A260" s="1" t="s">
        <v>835</v>
      </c>
    </row>
    <row r="261" customFormat="false" ht="17.15" hidden="false" customHeight="false" outlineLevel="0" collapsed="false">
      <c r="A261" s="5" t="s">
        <v>23</v>
      </c>
      <c r="B261" s="5" t="s">
        <v>24</v>
      </c>
      <c r="C261" s="14" t="s">
        <v>532</v>
      </c>
      <c r="D261" s="14" t="s">
        <v>533</v>
      </c>
      <c r="E261" s="14" t="s">
        <v>534</v>
      </c>
      <c r="F261" s="14" t="s">
        <v>535</v>
      </c>
      <c r="G261" s="14" t="s">
        <v>536</v>
      </c>
      <c r="H261" s="14" t="s">
        <v>537</v>
      </c>
      <c r="I261" s="5"/>
      <c r="J261" s="5" t="s">
        <v>520</v>
      </c>
    </row>
    <row r="262" customFormat="false" ht="17.15" hidden="false" customHeight="false" outlineLevel="0" collapsed="false">
      <c r="A262" s="6" t="s">
        <v>538</v>
      </c>
    </row>
    <row r="263" customFormat="false" ht="17.15" hidden="false" customHeight="false" outlineLevel="0" collapsed="false">
      <c r="A263" s="4" t="s">
        <v>539</v>
      </c>
      <c r="B263" s="0" t="s">
        <v>160</v>
      </c>
      <c r="C263" s="16" t="n">
        <f aca="false">tstA_25</f>
        <v>14.7359586560428</v>
      </c>
      <c r="D263" s="16" t="n">
        <f aca="false">tstA_26</f>
        <v>18.65</v>
      </c>
      <c r="E263" s="16" t="n">
        <f aca="false">tstA_27</f>
        <v>21.6346744396519</v>
      </c>
      <c r="F263" s="16" t="n">
        <f aca="false">tstA_28</f>
        <v>25.1</v>
      </c>
      <c r="G263" s="16" t="n">
        <f aca="false">tstA_29</f>
        <v>27.108</v>
      </c>
      <c r="H263" s="16" t="n">
        <f aca="false">G263*(1+g_tail)</f>
        <v>27.108</v>
      </c>
      <c r="J263" s="8" t="s">
        <v>540</v>
      </c>
    </row>
    <row r="264" customFormat="false" ht="17.15" hidden="false" customHeight="false" outlineLevel="0" collapsed="false">
      <c r="A264" s="4" t="s">
        <v>541</v>
      </c>
      <c r="B264" s="0" t="s">
        <v>160</v>
      </c>
      <c r="C264" s="16" t="n">
        <f aca="false">apkA_25</f>
        <v>3.05656934306569</v>
      </c>
      <c r="D264" s="16" t="n">
        <f aca="false">apkA_26</f>
        <v>3.35</v>
      </c>
      <c r="E264" s="16" t="n">
        <f aca="false">apkA_27</f>
        <v>3.79539194286967</v>
      </c>
      <c r="F264" s="16" t="n">
        <f aca="false">apkA_28</f>
        <v>4.3</v>
      </c>
      <c r="G264" s="16" t="n">
        <f aca="false">apkA_29</f>
        <v>4.644</v>
      </c>
      <c r="H264" s="16" t="n">
        <f aca="false">G264*(1+g_tail)</f>
        <v>4.644</v>
      </c>
    </row>
    <row r="265" customFormat="false" ht="15" hidden="false" customHeight="false" outlineLevel="0" collapsed="false">
      <c r="A265" s="4" t="s">
        <v>542</v>
      </c>
      <c r="B265" s="0" t="s">
        <v>160</v>
      </c>
      <c r="C265" s="16" t="n">
        <f aca="false">wfeA_25</f>
        <v>116.896831844029</v>
      </c>
      <c r="D265" s="16" t="n">
        <f aca="false">wfeA_26</f>
        <v>156.157050570127</v>
      </c>
      <c r="E265" s="16" t="n">
        <f aca="false">wfeA_27</f>
        <v>192.795469377561</v>
      </c>
      <c r="F265" s="16" t="n">
        <f aca="false">wfeA_28</f>
        <v>216.628626308958</v>
      </c>
      <c r="G265" s="16" t="n">
        <f aca="false">wfeA_29</f>
        <v>228.903685855226</v>
      </c>
      <c r="H265" s="16" t="n">
        <f aca="false">G265*(1+g_tail)</f>
        <v>228.903685855226</v>
      </c>
    </row>
    <row r="266" customFormat="false" ht="17.15" hidden="false" customHeight="false" outlineLevel="0" collapsed="false">
      <c r="A266" s="6" t="s">
        <v>543</v>
      </c>
    </row>
    <row r="267" customFormat="false" ht="15" hidden="false" customHeight="false" outlineLevel="0" collapsed="false">
      <c r="A267" s="4" t="s">
        <v>544</v>
      </c>
      <c r="B267" s="0" t="s">
        <v>301</v>
      </c>
      <c r="C267" s="19" t="n">
        <f aca="false">(0.75*C263+0.25*D263)/(0.75*D263+0.25*E263)</f>
        <v>0.810184181632695</v>
      </c>
      <c r="D267" s="19" t="n">
        <f aca="false">(0.75*D263+0.25*E263)/(0.75*D263+0.25*E263)</f>
        <v>1</v>
      </c>
      <c r="E267" s="19" t="n">
        <f aca="false">(0.75*E263+0.25*F263)/(0.75*D263+0.25*E263)</f>
        <v>1.16007476952119</v>
      </c>
      <c r="F267" s="19" t="n">
        <f aca="false">(0.75*F263+0.25*G263)/(0.75*D263+0.25*E263)</f>
        <v>1.31995140457355</v>
      </c>
      <c r="G267" s="19" t="n">
        <f aca="false">(0.75*G263+0.25*H263)/(0.75*D263+0.25*E263)</f>
        <v>1.39759560484258</v>
      </c>
    </row>
    <row r="268" customFormat="false" ht="17.15" hidden="false" customHeight="false" outlineLevel="0" collapsed="false">
      <c r="A268" s="4" t="s">
        <v>545</v>
      </c>
      <c r="B268" s="0" t="s">
        <v>301</v>
      </c>
      <c r="C268" s="19" t="n">
        <f aca="false">w_cmp*(0.75*C265+0.25*D265)/(0.75*D265+0.25*E265)+(1-w_cmp)*(0.75*C264+0.25*D264)/(0.75*D264+0.25*E264)</f>
        <v>0.876696686135123</v>
      </c>
      <c r="D268" s="19" t="n">
        <f aca="false">w_cmp*(0.75*D265+0.25*E265)/(0.75*D265+0.25*E265)+(1-w_cmp)*(0.75*D264+0.25*E264)/(0.75*D264+0.25*E264)</f>
        <v>1</v>
      </c>
      <c r="E268" s="19" t="n">
        <f aca="false">w_cmp*(0.75*E265+0.25*F265)/(0.75*D265+0.25*E265)+(1-w_cmp)*(0.75*E264+0.25*F264)/(0.75*D264+0.25*E264)</f>
        <v>1.14681444452041</v>
      </c>
      <c r="F268" s="19" t="n">
        <f aca="false">w_cmp*(0.75*F265+0.25*G265)/(0.75*D265+0.25*E265)+(1-w_cmp)*(0.75*F264+0.25*G264)/(0.75*D264+0.25*E264)</f>
        <v>1.27949889890768</v>
      </c>
      <c r="G268" s="19" t="n">
        <f aca="false">w_cmp*(0.75*G265+0.25*H265)/(0.75*D265+0.25*E265)+(1-w_cmp)*(0.75*G264+0.25*H264)/(0.75*D264+0.25*E264)</f>
        <v>1.35026661708511</v>
      </c>
    </row>
    <row r="269" customFormat="false" ht="17.15" hidden="false" customHeight="false" outlineLevel="0" collapsed="false">
      <c r="A269" s="4" t="s">
        <v>546</v>
      </c>
      <c r="B269" s="0" t="s">
        <v>301</v>
      </c>
      <c r="D269" s="19" t="n">
        <f aca="false">(1+exc_A)^0</f>
        <v>1</v>
      </c>
      <c r="E269" s="19" t="n">
        <f aca="false">(1+exc_A)^1</f>
        <v>1.03</v>
      </c>
      <c r="F269" s="19" t="n">
        <f aca="false">(1+exc_A)^2</f>
        <v>1.0609</v>
      </c>
      <c r="G269" s="19" t="n">
        <f aca="false">(1+exc_A)^3</f>
        <v>1.092727</v>
      </c>
    </row>
    <row r="270" customFormat="false" ht="17.15" hidden="false" customHeight="false" outlineLevel="0" collapsed="false">
      <c r="A270" s="4" t="s">
        <v>547</v>
      </c>
      <c r="B270" s="0" t="s">
        <v>301</v>
      </c>
      <c r="D270" s="19" t="n">
        <f aca="false">1</f>
        <v>1</v>
      </c>
      <c r="E270" s="19" t="n">
        <f aca="false">1+chn_hi*chh_C*0.5</f>
        <v>0.95</v>
      </c>
      <c r="F270" s="19" t="n">
        <f aca="false">1+chn_hi*chh_C</f>
        <v>0.9</v>
      </c>
      <c r="G270" s="19" t="n">
        <f aca="false">1+chn_hi*chh_C</f>
        <v>0.9</v>
      </c>
    </row>
    <row r="271" customFormat="false" ht="17.15" hidden="false" customHeight="false" outlineLevel="0" collapsed="false">
      <c r="A271" s="6" t="s">
        <v>548</v>
      </c>
    </row>
    <row r="272" customFormat="false" ht="17.15" hidden="false" customHeight="false" outlineLevel="0" collapsed="false">
      <c r="A272" s="4" t="s">
        <v>549</v>
      </c>
      <c r="B272" s="0" t="s">
        <v>34</v>
      </c>
      <c r="C272" s="16" t="n">
        <f aca="false">spe_25*w_pr</f>
        <v>92.07216</v>
      </c>
      <c r="D272" s="16" t="n">
        <f aca="false">g26_spe*(1+g_anc)*w_pr</f>
        <v>106.2</v>
      </c>
      <c r="E272" s="16" t="n">
        <f aca="false">$D272*E267*E269*E270</f>
        <v>120.551141801903</v>
      </c>
      <c r="F272" s="16" t="n">
        <f aca="false">$D272*F267*F269*F270</f>
        <v>133.844157423812</v>
      </c>
      <c r="G272" s="16" t="n">
        <f aca="false">$D272*G267*G269*G270</f>
        <v>145.968863449264</v>
      </c>
      <c r="J272" s="8" t="s">
        <v>550</v>
      </c>
    </row>
    <row r="273" customFormat="false" ht="17.15" hidden="false" customHeight="false" outlineLevel="0" collapsed="false">
      <c r="A273" s="4" t="s">
        <v>551</v>
      </c>
      <c r="B273" s="0" t="s">
        <v>34</v>
      </c>
      <c r="C273" s="16" t="n">
        <f aca="false">spe_25*(1-w_pr)</f>
        <v>35.80584</v>
      </c>
      <c r="D273" s="16" t="n">
        <f aca="false">g26_spe*(1+g_anc)*(1-w_pr)</f>
        <v>41.3</v>
      </c>
      <c r="E273" s="16" t="n">
        <f aca="false">$D273*E268*E269*E270</f>
        <v>46.3451226726809</v>
      </c>
      <c r="F273" s="16" t="n">
        <f aca="false">$D273*F268*F269*F270</f>
        <v>50.4553155934077</v>
      </c>
      <c r="G273" s="16" t="n">
        <f aca="false">$D273*G268*G269*G270</f>
        <v>54.8433235926866</v>
      </c>
    </row>
    <row r="274" customFormat="false" ht="17.15" hidden="false" customHeight="false" outlineLevel="0" collapsed="false">
      <c r="A274" s="4" t="s">
        <v>552</v>
      </c>
      <c r="B274" s="0" t="s">
        <v>34</v>
      </c>
      <c r="C274" s="16" t="n">
        <f aca="false">C272+C273</f>
        <v>127.878</v>
      </c>
      <c r="D274" s="16" t="n">
        <f aca="false">D272+D273</f>
        <v>147.5</v>
      </c>
      <c r="E274" s="16" t="n">
        <f aca="false">E272+E273</f>
        <v>166.896264474583</v>
      </c>
      <c r="F274" s="16" t="n">
        <f aca="false">F272+F273</f>
        <v>184.29947301722</v>
      </c>
      <c r="G274" s="16" t="n">
        <f aca="false">G272+G273</f>
        <v>200.81218704195</v>
      </c>
    </row>
    <row r="275" customFormat="false" ht="15" hidden="false" customHeight="false" outlineLevel="0" collapsed="false">
      <c r="A275" s="4" t="s">
        <v>553</v>
      </c>
      <c r="B275" s="0" t="s">
        <v>34</v>
      </c>
      <c r="C275" s="16" t="n">
        <f aca="false">met_25</f>
        <v>38.96</v>
      </c>
      <c r="D275" s="16" t="n">
        <f aca="false">g26_met*(1+g_anc)</f>
        <v>41.5</v>
      </c>
      <c r="E275" s="16" t="n">
        <f aca="false">D275*(1+gmet_A)</f>
        <v>43.99</v>
      </c>
      <c r="F275" s="16" t="n">
        <f aca="false">E275*(1+gmet_A)</f>
        <v>46.6294</v>
      </c>
      <c r="G275" s="16" t="n">
        <f aca="false">F275*(1+gmet_A)</f>
        <v>49.427164</v>
      </c>
    </row>
    <row r="276" customFormat="false" ht="17.15" hidden="false" customHeight="false" outlineLevel="0" collapsed="false">
      <c r="A276" s="4" t="s">
        <v>438</v>
      </c>
      <c r="B276" s="0" t="s">
        <v>34</v>
      </c>
      <c r="C276" s="16" t="n">
        <f aca="false">C274+C275</f>
        <v>166.838</v>
      </c>
      <c r="D276" s="16" t="n">
        <f aca="false">D274+D275</f>
        <v>189</v>
      </c>
      <c r="E276" s="16" t="n">
        <f aca="false">E274+E275</f>
        <v>210.886264474583</v>
      </c>
      <c r="F276" s="16" t="n">
        <f aca="false">F274+F275</f>
        <v>230.92887301722</v>
      </c>
      <c r="G276" s="16" t="n">
        <f aca="false">G274+G275</f>
        <v>250.23935104195</v>
      </c>
      <c r="J276" s="8" t="s">
        <v>554</v>
      </c>
    </row>
    <row r="277" customFormat="false" ht="17.15" hidden="false" customHeight="false" outlineLevel="0" collapsed="false">
      <c r="A277" s="0" t="s">
        <v>555</v>
      </c>
      <c r="B277" s="0" t="s">
        <v>108</v>
      </c>
      <c r="C277" s="11" t="n">
        <f aca="false">C274/C276</f>
        <v>0.766480058499862</v>
      </c>
      <c r="D277" s="11" t="n">
        <f aca="false">D274/D276</f>
        <v>0.780423280423281</v>
      </c>
      <c r="E277" s="11" t="n">
        <f aca="false">E274/E276</f>
        <v>0.791404148062465</v>
      </c>
      <c r="F277" s="11" t="n">
        <f aca="false">F274/F276</f>
        <v>0.798078952229924</v>
      </c>
      <c r="G277" s="11" t="n">
        <f aca="false">G274/G276</f>
        <v>0.802480450040354</v>
      </c>
    </row>
    <row r="278" customFormat="false" ht="17.15" hidden="false" customHeight="false" outlineLevel="0" collapsed="false">
      <c r="A278" s="6" t="s">
        <v>556</v>
      </c>
    </row>
    <row r="279" customFormat="false" ht="17.15" hidden="false" customHeight="false" outlineLevel="0" collapsed="false">
      <c r="A279" s="0" t="s">
        <v>455</v>
      </c>
      <c r="B279" s="0" t="s">
        <v>34</v>
      </c>
      <c r="C279" s="16" t="n">
        <f aca="false">spe_op25</f>
        <v>28.404</v>
      </c>
      <c r="D279" s="16" t="n">
        <f aca="false">g26_spe*m_spe26+v_s*(D274-g26_spe)</f>
        <v>37.6125</v>
      </c>
      <c r="E279" s="16" t="n">
        <f aca="false">$D279+v_s*(E274-$D274)</f>
        <v>43.4465750048163</v>
      </c>
      <c r="F279" s="16" t="n">
        <f aca="false">$D279+v_s*(F274-$D274)+0*F274</f>
        <v>48.681171805414</v>
      </c>
      <c r="G279" s="16" t="n">
        <f aca="false">$D279+v_s*(G274-$D274)+0*G274</f>
        <v>53.6479226083635</v>
      </c>
      <c r="J279" s="4" t="s">
        <v>557</v>
      </c>
    </row>
    <row r="280" customFormat="false" ht="17.15" hidden="false" customHeight="false" outlineLevel="0" collapsed="false">
      <c r="A280" s="4" t="s">
        <v>460</v>
      </c>
      <c r="B280" s="0" t="s">
        <v>34</v>
      </c>
      <c r="C280" s="16" t="n">
        <f aca="false">met_op25</f>
        <v>5.333</v>
      </c>
      <c r="D280" s="16" t="n">
        <f aca="false">(g26_oi-g26_spe*m_spe26)+v_m*(D275-g26_met)</f>
        <v>6.3875</v>
      </c>
      <c r="E280" s="16" t="n">
        <f aca="false">$D280+v_m*(E275-$D275)</f>
        <v>6.98670815775652</v>
      </c>
      <c r="F280" s="16" t="n">
        <f aca="false">$D280+v_m*(F275-$D275)</f>
        <v>7.62186880497842</v>
      </c>
      <c r="G280" s="16" t="n">
        <f aca="false">$D280+v_m*(G275-$D275)</f>
        <v>8.29513909103364</v>
      </c>
      <c r="J280" s="8" t="s">
        <v>558</v>
      </c>
    </row>
    <row r="281" customFormat="false" ht="15" hidden="false" customHeight="false" outlineLevel="0" collapsed="false">
      <c r="A281" s="4" t="s">
        <v>442</v>
      </c>
      <c r="B281" s="0" t="s">
        <v>34</v>
      </c>
      <c r="C281" s="16" t="n">
        <f aca="false">C279+C280</f>
        <v>33.737</v>
      </c>
      <c r="D281" s="16" t="n">
        <f aca="false">D279+D280</f>
        <v>44</v>
      </c>
      <c r="E281" s="16" t="n">
        <f aca="false">E279+E280</f>
        <v>50.4332831625728</v>
      </c>
      <c r="F281" s="16" t="n">
        <f aca="false">F279+F280</f>
        <v>56.3030406103924</v>
      </c>
      <c r="G281" s="16" t="n">
        <f aca="false">G279+G280</f>
        <v>61.9430616993972</v>
      </c>
    </row>
    <row r="282" customFormat="false" ht="17.15" hidden="false" customHeight="false" outlineLevel="0" collapsed="false">
      <c r="A282" s="0" t="s">
        <v>525</v>
      </c>
      <c r="B282" s="0" t="s">
        <v>108</v>
      </c>
      <c r="C282" s="11" t="n">
        <f aca="false">C279/C274</f>
        <v>0.222117956176981</v>
      </c>
      <c r="D282" s="11" t="n">
        <f aca="false">D279/D274</f>
        <v>0.255</v>
      </c>
      <c r="E282" s="11" t="n">
        <f aca="false">E279/E274</f>
        <v>0.260320835469824</v>
      </c>
      <c r="F282" s="11" t="n">
        <f aca="false">F279/F274</f>
        <v>0.264141676633365</v>
      </c>
      <c r="G282" s="11" t="n">
        <f aca="false">G279/G274</f>
        <v>0.267154715053008</v>
      </c>
    </row>
    <row r="283" customFormat="false" ht="15" hidden="false" customHeight="false" outlineLevel="0" collapsed="false">
      <c r="A283" s="4" t="s">
        <v>559</v>
      </c>
      <c r="B283" s="0" t="s">
        <v>108</v>
      </c>
      <c r="C283" s="11" t="n">
        <f aca="false">C281/C276</f>
        <v>0.202214123880651</v>
      </c>
      <c r="D283" s="11" t="n">
        <f aca="false">D281/D276</f>
        <v>0.232804232804233</v>
      </c>
      <c r="E283" s="11" t="n">
        <f aca="false">E281/E276</f>
        <v>0.239149208167852</v>
      </c>
      <c r="F283" s="11" t="n">
        <f aca="false">F281/F276</f>
        <v>0.243811178198553</v>
      </c>
      <c r="G283" s="11" t="n">
        <f aca="false">G281/G276</f>
        <v>0.247535255512284</v>
      </c>
    </row>
    <row r="284" customFormat="false" ht="17.15" hidden="false" customHeight="false" outlineLevel="0" collapsed="false">
      <c r="A284" s="4" t="s">
        <v>445</v>
      </c>
      <c r="B284" s="0" t="s">
        <v>34</v>
      </c>
      <c r="C284" s="16" t="n">
        <f aca="false">a25_ni</f>
        <v>24.739</v>
      </c>
      <c r="D284" s="16" t="n">
        <f aca="false">D281*g26_ni/g26_oi</f>
        <v>30.8</v>
      </c>
      <c r="E284" s="16" t="n">
        <f aca="false">E281*nioi</f>
        <v>35.303298213801</v>
      </c>
      <c r="F284" s="16" t="n">
        <f aca="false">F281*nioi</f>
        <v>39.4121284272747</v>
      </c>
      <c r="G284" s="16" t="n">
        <f aca="false">G281*nioi</f>
        <v>43.360143189578</v>
      </c>
      <c r="J284" s="8" t="s">
        <v>560</v>
      </c>
    </row>
    <row r="285" customFormat="false" ht="15" hidden="false" customHeight="false" outlineLevel="0" collapsed="false">
      <c r="A285" s="0" t="s">
        <v>526</v>
      </c>
      <c r="B285" s="0" t="s">
        <v>56</v>
      </c>
      <c r="C285" s="16" t="n">
        <f aca="false">a25_eps</f>
        <v>610.02</v>
      </c>
      <c r="D285" s="16" t="n">
        <f aca="false">D284*1000/shares</f>
        <v>758.83675253348</v>
      </c>
      <c r="E285" s="16" t="n">
        <f aca="false">E284*1000/shares</f>
        <v>869.787018515641</v>
      </c>
      <c r="F285" s="16" t="n">
        <f aca="false">F284*1000/shares</f>
        <v>971.018556694338</v>
      </c>
      <c r="G285" s="16" t="n">
        <f aca="false">G284*1000/shares</f>
        <v>1068.28799504435</v>
      </c>
    </row>
    <row r="286" customFormat="false" ht="17.15" hidden="false" customHeight="false" outlineLevel="0" collapsed="false">
      <c r="A286" s="4" t="s">
        <v>561</v>
      </c>
      <c r="B286" s="0" t="s">
        <v>34</v>
      </c>
      <c r="C286" s="19" t="n">
        <f aca="false">ABS(C276-a25_rev)+ABS(C281-a25_oi)</f>
        <v>0.00200000000000244</v>
      </c>
    </row>
    <row r="300" customFormat="false" ht="17.15" hidden="false" customHeight="false" outlineLevel="0" collapsed="false">
      <c r="A300" s="1" t="s">
        <v>836</v>
      </c>
    </row>
    <row r="301" customFormat="false" ht="17.15" hidden="false" customHeight="false" outlineLevel="0" collapsed="false">
      <c r="A301" s="5" t="s">
        <v>23</v>
      </c>
      <c r="B301" s="5" t="s">
        <v>24</v>
      </c>
      <c r="C301" s="14" t="s">
        <v>532</v>
      </c>
      <c r="D301" s="14" t="s">
        <v>533</v>
      </c>
      <c r="E301" s="14" t="s">
        <v>534</v>
      </c>
      <c r="F301" s="14" t="s">
        <v>535</v>
      </c>
      <c r="G301" s="14" t="s">
        <v>536</v>
      </c>
      <c r="H301" s="14" t="s">
        <v>537</v>
      </c>
      <c r="I301" s="5"/>
      <c r="J301" s="5" t="s">
        <v>520</v>
      </c>
    </row>
    <row r="302" customFormat="false" ht="17.15" hidden="false" customHeight="false" outlineLevel="0" collapsed="false">
      <c r="A302" s="6" t="s">
        <v>538</v>
      </c>
    </row>
    <row r="303" customFormat="false" ht="17.15" hidden="false" customHeight="false" outlineLevel="0" collapsed="false">
      <c r="A303" s="4" t="s">
        <v>539</v>
      </c>
      <c r="B303" s="0" t="s">
        <v>160</v>
      </c>
      <c r="C303" s="16" t="n">
        <f aca="false">tstA_25</f>
        <v>14.7359586560428</v>
      </c>
      <c r="D303" s="16" t="n">
        <f aca="false">tstA_26</f>
        <v>18.65</v>
      </c>
      <c r="E303" s="16" t="n">
        <f aca="false">tstA_27</f>
        <v>21.6346744396519</v>
      </c>
      <c r="F303" s="16" t="n">
        <f aca="false">tstA_28</f>
        <v>25.1</v>
      </c>
      <c r="G303" s="16" t="n">
        <f aca="false">tstA_29</f>
        <v>27.108</v>
      </c>
      <c r="H303" s="16" t="n">
        <f aca="false">G303*(1+g_tail)</f>
        <v>27.108</v>
      </c>
      <c r="J303" s="8" t="s">
        <v>540</v>
      </c>
    </row>
    <row r="304" customFormat="false" ht="17.15" hidden="false" customHeight="false" outlineLevel="0" collapsed="false">
      <c r="A304" s="4" t="s">
        <v>541</v>
      </c>
      <c r="B304" s="0" t="s">
        <v>160</v>
      </c>
      <c r="C304" s="16" t="n">
        <f aca="false">apkA_25</f>
        <v>3.05656934306569</v>
      </c>
      <c r="D304" s="16" t="n">
        <f aca="false">apkA_26</f>
        <v>3.35</v>
      </c>
      <c r="E304" s="16" t="n">
        <f aca="false">apkA_27</f>
        <v>3.79539194286967</v>
      </c>
      <c r="F304" s="16" t="n">
        <f aca="false">apkA_28</f>
        <v>4.3</v>
      </c>
      <c r="G304" s="16" t="n">
        <f aca="false">apkA_29</f>
        <v>4.644</v>
      </c>
      <c r="H304" s="16" t="n">
        <f aca="false">G304*(1+g_tail)</f>
        <v>4.644</v>
      </c>
    </row>
    <row r="305" customFormat="false" ht="15" hidden="false" customHeight="false" outlineLevel="0" collapsed="false">
      <c r="A305" s="4" t="s">
        <v>542</v>
      </c>
      <c r="B305" s="0" t="s">
        <v>160</v>
      </c>
      <c r="C305" s="16" t="n">
        <f aca="false">wfeA_25</f>
        <v>116.896831844029</v>
      </c>
      <c r="D305" s="16" t="n">
        <f aca="false">wfeA_26</f>
        <v>156.157050570127</v>
      </c>
      <c r="E305" s="16" t="n">
        <f aca="false">wfeA_27</f>
        <v>192.795469377561</v>
      </c>
      <c r="F305" s="16" t="n">
        <f aca="false">wfeA_28</f>
        <v>216.628626308958</v>
      </c>
      <c r="G305" s="16" t="n">
        <f aca="false">wfeA_29</f>
        <v>228.903685855226</v>
      </c>
      <c r="H305" s="16" t="n">
        <f aca="false">G305*(1+g_tail)</f>
        <v>228.903685855226</v>
      </c>
    </row>
    <row r="306" customFormat="false" ht="17.15" hidden="false" customHeight="false" outlineLevel="0" collapsed="false">
      <c r="A306" s="6" t="s">
        <v>543</v>
      </c>
    </row>
    <row r="307" customFormat="false" ht="15" hidden="false" customHeight="false" outlineLevel="0" collapsed="false">
      <c r="A307" s="4" t="s">
        <v>544</v>
      </c>
      <c r="B307" s="0" t="s">
        <v>301</v>
      </c>
      <c r="C307" s="19" t="n">
        <f aca="false">(0.75*C303+0.25*D303)/(0.75*D303+0.25*E303)</f>
        <v>0.810184181632695</v>
      </c>
      <c r="D307" s="19" t="n">
        <f aca="false">(0.75*D303+0.25*E303)/(0.75*D303+0.25*E303)</f>
        <v>1</v>
      </c>
      <c r="E307" s="19" t="n">
        <f aca="false">(0.75*E303+0.25*F303)/(0.75*D303+0.25*E303)</f>
        <v>1.16007476952119</v>
      </c>
      <c r="F307" s="19" t="n">
        <f aca="false">(0.75*F303+0.25*G303)/(0.75*D303+0.25*E303)</f>
        <v>1.31995140457355</v>
      </c>
      <c r="G307" s="19" t="n">
        <f aca="false">(0.75*G303+0.25*H303)/(0.75*D303+0.25*E303)</f>
        <v>1.39759560484258</v>
      </c>
    </row>
    <row r="308" customFormat="false" ht="17.15" hidden="false" customHeight="false" outlineLevel="0" collapsed="false">
      <c r="A308" s="4" t="s">
        <v>545</v>
      </c>
      <c r="B308" s="0" t="s">
        <v>301</v>
      </c>
      <c r="C308" s="19" t="n">
        <f aca="false">w_cmp*(0.75*C305+0.25*D305)/(0.75*D305+0.25*E305)+(1-w_cmp)*(0.75*C304+0.25*D304)/(0.75*D304+0.25*E304)</f>
        <v>0.876696686135123</v>
      </c>
      <c r="D308" s="19" t="n">
        <f aca="false">w_cmp*(0.75*D305+0.25*E305)/(0.75*D305+0.25*E305)+(1-w_cmp)*(0.75*D304+0.25*E304)/(0.75*D304+0.25*E304)</f>
        <v>1</v>
      </c>
      <c r="E308" s="19" t="n">
        <f aca="false">w_cmp*(0.75*E305+0.25*F305)/(0.75*D305+0.25*E305)+(1-w_cmp)*(0.75*E304+0.25*F304)/(0.75*D304+0.25*E304)</f>
        <v>1.14681444452041</v>
      </c>
      <c r="F308" s="19" t="n">
        <f aca="false">w_cmp*(0.75*F305+0.25*G305)/(0.75*D305+0.25*E305)+(1-w_cmp)*(0.75*F304+0.25*G304)/(0.75*D304+0.25*E304)</f>
        <v>1.27949889890768</v>
      </c>
      <c r="G308" s="19" t="n">
        <f aca="false">w_cmp*(0.75*G305+0.25*H305)/(0.75*D305+0.25*E305)+(1-w_cmp)*(0.75*G304+0.25*H304)/(0.75*D304+0.25*E304)</f>
        <v>1.35026661708511</v>
      </c>
    </row>
    <row r="309" customFormat="false" ht="17.15" hidden="false" customHeight="false" outlineLevel="0" collapsed="false">
      <c r="A309" s="4" t="s">
        <v>546</v>
      </c>
      <c r="B309" s="0" t="s">
        <v>301</v>
      </c>
      <c r="D309" s="19" t="n">
        <f aca="false">(1+exc_A)^0</f>
        <v>1</v>
      </c>
      <c r="E309" s="19" t="n">
        <f aca="false">(1+exc_A)^1</f>
        <v>1.03</v>
      </c>
      <c r="F309" s="19" t="n">
        <f aca="false">(1+exc_A)^2</f>
        <v>1.0609</v>
      </c>
      <c r="G309" s="19" t="n">
        <f aca="false">(1+exc_A)^3</f>
        <v>1.092727</v>
      </c>
    </row>
    <row r="310" customFormat="false" ht="17.15" hidden="false" customHeight="false" outlineLevel="0" collapsed="false">
      <c r="A310" s="4" t="s">
        <v>547</v>
      </c>
      <c r="B310" s="0" t="s">
        <v>301</v>
      </c>
      <c r="D310" s="19" t="n">
        <f aca="false">1</f>
        <v>1</v>
      </c>
      <c r="E310" s="19" t="n">
        <f aca="false">1+chn*chh_A*0.5</f>
        <v>1</v>
      </c>
      <c r="F310" s="19" t="n">
        <f aca="false">1+chn*chh_A</f>
        <v>1</v>
      </c>
      <c r="G310" s="19" t="n">
        <f aca="false">1+chn*chh_A</f>
        <v>1</v>
      </c>
    </row>
    <row r="311" customFormat="false" ht="17.15" hidden="false" customHeight="false" outlineLevel="0" collapsed="false">
      <c r="A311" s="6" t="s">
        <v>548</v>
      </c>
    </row>
    <row r="312" customFormat="false" ht="17.15" hidden="false" customHeight="false" outlineLevel="0" collapsed="false">
      <c r="A312" s="4" t="s">
        <v>549</v>
      </c>
      <c r="B312" s="0" t="s">
        <v>34</v>
      </c>
      <c r="C312" s="16" t="n">
        <f aca="false">spe_25*w_pr_lo</f>
        <v>89.5146</v>
      </c>
      <c r="D312" s="16" t="n">
        <f aca="false">g26_spe*(1+g_anc)*w_pr_lo</f>
        <v>103.25</v>
      </c>
      <c r="E312" s="16" t="n">
        <f aca="false">$D312*E307*E309*E310</f>
        <v>123.371051551655</v>
      </c>
      <c r="F312" s="16" t="n">
        <f aca="false">$D312*F307*F309*F310</f>
        <v>144.584737957822</v>
      </c>
      <c r="G312" s="16" t="n">
        <f aca="false">$D312*G307*G309*G310</f>
        <v>157.682414219884</v>
      </c>
      <c r="J312" s="8" t="s">
        <v>550</v>
      </c>
    </row>
    <row r="313" customFormat="false" ht="17.15" hidden="false" customHeight="false" outlineLevel="0" collapsed="false">
      <c r="A313" s="4" t="s">
        <v>551</v>
      </c>
      <c r="B313" s="0" t="s">
        <v>34</v>
      </c>
      <c r="C313" s="16" t="n">
        <f aca="false">spe_25*(1-w_pr_lo)</f>
        <v>38.3634</v>
      </c>
      <c r="D313" s="16" t="n">
        <f aca="false">g26_spe*(1+g_anc)*(1-w_pr_lo)</f>
        <v>44.25</v>
      </c>
      <c r="E313" s="16" t="n">
        <f aca="false">$D313*E308*E309*E310</f>
        <v>52.2689353451288</v>
      </c>
      <c r="F313" s="16" t="n">
        <f aca="false">$D313*F308*F309*F310</f>
        <v>60.0658518969139</v>
      </c>
      <c r="G313" s="16" t="n">
        <f aca="false">$D313*G308*G309*G310</f>
        <v>65.2896709436746</v>
      </c>
    </row>
    <row r="314" customFormat="false" ht="17.15" hidden="false" customHeight="false" outlineLevel="0" collapsed="false">
      <c r="A314" s="4" t="s">
        <v>552</v>
      </c>
      <c r="B314" s="0" t="s">
        <v>34</v>
      </c>
      <c r="C314" s="16" t="n">
        <f aca="false">C312+C313</f>
        <v>127.878</v>
      </c>
      <c r="D314" s="16" t="n">
        <f aca="false">D312+D313</f>
        <v>147.5</v>
      </c>
      <c r="E314" s="16" t="n">
        <f aca="false">E312+E313</f>
        <v>175.639986896784</v>
      </c>
      <c r="F314" s="16" t="n">
        <f aca="false">F312+F313</f>
        <v>204.650589854736</v>
      </c>
      <c r="G314" s="16" t="n">
        <f aca="false">G312+G313</f>
        <v>222.972085163558</v>
      </c>
    </row>
    <row r="315" customFormat="false" ht="15" hidden="false" customHeight="false" outlineLevel="0" collapsed="false">
      <c r="A315" s="4" t="s">
        <v>553</v>
      </c>
      <c r="B315" s="0" t="s">
        <v>34</v>
      </c>
      <c r="C315" s="16" t="n">
        <f aca="false">met_25</f>
        <v>38.96</v>
      </c>
      <c r="D315" s="16" t="n">
        <f aca="false">g26_met*(1+g_anc)</f>
        <v>41.5</v>
      </c>
      <c r="E315" s="16" t="n">
        <f aca="false">D315*(1+gmet_A)</f>
        <v>43.99</v>
      </c>
      <c r="F315" s="16" t="n">
        <f aca="false">E315*(1+gmet_A)</f>
        <v>46.6294</v>
      </c>
      <c r="G315" s="16" t="n">
        <f aca="false">F315*(1+gmet_A)</f>
        <v>49.427164</v>
      </c>
    </row>
    <row r="316" customFormat="false" ht="17.15" hidden="false" customHeight="false" outlineLevel="0" collapsed="false">
      <c r="A316" s="4" t="s">
        <v>438</v>
      </c>
      <c r="B316" s="0" t="s">
        <v>34</v>
      </c>
      <c r="C316" s="16" t="n">
        <f aca="false">C314+C315</f>
        <v>166.838</v>
      </c>
      <c r="D316" s="16" t="n">
        <f aca="false">D314+D315</f>
        <v>189</v>
      </c>
      <c r="E316" s="16" t="n">
        <f aca="false">E314+E315</f>
        <v>219.629986896784</v>
      </c>
      <c r="F316" s="16" t="n">
        <f aca="false">F314+F315</f>
        <v>251.279989854736</v>
      </c>
      <c r="G316" s="16" t="n">
        <f aca="false">G314+G315</f>
        <v>272.399249163558</v>
      </c>
      <c r="J316" s="8" t="s">
        <v>554</v>
      </c>
    </row>
    <row r="317" customFormat="false" ht="17.15" hidden="false" customHeight="false" outlineLevel="0" collapsed="false">
      <c r="A317" s="0" t="s">
        <v>555</v>
      </c>
      <c r="B317" s="0" t="s">
        <v>108</v>
      </c>
      <c r="C317" s="11" t="n">
        <f aca="false">C314/C316</f>
        <v>0.766480058499862</v>
      </c>
      <c r="D317" s="11" t="n">
        <f aca="false">D314/D316</f>
        <v>0.780423280423281</v>
      </c>
      <c r="E317" s="11" t="n">
        <f aca="false">E314/E316</f>
        <v>0.799708588879198</v>
      </c>
      <c r="F317" s="11" t="n">
        <f aca="false">F314/F316</f>
        <v>0.814432498079309</v>
      </c>
      <c r="G317" s="11" t="n">
        <f aca="false">G314/G316</f>
        <v>0.818548824375349</v>
      </c>
    </row>
    <row r="318" customFormat="false" ht="17.15" hidden="false" customHeight="false" outlineLevel="0" collapsed="false">
      <c r="A318" s="6" t="s">
        <v>556</v>
      </c>
    </row>
    <row r="319" customFormat="false" ht="17.15" hidden="false" customHeight="false" outlineLevel="0" collapsed="false">
      <c r="A319" s="0" t="s">
        <v>455</v>
      </c>
      <c r="B319" s="0" t="s">
        <v>34</v>
      </c>
      <c r="C319" s="16" t="n">
        <f aca="false">spe_op25</f>
        <v>28.404</v>
      </c>
      <c r="D319" s="16" t="n">
        <f aca="false">g26_spe*m_spe26+v_s*(D314-g26_spe)</f>
        <v>37.6125</v>
      </c>
      <c r="E319" s="16" t="n">
        <f aca="false">$D319+v_s*(E314-$D314)</f>
        <v>46.0765418471046</v>
      </c>
      <c r="F319" s="16" t="n">
        <f aca="false">$D319+v_s*(F314-$D314)+0*F314</f>
        <v>54.8024505814087</v>
      </c>
      <c r="G319" s="16" t="n">
        <f aca="false">$D319+v_s*(G314-$D314)+0*G314</f>
        <v>60.3132528274868</v>
      </c>
      <c r="J319" s="4" t="s">
        <v>557</v>
      </c>
    </row>
    <row r="320" customFormat="false" ht="17.15" hidden="false" customHeight="false" outlineLevel="0" collapsed="false">
      <c r="A320" s="4" t="s">
        <v>460</v>
      </c>
      <c r="B320" s="0" t="s">
        <v>34</v>
      </c>
      <c r="C320" s="16" t="n">
        <f aca="false">met_op25</f>
        <v>5.333</v>
      </c>
      <c r="D320" s="16" t="n">
        <f aca="false">(g26_oi-g26_spe*m_spe26)+v_m*(D315-g26_met)</f>
        <v>6.3875</v>
      </c>
      <c r="E320" s="16" t="n">
        <f aca="false">$D320+v_m*(E315-$D315)</f>
        <v>6.98670815775652</v>
      </c>
      <c r="F320" s="16" t="n">
        <f aca="false">$D320+v_m*(F315-$D315)</f>
        <v>7.62186880497842</v>
      </c>
      <c r="G320" s="16" t="n">
        <f aca="false">$D320+v_m*(G315-$D315)</f>
        <v>8.29513909103364</v>
      </c>
      <c r="J320" s="8" t="s">
        <v>558</v>
      </c>
    </row>
    <row r="321" customFormat="false" ht="15" hidden="false" customHeight="false" outlineLevel="0" collapsed="false">
      <c r="A321" s="4" t="s">
        <v>442</v>
      </c>
      <c r="B321" s="0" t="s">
        <v>34</v>
      </c>
      <c r="C321" s="16" t="n">
        <f aca="false">C319+C320</f>
        <v>33.737</v>
      </c>
      <c r="D321" s="16" t="n">
        <f aca="false">D319+D320</f>
        <v>44</v>
      </c>
      <c r="E321" s="16" t="n">
        <f aca="false">E319+E320</f>
        <v>53.0632500048611</v>
      </c>
      <c r="F321" s="16" t="n">
        <f aca="false">F319+F320</f>
        <v>62.4243193863871</v>
      </c>
      <c r="G321" s="16" t="n">
        <f aca="false">G319+G320</f>
        <v>68.6083919185204</v>
      </c>
    </row>
    <row r="322" customFormat="false" ht="17.15" hidden="false" customHeight="false" outlineLevel="0" collapsed="false">
      <c r="A322" s="0" t="s">
        <v>525</v>
      </c>
      <c r="B322" s="0" t="s">
        <v>108</v>
      </c>
      <c r="C322" s="11" t="n">
        <f aca="false">C319/C314</f>
        <v>0.222117956176981</v>
      </c>
      <c r="D322" s="11" t="n">
        <f aca="false">D319/D314</f>
        <v>0.255</v>
      </c>
      <c r="E322" s="11" t="n">
        <f aca="false">E319/E314</f>
        <v>0.262335147372688</v>
      </c>
      <c r="F322" s="11" t="n">
        <f aca="false">F319/F314</f>
        <v>0.267785451389651</v>
      </c>
      <c r="G322" s="11" t="n">
        <f aca="false">G319/G314</f>
        <v>0.270496877594542</v>
      </c>
    </row>
    <row r="323" customFormat="false" ht="15" hidden="false" customHeight="false" outlineLevel="0" collapsed="false">
      <c r="A323" s="4" t="s">
        <v>559</v>
      </c>
      <c r="B323" s="0" t="s">
        <v>108</v>
      </c>
      <c r="C323" s="11" t="n">
        <f aca="false">C321/C316</f>
        <v>0.202214123880651</v>
      </c>
      <c r="D323" s="11" t="n">
        <f aca="false">D321/D316</f>
        <v>0.232804232804233</v>
      </c>
      <c r="E323" s="11" t="n">
        <f aca="false">E321/E316</f>
        <v>0.241602937534202</v>
      </c>
      <c r="F323" s="11" t="n">
        <f aca="false">F321/F316</f>
        <v>0.248425349835753</v>
      </c>
      <c r="G323" s="11" t="n">
        <f aca="false">G321/G316</f>
        <v>0.251867037553123</v>
      </c>
    </row>
    <row r="324" customFormat="false" ht="17.15" hidden="false" customHeight="false" outlineLevel="0" collapsed="false">
      <c r="A324" s="4" t="s">
        <v>445</v>
      </c>
      <c r="B324" s="0" t="s">
        <v>34</v>
      </c>
      <c r="C324" s="16" t="n">
        <f aca="false">a25_ni</f>
        <v>24.739</v>
      </c>
      <c r="D324" s="16" t="n">
        <f aca="false">D321*g26_ni/g26_oi</f>
        <v>30.8</v>
      </c>
      <c r="E324" s="16" t="n">
        <f aca="false">E321*nioi</f>
        <v>37.1442750034028</v>
      </c>
      <c r="F324" s="16" t="n">
        <f aca="false">F321*nioi</f>
        <v>43.697023570471</v>
      </c>
      <c r="G324" s="16" t="n">
        <f aca="false">G321*nioi</f>
        <v>48.0258743429643</v>
      </c>
      <c r="J324" s="8" t="s">
        <v>560</v>
      </c>
    </row>
    <row r="325" customFormat="false" ht="15" hidden="false" customHeight="false" outlineLevel="0" collapsed="false">
      <c r="A325" s="0" t="s">
        <v>526</v>
      </c>
      <c r="B325" s="0" t="s">
        <v>56</v>
      </c>
      <c r="C325" s="16" t="n">
        <f aca="false">a25_eps</f>
        <v>610.02</v>
      </c>
      <c r="D325" s="16" t="n">
        <f aca="false">D324*1000/shares</f>
        <v>758.83675253348</v>
      </c>
      <c r="E325" s="16" t="n">
        <f aca="false">E324*1000/shares</f>
        <v>915.144188921841</v>
      </c>
      <c r="F325" s="16" t="n">
        <f aca="false">F324*1000/shares</f>
        <v>1076.58790459725</v>
      </c>
      <c r="G325" s="16" t="n">
        <f aca="false">G324*1000/shares</f>
        <v>1183.24021181805</v>
      </c>
    </row>
    <row r="326" customFormat="false" ht="17.15" hidden="false" customHeight="false" outlineLevel="0" collapsed="false">
      <c r="A326" s="4" t="s">
        <v>561</v>
      </c>
      <c r="B326" s="0" t="s">
        <v>34</v>
      </c>
      <c r="C326" s="19" t="n">
        <f aca="false">ABS(C316-a25_rev)+ABS(C321-a25_oi)</f>
        <v>0.00199999999997402</v>
      </c>
    </row>
    <row r="340" customFormat="false" ht="17.15" hidden="false" customHeight="false" outlineLevel="0" collapsed="false">
      <c r="A340" s="1" t="s">
        <v>837</v>
      </c>
    </row>
    <row r="341" customFormat="false" ht="17.15" hidden="false" customHeight="false" outlineLevel="0" collapsed="false">
      <c r="A341" s="5" t="s">
        <v>23</v>
      </c>
      <c r="B341" s="5" t="s">
        <v>24</v>
      </c>
      <c r="C341" s="14" t="s">
        <v>532</v>
      </c>
      <c r="D341" s="14" t="s">
        <v>533</v>
      </c>
      <c r="E341" s="14" t="s">
        <v>534</v>
      </c>
      <c r="F341" s="14" t="s">
        <v>535</v>
      </c>
      <c r="G341" s="14" t="s">
        <v>536</v>
      </c>
      <c r="H341" s="14" t="s">
        <v>537</v>
      </c>
      <c r="I341" s="5"/>
      <c r="J341" s="5" t="s">
        <v>520</v>
      </c>
    </row>
    <row r="342" customFormat="false" ht="17.15" hidden="false" customHeight="false" outlineLevel="0" collapsed="false">
      <c r="A342" s="6" t="s">
        <v>538</v>
      </c>
    </row>
    <row r="343" customFormat="false" ht="17.15" hidden="false" customHeight="false" outlineLevel="0" collapsed="false">
      <c r="A343" s="4" t="s">
        <v>539</v>
      </c>
      <c r="B343" s="0" t="s">
        <v>160</v>
      </c>
      <c r="C343" s="16" t="n">
        <f aca="false">tstA_25</f>
        <v>14.7359586560428</v>
      </c>
      <c r="D343" s="16" t="n">
        <f aca="false">tstA_26</f>
        <v>18.65</v>
      </c>
      <c r="E343" s="16" t="n">
        <f aca="false">tstA_27</f>
        <v>21.6346744396519</v>
      </c>
      <c r="F343" s="16" t="n">
        <f aca="false">tstA_28</f>
        <v>25.1</v>
      </c>
      <c r="G343" s="16" t="n">
        <f aca="false">tstA_29</f>
        <v>27.108</v>
      </c>
      <c r="H343" s="16" t="n">
        <f aca="false">G343*(1+g_tail)</f>
        <v>27.108</v>
      </c>
      <c r="J343" s="8" t="s">
        <v>540</v>
      </c>
    </row>
    <row r="344" customFormat="false" ht="17.15" hidden="false" customHeight="false" outlineLevel="0" collapsed="false">
      <c r="A344" s="4" t="s">
        <v>541</v>
      </c>
      <c r="B344" s="0" t="s">
        <v>160</v>
      </c>
      <c r="C344" s="16" t="n">
        <f aca="false">apkA_25</f>
        <v>3.05656934306569</v>
      </c>
      <c r="D344" s="16" t="n">
        <f aca="false">apkA_26</f>
        <v>3.35</v>
      </c>
      <c r="E344" s="16" t="n">
        <f aca="false">apkA_27</f>
        <v>3.79539194286967</v>
      </c>
      <c r="F344" s="16" t="n">
        <f aca="false">apkA_28</f>
        <v>4.3</v>
      </c>
      <c r="G344" s="16" t="n">
        <f aca="false">apkA_29</f>
        <v>4.644</v>
      </c>
      <c r="H344" s="16" t="n">
        <f aca="false">G344*(1+g_tail)</f>
        <v>4.644</v>
      </c>
    </row>
    <row r="345" customFormat="false" ht="15" hidden="false" customHeight="false" outlineLevel="0" collapsed="false">
      <c r="A345" s="4" t="s">
        <v>542</v>
      </c>
      <c r="B345" s="0" t="s">
        <v>160</v>
      </c>
      <c r="C345" s="16" t="n">
        <f aca="false">wfeA_25</f>
        <v>116.896831844029</v>
      </c>
      <c r="D345" s="16" t="n">
        <f aca="false">wfeA_26</f>
        <v>156.157050570127</v>
      </c>
      <c r="E345" s="16" t="n">
        <f aca="false">wfeA_27</f>
        <v>192.795469377561</v>
      </c>
      <c r="F345" s="16" t="n">
        <f aca="false">wfeA_28</f>
        <v>216.628626308958</v>
      </c>
      <c r="G345" s="16" t="n">
        <f aca="false">wfeA_29</f>
        <v>228.903685855226</v>
      </c>
      <c r="H345" s="16" t="n">
        <f aca="false">G345*(1+g_tail)</f>
        <v>228.903685855226</v>
      </c>
    </row>
    <row r="346" customFormat="false" ht="17.15" hidden="false" customHeight="false" outlineLevel="0" collapsed="false">
      <c r="A346" s="6" t="s">
        <v>543</v>
      </c>
    </row>
    <row r="347" customFormat="false" ht="15" hidden="false" customHeight="false" outlineLevel="0" collapsed="false">
      <c r="A347" s="4" t="s">
        <v>544</v>
      </c>
      <c r="B347" s="0" t="s">
        <v>301</v>
      </c>
      <c r="C347" s="19" t="n">
        <f aca="false">(0.75*C343+0.25*D343)/(0.75*D343+0.25*E343)</f>
        <v>0.810184181632695</v>
      </c>
      <c r="D347" s="19" t="n">
        <f aca="false">(0.75*D343+0.25*E343)/(0.75*D343+0.25*E343)</f>
        <v>1</v>
      </c>
      <c r="E347" s="19" t="n">
        <f aca="false">(0.75*E343+0.25*F343)/(0.75*D343+0.25*E343)</f>
        <v>1.16007476952119</v>
      </c>
      <c r="F347" s="19" t="n">
        <f aca="false">(0.75*F343+0.25*G343)/(0.75*D343+0.25*E343)</f>
        <v>1.31995140457355</v>
      </c>
      <c r="G347" s="19" t="n">
        <f aca="false">(0.75*G343+0.25*H343)/(0.75*D343+0.25*E343)</f>
        <v>1.39759560484258</v>
      </c>
    </row>
    <row r="348" customFormat="false" ht="17.15" hidden="false" customHeight="false" outlineLevel="0" collapsed="false">
      <c r="A348" s="4" t="s">
        <v>545</v>
      </c>
      <c r="B348" s="0" t="s">
        <v>301</v>
      </c>
      <c r="C348" s="19" t="n">
        <f aca="false">w_cmp*(0.75*C345+0.25*D345)/(0.75*D345+0.25*E345)+(1-w_cmp)*(0.75*C344+0.25*D344)/(0.75*D344+0.25*E344)</f>
        <v>0.876696686135123</v>
      </c>
      <c r="D348" s="19" t="n">
        <f aca="false">w_cmp*(0.75*D345+0.25*E345)/(0.75*D345+0.25*E345)+(1-w_cmp)*(0.75*D344+0.25*E344)/(0.75*D344+0.25*E344)</f>
        <v>1</v>
      </c>
      <c r="E348" s="19" t="n">
        <f aca="false">w_cmp*(0.75*E345+0.25*F345)/(0.75*D345+0.25*E345)+(1-w_cmp)*(0.75*E344+0.25*F344)/(0.75*D344+0.25*E344)</f>
        <v>1.14681444452041</v>
      </c>
      <c r="F348" s="19" t="n">
        <f aca="false">w_cmp*(0.75*F345+0.25*G345)/(0.75*D345+0.25*E345)+(1-w_cmp)*(0.75*F344+0.25*G344)/(0.75*D344+0.25*E344)</f>
        <v>1.27949889890768</v>
      </c>
      <c r="G348" s="19" t="n">
        <f aca="false">w_cmp*(0.75*G345+0.25*H345)/(0.75*D345+0.25*E345)+(1-w_cmp)*(0.75*G344+0.25*H344)/(0.75*D344+0.25*E344)</f>
        <v>1.35026661708511</v>
      </c>
    </row>
    <row r="349" customFormat="false" ht="17.15" hidden="false" customHeight="false" outlineLevel="0" collapsed="false">
      <c r="A349" s="4" t="s">
        <v>546</v>
      </c>
      <c r="B349" s="0" t="s">
        <v>301</v>
      </c>
      <c r="D349" s="19" t="n">
        <f aca="false">(1+exc_A)^0</f>
        <v>1</v>
      </c>
      <c r="E349" s="19" t="n">
        <f aca="false">(1+exc_A)^1</f>
        <v>1.03</v>
      </c>
      <c r="F349" s="19" t="n">
        <f aca="false">(1+exc_A)^2</f>
        <v>1.0609</v>
      </c>
      <c r="G349" s="19" t="n">
        <f aca="false">(1+exc_A)^3</f>
        <v>1.092727</v>
      </c>
    </row>
    <row r="350" customFormat="false" ht="17.15" hidden="false" customHeight="false" outlineLevel="0" collapsed="false">
      <c r="A350" s="4" t="s">
        <v>547</v>
      </c>
      <c r="B350" s="0" t="s">
        <v>301</v>
      </c>
      <c r="D350" s="19" t="n">
        <f aca="false">1</f>
        <v>1</v>
      </c>
      <c r="E350" s="19" t="n">
        <f aca="false">1+chn*chh_A*0.5</f>
        <v>1</v>
      </c>
      <c r="F350" s="19" t="n">
        <f aca="false">1+chn*chh_A</f>
        <v>1</v>
      </c>
      <c r="G350" s="19" t="n">
        <f aca="false">1+chn*chh_A</f>
        <v>1</v>
      </c>
    </row>
    <row r="351" customFormat="false" ht="17.15" hidden="false" customHeight="false" outlineLevel="0" collapsed="false">
      <c r="A351" s="6" t="s">
        <v>548</v>
      </c>
    </row>
    <row r="352" customFormat="false" ht="17.15" hidden="false" customHeight="false" outlineLevel="0" collapsed="false">
      <c r="A352" s="4" t="s">
        <v>549</v>
      </c>
      <c r="B352" s="0" t="s">
        <v>34</v>
      </c>
      <c r="C352" s="16" t="n">
        <f aca="false">spe_25*w_pr_hi</f>
        <v>94.62972</v>
      </c>
      <c r="D352" s="16" t="n">
        <f aca="false">g26_spe*(1+g_anc)*w_pr_hi</f>
        <v>109.15</v>
      </c>
      <c r="E352" s="16" t="n">
        <f aca="false">$D352*E347*E349*E350</f>
        <v>130.420825926035</v>
      </c>
      <c r="F352" s="16" t="n">
        <f aca="false">$D352*F347*F349*F350</f>
        <v>152.846722983983</v>
      </c>
      <c r="G352" s="16" t="n">
        <f aca="false">$D352*G347*G349*G350</f>
        <v>166.692837889591</v>
      </c>
      <c r="J352" s="8" t="s">
        <v>550</v>
      </c>
    </row>
    <row r="353" customFormat="false" ht="17.15" hidden="false" customHeight="false" outlineLevel="0" collapsed="false">
      <c r="A353" s="4" t="s">
        <v>551</v>
      </c>
      <c r="B353" s="0" t="s">
        <v>34</v>
      </c>
      <c r="C353" s="16" t="n">
        <f aca="false">spe_25*(1-w_pr_hi)</f>
        <v>33.24828</v>
      </c>
      <c r="D353" s="16" t="n">
        <f aca="false">g26_spe*(1+g_anc)*(1-w_pr_hi)</f>
        <v>38.35</v>
      </c>
      <c r="E353" s="16" t="n">
        <f aca="false">$D353*E348*E349*E350</f>
        <v>45.2997439657783</v>
      </c>
      <c r="F353" s="16" t="n">
        <f aca="false">$D353*F348*F349*F350</f>
        <v>52.057071643992</v>
      </c>
      <c r="G353" s="16" t="n">
        <f aca="false">$D353*G348*G349*G350</f>
        <v>56.584381484518</v>
      </c>
    </row>
    <row r="354" customFormat="false" ht="17.15" hidden="false" customHeight="false" outlineLevel="0" collapsed="false">
      <c r="A354" s="4" t="s">
        <v>552</v>
      </c>
      <c r="B354" s="0" t="s">
        <v>34</v>
      </c>
      <c r="C354" s="16" t="n">
        <f aca="false">C352+C353</f>
        <v>127.878</v>
      </c>
      <c r="D354" s="16" t="n">
        <f aca="false">D352+D353</f>
        <v>147.5</v>
      </c>
      <c r="E354" s="16" t="n">
        <f aca="false">E352+E353</f>
        <v>175.720569891813</v>
      </c>
      <c r="F354" s="16" t="n">
        <f aca="false">F352+F353</f>
        <v>204.903794627975</v>
      </c>
      <c r="G354" s="16" t="n">
        <f aca="false">G352+G353</f>
        <v>223.277219374109</v>
      </c>
    </row>
    <row r="355" customFormat="false" ht="15" hidden="false" customHeight="false" outlineLevel="0" collapsed="false">
      <c r="A355" s="4" t="s">
        <v>553</v>
      </c>
      <c r="B355" s="0" t="s">
        <v>34</v>
      </c>
      <c r="C355" s="16" t="n">
        <f aca="false">met_25</f>
        <v>38.96</v>
      </c>
      <c r="D355" s="16" t="n">
        <f aca="false">g26_met*(1+g_anc)</f>
        <v>41.5</v>
      </c>
      <c r="E355" s="16" t="n">
        <f aca="false">D355*(1+gmet_A)</f>
        <v>43.99</v>
      </c>
      <c r="F355" s="16" t="n">
        <f aca="false">E355*(1+gmet_A)</f>
        <v>46.6294</v>
      </c>
      <c r="G355" s="16" t="n">
        <f aca="false">F355*(1+gmet_A)</f>
        <v>49.427164</v>
      </c>
    </row>
    <row r="356" customFormat="false" ht="17.15" hidden="false" customHeight="false" outlineLevel="0" collapsed="false">
      <c r="A356" s="4" t="s">
        <v>438</v>
      </c>
      <c r="B356" s="0" t="s">
        <v>34</v>
      </c>
      <c r="C356" s="16" t="n">
        <f aca="false">C354+C355</f>
        <v>166.838</v>
      </c>
      <c r="D356" s="16" t="n">
        <f aca="false">D354+D355</f>
        <v>189</v>
      </c>
      <c r="E356" s="16" t="n">
        <f aca="false">E354+E355</f>
        <v>219.710569891813</v>
      </c>
      <c r="F356" s="16" t="n">
        <f aca="false">F354+F355</f>
        <v>251.533194627975</v>
      </c>
      <c r="G356" s="16" t="n">
        <f aca="false">G354+G355</f>
        <v>272.704383374109</v>
      </c>
      <c r="J356" s="8" t="s">
        <v>554</v>
      </c>
    </row>
    <row r="357" customFormat="false" ht="17.15" hidden="false" customHeight="false" outlineLevel="0" collapsed="false">
      <c r="A357" s="0" t="s">
        <v>555</v>
      </c>
      <c r="B357" s="0" t="s">
        <v>108</v>
      </c>
      <c r="C357" s="11" t="n">
        <f aca="false">C354/C356</f>
        <v>0.766480058499862</v>
      </c>
      <c r="D357" s="11" t="n">
        <f aca="false">D354/D356</f>
        <v>0.780423280423281</v>
      </c>
      <c r="E357" s="11" t="n">
        <f aca="false">E354/E356</f>
        <v>0.799782049531523</v>
      </c>
      <c r="F357" s="11" t="n">
        <f aca="false">F354/F356</f>
        <v>0.814619298780957</v>
      </c>
      <c r="G357" s="11" t="n">
        <f aca="false">G354/G356</f>
        <v>0.818751853606279</v>
      </c>
    </row>
    <row r="358" customFormat="false" ht="17.15" hidden="false" customHeight="false" outlineLevel="0" collapsed="false">
      <c r="A358" s="6" t="s">
        <v>556</v>
      </c>
    </row>
    <row r="359" customFormat="false" ht="17.15" hidden="false" customHeight="false" outlineLevel="0" collapsed="false">
      <c r="A359" s="0" t="s">
        <v>455</v>
      </c>
      <c r="B359" s="0" t="s">
        <v>34</v>
      </c>
      <c r="C359" s="16" t="n">
        <f aca="false">spe_op25</f>
        <v>28.404</v>
      </c>
      <c r="D359" s="16" t="n">
        <f aca="false">g26_spe*m_spe26+v_s*(D354-g26_spe)</f>
        <v>37.6125</v>
      </c>
      <c r="E359" s="16" t="n">
        <f aca="false">$D359+v_s*(E354-$D354)</f>
        <v>46.1007798769445</v>
      </c>
      <c r="F359" s="16" t="n">
        <f aca="false">$D359+v_s*(F354-$D354)+0*F354</f>
        <v>54.8786103822091</v>
      </c>
      <c r="G359" s="16" t="n">
        <f aca="false">$D359+v_s*(G354-$D354)+0*G354</f>
        <v>60.4050321426855</v>
      </c>
      <c r="J359" s="4" t="s">
        <v>557</v>
      </c>
    </row>
    <row r="360" customFormat="false" ht="17.15" hidden="false" customHeight="false" outlineLevel="0" collapsed="false">
      <c r="A360" s="4" t="s">
        <v>460</v>
      </c>
      <c r="B360" s="0" t="s">
        <v>34</v>
      </c>
      <c r="C360" s="16" t="n">
        <f aca="false">met_op25</f>
        <v>5.333</v>
      </c>
      <c r="D360" s="16" t="n">
        <f aca="false">(g26_oi-g26_spe*m_spe26)+v_m*(D355-g26_met)</f>
        <v>6.3875</v>
      </c>
      <c r="E360" s="16" t="n">
        <f aca="false">$D360+v_m*(E355-$D355)</f>
        <v>6.98670815775652</v>
      </c>
      <c r="F360" s="16" t="n">
        <f aca="false">$D360+v_m*(F355-$D355)</f>
        <v>7.62186880497842</v>
      </c>
      <c r="G360" s="16" t="n">
        <f aca="false">$D360+v_m*(G355-$D355)</f>
        <v>8.29513909103364</v>
      </c>
      <c r="J360" s="8" t="s">
        <v>558</v>
      </c>
    </row>
    <row r="361" customFormat="false" ht="15" hidden="false" customHeight="false" outlineLevel="0" collapsed="false">
      <c r="A361" s="4" t="s">
        <v>442</v>
      </c>
      <c r="B361" s="0" t="s">
        <v>34</v>
      </c>
      <c r="C361" s="16" t="n">
        <f aca="false">C359+C360</f>
        <v>33.737</v>
      </c>
      <c r="D361" s="16" t="n">
        <f aca="false">D359+D360</f>
        <v>44</v>
      </c>
      <c r="E361" s="16" t="n">
        <f aca="false">E359+E360</f>
        <v>53.087488034701</v>
      </c>
      <c r="F361" s="16" t="n">
        <f aca="false">F359+F360</f>
        <v>62.5004791871876</v>
      </c>
      <c r="G361" s="16" t="n">
        <f aca="false">G359+G360</f>
        <v>68.7001712337191</v>
      </c>
    </row>
    <row r="362" customFormat="false" ht="17.15" hidden="false" customHeight="false" outlineLevel="0" collapsed="false">
      <c r="A362" s="0" t="s">
        <v>525</v>
      </c>
      <c r="B362" s="0" t="s">
        <v>108</v>
      </c>
      <c r="C362" s="11" t="n">
        <f aca="false">C359/C354</f>
        <v>0.222117956176981</v>
      </c>
      <c r="D362" s="11" t="n">
        <f aca="false">D359/D354</f>
        <v>0.255</v>
      </c>
      <c r="E362" s="11" t="n">
        <f aca="false">E359/E354</f>
        <v>0.262352779218321</v>
      </c>
      <c r="F362" s="11" t="n">
        <f aca="false">F359/F354</f>
        <v>0.267826227824854</v>
      </c>
      <c r="G362" s="11" t="n">
        <f aca="false">G359/G354</f>
        <v>0.270538267683613</v>
      </c>
    </row>
    <row r="363" customFormat="false" ht="15" hidden="false" customHeight="false" outlineLevel="0" collapsed="false">
      <c r="A363" s="4" t="s">
        <v>559</v>
      </c>
      <c r="B363" s="0" t="s">
        <v>108</v>
      </c>
      <c r="C363" s="11" t="n">
        <f aca="false">C361/C356</f>
        <v>0.202214123880651</v>
      </c>
      <c r="D363" s="11" t="n">
        <f aca="false">D361/D356</f>
        <v>0.232804232804233</v>
      </c>
      <c r="E363" s="11" t="n">
        <f aca="false">E361/E356</f>
        <v>0.241624643096787</v>
      </c>
      <c r="F363" s="11" t="n">
        <f aca="false">F361/F356</f>
        <v>0.24847805586705</v>
      </c>
      <c r="G363" s="11" t="n">
        <f aca="false">G361/G356</f>
        <v>0.251921771053723</v>
      </c>
    </row>
    <row r="364" customFormat="false" ht="17.15" hidden="false" customHeight="false" outlineLevel="0" collapsed="false">
      <c r="A364" s="4" t="s">
        <v>445</v>
      </c>
      <c r="B364" s="0" t="s">
        <v>34</v>
      </c>
      <c r="C364" s="16" t="n">
        <f aca="false">a25_ni</f>
        <v>24.739</v>
      </c>
      <c r="D364" s="16" t="n">
        <f aca="false">D361*g26_ni/g26_oi</f>
        <v>30.8</v>
      </c>
      <c r="E364" s="16" t="n">
        <f aca="false">E361*nioi</f>
        <v>37.1612416242907</v>
      </c>
      <c r="F364" s="16" t="n">
        <f aca="false">F361*nioi</f>
        <v>43.7503354310313</v>
      </c>
      <c r="G364" s="16" t="n">
        <f aca="false">G361*nioi</f>
        <v>48.0901198636034</v>
      </c>
      <c r="J364" s="8" t="s">
        <v>560</v>
      </c>
    </row>
    <row r="365" customFormat="false" ht="15" hidden="false" customHeight="false" outlineLevel="0" collapsed="false">
      <c r="A365" s="0" t="s">
        <v>526</v>
      </c>
      <c r="B365" s="0" t="s">
        <v>56</v>
      </c>
      <c r="C365" s="16" t="n">
        <f aca="false">a25_eps</f>
        <v>610.02</v>
      </c>
      <c r="D365" s="16" t="n">
        <f aca="false">D364*1000/shares</f>
        <v>758.83675253348</v>
      </c>
      <c r="E365" s="16" t="n">
        <f aca="false">E364*1000/shares</f>
        <v>915.562205009374</v>
      </c>
      <c r="F365" s="16" t="n">
        <f aca="false">F364*1000/shares</f>
        <v>1077.90137859527</v>
      </c>
      <c r="G365" s="16" t="n">
        <f aca="false">G364*1000/shares</f>
        <v>1184.8230644884</v>
      </c>
    </row>
    <row r="366" customFormat="false" ht="17.15" hidden="false" customHeight="false" outlineLevel="0" collapsed="false">
      <c r="A366" s="4" t="s">
        <v>561</v>
      </c>
      <c r="B366" s="0" t="s">
        <v>34</v>
      </c>
      <c r="C366" s="19" t="n">
        <f aca="false">ABS(C356-a25_rev)+ABS(C361-a25_oi)</f>
        <v>0.00199999999997402</v>
      </c>
    </row>
    <row r="380" customFormat="false" ht="17.15" hidden="false" customHeight="false" outlineLevel="0" collapsed="false">
      <c r="A380" s="1" t="s">
        <v>838</v>
      </c>
    </row>
    <row r="381" customFormat="false" ht="17.15" hidden="false" customHeight="false" outlineLevel="0" collapsed="false">
      <c r="A381" s="5" t="s">
        <v>23</v>
      </c>
      <c r="B381" s="5" t="s">
        <v>24</v>
      </c>
      <c r="C381" s="14" t="s">
        <v>532</v>
      </c>
      <c r="D381" s="14" t="s">
        <v>533</v>
      </c>
      <c r="E381" s="14" t="s">
        <v>534</v>
      </c>
      <c r="F381" s="14" t="s">
        <v>535</v>
      </c>
      <c r="G381" s="14" t="s">
        <v>536</v>
      </c>
      <c r="H381" s="14" t="s">
        <v>537</v>
      </c>
      <c r="I381" s="5"/>
      <c r="J381" s="5" t="s">
        <v>520</v>
      </c>
    </row>
    <row r="382" customFormat="false" ht="17.15" hidden="false" customHeight="false" outlineLevel="0" collapsed="false">
      <c r="A382" s="6" t="s">
        <v>538</v>
      </c>
    </row>
    <row r="383" customFormat="false" ht="17.15" hidden="false" customHeight="false" outlineLevel="0" collapsed="false">
      <c r="A383" s="4" t="s">
        <v>539</v>
      </c>
      <c r="B383" s="0" t="s">
        <v>160</v>
      </c>
      <c r="C383" s="16" t="n">
        <f aca="false">tstA_25</f>
        <v>14.7359586560428</v>
      </c>
      <c r="D383" s="16" t="n">
        <f aca="false">tstA_26</f>
        <v>18.65</v>
      </c>
      <c r="E383" s="16" t="n">
        <f aca="false">tstA_27</f>
        <v>21.6346744396519</v>
      </c>
      <c r="F383" s="16" t="n">
        <f aca="false">tstA_28</f>
        <v>25.1</v>
      </c>
      <c r="G383" s="16" t="n">
        <f aca="false">tstA_29</f>
        <v>27.108</v>
      </c>
      <c r="H383" s="16" t="n">
        <f aca="false">G383*(1+g_tail)</f>
        <v>27.108</v>
      </c>
      <c r="J383" s="8" t="s">
        <v>540</v>
      </c>
    </row>
    <row r="384" customFormat="false" ht="17.15" hidden="false" customHeight="false" outlineLevel="0" collapsed="false">
      <c r="A384" s="4" t="s">
        <v>541</v>
      </c>
      <c r="B384" s="0" t="s">
        <v>160</v>
      </c>
      <c r="C384" s="16" t="n">
        <f aca="false">apkA_25</f>
        <v>3.05656934306569</v>
      </c>
      <c r="D384" s="16" t="n">
        <f aca="false">apkA_26</f>
        <v>3.35</v>
      </c>
      <c r="E384" s="16" t="n">
        <f aca="false">apkA_27</f>
        <v>3.79539194286967</v>
      </c>
      <c r="F384" s="16" t="n">
        <f aca="false">apkA_28</f>
        <v>4.3</v>
      </c>
      <c r="G384" s="16" t="n">
        <f aca="false">apkA_29</f>
        <v>4.644</v>
      </c>
      <c r="H384" s="16" t="n">
        <f aca="false">G384*(1+g_tail)</f>
        <v>4.644</v>
      </c>
    </row>
    <row r="385" customFormat="false" ht="15" hidden="false" customHeight="false" outlineLevel="0" collapsed="false">
      <c r="A385" s="4" t="s">
        <v>542</v>
      </c>
      <c r="B385" s="0" t="s">
        <v>160</v>
      </c>
      <c r="C385" s="16" t="n">
        <f aca="false">wfeA_25</f>
        <v>116.896831844029</v>
      </c>
      <c r="D385" s="16" t="n">
        <f aca="false">wfeA_26</f>
        <v>156.157050570127</v>
      </c>
      <c r="E385" s="16" t="n">
        <f aca="false">wfeA_27</f>
        <v>192.795469377561</v>
      </c>
      <c r="F385" s="16" t="n">
        <f aca="false">wfeA_28</f>
        <v>216.628626308958</v>
      </c>
      <c r="G385" s="16" t="n">
        <f aca="false">wfeA_29</f>
        <v>228.903685855226</v>
      </c>
      <c r="H385" s="16" t="n">
        <f aca="false">G385*(1+g_tail)</f>
        <v>228.903685855226</v>
      </c>
    </row>
    <row r="386" customFormat="false" ht="17.15" hidden="false" customHeight="false" outlineLevel="0" collapsed="false">
      <c r="A386" s="6" t="s">
        <v>543</v>
      </c>
    </row>
    <row r="387" customFormat="false" ht="15" hidden="false" customHeight="false" outlineLevel="0" collapsed="false">
      <c r="A387" s="4" t="s">
        <v>544</v>
      </c>
      <c r="B387" s="0" t="s">
        <v>301</v>
      </c>
      <c r="C387" s="19" t="n">
        <f aca="false">(0.75*C383+0.25*D383)/(0.75*D383+0.25*E383)</f>
        <v>0.810184181632695</v>
      </c>
      <c r="D387" s="19" t="n">
        <f aca="false">(0.75*D383+0.25*E383)/(0.75*D383+0.25*E383)</f>
        <v>1</v>
      </c>
      <c r="E387" s="19" t="n">
        <f aca="false">(0.75*E383+0.25*F383)/(0.75*D383+0.25*E383)</f>
        <v>1.16007476952119</v>
      </c>
      <c r="F387" s="19" t="n">
        <f aca="false">(0.75*F383+0.25*G383)/(0.75*D383+0.25*E383)</f>
        <v>1.31995140457355</v>
      </c>
      <c r="G387" s="19" t="n">
        <f aca="false">(0.75*G383+0.25*H383)/(0.75*D383+0.25*E383)</f>
        <v>1.39759560484258</v>
      </c>
    </row>
    <row r="388" customFormat="false" ht="17.15" hidden="false" customHeight="false" outlineLevel="0" collapsed="false">
      <c r="A388" s="4" t="s">
        <v>545</v>
      </c>
      <c r="B388" s="0" t="s">
        <v>301</v>
      </c>
      <c r="C388" s="19" t="n">
        <f aca="false">w_cmp_lo*(0.75*C385+0.25*D385)/(0.75*D385+0.25*E385)+(1-w_cmp_lo)*(0.75*C384+0.25*D384)/(0.75*D384+0.25*E384)</f>
        <v>0.890473789600864</v>
      </c>
      <c r="D388" s="19" t="n">
        <f aca="false">w_cmp_lo*(0.75*D385+0.25*E385)/(0.75*D385+0.25*E385)+(1-w_cmp_lo)*(0.75*D384+0.25*E384)/(0.75*D384+0.25*E384)</f>
        <v>1</v>
      </c>
      <c r="E388" s="19" t="n">
        <f aca="false">w_cmp_lo*(0.75*E385+0.25*F385)/(0.75*D385+0.25*E385)+(1-w_cmp_lo)*(0.75*E384+0.25*F384)/(0.75*D384+0.25*E384)</f>
        <v>1.13988363164374</v>
      </c>
      <c r="F388" s="19" t="n">
        <f aca="false">w_cmp_lo*(0.75*F385+0.25*G385)/(0.75*D385+0.25*E385)+(1-w_cmp_lo)*(0.75*F384+0.25*G384)/(0.75*D384+0.25*E384)</f>
        <v>1.27331764573142</v>
      </c>
      <c r="G388" s="19" t="n">
        <f aca="false">w_cmp_lo*(0.75*G385+0.25*H385)/(0.75*D385+0.25*E385)+(1-w_cmp_lo)*(0.75*G384+0.25*H384)/(0.75*D384+0.25*E384)</f>
        <v>1.34597022224822</v>
      </c>
    </row>
    <row r="389" customFormat="false" ht="17.15" hidden="false" customHeight="false" outlineLevel="0" collapsed="false">
      <c r="A389" s="4" t="s">
        <v>546</v>
      </c>
      <c r="B389" s="0" t="s">
        <v>301</v>
      </c>
      <c r="D389" s="19" t="n">
        <f aca="false">(1+exc_A)^0</f>
        <v>1</v>
      </c>
      <c r="E389" s="19" t="n">
        <f aca="false">(1+exc_A)^1</f>
        <v>1.03</v>
      </c>
      <c r="F389" s="19" t="n">
        <f aca="false">(1+exc_A)^2</f>
        <v>1.0609</v>
      </c>
      <c r="G389" s="19" t="n">
        <f aca="false">(1+exc_A)^3</f>
        <v>1.092727</v>
      </c>
    </row>
    <row r="390" customFormat="false" ht="17.15" hidden="false" customHeight="false" outlineLevel="0" collapsed="false">
      <c r="A390" s="4" t="s">
        <v>547</v>
      </c>
      <c r="B390" s="0" t="s">
        <v>301</v>
      </c>
      <c r="D390" s="19" t="n">
        <f aca="false">1</f>
        <v>1</v>
      </c>
      <c r="E390" s="19" t="n">
        <f aca="false">1+chn*chh_A*0.5</f>
        <v>1</v>
      </c>
      <c r="F390" s="19" t="n">
        <f aca="false">1+chn*chh_A</f>
        <v>1</v>
      </c>
      <c r="G390" s="19" t="n">
        <f aca="false">1+chn*chh_A</f>
        <v>1</v>
      </c>
    </row>
    <row r="391" customFormat="false" ht="17.15" hidden="false" customHeight="false" outlineLevel="0" collapsed="false">
      <c r="A391" s="6" t="s">
        <v>548</v>
      </c>
    </row>
    <row r="392" customFormat="false" ht="17.15" hidden="false" customHeight="false" outlineLevel="0" collapsed="false">
      <c r="A392" s="4" t="s">
        <v>549</v>
      </c>
      <c r="B392" s="0" t="s">
        <v>34</v>
      </c>
      <c r="C392" s="16" t="n">
        <f aca="false">spe_25*w_pr</f>
        <v>92.07216</v>
      </c>
      <c r="D392" s="16" t="n">
        <f aca="false">g26_spe*(1+g_anc)*w_pr</f>
        <v>106.2</v>
      </c>
      <c r="E392" s="16" t="n">
        <f aca="false">$D392*E387*E389*E390</f>
        <v>126.895938738845</v>
      </c>
      <c r="F392" s="16" t="n">
        <f aca="false">$D392*F387*F389*F390</f>
        <v>148.715730470903</v>
      </c>
      <c r="G392" s="16" t="n">
        <f aca="false">$D392*G387*G389*G390</f>
        <v>162.187626054737</v>
      </c>
      <c r="J392" s="8" t="s">
        <v>550</v>
      </c>
    </row>
    <row r="393" customFormat="false" ht="17.15" hidden="false" customHeight="false" outlineLevel="0" collapsed="false">
      <c r="A393" s="4" t="s">
        <v>551</v>
      </c>
      <c r="B393" s="0" t="s">
        <v>34</v>
      </c>
      <c r="C393" s="16" t="n">
        <f aca="false">spe_25*(1-w_pr)</f>
        <v>35.80584</v>
      </c>
      <c r="D393" s="16" t="n">
        <f aca="false">g26_spe*(1+g_anc)*(1-w_pr)</f>
        <v>41.3</v>
      </c>
      <c r="E393" s="16" t="n">
        <f aca="false">$D393*E388*E389*E390</f>
        <v>48.4895098064929</v>
      </c>
      <c r="F393" s="16" t="n">
        <f aca="false">$D393*F388*F389*F390</f>
        <v>55.7906291117218</v>
      </c>
      <c r="G393" s="16" t="n">
        <f aca="false">$D393*G388*G389*G390</f>
        <v>60.7431315258259</v>
      </c>
    </row>
    <row r="394" customFormat="false" ht="17.15" hidden="false" customHeight="false" outlineLevel="0" collapsed="false">
      <c r="A394" s="4" t="s">
        <v>552</v>
      </c>
      <c r="B394" s="0" t="s">
        <v>34</v>
      </c>
      <c r="C394" s="16" t="n">
        <f aca="false">C392+C393</f>
        <v>127.878</v>
      </c>
      <c r="D394" s="16" t="n">
        <f aca="false">D392+D393</f>
        <v>147.5</v>
      </c>
      <c r="E394" s="16" t="n">
        <f aca="false">E392+E393</f>
        <v>175.385448545338</v>
      </c>
      <c r="F394" s="16" t="n">
        <f aca="false">F392+F393</f>
        <v>204.506359582624</v>
      </c>
      <c r="G394" s="16" t="n">
        <f aca="false">G392+G393</f>
        <v>222.930757580563</v>
      </c>
    </row>
    <row r="395" customFormat="false" ht="15" hidden="false" customHeight="false" outlineLevel="0" collapsed="false">
      <c r="A395" s="4" t="s">
        <v>553</v>
      </c>
      <c r="B395" s="0" t="s">
        <v>34</v>
      </c>
      <c r="C395" s="16" t="n">
        <f aca="false">met_25</f>
        <v>38.96</v>
      </c>
      <c r="D395" s="16" t="n">
        <f aca="false">g26_met*(1+g_anc)</f>
        <v>41.5</v>
      </c>
      <c r="E395" s="16" t="n">
        <f aca="false">D395*(1+gmet_A)</f>
        <v>43.99</v>
      </c>
      <c r="F395" s="16" t="n">
        <f aca="false">E395*(1+gmet_A)</f>
        <v>46.6294</v>
      </c>
      <c r="G395" s="16" t="n">
        <f aca="false">F395*(1+gmet_A)</f>
        <v>49.427164</v>
      </c>
    </row>
    <row r="396" customFormat="false" ht="17.15" hidden="false" customHeight="false" outlineLevel="0" collapsed="false">
      <c r="A396" s="4" t="s">
        <v>438</v>
      </c>
      <c r="B396" s="0" t="s">
        <v>34</v>
      </c>
      <c r="C396" s="16" t="n">
        <f aca="false">C394+C395</f>
        <v>166.838</v>
      </c>
      <c r="D396" s="16" t="n">
        <f aca="false">D394+D395</f>
        <v>189</v>
      </c>
      <c r="E396" s="16" t="n">
        <f aca="false">E394+E395</f>
        <v>219.375448545338</v>
      </c>
      <c r="F396" s="16" t="n">
        <f aca="false">F394+F395</f>
        <v>251.135759582624</v>
      </c>
      <c r="G396" s="16" t="n">
        <f aca="false">G394+G395</f>
        <v>272.357921580563</v>
      </c>
      <c r="J396" s="8" t="s">
        <v>554</v>
      </c>
    </row>
    <row r="397" customFormat="false" ht="17.15" hidden="false" customHeight="false" outlineLevel="0" collapsed="false">
      <c r="A397" s="0" t="s">
        <v>555</v>
      </c>
      <c r="B397" s="0" t="s">
        <v>108</v>
      </c>
      <c r="C397" s="11" t="n">
        <f aca="false">C394/C396</f>
        <v>0.766480058499862</v>
      </c>
      <c r="D397" s="11" t="n">
        <f aca="false">D394/D396</f>
        <v>0.780423280423281</v>
      </c>
      <c r="E397" s="11" t="n">
        <f aca="false">E394/E396</f>
        <v>0.799476193477008</v>
      </c>
      <c r="F397" s="11" t="n">
        <f aca="false">F394/F396</f>
        <v>0.814325924442239</v>
      </c>
      <c r="G397" s="11" t="n">
        <f aca="false">G394/G396</f>
        <v>0.818521290979306</v>
      </c>
    </row>
    <row r="398" customFormat="false" ht="17.15" hidden="false" customHeight="false" outlineLevel="0" collapsed="false">
      <c r="A398" s="6" t="s">
        <v>556</v>
      </c>
    </row>
    <row r="399" customFormat="false" ht="17.15" hidden="false" customHeight="false" outlineLevel="0" collapsed="false">
      <c r="A399" s="0" t="s">
        <v>455</v>
      </c>
      <c r="B399" s="0" t="s">
        <v>34</v>
      </c>
      <c r="C399" s="16" t="n">
        <f aca="false">spe_op25</f>
        <v>28.404</v>
      </c>
      <c r="D399" s="16" t="n">
        <f aca="false">g26_spe*m_spe26+v_s*(D394-g26_spe)</f>
        <v>37.6125</v>
      </c>
      <c r="E399" s="16" t="n">
        <f aca="false">$D399+v_s*(E394-$D394)</f>
        <v>45.9999809280739</v>
      </c>
      <c r="F399" s="16" t="n">
        <f aca="false">$D399+v_s*(F394-$D394)+0*F394</f>
        <v>54.759068505104</v>
      </c>
      <c r="G399" s="16" t="n">
        <f aca="false">$D399+v_s*(G394-$D394)+0*G394</f>
        <v>60.3008221752199</v>
      </c>
      <c r="J399" s="4" t="s">
        <v>557</v>
      </c>
    </row>
    <row r="400" customFormat="false" ht="17.15" hidden="false" customHeight="false" outlineLevel="0" collapsed="false">
      <c r="A400" s="4" t="s">
        <v>460</v>
      </c>
      <c r="B400" s="0" t="s">
        <v>34</v>
      </c>
      <c r="C400" s="16" t="n">
        <f aca="false">met_op25</f>
        <v>5.333</v>
      </c>
      <c r="D400" s="16" t="n">
        <f aca="false">(g26_oi-g26_spe*m_spe26)+v_m*(D395-g26_met)</f>
        <v>6.3875</v>
      </c>
      <c r="E400" s="16" t="n">
        <f aca="false">$D400+v_m*(E395-$D395)</f>
        <v>6.98670815775652</v>
      </c>
      <c r="F400" s="16" t="n">
        <f aca="false">$D400+v_m*(F395-$D395)</f>
        <v>7.62186880497842</v>
      </c>
      <c r="G400" s="16" t="n">
        <f aca="false">$D400+v_m*(G395-$D395)</f>
        <v>8.29513909103364</v>
      </c>
      <c r="J400" s="8" t="s">
        <v>558</v>
      </c>
    </row>
    <row r="401" customFormat="false" ht="15" hidden="false" customHeight="false" outlineLevel="0" collapsed="false">
      <c r="A401" s="4" t="s">
        <v>442</v>
      </c>
      <c r="B401" s="0" t="s">
        <v>34</v>
      </c>
      <c r="C401" s="16" t="n">
        <f aca="false">C399+C400</f>
        <v>33.737</v>
      </c>
      <c r="D401" s="16" t="n">
        <f aca="false">D399+D400</f>
        <v>44</v>
      </c>
      <c r="E401" s="16" t="n">
        <f aca="false">E399+E400</f>
        <v>52.9866890858304</v>
      </c>
      <c r="F401" s="16" t="n">
        <f aca="false">F399+F400</f>
        <v>62.3809373100824</v>
      </c>
      <c r="G401" s="16" t="n">
        <f aca="false">G399+G400</f>
        <v>68.5959612662536</v>
      </c>
    </row>
    <row r="402" customFormat="false" ht="17.15" hidden="false" customHeight="false" outlineLevel="0" collapsed="false">
      <c r="A402" s="0" t="s">
        <v>525</v>
      </c>
      <c r="B402" s="0" t="s">
        <v>108</v>
      </c>
      <c r="C402" s="11" t="n">
        <f aca="false">C399/C394</f>
        <v>0.222117956176981</v>
      </c>
      <c r="D402" s="11" t="n">
        <f aca="false">D399/D394</f>
        <v>0.255</v>
      </c>
      <c r="E402" s="11" t="n">
        <f aca="false">E399/E394</f>
        <v>0.262279347058731</v>
      </c>
      <c r="F402" s="11" t="n">
        <f aca="false">F399/F394</f>
        <v>0.267762179214678</v>
      </c>
      <c r="G402" s="11" t="n">
        <f aca="false">G399/G394</f>
        <v>0.270491262980741</v>
      </c>
    </row>
    <row r="403" customFormat="false" ht="15" hidden="false" customHeight="false" outlineLevel="0" collapsed="false">
      <c r="A403" s="4" t="s">
        <v>559</v>
      </c>
      <c r="B403" s="0" t="s">
        <v>108</v>
      </c>
      <c r="C403" s="11" t="n">
        <f aca="false">C401/C396</f>
        <v>0.202214123880651</v>
      </c>
      <c r="D403" s="11" t="n">
        <f aca="false">D401/D396</f>
        <v>0.232804232804233</v>
      </c>
      <c r="E403" s="11" t="n">
        <f aca="false">E401/E396</f>
        <v>0.241534271210298</v>
      </c>
      <c r="F403" s="11" t="n">
        <f aca="false">F401/F396</f>
        <v>0.248395279962346</v>
      </c>
      <c r="G403" s="11" t="n">
        <f aca="false">G401/G396</f>
        <v>0.251859614980807</v>
      </c>
    </row>
    <row r="404" customFormat="false" ht="17.15" hidden="false" customHeight="false" outlineLevel="0" collapsed="false">
      <c r="A404" s="4" t="s">
        <v>445</v>
      </c>
      <c r="B404" s="0" t="s">
        <v>34</v>
      </c>
      <c r="C404" s="16" t="n">
        <f aca="false">a25_ni</f>
        <v>24.739</v>
      </c>
      <c r="D404" s="16" t="n">
        <f aca="false">D401*g26_ni/g26_oi</f>
        <v>30.8</v>
      </c>
      <c r="E404" s="16" t="n">
        <f aca="false">E401*nioi</f>
        <v>37.0906823600813</v>
      </c>
      <c r="F404" s="16" t="n">
        <f aca="false">F401*nioi</f>
        <v>43.6666561170577</v>
      </c>
      <c r="G404" s="16" t="n">
        <f aca="false">G401*nioi</f>
        <v>48.0171728863775</v>
      </c>
      <c r="J404" s="8" t="s">
        <v>560</v>
      </c>
    </row>
    <row r="405" customFormat="false" ht="15" hidden="false" customHeight="false" outlineLevel="0" collapsed="false">
      <c r="A405" s="0" t="s">
        <v>526</v>
      </c>
      <c r="B405" s="0" t="s">
        <v>56</v>
      </c>
      <c r="C405" s="16" t="n">
        <f aca="false">a25_eps</f>
        <v>610.02</v>
      </c>
      <c r="D405" s="16" t="n">
        <f aca="false">D404*1000/shares</f>
        <v>758.83675253348</v>
      </c>
      <c r="E405" s="16" t="n">
        <f aca="false">E404*1000/shares</f>
        <v>913.823797122562</v>
      </c>
      <c r="F405" s="16" t="n">
        <f aca="false">F404*1000/shares</f>
        <v>1075.83972473585</v>
      </c>
      <c r="G405" s="16" t="n">
        <f aca="false">G404*1000/shares</f>
        <v>1183.02582918628</v>
      </c>
    </row>
    <row r="406" customFormat="false" ht="17.15" hidden="false" customHeight="false" outlineLevel="0" collapsed="false">
      <c r="A406" s="4" t="s">
        <v>561</v>
      </c>
      <c r="B406" s="0" t="s">
        <v>34</v>
      </c>
      <c r="C406" s="19" t="n">
        <f aca="false">ABS(C396-a25_rev)+ABS(C401-a25_oi)</f>
        <v>0.00200000000000244</v>
      </c>
    </row>
    <row r="420" customFormat="false" ht="17.15" hidden="false" customHeight="false" outlineLevel="0" collapsed="false">
      <c r="A420" s="1" t="s">
        <v>839</v>
      </c>
    </row>
    <row r="421" customFormat="false" ht="17.15" hidden="false" customHeight="false" outlineLevel="0" collapsed="false">
      <c r="A421" s="5" t="s">
        <v>23</v>
      </c>
      <c r="B421" s="5" t="s">
        <v>24</v>
      </c>
      <c r="C421" s="14" t="s">
        <v>532</v>
      </c>
      <c r="D421" s="14" t="s">
        <v>533</v>
      </c>
      <c r="E421" s="14" t="s">
        <v>534</v>
      </c>
      <c r="F421" s="14" t="s">
        <v>535</v>
      </c>
      <c r="G421" s="14" t="s">
        <v>536</v>
      </c>
      <c r="H421" s="14" t="s">
        <v>537</v>
      </c>
      <c r="I421" s="5"/>
      <c r="J421" s="5" t="s">
        <v>520</v>
      </c>
    </row>
    <row r="422" customFormat="false" ht="17.15" hidden="false" customHeight="false" outlineLevel="0" collapsed="false">
      <c r="A422" s="6" t="s">
        <v>538</v>
      </c>
    </row>
    <row r="423" customFormat="false" ht="17.15" hidden="false" customHeight="false" outlineLevel="0" collapsed="false">
      <c r="A423" s="4" t="s">
        <v>539</v>
      </c>
      <c r="B423" s="0" t="s">
        <v>160</v>
      </c>
      <c r="C423" s="16" t="n">
        <f aca="false">tstA_25</f>
        <v>14.7359586560428</v>
      </c>
      <c r="D423" s="16" t="n">
        <f aca="false">tstA_26</f>
        <v>18.65</v>
      </c>
      <c r="E423" s="16" t="n">
        <f aca="false">tstA_27</f>
        <v>21.6346744396519</v>
      </c>
      <c r="F423" s="16" t="n">
        <f aca="false">tstA_28</f>
        <v>25.1</v>
      </c>
      <c r="G423" s="16" t="n">
        <f aca="false">tstA_29</f>
        <v>27.108</v>
      </c>
      <c r="H423" s="16" t="n">
        <f aca="false">G423*(1+g_tail)</f>
        <v>27.108</v>
      </c>
      <c r="J423" s="8" t="s">
        <v>540</v>
      </c>
    </row>
    <row r="424" customFormat="false" ht="17.15" hidden="false" customHeight="false" outlineLevel="0" collapsed="false">
      <c r="A424" s="4" t="s">
        <v>541</v>
      </c>
      <c r="B424" s="0" t="s">
        <v>160</v>
      </c>
      <c r="C424" s="16" t="n">
        <f aca="false">apkA_25</f>
        <v>3.05656934306569</v>
      </c>
      <c r="D424" s="16" t="n">
        <f aca="false">apkA_26</f>
        <v>3.35</v>
      </c>
      <c r="E424" s="16" t="n">
        <f aca="false">apkA_27</f>
        <v>3.79539194286967</v>
      </c>
      <c r="F424" s="16" t="n">
        <f aca="false">apkA_28</f>
        <v>4.3</v>
      </c>
      <c r="G424" s="16" t="n">
        <f aca="false">apkA_29</f>
        <v>4.644</v>
      </c>
      <c r="H424" s="16" t="n">
        <f aca="false">G424*(1+g_tail)</f>
        <v>4.644</v>
      </c>
    </row>
    <row r="425" customFormat="false" ht="15" hidden="false" customHeight="false" outlineLevel="0" collapsed="false">
      <c r="A425" s="4" t="s">
        <v>542</v>
      </c>
      <c r="B425" s="0" t="s">
        <v>160</v>
      </c>
      <c r="C425" s="16" t="n">
        <f aca="false">wfeA_25</f>
        <v>116.896831844029</v>
      </c>
      <c r="D425" s="16" t="n">
        <f aca="false">wfeA_26</f>
        <v>156.157050570127</v>
      </c>
      <c r="E425" s="16" t="n">
        <f aca="false">wfeA_27</f>
        <v>192.795469377561</v>
      </c>
      <c r="F425" s="16" t="n">
        <f aca="false">wfeA_28</f>
        <v>216.628626308958</v>
      </c>
      <c r="G425" s="16" t="n">
        <f aca="false">wfeA_29</f>
        <v>228.903685855226</v>
      </c>
      <c r="H425" s="16" t="n">
        <f aca="false">G425*(1+g_tail)</f>
        <v>228.903685855226</v>
      </c>
    </row>
    <row r="426" customFormat="false" ht="17.15" hidden="false" customHeight="false" outlineLevel="0" collapsed="false">
      <c r="A426" s="6" t="s">
        <v>543</v>
      </c>
    </row>
    <row r="427" customFormat="false" ht="15" hidden="false" customHeight="false" outlineLevel="0" collapsed="false">
      <c r="A427" s="4" t="s">
        <v>544</v>
      </c>
      <c r="B427" s="0" t="s">
        <v>301</v>
      </c>
      <c r="C427" s="19" t="n">
        <f aca="false">(0.75*C423+0.25*D423)/(0.75*D423+0.25*E423)</f>
        <v>0.810184181632695</v>
      </c>
      <c r="D427" s="19" t="n">
        <f aca="false">(0.75*D423+0.25*E423)/(0.75*D423+0.25*E423)</f>
        <v>1</v>
      </c>
      <c r="E427" s="19" t="n">
        <f aca="false">(0.75*E423+0.25*F423)/(0.75*D423+0.25*E423)</f>
        <v>1.16007476952119</v>
      </c>
      <c r="F427" s="19" t="n">
        <f aca="false">(0.75*F423+0.25*G423)/(0.75*D423+0.25*E423)</f>
        <v>1.31995140457355</v>
      </c>
      <c r="G427" s="19" t="n">
        <f aca="false">(0.75*G423+0.25*H423)/(0.75*D423+0.25*E423)</f>
        <v>1.39759560484258</v>
      </c>
    </row>
    <row r="428" customFormat="false" ht="17.15" hidden="false" customHeight="false" outlineLevel="0" collapsed="false">
      <c r="A428" s="4" t="s">
        <v>545</v>
      </c>
      <c r="B428" s="0" t="s">
        <v>301</v>
      </c>
      <c r="C428" s="19" t="n">
        <f aca="false">w_cmp_hi*(0.75*C425+0.25*D425)/(0.75*D425+0.25*E425)+(1-w_cmp_hi)*(0.75*C424+0.25*D424)/(0.75*D424+0.25*E424)</f>
        <v>0.856031030936512</v>
      </c>
      <c r="D428" s="19" t="n">
        <f aca="false">w_cmp_hi*(0.75*D425+0.25*E425)/(0.75*D425+0.25*E425)+(1-w_cmp_hi)*(0.75*D424+0.25*E424)/(0.75*D424+0.25*E424)</f>
        <v>1</v>
      </c>
      <c r="E428" s="19" t="n">
        <f aca="false">w_cmp_hi*(0.75*E425+0.25*F425)/(0.75*D425+0.25*E425)+(1-w_cmp_hi)*(0.75*E424+0.25*F424)/(0.75*D424+0.25*E424)</f>
        <v>1.15721066383541</v>
      </c>
      <c r="F428" s="19" t="n">
        <f aca="false">w_cmp_hi*(0.75*F425+0.25*G425)/(0.75*D425+0.25*E425)+(1-w_cmp_hi)*(0.75*F424+0.25*G424)/(0.75*D424+0.25*E424)</f>
        <v>1.28877077867208</v>
      </c>
      <c r="G428" s="19" t="n">
        <f aca="false">w_cmp_hi*(0.75*G425+0.25*H425)/(0.75*D425+0.25*E425)+(1-w_cmp_hi)*(0.75*G424+0.25*H424)/(0.75*D424+0.25*E424)</f>
        <v>1.35671120934044</v>
      </c>
    </row>
    <row r="429" customFormat="false" ht="17.15" hidden="false" customHeight="false" outlineLevel="0" collapsed="false">
      <c r="A429" s="4" t="s">
        <v>546</v>
      </c>
      <c r="B429" s="0" t="s">
        <v>301</v>
      </c>
      <c r="D429" s="19" t="n">
        <f aca="false">(1+exc_A)^0</f>
        <v>1</v>
      </c>
      <c r="E429" s="19" t="n">
        <f aca="false">(1+exc_A)^1</f>
        <v>1.03</v>
      </c>
      <c r="F429" s="19" t="n">
        <f aca="false">(1+exc_A)^2</f>
        <v>1.0609</v>
      </c>
      <c r="G429" s="19" t="n">
        <f aca="false">(1+exc_A)^3</f>
        <v>1.092727</v>
      </c>
    </row>
    <row r="430" customFormat="false" ht="17.15" hidden="false" customHeight="false" outlineLevel="0" collapsed="false">
      <c r="A430" s="4" t="s">
        <v>547</v>
      </c>
      <c r="B430" s="0" t="s">
        <v>301</v>
      </c>
      <c r="D430" s="19" t="n">
        <f aca="false">1</f>
        <v>1</v>
      </c>
      <c r="E430" s="19" t="n">
        <f aca="false">1+chn*chh_A*0.5</f>
        <v>1</v>
      </c>
      <c r="F430" s="19" t="n">
        <f aca="false">1+chn*chh_A</f>
        <v>1</v>
      </c>
      <c r="G430" s="19" t="n">
        <f aca="false">1+chn*chh_A</f>
        <v>1</v>
      </c>
    </row>
    <row r="431" customFormat="false" ht="17.15" hidden="false" customHeight="false" outlineLevel="0" collapsed="false">
      <c r="A431" s="6" t="s">
        <v>548</v>
      </c>
    </row>
    <row r="432" customFormat="false" ht="17.15" hidden="false" customHeight="false" outlineLevel="0" collapsed="false">
      <c r="A432" s="4" t="s">
        <v>549</v>
      </c>
      <c r="B432" s="0" t="s">
        <v>34</v>
      </c>
      <c r="C432" s="16" t="n">
        <f aca="false">spe_25*w_pr</f>
        <v>92.07216</v>
      </c>
      <c r="D432" s="16" t="n">
        <f aca="false">g26_spe*(1+g_anc)*w_pr</f>
        <v>106.2</v>
      </c>
      <c r="E432" s="16" t="n">
        <f aca="false">$D432*E427*E429*E430</f>
        <v>126.895938738845</v>
      </c>
      <c r="F432" s="16" t="n">
        <f aca="false">$D432*F427*F429*F430</f>
        <v>148.715730470903</v>
      </c>
      <c r="G432" s="16" t="n">
        <f aca="false">$D432*G427*G429*G430</f>
        <v>162.187626054737</v>
      </c>
      <c r="J432" s="8" t="s">
        <v>550</v>
      </c>
    </row>
    <row r="433" customFormat="false" ht="17.15" hidden="false" customHeight="false" outlineLevel="0" collapsed="false">
      <c r="A433" s="4" t="s">
        <v>551</v>
      </c>
      <c r="B433" s="0" t="s">
        <v>34</v>
      </c>
      <c r="C433" s="16" t="n">
        <f aca="false">spe_25*(1-w_pr)</f>
        <v>35.80584</v>
      </c>
      <c r="D433" s="16" t="n">
        <f aca="false">g26_spe*(1+g_anc)*(1-w_pr)</f>
        <v>41.3</v>
      </c>
      <c r="E433" s="16" t="n">
        <f aca="false">$D433*E428*E429*E430</f>
        <v>49.2265844288945</v>
      </c>
      <c r="F433" s="16" t="n">
        <f aca="false">$D433*F428*F429*F430</f>
        <v>56.4677107585497</v>
      </c>
      <c r="G433" s="16" t="n">
        <f aca="false">$D433*G428*G429*G430</f>
        <v>61.2278682465018</v>
      </c>
    </row>
    <row r="434" customFormat="false" ht="17.15" hidden="false" customHeight="false" outlineLevel="0" collapsed="false">
      <c r="A434" s="4" t="s">
        <v>552</v>
      </c>
      <c r="B434" s="0" t="s">
        <v>34</v>
      </c>
      <c r="C434" s="16" t="n">
        <f aca="false">C432+C433</f>
        <v>127.878</v>
      </c>
      <c r="D434" s="16" t="n">
        <f aca="false">D432+D433</f>
        <v>147.5</v>
      </c>
      <c r="E434" s="16" t="n">
        <f aca="false">E432+E433</f>
        <v>176.122523167739</v>
      </c>
      <c r="F434" s="16" t="n">
        <f aca="false">F432+F433</f>
        <v>205.183441229452</v>
      </c>
      <c r="G434" s="16" t="n">
        <f aca="false">G432+G433</f>
        <v>223.415494301239</v>
      </c>
    </row>
    <row r="435" customFormat="false" ht="15" hidden="false" customHeight="false" outlineLevel="0" collapsed="false">
      <c r="A435" s="4" t="s">
        <v>553</v>
      </c>
      <c r="B435" s="0" t="s">
        <v>34</v>
      </c>
      <c r="C435" s="16" t="n">
        <f aca="false">met_25</f>
        <v>38.96</v>
      </c>
      <c r="D435" s="16" t="n">
        <f aca="false">g26_met*(1+g_anc)</f>
        <v>41.5</v>
      </c>
      <c r="E435" s="16" t="n">
        <f aca="false">D435*(1+gmet_A)</f>
        <v>43.99</v>
      </c>
      <c r="F435" s="16" t="n">
        <f aca="false">E435*(1+gmet_A)</f>
        <v>46.6294</v>
      </c>
      <c r="G435" s="16" t="n">
        <f aca="false">F435*(1+gmet_A)</f>
        <v>49.427164</v>
      </c>
    </row>
    <row r="436" customFormat="false" ht="17.15" hidden="false" customHeight="false" outlineLevel="0" collapsed="false">
      <c r="A436" s="4" t="s">
        <v>438</v>
      </c>
      <c r="B436" s="0" t="s">
        <v>34</v>
      </c>
      <c r="C436" s="16" t="n">
        <f aca="false">C434+C435</f>
        <v>166.838</v>
      </c>
      <c r="D436" s="16" t="n">
        <f aca="false">D434+D435</f>
        <v>189</v>
      </c>
      <c r="E436" s="16" t="n">
        <f aca="false">E434+E435</f>
        <v>220.112523167739</v>
      </c>
      <c r="F436" s="16" t="n">
        <f aca="false">F434+F435</f>
        <v>251.812841229452</v>
      </c>
      <c r="G436" s="16" t="n">
        <f aca="false">G434+G435</f>
        <v>272.842658301239</v>
      </c>
      <c r="J436" s="8" t="s">
        <v>554</v>
      </c>
    </row>
    <row r="437" customFormat="false" ht="17.15" hidden="false" customHeight="false" outlineLevel="0" collapsed="false">
      <c r="A437" s="0" t="s">
        <v>555</v>
      </c>
      <c r="B437" s="0" t="s">
        <v>108</v>
      </c>
      <c r="C437" s="11" t="n">
        <f aca="false">C434/C436</f>
        <v>0.766480058499862</v>
      </c>
      <c r="D437" s="11" t="n">
        <f aca="false">D434/D436</f>
        <v>0.780423280423281</v>
      </c>
      <c r="E437" s="11" t="n">
        <f aca="false">E434/E436</f>
        <v>0.800147672804255</v>
      </c>
      <c r="F437" s="11" t="n">
        <f aca="false">F434/F436</f>
        <v>0.814825170264009</v>
      </c>
      <c r="G437" s="11" t="n">
        <f aca="false">G434/G436</f>
        <v>0.818843709016247</v>
      </c>
    </row>
    <row r="438" customFormat="false" ht="17.15" hidden="false" customHeight="false" outlineLevel="0" collapsed="false">
      <c r="A438" s="6" t="s">
        <v>556</v>
      </c>
    </row>
    <row r="439" customFormat="false" ht="17.15" hidden="false" customHeight="false" outlineLevel="0" collapsed="false">
      <c r="A439" s="0" t="s">
        <v>455</v>
      </c>
      <c r="B439" s="0" t="s">
        <v>34</v>
      </c>
      <c r="C439" s="16" t="n">
        <f aca="false">spe_op25</f>
        <v>28.404</v>
      </c>
      <c r="D439" s="16" t="n">
        <f aca="false">g26_spe*m_spe26+v_s*(D434-g26_spe)</f>
        <v>37.6125</v>
      </c>
      <c r="E439" s="16" t="n">
        <f aca="false">$D439+v_s*(E434-$D434)</f>
        <v>46.2216807629505</v>
      </c>
      <c r="F439" s="16" t="n">
        <f aca="false">$D439+v_s*(F434-$D434)+0*F434</f>
        <v>54.9627234468663</v>
      </c>
      <c r="G439" s="16" t="n">
        <f aca="false">$D439+v_s*(G434-$D434)+0*G434</f>
        <v>60.4466229498855</v>
      </c>
      <c r="J439" s="4" t="s">
        <v>557</v>
      </c>
    </row>
    <row r="440" customFormat="false" ht="17.15" hidden="false" customHeight="false" outlineLevel="0" collapsed="false">
      <c r="A440" s="4" t="s">
        <v>460</v>
      </c>
      <c r="B440" s="0" t="s">
        <v>34</v>
      </c>
      <c r="C440" s="16" t="n">
        <f aca="false">met_op25</f>
        <v>5.333</v>
      </c>
      <c r="D440" s="16" t="n">
        <f aca="false">(g26_oi-g26_spe*m_spe26)+v_m*(D435-g26_met)</f>
        <v>6.3875</v>
      </c>
      <c r="E440" s="16" t="n">
        <f aca="false">$D440+v_m*(E435-$D435)</f>
        <v>6.98670815775652</v>
      </c>
      <c r="F440" s="16" t="n">
        <f aca="false">$D440+v_m*(F435-$D435)</f>
        <v>7.62186880497842</v>
      </c>
      <c r="G440" s="16" t="n">
        <f aca="false">$D440+v_m*(G435-$D435)</f>
        <v>8.29513909103364</v>
      </c>
      <c r="J440" s="8" t="s">
        <v>558</v>
      </c>
    </row>
    <row r="441" customFormat="false" ht="15" hidden="false" customHeight="false" outlineLevel="0" collapsed="false">
      <c r="A441" s="4" t="s">
        <v>442</v>
      </c>
      <c r="B441" s="0" t="s">
        <v>34</v>
      </c>
      <c r="C441" s="16" t="n">
        <f aca="false">C439+C440</f>
        <v>33.737</v>
      </c>
      <c r="D441" s="16" t="n">
        <f aca="false">D439+D440</f>
        <v>44</v>
      </c>
      <c r="E441" s="16" t="n">
        <f aca="false">E439+E440</f>
        <v>53.208388920707</v>
      </c>
      <c r="F441" s="16" t="n">
        <f aca="false">F439+F440</f>
        <v>62.5845922518448</v>
      </c>
      <c r="G441" s="16" t="n">
        <f aca="false">G439+G440</f>
        <v>68.7417620409191</v>
      </c>
    </row>
    <row r="442" customFormat="false" ht="17.15" hidden="false" customHeight="false" outlineLevel="0" collapsed="false">
      <c r="A442" s="0" t="s">
        <v>525</v>
      </c>
      <c r="B442" s="0" t="s">
        <v>108</v>
      </c>
      <c r="C442" s="11" t="n">
        <f aca="false">C439/C434</f>
        <v>0.222117956176981</v>
      </c>
      <c r="D442" s="11" t="n">
        <f aca="false">D439/D434</f>
        <v>0.255</v>
      </c>
      <c r="E442" s="11" t="n">
        <f aca="false">E439/E434</f>
        <v>0.262440487063253</v>
      </c>
      <c r="F442" s="11" t="n">
        <f aca="false">F439/F434</f>
        <v>0.267871145534608</v>
      </c>
      <c r="G442" s="11" t="n">
        <f aca="false">G439/G434</f>
        <v>0.270556986832718</v>
      </c>
    </row>
    <row r="443" customFormat="false" ht="15" hidden="false" customHeight="false" outlineLevel="0" collapsed="false">
      <c r="A443" s="4" t="s">
        <v>559</v>
      </c>
      <c r="B443" s="0" t="s">
        <v>108</v>
      </c>
      <c r="C443" s="11" t="n">
        <f aca="false">C441/C436</f>
        <v>0.202214123880651</v>
      </c>
      <c r="D443" s="11" t="n">
        <f aca="false">D441/D436</f>
        <v>0.232804232804233</v>
      </c>
      <c r="E443" s="11" t="n">
        <f aca="false">E441/E436</f>
        <v>0.241732674520109</v>
      </c>
      <c r="F443" s="11" t="n">
        <f aca="false">F441/F436</f>
        <v>0.248536142741099</v>
      </c>
      <c r="G443" s="11" t="n">
        <f aca="false">G441/G436</f>
        <v>0.251946533833514</v>
      </c>
    </row>
    <row r="444" customFormat="false" ht="17.15" hidden="false" customHeight="false" outlineLevel="0" collapsed="false">
      <c r="A444" s="4" t="s">
        <v>445</v>
      </c>
      <c r="B444" s="0" t="s">
        <v>34</v>
      </c>
      <c r="C444" s="16" t="n">
        <f aca="false">a25_ni</f>
        <v>24.739</v>
      </c>
      <c r="D444" s="16" t="n">
        <f aca="false">D441*g26_ni/g26_oi</f>
        <v>30.8</v>
      </c>
      <c r="E444" s="16" t="n">
        <f aca="false">E441*nioi</f>
        <v>37.2458722444949</v>
      </c>
      <c r="F444" s="16" t="n">
        <f aca="false">F441*nioi</f>
        <v>43.8092145762913</v>
      </c>
      <c r="G444" s="16" t="n">
        <f aca="false">G441*nioi</f>
        <v>48.1192334286434</v>
      </c>
      <c r="J444" s="8" t="s">
        <v>560</v>
      </c>
    </row>
    <row r="445" customFormat="false" ht="15" hidden="false" customHeight="false" outlineLevel="0" collapsed="false">
      <c r="A445" s="0" t="s">
        <v>526</v>
      </c>
      <c r="B445" s="0" t="s">
        <v>56</v>
      </c>
      <c r="C445" s="16" t="n">
        <f aca="false">a25_eps</f>
        <v>610.02</v>
      </c>
      <c r="D445" s="16" t="n">
        <f aca="false">D444*1000/shares</f>
        <v>758.83675253348</v>
      </c>
      <c r="E445" s="16" t="n">
        <f aca="false">E444*1000/shares</f>
        <v>917.647296730175</v>
      </c>
      <c r="F445" s="16" t="n">
        <f aca="false">F444*1000/shares</f>
        <v>1079.35201688686</v>
      </c>
      <c r="G445" s="16" t="n">
        <f aca="false">G444*1000/shares</f>
        <v>1185.54035160364</v>
      </c>
    </row>
    <row r="446" customFormat="false" ht="17.15" hidden="false" customHeight="false" outlineLevel="0" collapsed="false">
      <c r="A446" s="4" t="s">
        <v>561</v>
      </c>
      <c r="B446" s="0" t="s">
        <v>34</v>
      </c>
      <c r="C446" s="19" t="n">
        <f aca="false">ABS(C436-a25_rev)+ABS(C441-a25_oi)</f>
        <v>0.00200000000000244</v>
      </c>
    </row>
    <row r="460" customFormat="false" ht="17.15" hidden="false" customHeight="false" outlineLevel="0" collapsed="false">
      <c r="A460" s="1" t="s">
        <v>840</v>
      </c>
    </row>
    <row r="461" customFormat="false" ht="17.15" hidden="false" customHeight="false" outlineLevel="0" collapsed="false">
      <c r="A461" s="5" t="s">
        <v>23</v>
      </c>
      <c r="B461" s="5" t="s">
        <v>24</v>
      </c>
      <c r="C461" s="14" t="s">
        <v>532</v>
      </c>
      <c r="D461" s="14" t="s">
        <v>533</v>
      </c>
      <c r="E461" s="14" t="s">
        <v>534</v>
      </c>
      <c r="F461" s="14" t="s">
        <v>535</v>
      </c>
      <c r="G461" s="14" t="s">
        <v>536</v>
      </c>
      <c r="H461" s="14" t="s">
        <v>537</v>
      </c>
      <c r="I461" s="5"/>
      <c r="J461" s="5" t="s">
        <v>520</v>
      </c>
    </row>
    <row r="462" customFormat="false" ht="17.15" hidden="false" customHeight="false" outlineLevel="0" collapsed="false">
      <c r="A462" s="6" t="s">
        <v>538</v>
      </c>
    </row>
    <row r="463" customFormat="false" ht="17.15" hidden="false" customHeight="false" outlineLevel="0" collapsed="false">
      <c r="A463" s="4" t="s">
        <v>539</v>
      </c>
      <c r="B463" s="0" t="s">
        <v>160</v>
      </c>
      <c r="C463" s="16" t="n">
        <f aca="false">tstA_25</f>
        <v>14.7359586560428</v>
      </c>
      <c r="D463" s="16" t="n">
        <f aca="false">tstA_26</f>
        <v>18.65</v>
      </c>
      <c r="E463" s="16" t="n">
        <f aca="false">tstA_27</f>
        <v>21.6346744396519</v>
      </c>
      <c r="F463" s="16" t="n">
        <f aca="false">tstA_28</f>
        <v>25.1</v>
      </c>
      <c r="G463" s="16" t="n">
        <f aca="false">tstA_29</f>
        <v>27.108</v>
      </c>
      <c r="H463" s="16" t="n">
        <f aca="false">G463*(1+g_tail_lo)</f>
        <v>24.3972</v>
      </c>
      <c r="J463" s="8" t="s">
        <v>540</v>
      </c>
    </row>
    <row r="464" customFormat="false" ht="17.15" hidden="false" customHeight="false" outlineLevel="0" collapsed="false">
      <c r="A464" s="4" t="s">
        <v>541</v>
      </c>
      <c r="B464" s="0" t="s">
        <v>160</v>
      </c>
      <c r="C464" s="16" t="n">
        <f aca="false">apkA_25</f>
        <v>3.05656934306569</v>
      </c>
      <c r="D464" s="16" t="n">
        <f aca="false">apkA_26</f>
        <v>3.35</v>
      </c>
      <c r="E464" s="16" t="n">
        <f aca="false">apkA_27</f>
        <v>3.79539194286967</v>
      </c>
      <c r="F464" s="16" t="n">
        <f aca="false">apkA_28</f>
        <v>4.3</v>
      </c>
      <c r="G464" s="16" t="n">
        <f aca="false">apkA_29</f>
        <v>4.644</v>
      </c>
      <c r="H464" s="16" t="n">
        <f aca="false">G464*(1+g_tail_lo)</f>
        <v>4.1796</v>
      </c>
    </row>
    <row r="465" customFormat="false" ht="15" hidden="false" customHeight="false" outlineLevel="0" collapsed="false">
      <c r="A465" s="4" t="s">
        <v>542</v>
      </c>
      <c r="B465" s="0" t="s">
        <v>160</v>
      </c>
      <c r="C465" s="16" t="n">
        <f aca="false">wfeA_25</f>
        <v>116.896831844029</v>
      </c>
      <c r="D465" s="16" t="n">
        <f aca="false">wfeA_26</f>
        <v>156.157050570127</v>
      </c>
      <c r="E465" s="16" t="n">
        <f aca="false">wfeA_27</f>
        <v>192.795469377561</v>
      </c>
      <c r="F465" s="16" t="n">
        <f aca="false">wfeA_28</f>
        <v>216.628626308958</v>
      </c>
      <c r="G465" s="16" t="n">
        <f aca="false">wfeA_29</f>
        <v>228.903685855226</v>
      </c>
      <c r="H465" s="16" t="n">
        <f aca="false">G465*(1+g_tail_lo)</f>
        <v>206.013317269703</v>
      </c>
    </row>
    <row r="466" customFormat="false" ht="17.15" hidden="false" customHeight="false" outlineLevel="0" collapsed="false">
      <c r="A466" s="6" t="s">
        <v>543</v>
      </c>
    </row>
    <row r="467" customFormat="false" ht="15" hidden="false" customHeight="false" outlineLevel="0" collapsed="false">
      <c r="A467" s="4" t="s">
        <v>544</v>
      </c>
      <c r="B467" s="0" t="s">
        <v>301</v>
      </c>
      <c r="C467" s="19" t="n">
        <f aca="false">(0.75*C463+0.25*D463)/(0.75*D463+0.25*E463)</f>
        <v>0.810184181632695</v>
      </c>
      <c r="D467" s="19" t="n">
        <f aca="false">(0.75*D463+0.25*E463)/(0.75*D463+0.25*E463)</f>
        <v>1</v>
      </c>
      <c r="E467" s="19" t="n">
        <f aca="false">(0.75*E463+0.25*F463)/(0.75*D463+0.25*E463)</f>
        <v>1.16007476952119</v>
      </c>
      <c r="F467" s="19" t="n">
        <f aca="false">(0.75*F463+0.25*G463)/(0.75*D463+0.25*E463)</f>
        <v>1.31995140457355</v>
      </c>
      <c r="G467" s="19" t="n">
        <f aca="false">(0.75*G463+0.25*H463)/(0.75*D463+0.25*E463)</f>
        <v>1.36265571472152</v>
      </c>
    </row>
    <row r="468" customFormat="false" ht="17.15" hidden="false" customHeight="false" outlineLevel="0" collapsed="false">
      <c r="A468" s="4" t="s">
        <v>545</v>
      </c>
      <c r="B468" s="0" t="s">
        <v>301</v>
      </c>
      <c r="C468" s="19" t="n">
        <f aca="false">w_cmp*(0.75*C465+0.25*D465)/(0.75*D465+0.25*E465)+(1-w_cmp)*(0.75*C464+0.25*D464)/(0.75*D464+0.25*E464)</f>
        <v>0.876696686135123</v>
      </c>
      <c r="D468" s="19" t="n">
        <f aca="false">w_cmp*(0.75*D465+0.25*E465)/(0.75*D465+0.25*E465)+(1-w_cmp)*(0.75*D464+0.25*E464)/(0.75*D464+0.25*E464)</f>
        <v>1</v>
      </c>
      <c r="E468" s="19" t="n">
        <f aca="false">w_cmp*(0.75*E465+0.25*F465)/(0.75*D465+0.25*E465)+(1-w_cmp)*(0.75*E464+0.25*F464)/(0.75*D464+0.25*E464)</f>
        <v>1.14681444452041</v>
      </c>
      <c r="F468" s="19" t="n">
        <f aca="false">w_cmp*(0.75*F465+0.25*G465)/(0.75*D465+0.25*E465)+(1-w_cmp)*(0.75*F464+0.25*G464)/(0.75*D464+0.25*E464)</f>
        <v>1.27949889890768</v>
      </c>
      <c r="G468" s="19" t="n">
        <f aca="false">w_cmp*(0.75*G465+0.25*H465)/(0.75*D465+0.25*E465)+(1-w_cmp)*(0.75*G464+0.25*H464)/(0.75*D464+0.25*E464)</f>
        <v>1.31650995165798</v>
      </c>
    </row>
    <row r="469" customFormat="false" ht="17.15" hidden="false" customHeight="false" outlineLevel="0" collapsed="false">
      <c r="A469" s="4" t="s">
        <v>546</v>
      </c>
      <c r="B469" s="0" t="s">
        <v>301</v>
      </c>
      <c r="D469" s="19" t="n">
        <f aca="false">(1+exc_A)^0</f>
        <v>1</v>
      </c>
      <c r="E469" s="19" t="n">
        <f aca="false">(1+exc_A)^1</f>
        <v>1.03</v>
      </c>
      <c r="F469" s="19" t="n">
        <f aca="false">(1+exc_A)^2</f>
        <v>1.0609</v>
      </c>
      <c r="G469" s="19" t="n">
        <f aca="false">(1+exc_A)^3</f>
        <v>1.092727</v>
      </c>
    </row>
    <row r="470" customFormat="false" ht="17.15" hidden="false" customHeight="false" outlineLevel="0" collapsed="false">
      <c r="A470" s="4" t="s">
        <v>547</v>
      </c>
      <c r="B470" s="0" t="s">
        <v>301</v>
      </c>
      <c r="D470" s="19" t="n">
        <f aca="false">1</f>
        <v>1</v>
      </c>
      <c r="E470" s="19" t="n">
        <f aca="false">1+chn*chh_A*0.5</f>
        <v>1</v>
      </c>
      <c r="F470" s="19" t="n">
        <f aca="false">1+chn*chh_A</f>
        <v>1</v>
      </c>
      <c r="G470" s="19" t="n">
        <f aca="false">1+chn*chh_A</f>
        <v>1</v>
      </c>
    </row>
    <row r="471" customFormat="false" ht="17.15" hidden="false" customHeight="false" outlineLevel="0" collapsed="false">
      <c r="A471" s="6" t="s">
        <v>548</v>
      </c>
    </row>
    <row r="472" customFormat="false" ht="17.15" hidden="false" customHeight="false" outlineLevel="0" collapsed="false">
      <c r="A472" s="4" t="s">
        <v>549</v>
      </c>
      <c r="B472" s="0" t="s">
        <v>34</v>
      </c>
      <c r="C472" s="16" t="n">
        <f aca="false">spe_25*w_pr</f>
        <v>92.07216</v>
      </c>
      <c r="D472" s="16" t="n">
        <f aca="false">g26_spe*(1+g_anc)*w_pr</f>
        <v>106.2</v>
      </c>
      <c r="E472" s="16" t="n">
        <f aca="false">$D472*E467*E469*E470</f>
        <v>126.895938738845</v>
      </c>
      <c r="F472" s="16" t="n">
        <f aca="false">$D472*F467*F469*F470</f>
        <v>148.715730470903</v>
      </c>
      <c r="G472" s="16" t="n">
        <f aca="false">$D472*G467*G469*G470</f>
        <v>158.132935403369</v>
      </c>
      <c r="J472" s="8" t="s">
        <v>550</v>
      </c>
    </row>
    <row r="473" customFormat="false" ht="17.15" hidden="false" customHeight="false" outlineLevel="0" collapsed="false">
      <c r="A473" s="4" t="s">
        <v>551</v>
      </c>
      <c r="B473" s="0" t="s">
        <v>34</v>
      </c>
      <c r="C473" s="16" t="n">
        <f aca="false">spe_25*(1-w_pr)</f>
        <v>35.80584</v>
      </c>
      <c r="D473" s="16" t="n">
        <f aca="false">g26_spe*(1+g_anc)*(1-w_pr)</f>
        <v>41.3</v>
      </c>
      <c r="E473" s="16" t="n">
        <f aca="false">$D473*E468*E469*E470</f>
        <v>48.7843396554535</v>
      </c>
      <c r="F473" s="16" t="n">
        <f aca="false">$D473*F468*F469*F470</f>
        <v>56.061461770453</v>
      </c>
      <c r="G473" s="16" t="n">
        <f aca="false">$D473*G468*G469*G470</f>
        <v>59.4136005587439</v>
      </c>
    </row>
    <row r="474" customFormat="false" ht="17.15" hidden="false" customHeight="false" outlineLevel="0" collapsed="false">
      <c r="A474" s="4" t="s">
        <v>552</v>
      </c>
      <c r="B474" s="0" t="s">
        <v>34</v>
      </c>
      <c r="C474" s="16" t="n">
        <f aca="false">C472+C473</f>
        <v>127.878</v>
      </c>
      <c r="D474" s="16" t="n">
        <f aca="false">D472+D473</f>
        <v>147.5</v>
      </c>
      <c r="E474" s="16" t="n">
        <f aca="false">E472+E473</f>
        <v>175.680278394298</v>
      </c>
      <c r="F474" s="16" t="n">
        <f aca="false">F472+F473</f>
        <v>204.777192241356</v>
      </c>
      <c r="G474" s="16" t="n">
        <f aca="false">G472+G473</f>
        <v>217.546535962113</v>
      </c>
    </row>
    <row r="475" customFormat="false" ht="15" hidden="false" customHeight="false" outlineLevel="0" collapsed="false">
      <c r="A475" s="4" t="s">
        <v>553</v>
      </c>
      <c r="B475" s="0" t="s">
        <v>34</v>
      </c>
      <c r="C475" s="16" t="n">
        <f aca="false">met_25</f>
        <v>38.96</v>
      </c>
      <c r="D475" s="16" t="n">
        <f aca="false">g26_met*(1+g_anc)</f>
        <v>41.5</v>
      </c>
      <c r="E475" s="16" t="n">
        <f aca="false">D475*(1+gmet_A)</f>
        <v>43.99</v>
      </c>
      <c r="F475" s="16" t="n">
        <f aca="false">E475*(1+gmet_A)</f>
        <v>46.6294</v>
      </c>
      <c r="G475" s="16" t="n">
        <f aca="false">F475*(1+gmet_A)</f>
        <v>49.427164</v>
      </c>
    </row>
    <row r="476" customFormat="false" ht="17.15" hidden="false" customHeight="false" outlineLevel="0" collapsed="false">
      <c r="A476" s="4" t="s">
        <v>438</v>
      </c>
      <c r="B476" s="0" t="s">
        <v>34</v>
      </c>
      <c r="C476" s="16" t="n">
        <f aca="false">C474+C475</f>
        <v>166.838</v>
      </c>
      <c r="D476" s="16" t="n">
        <f aca="false">D474+D475</f>
        <v>189</v>
      </c>
      <c r="E476" s="16" t="n">
        <f aca="false">E474+E475</f>
        <v>219.670278394298</v>
      </c>
      <c r="F476" s="16" t="n">
        <f aca="false">F474+F475</f>
        <v>251.406592241356</v>
      </c>
      <c r="G476" s="16" t="n">
        <f aca="false">G474+G475</f>
        <v>266.973699962113</v>
      </c>
      <c r="J476" s="8" t="s">
        <v>554</v>
      </c>
    </row>
    <row r="477" customFormat="false" ht="17.15" hidden="false" customHeight="false" outlineLevel="0" collapsed="false">
      <c r="A477" s="0" t="s">
        <v>555</v>
      </c>
      <c r="B477" s="0" t="s">
        <v>108</v>
      </c>
      <c r="C477" s="11" t="n">
        <f aca="false">C474/C476</f>
        <v>0.766480058499862</v>
      </c>
      <c r="D477" s="11" t="n">
        <f aca="false">D474/D476</f>
        <v>0.780423280423281</v>
      </c>
      <c r="E477" s="11" t="n">
        <f aca="false">E474/E476</f>
        <v>0.799745325942366</v>
      </c>
      <c r="F477" s="11" t="n">
        <f aca="false">F474/F476</f>
        <v>0.814525945464331</v>
      </c>
      <c r="G477" s="11" t="n">
        <f aca="false">G474/G476</f>
        <v>0.814861299045508</v>
      </c>
    </row>
    <row r="478" customFormat="false" ht="17.15" hidden="false" customHeight="false" outlineLevel="0" collapsed="false">
      <c r="A478" s="6" t="s">
        <v>556</v>
      </c>
    </row>
    <row r="479" customFormat="false" ht="17.15" hidden="false" customHeight="false" outlineLevel="0" collapsed="false">
      <c r="A479" s="0" t="s">
        <v>455</v>
      </c>
      <c r="B479" s="0" t="s">
        <v>34</v>
      </c>
      <c r="C479" s="16" t="n">
        <f aca="false">spe_op25</f>
        <v>28.404</v>
      </c>
      <c r="D479" s="16" t="n">
        <f aca="false">g26_spe*m_spe26+v_s*(D474-g26_spe)</f>
        <v>37.6125</v>
      </c>
      <c r="E479" s="16" t="n">
        <f aca="false">$D479+v_s*(E474-$D474)</f>
        <v>46.0886608620245</v>
      </c>
      <c r="F479" s="16" t="n">
        <f aca="false">$D479+v_s*(F474-$D474)+0*F474</f>
        <v>54.8405304818089</v>
      </c>
      <c r="G479" s="16" t="n">
        <f aca="false">$D479+v_s*(G474-$D474)+0*G474</f>
        <v>58.6813375159055</v>
      </c>
      <c r="J479" s="4" t="s">
        <v>557</v>
      </c>
    </row>
    <row r="480" customFormat="false" ht="17.15" hidden="false" customHeight="false" outlineLevel="0" collapsed="false">
      <c r="A480" s="4" t="s">
        <v>460</v>
      </c>
      <c r="B480" s="0" t="s">
        <v>34</v>
      </c>
      <c r="C480" s="16" t="n">
        <f aca="false">met_op25</f>
        <v>5.333</v>
      </c>
      <c r="D480" s="16" t="n">
        <f aca="false">(g26_oi-g26_spe*m_spe26)+v_m*(D475-g26_met)</f>
        <v>6.3875</v>
      </c>
      <c r="E480" s="16" t="n">
        <f aca="false">$D480+v_m*(E475-$D475)</f>
        <v>6.98670815775652</v>
      </c>
      <c r="F480" s="16" t="n">
        <f aca="false">$D480+v_m*(F475-$D475)</f>
        <v>7.62186880497842</v>
      </c>
      <c r="G480" s="16" t="n">
        <f aca="false">$D480+v_m*(G475-$D475)</f>
        <v>8.29513909103364</v>
      </c>
      <c r="J480" s="8" t="s">
        <v>558</v>
      </c>
    </row>
    <row r="481" customFormat="false" ht="15" hidden="false" customHeight="false" outlineLevel="0" collapsed="false">
      <c r="A481" s="4" t="s">
        <v>442</v>
      </c>
      <c r="B481" s="0" t="s">
        <v>34</v>
      </c>
      <c r="C481" s="16" t="n">
        <f aca="false">C479+C480</f>
        <v>33.737</v>
      </c>
      <c r="D481" s="16" t="n">
        <f aca="false">D479+D480</f>
        <v>44</v>
      </c>
      <c r="E481" s="16" t="n">
        <f aca="false">E479+E480</f>
        <v>53.0753690197811</v>
      </c>
      <c r="F481" s="16" t="n">
        <f aca="false">F479+F480</f>
        <v>62.4623992867873</v>
      </c>
      <c r="G481" s="16" t="n">
        <f aca="false">G479+G480</f>
        <v>66.9764766069391</v>
      </c>
    </row>
    <row r="482" customFormat="false" ht="17.15" hidden="false" customHeight="false" outlineLevel="0" collapsed="false">
      <c r="A482" s="0" t="s">
        <v>525</v>
      </c>
      <c r="B482" s="0" t="s">
        <v>108</v>
      </c>
      <c r="C482" s="11" t="n">
        <f aca="false">C479/C474</f>
        <v>0.222117956176981</v>
      </c>
      <c r="D482" s="11" t="n">
        <f aca="false">D479/D474</f>
        <v>0.255</v>
      </c>
      <c r="E482" s="11" t="n">
        <f aca="false">E479/E474</f>
        <v>0.262343965317397</v>
      </c>
      <c r="F482" s="11" t="n">
        <f aca="false">F479/F474</f>
        <v>0.267805852212157</v>
      </c>
      <c r="G482" s="11" t="n">
        <f aca="false">G479/G474</f>
        <v>0.269741539465953</v>
      </c>
    </row>
    <row r="483" customFormat="false" ht="15" hidden="false" customHeight="false" outlineLevel="0" collapsed="false">
      <c r="A483" s="4" t="s">
        <v>559</v>
      </c>
      <c r="B483" s="0" t="s">
        <v>108</v>
      </c>
      <c r="C483" s="11" t="n">
        <f aca="false">C481/C476</f>
        <v>0.202214123880651</v>
      </c>
      <c r="D483" s="11" t="n">
        <f aca="false">D481/D476</f>
        <v>0.232804232804233</v>
      </c>
      <c r="E483" s="11" t="n">
        <f aca="false">E481/E476</f>
        <v>0.24161379230609</v>
      </c>
      <c r="F483" s="11" t="n">
        <f aca="false">F481/F476</f>
        <v>0.248451716122154</v>
      </c>
      <c r="G483" s="11" t="n">
        <f aca="false">G481/G476</f>
        <v>0.25087293848212</v>
      </c>
    </row>
    <row r="484" customFormat="false" ht="17.15" hidden="false" customHeight="false" outlineLevel="0" collapsed="false">
      <c r="A484" s="4" t="s">
        <v>445</v>
      </c>
      <c r="B484" s="0" t="s">
        <v>34</v>
      </c>
      <c r="C484" s="16" t="n">
        <f aca="false">a25_ni</f>
        <v>24.739</v>
      </c>
      <c r="D484" s="16" t="n">
        <f aca="false">D481*g26_ni/g26_oi</f>
        <v>30.8</v>
      </c>
      <c r="E484" s="16" t="n">
        <f aca="false">E481*nioi</f>
        <v>37.1527583138467</v>
      </c>
      <c r="F484" s="16" t="n">
        <f aca="false">F481*nioi</f>
        <v>43.7236795007511</v>
      </c>
      <c r="G484" s="16" t="n">
        <f aca="false">G481*nioi</f>
        <v>46.8835336248574</v>
      </c>
      <c r="J484" s="8" t="s">
        <v>560</v>
      </c>
    </row>
    <row r="485" customFormat="false" ht="15" hidden="false" customHeight="false" outlineLevel="0" collapsed="false">
      <c r="A485" s="0" t="s">
        <v>526</v>
      </c>
      <c r="B485" s="0" t="s">
        <v>56</v>
      </c>
      <c r="C485" s="16" t="n">
        <f aca="false">a25_eps</f>
        <v>610.02</v>
      </c>
      <c r="D485" s="16" t="n">
        <f aca="false">D484*1000/shares</f>
        <v>758.83675253348</v>
      </c>
      <c r="E485" s="16" t="n">
        <f aca="false">E484*1000/shares</f>
        <v>915.353196965608</v>
      </c>
      <c r="F485" s="16" t="n">
        <f aca="false">F484*1000/shares</f>
        <v>1077.24464159626</v>
      </c>
      <c r="G485" s="16" t="n">
        <f aca="false">G484*1000/shares</f>
        <v>1155.09572737601</v>
      </c>
    </row>
    <row r="486" customFormat="false" ht="17.15" hidden="false" customHeight="false" outlineLevel="0" collapsed="false">
      <c r="A486" s="4" t="s">
        <v>561</v>
      </c>
      <c r="B486" s="0" t="s">
        <v>34</v>
      </c>
      <c r="C486" s="19" t="n">
        <f aca="false">ABS(C476-a25_rev)+ABS(C481-a25_oi)</f>
        <v>0.00200000000000244</v>
      </c>
    </row>
    <row r="500" customFormat="false" ht="17.15" hidden="false" customHeight="false" outlineLevel="0" collapsed="false">
      <c r="A500" s="1" t="s">
        <v>841</v>
      </c>
    </row>
    <row r="501" customFormat="false" ht="17.15" hidden="false" customHeight="false" outlineLevel="0" collapsed="false">
      <c r="A501" s="5" t="s">
        <v>23</v>
      </c>
      <c r="B501" s="5" t="s">
        <v>24</v>
      </c>
      <c r="C501" s="14" t="s">
        <v>532</v>
      </c>
      <c r="D501" s="14" t="s">
        <v>533</v>
      </c>
      <c r="E501" s="14" t="s">
        <v>534</v>
      </c>
      <c r="F501" s="14" t="s">
        <v>535</v>
      </c>
      <c r="G501" s="14" t="s">
        <v>536</v>
      </c>
      <c r="H501" s="14" t="s">
        <v>537</v>
      </c>
      <c r="I501" s="5"/>
      <c r="J501" s="5" t="s">
        <v>520</v>
      </c>
    </row>
    <row r="502" customFormat="false" ht="17.15" hidden="false" customHeight="false" outlineLevel="0" collapsed="false">
      <c r="A502" s="6" t="s">
        <v>538</v>
      </c>
    </row>
    <row r="503" customFormat="false" ht="17.15" hidden="false" customHeight="false" outlineLevel="0" collapsed="false">
      <c r="A503" s="4" t="s">
        <v>539</v>
      </c>
      <c r="B503" s="0" t="s">
        <v>160</v>
      </c>
      <c r="C503" s="16" t="n">
        <f aca="false">tstA_25</f>
        <v>14.7359586560428</v>
      </c>
      <c r="D503" s="16" t="n">
        <f aca="false">tstA_26</f>
        <v>18.65</v>
      </c>
      <c r="E503" s="16" t="n">
        <f aca="false">tstA_27</f>
        <v>21.6346744396519</v>
      </c>
      <c r="F503" s="16" t="n">
        <f aca="false">tstA_28</f>
        <v>25.1</v>
      </c>
      <c r="G503" s="16" t="n">
        <f aca="false">tstA_29</f>
        <v>27.108</v>
      </c>
      <c r="H503" s="16" t="n">
        <f aca="false">G503*(1+g_tail_hi)</f>
        <v>29.8188</v>
      </c>
      <c r="J503" s="8" t="s">
        <v>540</v>
      </c>
    </row>
    <row r="504" customFormat="false" ht="17.15" hidden="false" customHeight="false" outlineLevel="0" collapsed="false">
      <c r="A504" s="4" t="s">
        <v>541</v>
      </c>
      <c r="B504" s="0" t="s">
        <v>160</v>
      </c>
      <c r="C504" s="16" t="n">
        <f aca="false">apkA_25</f>
        <v>3.05656934306569</v>
      </c>
      <c r="D504" s="16" t="n">
        <f aca="false">apkA_26</f>
        <v>3.35</v>
      </c>
      <c r="E504" s="16" t="n">
        <f aca="false">apkA_27</f>
        <v>3.79539194286967</v>
      </c>
      <c r="F504" s="16" t="n">
        <f aca="false">apkA_28</f>
        <v>4.3</v>
      </c>
      <c r="G504" s="16" t="n">
        <f aca="false">apkA_29</f>
        <v>4.644</v>
      </c>
      <c r="H504" s="16" t="n">
        <f aca="false">G504*(1+g_tail_hi)</f>
        <v>5.1084</v>
      </c>
    </row>
    <row r="505" customFormat="false" ht="15" hidden="false" customHeight="false" outlineLevel="0" collapsed="false">
      <c r="A505" s="4" t="s">
        <v>542</v>
      </c>
      <c r="B505" s="0" t="s">
        <v>160</v>
      </c>
      <c r="C505" s="16" t="n">
        <f aca="false">wfeA_25</f>
        <v>116.896831844029</v>
      </c>
      <c r="D505" s="16" t="n">
        <f aca="false">wfeA_26</f>
        <v>156.157050570127</v>
      </c>
      <c r="E505" s="16" t="n">
        <f aca="false">wfeA_27</f>
        <v>192.795469377561</v>
      </c>
      <c r="F505" s="16" t="n">
        <f aca="false">wfeA_28</f>
        <v>216.628626308958</v>
      </c>
      <c r="G505" s="16" t="n">
        <f aca="false">wfeA_29</f>
        <v>228.903685855226</v>
      </c>
      <c r="H505" s="16" t="n">
        <f aca="false">G505*(1+g_tail_hi)</f>
        <v>251.794054440749</v>
      </c>
    </row>
    <row r="506" customFormat="false" ht="17.15" hidden="false" customHeight="false" outlineLevel="0" collapsed="false">
      <c r="A506" s="6" t="s">
        <v>543</v>
      </c>
    </row>
    <row r="507" customFormat="false" ht="15" hidden="false" customHeight="false" outlineLevel="0" collapsed="false">
      <c r="A507" s="4" t="s">
        <v>544</v>
      </c>
      <c r="B507" s="0" t="s">
        <v>301</v>
      </c>
      <c r="C507" s="19" t="n">
        <f aca="false">(0.75*C503+0.25*D503)/(0.75*D503+0.25*E503)</f>
        <v>0.810184181632695</v>
      </c>
      <c r="D507" s="19" t="n">
        <f aca="false">(0.75*D503+0.25*E503)/(0.75*D503+0.25*E503)</f>
        <v>1</v>
      </c>
      <c r="E507" s="19" t="n">
        <f aca="false">(0.75*E503+0.25*F503)/(0.75*D503+0.25*E503)</f>
        <v>1.16007476952119</v>
      </c>
      <c r="F507" s="19" t="n">
        <f aca="false">(0.75*F503+0.25*G503)/(0.75*D503+0.25*E503)</f>
        <v>1.31995140457355</v>
      </c>
      <c r="G507" s="19" t="n">
        <f aca="false">(0.75*G503+0.25*H503)/(0.75*D503+0.25*E503)</f>
        <v>1.43253549496365</v>
      </c>
    </row>
    <row r="508" customFormat="false" ht="17.15" hidden="false" customHeight="false" outlineLevel="0" collapsed="false">
      <c r="A508" s="4" t="s">
        <v>545</v>
      </c>
      <c r="B508" s="0" t="s">
        <v>301</v>
      </c>
      <c r="C508" s="19" t="n">
        <f aca="false">w_cmp*(0.75*C505+0.25*D505)/(0.75*D505+0.25*E505)+(1-w_cmp)*(0.75*C504+0.25*D504)/(0.75*D504+0.25*E504)</f>
        <v>0.876696686135123</v>
      </c>
      <c r="D508" s="19" t="n">
        <f aca="false">w_cmp*(0.75*D505+0.25*E505)/(0.75*D505+0.25*E505)+(1-w_cmp)*(0.75*D504+0.25*E504)/(0.75*D504+0.25*E504)</f>
        <v>1</v>
      </c>
      <c r="E508" s="19" t="n">
        <f aca="false">w_cmp*(0.75*E505+0.25*F505)/(0.75*D505+0.25*E505)+(1-w_cmp)*(0.75*E504+0.25*F504)/(0.75*D504+0.25*E504)</f>
        <v>1.14681444452041</v>
      </c>
      <c r="F508" s="19" t="n">
        <f aca="false">w_cmp*(0.75*F505+0.25*G505)/(0.75*D505+0.25*E505)+(1-w_cmp)*(0.75*F504+0.25*G504)/(0.75*D504+0.25*E504)</f>
        <v>1.27949889890768</v>
      </c>
      <c r="G508" s="19" t="n">
        <f aca="false">w_cmp*(0.75*G505+0.25*H505)/(0.75*D505+0.25*E505)+(1-w_cmp)*(0.75*G504+0.25*H504)/(0.75*D504+0.25*E504)</f>
        <v>1.38402328251224</v>
      </c>
    </row>
    <row r="509" customFormat="false" ht="17.15" hidden="false" customHeight="false" outlineLevel="0" collapsed="false">
      <c r="A509" s="4" t="s">
        <v>546</v>
      </c>
      <c r="B509" s="0" t="s">
        <v>301</v>
      </c>
      <c r="D509" s="19" t="n">
        <f aca="false">(1+exc_A)^0</f>
        <v>1</v>
      </c>
      <c r="E509" s="19" t="n">
        <f aca="false">(1+exc_A)^1</f>
        <v>1.03</v>
      </c>
      <c r="F509" s="19" t="n">
        <f aca="false">(1+exc_A)^2</f>
        <v>1.0609</v>
      </c>
      <c r="G509" s="19" t="n">
        <f aca="false">(1+exc_A)^3</f>
        <v>1.092727</v>
      </c>
    </row>
    <row r="510" customFormat="false" ht="17.15" hidden="false" customHeight="false" outlineLevel="0" collapsed="false">
      <c r="A510" s="4" t="s">
        <v>547</v>
      </c>
      <c r="B510" s="0" t="s">
        <v>301</v>
      </c>
      <c r="D510" s="19" t="n">
        <f aca="false">1</f>
        <v>1</v>
      </c>
      <c r="E510" s="19" t="n">
        <f aca="false">1+chn*chh_A*0.5</f>
        <v>1</v>
      </c>
      <c r="F510" s="19" t="n">
        <f aca="false">1+chn*chh_A</f>
        <v>1</v>
      </c>
      <c r="G510" s="19" t="n">
        <f aca="false">1+chn*chh_A</f>
        <v>1</v>
      </c>
    </row>
    <row r="511" customFormat="false" ht="17.15" hidden="false" customHeight="false" outlineLevel="0" collapsed="false">
      <c r="A511" s="6" t="s">
        <v>548</v>
      </c>
    </row>
    <row r="512" customFormat="false" ht="17.15" hidden="false" customHeight="false" outlineLevel="0" collapsed="false">
      <c r="A512" s="4" t="s">
        <v>549</v>
      </c>
      <c r="B512" s="0" t="s">
        <v>34</v>
      </c>
      <c r="C512" s="16" t="n">
        <f aca="false">spe_25*w_pr</f>
        <v>92.07216</v>
      </c>
      <c r="D512" s="16" t="n">
        <f aca="false">g26_spe*(1+g_anc)*w_pr</f>
        <v>106.2</v>
      </c>
      <c r="E512" s="16" t="n">
        <f aca="false">$D512*E507*E509*E510</f>
        <v>126.895938738845</v>
      </c>
      <c r="F512" s="16" t="n">
        <f aca="false">$D512*F507*F509*F510</f>
        <v>148.715730470903</v>
      </c>
      <c r="G512" s="16" t="n">
        <f aca="false">$D512*G507*G509*G510</f>
        <v>166.242316706106</v>
      </c>
      <c r="J512" s="8" t="s">
        <v>550</v>
      </c>
    </row>
    <row r="513" customFormat="false" ht="17.15" hidden="false" customHeight="false" outlineLevel="0" collapsed="false">
      <c r="A513" s="4" t="s">
        <v>551</v>
      </c>
      <c r="B513" s="0" t="s">
        <v>34</v>
      </c>
      <c r="C513" s="16" t="n">
        <f aca="false">spe_25*(1-w_pr)</f>
        <v>35.80584</v>
      </c>
      <c r="D513" s="16" t="n">
        <f aca="false">g26_spe*(1+g_anc)*(1-w_pr)</f>
        <v>41.3</v>
      </c>
      <c r="E513" s="16" t="n">
        <f aca="false">$D513*E508*E509*E510</f>
        <v>48.7843396554535</v>
      </c>
      <c r="F513" s="16" t="n">
        <f aca="false">$D513*F508*F509*F510</f>
        <v>56.061461770453</v>
      </c>
      <c r="G513" s="16" t="n">
        <f aca="false">$D513*G508*G509*G510</f>
        <v>62.4604518694487</v>
      </c>
    </row>
    <row r="514" customFormat="false" ht="17.15" hidden="false" customHeight="false" outlineLevel="0" collapsed="false">
      <c r="A514" s="4" t="s">
        <v>552</v>
      </c>
      <c r="B514" s="0" t="s">
        <v>34</v>
      </c>
      <c r="C514" s="16" t="n">
        <f aca="false">C512+C513</f>
        <v>127.878</v>
      </c>
      <c r="D514" s="16" t="n">
        <f aca="false">D512+D513</f>
        <v>147.5</v>
      </c>
      <c r="E514" s="16" t="n">
        <f aca="false">E512+E513</f>
        <v>175.680278394298</v>
      </c>
      <c r="F514" s="16" t="n">
        <f aca="false">F512+F513</f>
        <v>204.777192241356</v>
      </c>
      <c r="G514" s="16" t="n">
        <f aca="false">G512+G513</f>
        <v>228.702768575554</v>
      </c>
    </row>
    <row r="515" customFormat="false" ht="15" hidden="false" customHeight="false" outlineLevel="0" collapsed="false">
      <c r="A515" s="4" t="s">
        <v>553</v>
      </c>
      <c r="B515" s="0" t="s">
        <v>34</v>
      </c>
      <c r="C515" s="16" t="n">
        <f aca="false">met_25</f>
        <v>38.96</v>
      </c>
      <c r="D515" s="16" t="n">
        <f aca="false">g26_met*(1+g_anc)</f>
        <v>41.5</v>
      </c>
      <c r="E515" s="16" t="n">
        <f aca="false">D515*(1+gmet_A)</f>
        <v>43.99</v>
      </c>
      <c r="F515" s="16" t="n">
        <f aca="false">E515*(1+gmet_A)</f>
        <v>46.6294</v>
      </c>
      <c r="G515" s="16" t="n">
        <f aca="false">F515*(1+gmet_A)</f>
        <v>49.427164</v>
      </c>
    </row>
    <row r="516" customFormat="false" ht="17.15" hidden="false" customHeight="false" outlineLevel="0" collapsed="false">
      <c r="A516" s="4" t="s">
        <v>438</v>
      </c>
      <c r="B516" s="0" t="s">
        <v>34</v>
      </c>
      <c r="C516" s="16" t="n">
        <f aca="false">C514+C515</f>
        <v>166.838</v>
      </c>
      <c r="D516" s="16" t="n">
        <f aca="false">D514+D515</f>
        <v>189</v>
      </c>
      <c r="E516" s="16" t="n">
        <f aca="false">E514+E515</f>
        <v>219.670278394298</v>
      </c>
      <c r="F516" s="16" t="n">
        <f aca="false">F514+F515</f>
        <v>251.406592241356</v>
      </c>
      <c r="G516" s="16" t="n">
        <f aca="false">G514+G515</f>
        <v>278.129932575554</v>
      </c>
      <c r="J516" s="8" t="s">
        <v>554</v>
      </c>
    </row>
    <row r="517" customFormat="false" ht="17.15" hidden="false" customHeight="false" outlineLevel="0" collapsed="false">
      <c r="A517" s="0" t="s">
        <v>555</v>
      </c>
      <c r="B517" s="0" t="s">
        <v>108</v>
      </c>
      <c r="C517" s="11" t="n">
        <f aca="false">C514/C516</f>
        <v>0.766480058499862</v>
      </c>
      <c r="D517" s="11" t="n">
        <f aca="false">D514/D516</f>
        <v>0.780423280423281</v>
      </c>
      <c r="E517" s="11" t="n">
        <f aca="false">E514/E516</f>
        <v>0.799745325942366</v>
      </c>
      <c r="F517" s="11" t="n">
        <f aca="false">F514/F516</f>
        <v>0.814525945464331</v>
      </c>
      <c r="G517" s="11" t="n">
        <f aca="false">G514/G516</f>
        <v>0.822287505906711</v>
      </c>
    </row>
    <row r="518" customFormat="false" ht="17.15" hidden="false" customHeight="false" outlineLevel="0" collapsed="false">
      <c r="A518" s="6" t="s">
        <v>556</v>
      </c>
    </row>
    <row r="519" customFormat="false" ht="17.15" hidden="false" customHeight="false" outlineLevel="0" collapsed="false">
      <c r="A519" s="0" t="s">
        <v>455</v>
      </c>
      <c r="B519" s="0" t="s">
        <v>34</v>
      </c>
      <c r="C519" s="16" t="n">
        <f aca="false">spe_op25</f>
        <v>28.404</v>
      </c>
      <c r="D519" s="16" t="n">
        <f aca="false">g26_spe*m_spe26+v_s*(D514-g26_spe)</f>
        <v>37.6125</v>
      </c>
      <c r="E519" s="16" t="n">
        <f aca="false">$D519+v_s*(E514-$D514)</f>
        <v>46.0886608620245</v>
      </c>
      <c r="F519" s="16" t="n">
        <f aca="false">$D519+v_s*(F514-$D514)+0*F514</f>
        <v>54.8405304818089</v>
      </c>
      <c r="G519" s="16" t="n">
        <f aca="false">$D519+v_s*(G514-$D514)+0*G514</f>
        <v>62.0369474542668</v>
      </c>
      <c r="J519" s="4" t="s">
        <v>557</v>
      </c>
    </row>
    <row r="520" customFormat="false" ht="17.15" hidden="false" customHeight="false" outlineLevel="0" collapsed="false">
      <c r="A520" s="4" t="s">
        <v>460</v>
      </c>
      <c r="B520" s="0" t="s">
        <v>34</v>
      </c>
      <c r="C520" s="16" t="n">
        <f aca="false">met_op25</f>
        <v>5.333</v>
      </c>
      <c r="D520" s="16" t="n">
        <f aca="false">(g26_oi-g26_spe*m_spe26)+v_m*(D515-g26_met)</f>
        <v>6.3875</v>
      </c>
      <c r="E520" s="16" t="n">
        <f aca="false">$D520+v_m*(E515-$D515)</f>
        <v>6.98670815775652</v>
      </c>
      <c r="F520" s="16" t="n">
        <f aca="false">$D520+v_m*(F515-$D515)</f>
        <v>7.62186880497842</v>
      </c>
      <c r="G520" s="16" t="n">
        <f aca="false">$D520+v_m*(G515-$D515)</f>
        <v>8.29513909103364</v>
      </c>
      <c r="J520" s="8" t="s">
        <v>558</v>
      </c>
    </row>
    <row r="521" customFormat="false" ht="15" hidden="false" customHeight="false" outlineLevel="0" collapsed="false">
      <c r="A521" s="4" t="s">
        <v>442</v>
      </c>
      <c r="B521" s="0" t="s">
        <v>34</v>
      </c>
      <c r="C521" s="16" t="n">
        <f aca="false">C519+C520</f>
        <v>33.737</v>
      </c>
      <c r="D521" s="16" t="n">
        <f aca="false">D519+D520</f>
        <v>44</v>
      </c>
      <c r="E521" s="16" t="n">
        <f aca="false">E519+E520</f>
        <v>53.0753690197811</v>
      </c>
      <c r="F521" s="16" t="n">
        <f aca="false">F519+F520</f>
        <v>62.4623992867873</v>
      </c>
      <c r="G521" s="16" t="n">
        <f aca="false">G519+G520</f>
        <v>70.3320865453004</v>
      </c>
    </row>
    <row r="522" customFormat="false" ht="17.15" hidden="false" customHeight="false" outlineLevel="0" collapsed="false">
      <c r="A522" s="0" t="s">
        <v>525</v>
      </c>
      <c r="B522" s="0" t="s">
        <v>108</v>
      </c>
      <c r="C522" s="11" t="n">
        <f aca="false">C519/C514</f>
        <v>0.222117956176981</v>
      </c>
      <c r="D522" s="11" t="n">
        <f aca="false">D519/D514</f>
        <v>0.255</v>
      </c>
      <c r="E522" s="11" t="n">
        <f aca="false">E519/E514</f>
        <v>0.262343965317397</v>
      </c>
      <c r="F522" s="11" t="n">
        <f aca="false">F519/F514</f>
        <v>0.267805852212157</v>
      </c>
      <c r="G522" s="11" t="n">
        <f aca="false">G519/G514</f>
        <v>0.271255778146701</v>
      </c>
    </row>
    <row r="523" customFormat="false" ht="15" hidden="false" customHeight="false" outlineLevel="0" collapsed="false">
      <c r="A523" s="4" t="s">
        <v>559</v>
      </c>
      <c r="B523" s="0" t="s">
        <v>108</v>
      </c>
      <c r="C523" s="11" t="n">
        <f aca="false">C521/C516</f>
        <v>0.202214123880651</v>
      </c>
      <c r="D523" s="11" t="n">
        <f aca="false">D521/D516</f>
        <v>0.232804232804233</v>
      </c>
      <c r="E523" s="11" t="n">
        <f aca="false">E521/E516</f>
        <v>0.24161379230609</v>
      </c>
      <c r="F523" s="11" t="n">
        <f aca="false">F521/F516</f>
        <v>0.248451716122154</v>
      </c>
      <c r="G523" s="11" t="n">
        <f aca="false">G521/G516</f>
        <v>0.252874927534794</v>
      </c>
    </row>
    <row r="524" customFormat="false" ht="17.15" hidden="false" customHeight="false" outlineLevel="0" collapsed="false">
      <c r="A524" s="4" t="s">
        <v>445</v>
      </c>
      <c r="B524" s="0" t="s">
        <v>34</v>
      </c>
      <c r="C524" s="16" t="n">
        <f aca="false">a25_ni</f>
        <v>24.739</v>
      </c>
      <c r="D524" s="16" t="n">
        <f aca="false">D521*g26_ni/g26_oi</f>
        <v>30.8</v>
      </c>
      <c r="E524" s="16" t="n">
        <f aca="false">E521*nioi</f>
        <v>37.1527583138467</v>
      </c>
      <c r="F524" s="16" t="n">
        <f aca="false">F521*nioi</f>
        <v>43.7236795007511</v>
      </c>
      <c r="G524" s="16" t="n">
        <f aca="false">G521*nioi</f>
        <v>49.2324605817103</v>
      </c>
      <c r="J524" s="8" t="s">
        <v>560</v>
      </c>
    </row>
    <row r="525" customFormat="false" ht="15" hidden="false" customHeight="false" outlineLevel="0" collapsed="false">
      <c r="A525" s="0" t="s">
        <v>526</v>
      </c>
      <c r="B525" s="0" t="s">
        <v>56</v>
      </c>
      <c r="C525" s="16" t="n">
        <f aca="false">a25_eps</f>
        <v>610.02</v>
      </c>
      <c r="D525" s="16" t="n">
        <f aca="false">D524*1000/shares</f>
        <v>758.83675253348</v>
      </c>
      <c r="E525" s="16" t="n">
        <f aca="false">E524*1000/shares</f>
        <v>915.353196965608</v>
      </c>
      <c r="F525" s="16" t="n">
        <f aca="false">F524*1000/shares</f>
        <v>1077.24464159626</v>
      </c>
      <c r="G525" s="16" t="n">
        <f aca="false">G524*1000/shares</f>
        <v>1212.96754893044</v>
      </c>
    </row>
    <row r="526" customFormat="false" ht="17.15" hidden="false" customHeight="false" outlineLevel="0" collapsed="false">
      <c r="A526" s="4" t="s">
        <v>561</v>
      </c>
      <c r="B526" s="0" t="s">
        <v>34</v>
      </c>
      <c r="C526" s="19" t="n">
        <f aca="false">ABS(C516-a25_rev)+ABS(C521-a25_oi)</f>
        <v>0.00200000000000244</v>
      </c>
    </row>
    <row r="540" customFormat="false" ht="17.15" hidden="false" customHeight="false" outlineLevel="0" collapsed="false">
      <c r="A540" s="1" t="s">
        <v>842</v>
      </c>
    </row>
    <row r="541" customFormat="false" ht="17.15" hidden="false" customHeight="false" outlineLevel="0" collapsed="false">
      <c r="A541" s="5" t="s">
        <v>23</v>
      </c>
      <c r="B541" s="5" t="s">
        <v>24</v>
      </c>
      <c r="C541" s="14" t="s">
        <v>532</v>
      </c>
      <c r="D541" s="14" t="s">
        <v>533</v>
      </c>
      <c r="E541" s="14" t="s">
        <v>534</v>
      </c>
      <c r="F541" s="14" t="s">
        <v>535</v>
      </c>
      <c r="G541" s="14" t="s">
        <v>536</v>
      </c>
      <c r="H541" s="14" t="s">
        <v>537</v>
      </c>
      <c r="I541" s="5"/>
      <c r="J541" s="5" t="s">
        <v>520</v>
      </c>
    </row>
    <row r="542" customFormat="false" ht="17.15" hidden="false" customHeight="false" outlineLevel="0" collapsed="false">
      <c r="A542" s="6" t="s">
        <v>538</v>
      </c>
    </row>
    <row r="543" customFormat="false" ht="17.15" hidden="false" customHeight="false" outlineLevel="0" collapsed="false">
      <c r="A543" s="4" t="s">
        <v>539</v>
      </c>
      <c r="B543" s="0" t="s">
        <v>160</v>
      </c>
      <c r="C543" s="16" t="n">
        <f aca="false">tstA_25</f>
        <v>14.7359586560428</v>
      </c>
      <c r="D543" s="16" t="n">
        <f aca="false">tstA_26</f>
        <v>18.65</v>
      </c>
      <c r="E543" s="16" t="n">
        <f aca="false">tstA_27</f>
        <v>21.6346744396519</v>
      </c>
      <c r="F543" s="16" t="n">
        <f aca="false">tstA_28</f>
        <v>25.1</v>
      </c>
      <c r="G543" s="16" t="n">
        <f aca="false">tstA_29</f>
        <v>27.108</v>
      </c>
      <c r="H543" s="16" t="n">
        <f aca="false">G543*(1+g_tail)</f>
        <v>27.108</v>
      </c>
      <c r="J543" s="8" t="s">
        <v>540</v>
      </c>
    </row>
    <row r="544" customFormat="false" ht="17.15" hidden="false" customHeight="false" outlineLevel="0" collapsed="false">
      <c r="A544" s="4" t="s">
        <v>541</v>
      </c>
      <c r="B544" s="0" t="s">
        <v>160</v>
      </c>
      <c r="C544" s="16" t="n">
        <f aca="false">apkA_25</f>
        <v>3.05656934306569</v>
      </c>
      <c r="D544" s="16" t="n">
        <f aca="false">apkA_26</f>
        <v>3.35</v>
      </c>
      <c r="E544" s="16" t="n">
        <f aca="false">apkA_27</f>
        <v>3.79539194286967</v>
      </c>
      <c r="F544" s="16" t="n">
        <f aca="false">apkA_28</f>
        <v>4.3</v>
      </c>
      <c r="G544" s="16" t="n">
        <f aca="false">apkA_29</f>
        <v>4.644</v>
      </c>
      <c r="H544" s="16" t="n">
        <f aca="false">G544*(1+g_tail)</f>
        <v>4.644</v>
      </c>
    </row>
    <row r="545" customFormat="false" ht="15" hidden="false" customHeight="false" outlineLevel="0" collapsed="false">
      <c r="A545" s="4" t="s">
        <v>542</v>
      </c>
      <c r="B545" s="0" t="s">
        <v>160</v>
      </c>
      <c r="C545" s="16" t="n">
        <f aca="false">wfeA_25</f>
        <v>116.896831844029</v>
      </c>
      <c r="D545" s="16" t="n">
        <f aca="false">wfeA_26</f>
        <v>156.157050570127</v>
      </c>
      <c r="E545" s="16" t="n">
        <f aca="false">wfeA_27</f>
        <v>192.795469377561</v>
      </c>
      <c r="F545" s="16" t="n">
        <f aca="false">wfeA_28</f>
        <v>216.628626308958</v>
      </c>
      <c r="G545" s="16" t="n">
        <f aca="false">wfeA_29</f>
        <v>228.903685855226</v>
      </c>
      <c r="H545" s="16" t="n">
        <f aca="false">G545*(1+g_tail)</f>
        <v>228.903685855226</v>
      </c>
    </row>
    <row r="546" customFormat="false" ht="17.15" hidden="false" customHeight="false" outlineLevel="0" collapsed="false">
      <c r="A546" s="6" t="s">
        <v>543</v>
      </c>
    </row>
    <row r="547" customFormat="false" ht="15" hidden="false" customHeight="false" outlineLevel="0" collapsed="false">
      <c r="A547" s="4" t="s">
        <v>544</v>
      </c>
      <c r="B547" s="0" t="s">
        <v>301</v>
      </c>
      <c r="C547" s="19" t="n">
        <f aca="false">(0.75*C543+0.25*D543)/(0.75*D543+0.25*E543)</f>
        <v>0.810184181632695</v>
      </c>
      <c r="D547" s="19" t="n">
        <f aca="false">(0.75*D543+0.25*E543)/(0.75*D543+0.25*E543)</f>
        <v>1</v>
      </c>
      <c r="E547" s="19" t="n">
        <f aca="false">(0.75*E543+0.25*F543)/(0.75*D543+0.25*E543)</f>
        <v>1.16007476952119</v>
      </c>
      <c r="F547" s="19" t="n">
        <f aca="false">(0.75*F543+0.25*G543)/(0.75*D543+0.25*E543)</f>
        <v>1.31995140457355</v>
      </c>
      <c r="G547" s="19" t="n">
        <f aca="false">(0.75*G543+0.25*H543)/(0.75*D543+0.25*E543)</f>
        <v>1.39759560484258</v>
      </c>
    </row>
    <row r="548" customFormat="false" ht="17.15" hidden="false" customHeight="false" outlineLevel="0" collapsed="false">
      <c r="A548" s="4" t="s">
        <v>545</v>
      </c>
      <c r="B548" s="0" t="s">
        <v>301</v>
      </c>
      <c r="C548" s="19" t="n">
        <f aca="false">w_cmp*(0.75*C545+0.25*D545)/(0.75*D545+0.25*E545)+(1-w_cmp)*(0.75*C544+0.25*D544)/(0.75*D544+0.25*E544)</f>
        <v>0.876696686135123</v>
      </c>
      <c r="D548" s="19" t="n">
        <f aca="false">w_cmp*(0.75*D545+0.25*E545)/(0.75*D545+0.25*E545)+(1-w_cmp)*(0.75*D544+0.25*E544)/(0.75*D544+0.25*E544)</f>
        <v>1</v>
      </c>
      <c r="E548" s="19" t="n">
        <f aca="false">w_cmp*(0.75*E545+0.25*F545)/(0.75*D545+0.25*E545)+(1-w_cmp)*(0.75*E544+0.25*F544)/(0.75*D544+0.25*E544)</f>
        <v>1.14681444452041</v>
      </c>
      <c r="F548" s="19" t="n">
        <f aca="false">w_cmp*(0.75*F545+0.25*G545)/(0.75*D545+0.25*E545)+(1-w_cmp)*(0.75*F544+0.25*G544)/(0.75*D544+0.25*E544)</f>
        <v>1.27949889890768</v>
      </c>
      <c r="G548" s="19" t="n">
        <f aca="false">w_cmp*(0.75*G545+0.25*H545)/(0.75*D545+0.25*E545)+(1-w_cmp)*(0.75*G544+0.25*H544)/(0.75*D544+0.25*E544)</f>
        <v>1.35026661708511</v>
      </c>
    </row>
    <row r="549" customFormat="false" ht="17.15" hidden="false" customHeight="false" outlineLevel="0" collapsed="false">
      <c r="A549" s="4" t="s">
        <v>546</v>
      </c>
      <c r="B549" s="0" t="s">
        <v>301</v>
      </c>
      <c r="D549" s="19" t="n">
        <f aca="false">(1+exc_A)^0</f>
        <v>1</v>
      </c>
      <c r="E549" s="19" t="n">
        <f aca="false">(1+exc_A)^1</f>
        <v>1.03</v>
      </c>
      <c r="F549" s="19" t="n">
        <f aca="false">(1+exc_A)^2</f>
        <v>1.0609</v>
      </c>
      <c r="G549" s="19" t="n">
        <f aca="false">(1+exc_A)^3</f>
        <v>1.092727</v>
      </c>
    </row>
    <row r="550" customFormat="false" ht="17.15" hidden="false" customHeight="false" outlineLevel="0" collapsed="false">
      <c r="A550" s="4" t="s">
        <v>547</v>
      </c>
      <c r="B550" s="0" t="s">
        <v>301</v>
      </c>
      <c r="D550" s="19" t="n">
        <f aca="false">1</f>
        <v>1</v>
      </c>
      <c r="E550" s="19" t="n">
        <f aca="false">1+chn*chh_A*0.5</f>
        <v>1</v>
      </c>
      <c r="F550" s="19" t="n">
        <f aca="false">1+chn*chh_A</f>
        <v>1</v>
      </c>
      <c r="G550" s="19" t="n">
        <f aca="false">1+chn*chh_A</f>
        <v>1</v>
      </c>
    </row>
    <row r="551" customFormat="false" ht="17.15" hidden="false" customHeight="false" outlineLevel="0" collapsed="false">
      <c r="A551" s="6" t="s">
        <v>548</v>
      </c>
    </row>
    <row r="552" customFormat="false" ht="17.15" hidden="false" customHeight="false" outlineLevel="0" collapsed="false">
      <c r="A552" s="4" t="s">
        <v>549</v>
      </c>
      <c r="B552" s="0" t="s">
        <v>34</v>
      </c>
      <c r="C552" s="16" t="n">
        <f aca="false">spe_25*w_pr</f>
        <v>92.07216</v>
      </c>
      <c r="D552" s="16" t="n">
        <f aca="false">g26_spe*(1+g_anc)*w_pr</f>
        <v>106.2</v>
      </c>
      <c r="E552" s="16" t="n">
        <f aca="false">$D552*E547*E549*E550</f>
        <v>126.895938738845</v>
      </c>
      <c r="F552" s="16" t="n">
        <f aca="false">$D552*F547*F549*F550</f>
        <v>148.715730470903</v>
      </c>
      <c r="G552" s="16" t="n">
        <f aca="false">$D552*G547*G549*G550</f>
        <v>162.187626054737</v>
      </c>
      <c r="J552" s="8" t="s">
        <v>550</v>
      </c>
    </row>
    <row r="553" customFormat="false" ht="17.15" hidden="false" customHeight="false" outlineLevel="0" collapsed="false">
      <c r="A553" s="4" t="s">
        <v>551</v>
      </c>
      <c r="B553" s="0" t="s">
        <v>34</v>
      </c>
      <c r="C553" s="16" t="n">
        <f aca="false">spe_25*(1-w_pr)</f>
        <v>35.80584</v>
      </c>
      <c r="D553" s="16" t="n">
        <f aca="false">g26_spe*(1+g_anc)*(1-w_pr)</f>
        <v>41.3</v>
      </c>
      <c r="E553" s="16" t="n">
        <f aca="false">$D553*E548*E549*E550</f>
        <v>48.7843396554535</v>
      </c>
      <c r="F553" s="16" t="n">
        <f aca="false">$D553*F548*F549*F550</f>
        <v>56.061461770453</v>
      </c>
      <c r="G553" s="16" t="n">
        <f aca="false">$D553*G548*G549*G550</f>
        <v>60.9370262140963</v>
      </c>
    </row>
    <row r="554" customFormat="false" ht="17.15" hidden="false" customHeight="false" outlineLevel="0" collapsed="false">
      <c r="A554" s="4" t="s">
        <v>552</v>
      </c>
      <c r="B554" s="0" t="s">
        <v>34</v>
      </c>
      <c r="C554" s="16" t="n">
        <f aca="false">C552+C553</f>
        <v>127.878</v>
      </c>
      <c r="D554" s="16" t="n">
        <f aca="false">D552+D553</f>
        <v>147.5</v>
      </c>
      <c r="E554" s="16" t="n">
        <f aca="false">E552+E553</f>
        <v>175.680278394298</v>
      </c>
      <c r="F554" s="16" t="n">
        <f aca="false">F552+F553</f>
        <v>204.777192241356</v>
      </c>
      <c r="G554" s="16" t="n">
        <f aca="false">G552+G553</f>
        <v>223.124652268834</v>
      </c>
    </row>
    <row r="555" customFormat="false" ht="15" hidden="false" customHeight="false" outlineLevel="0" collapsed="false">
      <c r="A555" s="4" t="s">
        <v>553</v>
      </c>
      <c r="B555" s="0" t="s">
        <v>34</v>
      </c>
      <c r="C555" s="16" t="n">
        <f aca="false">met_25</f>
        <v>38.96</v>
      </c>
      <c r="D555" s="16" t="n">
        <f aca="false">g26_met*(1+g_anc)</f>
        <v>41.5</v>
      </c>
      <c r="E555" s="16" t="n">
        <f aca="false">D555*(1+gmet_A_lo)</f>
        <v>43.16</v>
      </c>
      <c r="F555" s="16" t="n">
        <f aca="false">E555*(1+gmet_A_lo)</f>
        <v>44.8864</v>
      </c>
      <c r="G555" s="16" t="n">
        <f aca="false">F555*(1+gmet_A_lo)</f>
        <v>46.681856</v>
      </c>
    </row>
    <row r="556" customFormat="false" ht="17.15" hidden="false" customHeight="false" outlineLevel="0" collapsed="false">
      <c r="A556" s="4" t="s">
        <v>438</v>
      </c>
      <c r="B556" s="0" t="s">
        <v>34</v>
      </c>
      <c r="C556" s="16" t="n">
        <f aca="false">C554+C555</f>
        <v>166.838</v>
      </c>
      <c r="D556" s="16" t="n">
        <f aca="false">D554+D555</f>
        <v>189</v>
      </c>
      <c r="E556" s="16" t="n">
        <f aca="false">E554+E555</f>
        <v>218.840278394298</v>
      </c>
      <c r="F556" s="16" t="n">
        <f aca="false">F554+F555</f>
        <v>249.663592241356</v>
      </c>
      <c r="G556" s="16" t="n">
        <f aca="false">G554+G555</f>
        <v>269.806508268834</v>
      </c>
      <c r="J556" s="8" t="s">
        <v>554</v>
      </c>
    </row>
    <row r="557" customFormat="false" ht="17.15" hidden="false" customHeight="false" outlineLevel="0" collapsed="false">
      <c r="A557" s="0" t="s">
        <v>555</v>
      </c>
      <c r="B557" s="0" t="s">
        <v>108</v>
      </c>
      <c r="C557" s="11" t="n">
        <f aca="false">C554/C556</f>
        <v>0.766480058499862</v>
      </c>
      <c r="D557" s="11" t="n">
        <f aca="false">D554/D556</f>
        <v>0.780423280423281</v>
      </c>
      <c r="E557" s="11" t="n">
        <f aca="false">E554/E556</f>
        <v>0.802778536397967</v>
      </c>
      <c r="F557" s="11" t="n">
        <f aca="false">F554/F556</f>
        <v>0.820212472323128</v>
      </c>
      <c r="G557" s="11" t="n">
        <f aca="false">G554/G556</f>
        <v>0.826980244844626</v>
      </c>
    </row>
    <row r="558" customFormat="false" ht="17.15" hidden="false" customHeight="false" outlineLevel="0" collapsed="false">
      <c r="A558" s="6" t="s">
        <v>556</v>
      </c>
    </row>
    <row r="559" customFormat="false" ht="17.15" hidden="false" customHeight="false" outlineLevel="0" collapsed="false">
      <c r="A559" s="0" t="s">
        <v>455</v>
      </c>
      <c r="B559" s="0" t="s">
        <v>34</v>
      </c>
      <c r="C559" s="16" t="n">
        <f aca="false">spe_op25</f>
        <v>28.404</v>
      </c>
      <c r="D559" s="16" t="n">
        <f aca="false">g26_spe*m_spe26+v_s*(D554-g26_spe)</f>
        <v>37.6125</v>
      </c>
      <c r="E559" s="16" t="n">
        <f aca="false">$D559+v_s*(E554-$D554)</f>
        <v>46.0886608620245</v>
      </c>
      <c r="F559" s="16" t="n">
        <f aca="false">$D559+v_s*(F554-$D554)+0*F554</f>
        <v>54.8405304818089</v>
      </c>
      <c r="G559" s="16" t="n">
        <f aca="false">$D559+v_s*(G554-$D554)+0*G554</f>
        <v>60.3591424850862</v>
      </c>
      <c r="J559" s="4" t="s">
        <v>557</v>
      </c>
    </row>
    <row r="560" customFormat="false" ht="17.15" hidden="false" customHeight="false" outlineLevel="0" collapsed="false">
      <c r="A560" s="4" t="s">
        <v>460</v>
      </c>
      <c r="B560" s="0" t="s">
        <v>34</v>
      </c>
      <c r="C560" s="16" t="n">
        <f aca="false">met_op25</f>
        <v>5.333</v>
      </c>
      <c r="D560" s="16" t="n">
        <f aca="false">(g26_oi-g26_spe*m_spe26)+v_m*(D555-g26_met)</f>
        <v>6.3875</v>
      </c>
      <c r="E560" s="16" t="n">
        <f aca="false">$D560+v_m*(E555-$D555)</f>
        <v>6.78697210517101</v>
      </c>
      <c r="F560" s="16" t="n">
        <f aca="false">$D560+v_m*(F555-$D555)</f>
        <v>7.20242309454886</v>
      </c>
      <c r="G560" s="16" t="n">
        <f aca="false">$D560+v_m*(G555-$D555)</f>
        <v>7.63449212350183</v>
      </c>
      <c r="J560" s="8" t="s">
        <v>558</v>
      </c>
    </row>
    <row r="561" customFormat="false" ht="15" hidden="false" customHeight="false" outlineLevel="0" collapsed="false">
      <c r="A561" s="4" t="s">
        <v>442</v>
      </c>
      <c r="B561" s="0" t="s">
        <v>34</v>
      </c>
      <c r="C561" s="16" t="n">
        <f aca="false">C559+C560</f>
        <v>33.737</v>
      </c>
      <c r="D561" s="16" t="n">
        <f aca="false">D559+D560</f>
        <v>44</v>
      </c>
      <c r="E561" s="16" t="n">
        <f aca="false">E559+E560</f>
        <v>52.8756329671956</v>
      </c>
      <c r="F561" s="16" t="n">
        <f aca="false">F559+F560</f>
        <v>62.0429535763578</v>
      </c>
      <c r="G561" s="16" t="n">
        <f aca="false">G559+G560</f>
        <v>67.993634608588</v>
      </c>
    </row>
    <row r="562" customFormat="false" ht="17.15" hidden="false" customHeight="false" outlineLevel="0" collapsed="false">
      <c r="A562" s="0" t="s">
        <v>525</v>
      </c>
      <c r="B562" s="0" t="s">
        <v>108</v>
      </c>
      <c r="C562" s="11" t="n">
        <f aca="false">C559/C554</f>
        <v>0.222117956176981</v>
      </c>
      <c r="D562" s="11" t="n">
        <f aca="false">D559/D554</f>
        <v>0.255</v>
      </c>
      <c r="E562" s="11" t="n">
        <f aca="false">E559/E554</f>
        <v>0.262343965317397</v>
      </c>
      <c r="F562" s="11" t="n">
        <f aca="false">F559/F554</f>
        <v>0.267805852212157</v>
      </c>
      <c r="G562" s="11" t="n">
        <f aca="false">G559/G554</f>
        <v>0.270517586789836</v>
      </c>
    </row>
    <row r="563" customFormat="false" ht="15" hidden="false" customHeight="false" outlineLevel="0" collapsed="false">
      <c r="A563" s="4" t="s">
        <v>559</v>
      </c>
      <c r="B563" s="0" t="s">
        <v>108</v>
      </c>
      <c r="C563" s="11" t="n">
        <f aca="false">C561/C556</f>
        <v>0.202214123880651</v>
      </c>
      <c r="D563" s="11" t="n">
        <f aca="false">D561/D556</f>
        <v>0.232804232804233</v>
      </c>
      <c r="E563" s="11" t="n">
        <f aca="false">E561/E556</f>
        <v>0.241617463453991</v>
      </c>
      <c r="F563" s="11" t="n">
        <f aca="false">F561/F556</f>
        <v>0.248506211976552</v>
      </c>
      <c r="G563" s="11" t="n">
        <f aca="false">G561/G556</f>
        <v>0.252008874970649</v>
      </c>
    </row>
    <row r="564" customFormat="false" ht="17.15" hidden="false" customHeight="false" outlineLevel="0" collapsed="false">
      <c r="A564" s="4" t="s">
        <v>445</v>
      </c>
      <c r="B564" s="0" t="s">
        <v>34</v>
      </c>
      <c r="C564" s="16" t="n">
        <f aca="false">a25_ni</f>
        <v>24.739</v>
      </c>
      <c r="D564" s="16" t="n">
        <f aca="false">D561*g26_ni/g26_oi</f>
        <v>30.8</v>
      </c>
      <c r="E564" s="16" t="n">
        <f aca="false">E561*nioi</f>
        <v>37.0129430770369</v>
      </c>
      <c r="F564" s="16" t="n">
        <f aca="false">F561*nioi</f>
        <v>43.4300675034505</v>
      </c>
      <c r="G564" s="16" t="n">
        <f aca="false">G561*nioi</f>
        <v>47.5955442260116</v>
      </c>
      <c r="J564" s="8" t="s">
        <v>560</v>
      </c>
    </row>
    <row r="565" customFormat="false" ht="15" hidden="false" customHeight="false" outlineLevel="0" collapsed="false">
      <c r="A565" s="0" t="s">
        <v>526</v>
      </c>
      <c r="B565" s="0" t="s">
        <v>56</v>
      </c>
      <c r="C565" s="16" t="n">
        <f aca="false">a25_eps</f>
        <v>610.02</v>
      </c>
      <c r="D565" s="16" t="n">
        <f aca="false">D564*1000/shares</f>
        <v>758.83675253348</v>
      </c>
      <c r="E565" s="16" t="n">
        <f aca="false">E564*1000/shares</f>
        <v>911.908491113157</v>
      </c>
      <c r="F565" s="16" t="n">
        <f aca="false">F564*1000/shares</f>
        <v>1070.01075930611</v>
      </c>
      <c r="G565" s="16" t="n">
        <f aca="false">G564*1000/shares</f>
        <v>1172.63792907566</v>
      </c>
    </row>
    <row r="566" customFormat="false" ht="17.15" hidden="false" customHeight="false" outlineLevel="0" collapsed="false">
      <c r="A566" s="4" t="s">
        <v>561</v>
      </c>
      <c r="B566" s="0" t="s">
        <v>34</v>
      </c>
      <c r="C566" s="19" t="n">
        <f aca="false">ABS(C556-a25_rev)+ABS(C561-a25_oi)</f>
        <v>0.00200000000000244</v>
      </c>
    </row>
    <row r="580" customFormat="false" ht="17.15" hidden="false" customHeight="false" outlineLevel="0" collapsed="false">
      <c r="A580" s="1" t="s">
        <v>843</v>
      </c>
    </row>
    <row r="581" customFormat="false" ht="17.15" hidden="false" customHeight="false" outlineLevel="0" collapsed="false">
      <c r="A581" s="5" t="s">
        <v>23</v>
      </c>
      <c r="B581" s="5" t="s">
        <v>24</v>
      </c>
      <c r="C581" s="14" t="s">
        <v>532</v>
      </c>
      <c r="D581" s="14" t="s">
        <v>533</v>
      </c>
      <c r="E581" s="14" t="s">
        <v>534</v>
      </c>
      <c r="F581" s="14" t="s">
        <v>535</v>
      </c>
      <c r="G581" s="14" t="s">
        <v>536</v>
      </c>
      <c r="H581" s="14" t="s">
        <v>537</v>
      </c>
      <c r="I581" s="5"/>
      <c r="J581" s="5" t="s">
        <v>520</v>
      </c>
    </row>
    <row r="582" customFormat="false" ht="17.15" hidden="false" customHeight="false" outlineLevel="0" collapsed="false">
      <c r="A582" s="6" t="s">
        <v>538</v>
      </c>
    </row>
    <row r="583" customFormat="false" ht="17.15" hidden="false" customHeight="false" outlineLevel="0" collapsed="false">
      <c r="A583" s="4" t="s">
        <v>539</v>
      </c>
      <c r="B583" s="0" t="s">
        <v>160</v>
      </c>
      <c r="C583" s="16" t="n">
        <f aca="false">tstA_25</f>
        <v>14.7359586560428</v>
      </c>
      <c r="D583" s="16" t="n">
        <f aca="false">tstA_26</f>
        <v>18.65</v>
      </c>
      <c r="E583" s="16" t="n">
        <f aca="false">tstA_27</f>
        <v>21.6346744396519</v>
      </c>
      <c r="F583" s="16" t="n">
        <f aca="false">tstA_28</f>
        <v>25.1</v>
      </c>
      <c r="G583" s="16" t="n">
        <f aca="false">tstA_29</f>
        <v>27.108</v>
      </c>
      <c r="H583" s="16" t="n">
        <f aca="false">G583*(1+g_tail)</f>
        <v>27.108</v>
      </c>
      <c r="J583" s="8" t="s">
        <v>540</v>
      </c>
    </row>
    <row r="584" customFormat="false" ht="17.15" hidden="false" customHeight="false" outlineLevel="0" collapsed="false">
      <c r="A584" s="4" t="s">
        <v>541</v>
      </c>
      <c r="B584" s="0" t="s">
        <v>160</v>
      </c>
      <c r="C584" s="16" t="n">
        <f aca="false">apkA_25</f>
        <v>3.05656934306569</v>
      </c>
      <c r="D584" s="16" t="n">
        <f aca="false">apkA_26</f>
        <v>3.35</v>
      </c>
      <c r="E584" s="16" t="n">
        <f aca="false">apkA_27</f>
        <v>3.79539194286967</v>
      </c>
      <c r="F584" s="16" t="n">
        <f aca="false">apkA_28</f>
        <v>4.3</v>
      </c>
      <c r="G584" s="16" t="n">
        <f aca="false">apkA_29</f>
        <v>4.644</v>
      </c>
      <c r="H584" s="16" t="n">
        <f aca="false">G584*(1+g_tail)</f>
        <v>4.644</v>
      </c>
    </row>
    <row r="585" customFormat="false" ht="15" hidden="false" customHeight="false" outlineLevel="0" collapsed="false">
      <c r="A585" s="4" t="s">
        <v>542</v>
      </c>
      <c r="B585" s="0" t="s">
        <v>160</v>
      </c>
      <c r="C585" s="16" t="n">
        <f aca="false">wfeA_25</f>
        <v>116.896831844029</v>
      </c>
      <c r="D585" s="16" t="n">
        <f aca="false">wfeA_26</f>
        <v>156.157050570127</v>
      </c>
      <c r="E585" s="16" t="n">
        <f aca="false">wfeA_27</f>
        <v>192.795469377561</v>
      </c>
      <c r="F585" s="16" t="n">
        <f aca="false">wfeA_28</f>
        <v>216.628626308958</v>
      </c>
      <c r="G585" s="16" t="n">
        <f aca="false">wfeA_29</f>
        <v>228.903685855226</v>
      </c>
      <c r="H585" s="16" t="n">
        <f aca="false">G585*(1+g_tail)</f>
        <v>228.903685855226</v>
      </c>
    </row>
    <row r="586" customFormat="false" ht="17.15" hidden="false" customHeight="false" outlineLevel="0" collapsed="false">
      <c r="A586" s="6" t="s">
        <v>543</v>
      </c>
    </row>
    <row r="587" customFormat="false" ht="15" hidden="false" customHeight="false" outlineLevel="0" collapsed="false">
      <c r="A587" s="4" t="s">
        <v>544</v>
      </c>
      <c r="B587" s="0" t="s">
        <v>301</v>
      </c>
      <c r="C587" s="19" t="n">
        <f aca="false">(0.75*C583+0.25*D583)/(0.75*D583+0.25*E583)</f>
        <v>0.810184181632695</v>
      </c>
      <c r="D587" s="19" t="n">
        <f aca="false">(0.75*D583+0.25*E583)/(0.75*D583+0.25*E583)</f>
        <v>1</v>
      </c>
      <c r="E587" s="19" t="n">
        <f aca="false">(0.75*E583+0.25*F583)/(0.75*D583+0.25*E583)</f>
        <v>1.16007476952119</v>
      </c>
      <c r="F587" s="19" t="n">
        <f aca="false">(0.75*F583+0.25*G583)/(0.75*D583+0.25*E583)</f>
        <v>1.31995140457355</v>
      </c>
      <c r="G587" s="19" t="n">
        <f aca="false">(0.75*G583+0.25*H583)/(0.75*D583+0.25*E583)</f>
        <v>1.39759560484258</v>
      </c>
    </row>
    <row r="588" customFormat="false" ht="17.15" hidden="false" customHeight="false" outlineLevel="0" collapsed="false">
      <c r="A588" s="4" t="s">
        <v>545</v>
      </c>
      <c r="B588" s="0" t="s">
        <v>301</v>
      </c>
      <c r="C588" s="19" t="n">
        <f aca="false">w_cmp*(0.75*C585+0.25*D585)/(0.75*D585+0.25*E585)+(1-w_cmp)*(0.75*C584+0.25*D584)/(0.75*D584+0.25*E584)</f>
        <v>0.876696686135123</v>
      </c>
      <c r="D588" s="19" t="n">
        <f aca="false">w_cmp*(0.75*D585+0.25*E585)/(0.75*D585+0.25*E585)+(1-w_cmp)*(0.75*D584+0.25*E584)/(0.75*D584+0.25*E584)</f>
        <v>1</v>
      </c>
      <c r="E588" s="19" t="n">
        <f aca="false">w_cmp*(0.75*E585+0.25*F585)/(0.75*D585+0.25*E585)+(1-w_cmp)*(0.75*E584+0.25*F584)/(0.75*D584+0.25*E584)</f>
        <v>1.14681444452041</v>
      </c>
      <c r="F588" s="19" t="n">
        <f aca="false">w_cmp*(0.75*F585+0.25*G585)/(0.75*D585+0.25*E585)+(1-w_cmp)*(0.75*F584+0.25*G584)/(0.75*D584+0.25*E584)</f>
        <v>1.27949889890768</v>
      </c>
      <c r="G588" s="19" t="n">
        <f aca="false">w_cmp*(0.75*G585+0.25*H585)/(0.75*D585+0.25*E585)+(1-w_cmp)*(0.75*G584+0.25*H584)/(0.75*D584+0.25*E584)</f>
        <v>1.35026661708511</v>
      </c>
    </row>
    <row r="589" customFormat="false" ht="17.15" hidden="false" customHeight="false" outlineLevel="0" collapsed="false">
      <c r="A589" s="4" t="s">
        <v>546</v>
      </c>
      <c r="B589" s="0" t="s">
        <v>301</v>
      </c>
      <c r="D589" s="19" t="n">
        <f aca="false">(1+exc_A)^0</f>
        <v>1</v>
      </c>
      <c r="E589" s="19" t="n">
        <f aca="false">(1+exc_A)^1</f>
        <v>1.03</v>
      </c>
      <c r="F589" s="19" t="n">
        <f aca="false">(1+exc_A)^2</f>
        <v>1.0609</v>
      </c>
      <c r="G589" s="19" t="n">
        <f aca="false">(1+exc_A)^3</f>
        <v>1.092727</v>
      </c>
    </row>
    <row r="590" customFormat="false" ht="17.15" hidden="false" customHeight="false" outlineLevel="0" collapsed="false">
      <c r="A590" s="4" t="s">
        <v>547</v>
      </c>
      <c r="B590" s="0" t="s">
        <v>301</v>
      </c>
      <c r="D590" s="19" t="n">
        <f aca="false">1</f>
        <v>1</v>
      </c>
      <c r="E590" s="19" t="n">
        <f aca="false">1+chn*chh_A*0.5</f>
        <v>1</v>
      </c>
      <c r="F590" s="19" t="n">
        <f aca="false">1+chn*chh_A</f>
        <v>1</v>
      </c>
      <c r="G590" s="19" t="n">
        <f aca="false">1+chn*chh_A</f>
        <v>1</v>
      </c>
    </row>
    <row r="591" customFormat="false" ht="17.15" hidden="false" customHeight="false" outlineLevel="0" collapsed="false">
      <c r="A591" s="6" t="s">
        <v>548</v>
      </c>
    </row>
    <row r="592" customFormat="false" ht="17.15" hidden="false" customHeight="false" outlineLevel="0" collapsed="false">
      <c r="A592" s="4" t="s">
        <v>549</v>
      </c>
      <c r="B592" s="0" t="s">
        <v>34</v>
      </c>
      <c r="C592" s="16" t="n">
        <f aca="false">spe_25*w_pr</f>
        <v>92.07216</v>
      </c>
      <c r="D592" s="16" t="n">
        <f aca="false">g26_spe*(1+g_anc)*w_pr</f>
        <v>106.2</v>
      </c>
      <c r="E592" s="16" t="n">
        <f aca="false">$D592*E587*E589*E590</f>
        <v>126.895938738845</v>
      </c>
      <c r="F592" s="16" t="n">
        <f aca="false">$D592*F587*F589*F590</f>
        <v>148.715730470903</v>
      </c>
      <c r="G592" s="16" t="n">
        <f aca="false">$D592*G587*G589*G590</f>
        <v>162.187626054737</v>
      </c>
      <c r="J592" s="8" t="s">
        <v>550</v>
      </c>
    </row>
    <row r="593" customFormat="false" ht="17.15" hidden="false" customHeight="false" outlineLevel="0" collapsed="false">
      <c r="A593" s="4" t="s">
        <v>551</v>
      </c>
      <c r="B593" s="0" t="s">
        <v>34</v>
      </c>
      <c r="C593" s="16" t="n">
        <f aca="false">spe_25*(1-w_pr)</f>
        <v>35.80584</v>
      </c>
      <c r="D593" s="16" t="n">
        <f aca="false">g26_spe*(1+g_anc)*(1-w_pr)</f>
        <v>41.3</v>
      </c>
      <c r="E593" s="16" t="n">
        <f aca="false">$D593*E588*E589*E590</f>
        <v>48.7843396554535</v>
      </c>
      <c r="F593" s="16" t="n">
        <f aca="false">$D593*F588*F589*F590</f>
        <v>56.061461770453</v>
      </c>
      <c r="G593" s="16" t="n">
        <f aca="false">$D593*G588*G589*G590</f>
        <v>60.9370262140963</v>
      </c>
    </row>
    <row r="594" customFormat="false" ht="17.15" hidden="false" customHeight="false" outlineLevel="0" collapsed="false">
      <c r="A594" s="4" t="s">
        <v>552</v>
      </c>
      <c r="B594" s="0" t="s">
        <v>34</v>
      </c>
      <c r="C594" s="16" t="n">
        <f aca="false">C592+C593</f>
        <v>127.878</v>
      </c>
      <c r="D594" s="16" t="n">
        <f aca="false">D592+D593</f>
        <v>147.5</v>
      </c>
      <c r="E594" s="16" t="n">
        <f aca="false">E592+E593</f>
        <v>175.680278394298</v>
      </c>
      <c r="F594" s="16" t="n">
        <f aca="false">F592+F593</f>
        <v>204.777192241356</v>
      </c>
      <c r="G594" s="16" t="n">
        <f aca="false">G592+G593</f>
        <v>223.124652268834</v>
      </c>
    </row>
    <row r="595" customFormat="false" ht="15" hidden="false" customHeight="false" outlineLevel="0" collapsed="false">
      <c r="A595" s="4" t="s">
        <v>553</v>
      </c>
      <c r="B595" s="0" t="s">
        <v>34</v>
      </c>
      <c r="C595" s="16" t="n">
        <f aca="false">met_25</f>
        <v>38.96</v>
      </c>
      <c r="D595" s="16" t="n">
        <f aca="false">g26_met*(1+g_anc)</f>
        <v>41.5</v>
      </c>
      <c r="E595" s="16" t="n">
        <f aca="false">D595*(1+gmet_A_hi)</f>
        <v>44.82</v>
      </c>
      <c r="F595" s="16" t="n">
        <f aca="false">E595*(1+gmet_A_hi)</f>
        <v>48.4056</v>
      </c>
      <c r="G595" s="16" t="n">
        <f aca="false">F595*(1+gmet_A_hi)</f>
        <v>52.278048</v>
      </c>
    </row>
    <row r="596" customFormat="false" ht="17.15" hidden="false" customHeight="false" outlineLevel="0" collapsed="false">
      <c r="A596" s="4" t="s">
        <v>438</v>
      </c>
      <c r="B596" s="0" t="s">
        <v>34</v>
      </c>
      <c r="C596" s="16" t="n">
        <f aca="false">C594+C595</f>
        <v>166.838</v>
      </c>
      <c r="D596" s="16" t="n">
        <f aca="false">D594+D595</f>
        <v>189</v>
      </c>
      <c r="E596" s="16" t="n">
        <f aca="false">E594+E595</f>
        <v>220.500278394298</v>
      </c>
      <c r="F596" s="16" t="n">
        <f aca="false">F594+F595</f>
        <v>253.182792241356</v>
      </c>
      <c r="G596" s="16" t="n">
        <f aca="false">G594+G595</f>
        <v>275.402700268834</v>
      </c>
      <c r="J596" s="8" t="s">
        <v>554</v>
      </c>
    </row>
    <row r="597" customFormat="false" ht="17.15" hidden="false" customHeight="false" outlineLevel="0" collapsed="false">
      <c r="A597" s="0" t="s">
        <v>555</v>
      </c>
      <c r="B597" s="0" t="s">
        <v>108</v>
      </c>
      <c r="C597" s="11" t="n">
        <f aca="false">C594/C596</f>
        <v>0.766480058499862</v>
      </c>
      <c r="D597" s="11" t="n">
        <f aca="false">D594/D596</f>
        <v>0.780423280423281</v>
      </c>
      <c r="E597" s="11" t="n">
        <f aca="false">E594/E596</f>
        <v>0.796734950511705</v>
      </c>
      <c r="F597" s="11" t="n">
        <f aca="false">F594/F596</f>
        <v>0.808811651173135</v>
      </c>
      <c r="G597" s="11" t="n">
        <f aca="false">G594/G596</f>
        <v>0.810175978852172</v>
      </c>
    </row>
    <row r="598" customFormat="false" ht="17.15" hidden="false" customHeight="false" outlineLevel="0" collapsed="false">
      <c r="A598" s="6" t="s">
        <v>556</v>
      </c>
    </row>
    <row r="599" customFormat="false" ht="17.15" hidden="false" customHeight="false" outlineLevel="0" collapsed="false">
      <c r="A599" s="0" t="s">
        <v>455</v>
      </c>
      <c r="B599" s="0" t="s">
        <v>34</v>
      </c>
      <c r="C599" s="16" t="n">
        <f aca="false">spe_op25</f>
        <v>28.404</v>
      </c>
      <c r="D599" s="16" t="n">
        <f aca="false">g26_spe*m_spe26+v_s*(D594-g26_spe)</f>
        <v>37.6125</v>
      </c>
      <c r="E599" s="16" t="n">
        <f aca="false">$D599+v_s*(E594-$D594)</f>
        <v>46.0886608620245</v>
      </c>
      <c r="F599" s="16" t="n">
        <f aca="false">$D599+v_s*(F594-$D594)+0*F594</f>
        <v>54.8405304818089</v>
      </c>
      <c r="G599" s="16" t="n">
        <f aca="false">$D599+v_s*(G594-$D594)+0*G594</f>
        <v>60.3591424850862</v>
      </c>
      <c r="J599" s="4" t="s">
        <v>557</v>
      </c>
    </row>
    <row r="600" customFormat="false" ht="17.15" hidden="false" customHeight="false" outlineLevel="0" collapsed="false">
      <c r="A600" s="4" t="s">
        <v>460</v>
      </c>
      <c r="B600" s="0" t="s">
        <v>34</v>
      </c>
      <c r="C600" s="16" t="n">
        <f aca="false">met_op25</f>
        <v>5.333</v>
      </c>
      <c r="D600" s="16" t="n">
        <f aca="false">(g26_oi-g26_spe*m_spe26)+v_m*(D595-g26_met)</f>
        <v>6.3875</v>
      </c>
      <c r="E600" s="16" t="n">
        <f aca="false">$D600+v_m*(E595-$D595)</f>
        <v>7.18644421034202</v>
      </c>
      <c r="F600" s="16" t="n">
        <f aca="false">$D600+v_m*(F595-$D595)</f>
        <v>8.0493039575114</v>
      </c>
      <c r="G600" s="16" t="n">
        <f aca="false">$D600+v_m*(G595-$D595)</f>
        <v>8.98119248445433</v>
      </c>
      <c r="J600" s="8" t="s">
        <v>558</v>
      </c>
    </row>
    <row r="601" customFormat="false" ht="15" hidden="false" customHeight="false" outlineLevel="0" collapsed="false">
      <c r="A601" s="4" t="s">
        <v>442</v>
      </c>
      <c r="B601" s="0" t="s">
        <v>34</v>
      </c>
      <c r="C601" s="16" t="n">
        <f aca="false">C599+C600</f>
        <v>33.737</v>
      </c>
      <c r="D601" s="16" t="n">
        <f aca="false">D599+D600</f>
        <v>44</v>
      </c>
      <c r="E601" s="16" t="n">
        <f aca="false">E599+E600</f>
        <v>53.2751050723666</v>
      </c>
      <c r="F601" s="16" t="n">
        <f aca="false">F599+F600</f>
        <v>62.8898344393203</v>
      </c>
      <c r="G601" s="16" t="n">
        <f aca="false">G599+G600</f>
        <v>69.3403349695405</v>
      </c>
    </row>
    <row r="602" customFormat="false" ht="17.15" hidden="false" customHeight="false" outlineLevel="0" collapsed="false">
      <c r="A602" s="0" t="s">
        <v>525</v>
      </c>
      <c r="B602" s="0" t="s">
        <v>108</v>
      </c>
      <c r="C602" s="11" t="n">
        <f aca="false">C599/C594</f>
        <v>0.222117956176981</v>
      </c>
      <c r="D602" s="11" t="n">
        <f aca="false">D599/D594</f>
        <v>0.255</v>
      </c>
      <c r="E602" s="11" t="n">
        <f aca="false">E599/E594</f>
        <v>0.262343965317397</v>
      </c>
      <c r="F602" s="11" t="n">
        <f aca="false">F599/F594</f>
        <v>0.267805852212157</v>
      </c>
      <c r="G602" s="11" t="n">
        <f aca="false">G599/G594</f>
        <v>0.270517586789836</v>
      </c>
    </row>
    <row r="603" customFormat="false" ht="15" hidden="false" customHeight="false" outlineLevel="0" collapsed="false">
      <c r="A603" s="4" t="s">
        <v>559</v>
      </c>
      <c r="B603" s="0" t="s">
        <v>108</v>
      </c>
      <c r="C603" s="11" t="n">
        <f aca="false">C601/C596</f>
        <v>0.202214123880651</v>
      </c>
      <c r="D603" s="11" t="n">
        <f aca="false">D601/D596</f>
        <v>0.232804232804233</v>
      </c>
      <c r="E603" s="11" t="n">
        <f aca="false">E601/E596</f>
        <v>0.241610148795822</v>
      </c>
      <c r="F603" s="11" t="n">
        <f aca="false">F601/F596</f>
        <v>0.248396954163332</v>
      </c>
      <c r="G603" s="11" t="n">
        <f aca="false">G601/G596</f>
        <v>0.25177797785517</v>
      </c>
    </row>
    <row r="604" customFormat="false" ht="17.15" hidden="false" customHeight="false" outlineLevel="0" collapsed="false">
      <c r="A604" s="4" t="s">
        <v>445</v>
      </c>
      <c r="B604" s="0" t="s">
        <v>34</v>
      </c>
      <c r="C604" s="16" t="n">
        <f aca="false">a25_ni</f>
        <v>24.739</v>
      </c>
      <c r="D604" s="16" t="n">
        <f aca="false">D601*g26_ni/g26_oi</f>
        <v>30.8</v>
      </c>
      <c r="E604" s="16" t="n">
        <f aca="false">E601*nioi</f>
        <v>37.2925735506566</v>
      </c>
      <c r="F604" s="16" t="n">
        <f aca="false">F601*nioi</f>
        <v>44.0228841075242</v>
      </c>
      <c r="G604" s="16" t="n">
        <f aca="false">G601*nioi</f>
        <v>48.5382344786784</v>
      </c>
      <c r="J604" s="8" t="s">
        <v>560</v>
      </c>
    </row>
    <row r="605" customFormat="false" ht="15" hidden="false" customHeight="false" outlineLevel="0" collapsed="false">
      <c r="A605" s="0" t="s">
        <v>526</v>
      </c>
      <c r="B605" s="0" t="s">
        <v>56</v>
      </c>
      <c r="C605" s="16" t="n">
        <f aca="false">a25_eps</f>
        <v>610.02</v>
      </c>
      <c r="D605" s="16" t="n">
        <f aca="false">D604*1000/shares</f>
        <v>758.83675253348</v>
      </c>
      <c r="E605" s="16" t="n">
        <f aca="false">E604*1000/shares</f>
        <v>918.797902818058</v>
      </c>
      <c r="F605" s="16" t="n">
        <f aca="false">F604*1000/shares</f>
        <v>1084.6163121205</v>
      </c>
      <c r="G605" s="16" t="n">
        <f aca="false">G604*1000/shares</f>
        <v>1195.86351381522</v>
      </c>
    </row>
    <row r="606" customFormat="false" ht="17.15" hidden="false" customHeight="false" outlineLevel="0" collapsed="false">
      <c r="A606" s="4" t="s">
        <v>561</v>
      </c>
      <c r="B606" s="0" t="s">
        <v>34</v>
      </c>
      <c r="C606" s="19" t="n">
        <f aca="false">ABS(C596-a25_rev)+ABS(C601-a25_oi)</f>
        <v>0.00200000000000244</v>
      </c>
    </row>
    <row r="620" customFormat="false" ht="17.15" hidden="false" customHeight="false" outlineLevel="0" collapsed="false">
      <c r="A620" s="1" t="s">
        <v>844</v>
      </c>
    </row>
    <row r="621" customFormat="false" ht="17.15" hidden="false" customHeight="false" outlineLevel="0" collapsed="false">
      <c r="A621" s="5" t="s">
        <v>23</v>
      </c>
      <c r="B621" s="5" t="s">
        <v>24</v>
      </c>
      <c r="C621" s="14" t="s">
        <v>532</v>
      </c>
      <c r="D621" s="14" t="s">
        <v>533</v>
      </c>
      <c r="E621" s="14" t="s">
        <v>534</v>
      </c>
      <c r="F621" s="14" t="s">
        <v>535</v>
      </c>
      <c r="G621" s="14" t="s">
        <v>536</v>
      </c>
      <c r="H621" s="14" t="s">
        <v>537</v>
      </c>
      <c r="I621" s="5"/>
      <c r="J621" s="5" t="s">
        <v>520</v>
      </c>
    </row>
    <row r="622" customFormat="false" ht="17.15" hidden="false" customHeight="false" outlineLevel="0" collapsed="false">
      <c r="A622" s="6" t="s">
        <v>538</v>
      </c>
    </row>
    <row r="623" customFormat="false" ht="17.15" hidden="false" customHeight="false" outlineLevel="0" collapsed="false">
      <c r="A623" s="4" t="s">
        <v>539</v>
      </c>
      <c r="B623" s="0" t="s">
        <v>160</v>
      </c>
      <c r="C623" s="16" t="n">
        <f aca="false">tstA_25</f>
        <v>14.7359586560428</v>
      </c>
      <c r="D623" s="16" t="n">
        <f aca="false">tstA_26</f>
        <v>18.65</v>
      </c>
      <c r="E623" s="16" t="n">
        <f aca="false">tstA_27</f>
        <v>21.6346744396519</v>
      </c>
      <c r="F623" s="16" t="n">
        <f aca="false">tstA_28</f>
        <v>25.1</v>
      </c>
      <c r="G623" s="16" t="n">
        <f aca="false">tstA_29</f>
        <v>27.108</v>
      </c>
      <c r="H623" s="16" t="n">
        <f aca="false">G623*(1+g_tail)</f>
        <v>27.108</v>
      </c>
      <c r="J623" s="8" t="s">
        <v>540</v>
      </c>
    </row>
    <row r="624" customFormat="false" ht="17.15" hidden="false" customHeight="false" outlineLevel="0" collapsed="false">
      <c r="A624" s="4" t="s">
        <v>541</v>
      </c>
      <c r="B624" s="0" t="s">
        <v>160</v>
      </c>
      <c r="C624" s="16" t="n">
        <f aca="false">apkA_25</f>
        <v>3.05656934306569</v>
      </c>
      <c r="D624" s="16" t="n">
        <f aca="false">apkA_26</f>
        <v>3.35</v>
      </c>
      <c r="E624" s="16" t="n">
        <f aca="false">apkA_27</f>
        <v>3.79539194286967</v>
      </c>
      <c r="F624" s="16" t="n">
        <f aca="false">apkA_28</f>
        <v>4.3</v>
      </c>
      <c r="G624" s="16" t="n">
        <f aca="false">apkA_29</f>
        <v>4.644</v>
      </c>
      <c r="H624" s="16" t="n">
        <f aca="false">G624*(1+g_tail)</f>
        <v>4.644</v>
      </c>
    </row>
    <row r="625" customFormat="false" ht="15" hidden="false" customHeight="false" outlineLevel="0" collapsed="false">
      <c r="A625" s="4" t="s">
        <v>542</v>
      </c>
      <c r="B625" s="0" t="s">
        <v>160</v>
      </c>
      <c r="C625" s="16" t="n">
        <f aca="false">wfeA_25</f>
        <v>116.896831844029</v>
      </c>
      <c r="D625" s="16" t="n">
        <f aca="false">wfeA_26</f>
        <v>156.157050570127</v>
      </c>
      <c r="E625" s="16" t="n">
        <f aca="false">wfeA_27</f>
        <v>192.795469377561</v>
      </c>
      <c r="F625" s="16" t="n">
        <f aca="false">wfeA_28</f>
        <v>216.628626308958</v>
      </c>
      <c r="G625" s="16" t="n">
        <f aca="false">wfeA_29</f>
        <v>228.903685855226</v>
      </c>
      <c r="H625" s="16" t="n">
        <f aca="false">G625*(1+g_tail)</f>
        <v>228.903685855226</v>
      </c>
    </row>
    <row r="626" customFormat="false" ht="17.15" hidden="false" customHeight="false" outlineLevel="0" collapsed="false">
      <c r="A626" s="6" t="s">
        <v>543</v>
      </c>
    </row>
    <row r="627" customFormat="false" ht="15" hidden="false" customHeight="false" outlineLevel="0" collapsed="false">
      <c r="A627" s="4" t="s">
        <v>544</v>
      </c>
      <c r="B627" s="0" t="s">
        <v>301</v>
      </c>
      <c r="C627" s="19" t="n">
        <f aca="false">(0.75*C623+0.25*D623)/(0.75*D623+0.25*E623)</f>
        <v>0.810184181632695</v>
      </c>
      <c r="D627" s="19" t="n">
        <f aca="false">(0.75*D623+0.25*E623)/(0.75*D623+0.25*E623)</f>
        <v>1</v>
      </c>
      <c r="E627" s="19" t="n">
        <f aca="false">(0.75*E623+0.25*F623)/(0.75*D623+0.25*E623)</f>
        <v>1.16007476952119</v>
      </c>
      <c r="F627" s="19" t="n">
        <f aca="false">(0.75*F623+0.25*G623)/(0.75*D623+0.25*E623)</f>
        <v>1.31995140457355</v>
      </c>
      <c r="G627" s="19" t="n">
        <f aca="false">(0.75*G623+0.25*H623)/(0.75*D623+0.25*E623)</f>
        <v>1.39759560484258</v>
      </c>
    </row>
    <row r="628" customFormat="false" ht="17.15" hidden="false" customHeight="false" outlineLevel="0" collapsed="false">
      <c r="A628" s="4" t="s">
        <v>545</v>
      </c>
      <c r="B628" s="0" t="s">
        <v>301</v>
      </c>
      <c r="C628" s="19" t="n">
        <f aca="false">w_cmp*(0.75*C625+0.25*D625)/(0.75*D625+0.25*E625)+(1-w_cmp)*(0.75*C624+0.25*D624)/(0.75*D624+0.25*E624)</f>
        <v>0.876696686135123</v>
      </c>
      <c r="D628" s="19" t="n">
        <f aca="false">w_cmp*(0.75*D625+0.25*E625)/(0.75*D625+0.25*E625)+(1-w_cmp)*(0.75*D624+0.25*E624)/(0.75*D624+0.25*E624)</f>
        <v>1</v>
      </c>
      <c r="E628" s="19" t="n">
        <f aca="false">w_cmp*(0.75*E625+0.25*F625)/(0.75*D625+0.25*E625)+(1-w_cmp)*(0.75*E624+0.25*F624)/(0.75*D624+0.25*E624)</f>
        <v>1.14681444452041</v>
      </c>
      <c r="F628" s="19" t="n">
        <f aca="false">w_cmp*(0.75*F625+0.25*G625)/(0.75*D625+0.25*E625)+(1-w_cmp)*(0.75*F624+0.25*G624)/(0.75*D624+0.25*E624)</f>
        <v>1.27949889890768</v>
      </c>
      <c r="G628" s="19" t="n">
        <f aca="false">w_cmp*(0.75*G625+0.25*H625)/(0.75*D625+0.25*E625)+(1-w_cmp)*(0.75*G624+0.25*H624)/(0.75*D624+0.25*E624)</f>
        <v>1.35026661708511</v>
      </c>
    </row>
    <row r="629" customFormat="false" ht="17.15" hidden="false" customHeight="false" outlineLevel="0" collapsed="false">
      <c r="A629" s="4" t="s">
        <v>546</v>
      </c>
      <c r="B629" s="0" t="s">
        <v>301</v>
      </c>
      <c r="D629" s="19" t="n">
        <f aca="false">(1+exc_A)^0</f>
        <v>1</v>
      </c>
      <c r="E629" s="19" t="n">
        <f aca="false">(1+exc_A)^1</f>
        <v>1.03</v>
      </c>
      <c r="F629" s="19" t="n">
        <f aca="false">(1+exc_A)^2</f>
        <v>1.0609</v>
      </c>
      <c r="G629" s="19" t="n">
        <f aca="false">(1+exc_A)^3</f>
        <v>1.092727</v>
      </c>
    </row>
    <row r="630" customFormat="false" ht="17.15" hidden="false" customHeight="false" outlineLevel="0" collapsed="false">
      <c r="A630" s="4" t="s">
        <v>547</v>
      </c>
      <c r="B630" s="0" t="s">
        <v>301</v>
      </c>
      <c r="D630" s="19" t="n">
        <f aca="false">1</f>
        <v>1</v>
      </c>
      <c r="E630" s="19" t="n">
        <f aca="false">1+chn*chh_A*0.5</f>
        <v>1</v>
      </c>
      <c r="F630" s="19" t="n">
        <f aca="false">1+chn*chh_A</f>
        <v>1</v>
      </c>
      <c r="G630" s="19" t="n">
        <f aca="false">1+chn*chh_A</f>
        <v>1</v>
      </c>
    </row>
    <row r="631" customFormat="false" ht="17.15" hidden="false" customHeight="false" outlineLevel="0" collapsed="false">
      <c r="A631" s="6" t="s">
        <v>548</v>
      </c>
    </row>
    <row r="632" customFormat="false" ht="17.15" hidden="false" customHeight="false" outlineLevel="0" collapsed="false">
      <c r="A632" s="4" t="s">
        <v>549</v>
      </c>
      <c r="B632" s="0" t="s">
        <v>34</v>
      </c>
      <c r="C632" s="16" t="n">
        <f aca="false">spe_25*w_pr</f>
        <v>92.07216</v>
      </c>
      <c r="D632" s="16" t="n">
        <f aca="false">g26_spe*(1+g_anc)*w_pr</f>
        <v>106.2</v>
      </c>
      <c r="E632" s="16" t="n">
        <f aca="false">$D632*E627*E629*E630</f>
        <v>126.895938738845</v>
      </c>
      <c r="F632" s="16" t="n">
        <f aca="false">$D632*F627*F629*F630</f>
        <v>148.715730470903</v>
      </c>
      <c r="G632" s="16" t="n">
        <f aca="false">$D632*G627*G629*G630</f>
        <v>162.187626054737</v>
      </c>
      <c r="J632" s="8" t="s">
        <v>550</v>
      </c>
    </row>
    <row r="633" customFormat="false" ht="17.15" hidden="false" customHeight="false" outlineLevel="0" collapsed="false">
      <c r="A633" s="4" t="s">
        <v>551</v>
      </c>
      <c r="B633" s="0" t="s">
        <v>34</v>
      </c>
      <c r="C633" s="16" t="n">
        <f aca="false">spe_25*(1-w_pr)</f>
        <v>35.80584</v>
      </c>
      <c r="D633" s="16" t="n">
        <f aca="false">g26_spe*(1+g_anc)*(1-w_pr)</f>
        <v>41.3</v>
      </c>
      <c r="E633" s="16" t="n">
        <f aca="false">$D633*E628*E629*E630</f>
        <v>48.7843396554535</v>
      </c>
      <c r="F633" s="16" t="n">
        <f aca="false">$D633*F628*F629*F630</f>
        <v>56.061461770453</v>
      </c>
      <c r="G633" s="16" t="n">
        <f aca="false">$D633*G628*G629*G630</f>
        <v>60.9370262140963</v>
      </c>
    </row>
    <row r="634" customFormat="false" ht="17.15" hidden="false" customHeight="false" outlineLevel="0" collapsed="false">
      <c r="A634" s="4" t="s">
        <v>552</v>
      </c>
      <c r="B634" s="0" t="s">
        <v>34</v>
      </c>
      <c r="C634" s="16" t="n">
        <f aca="false">C632+C633</f>
        <v>127.878</v>
      </c>
      <c r="D634" s="16" t="n">
        <f aca="false">D632+D633</f>
        <v>147.5</v>
      </c>
      <c r="E634" s="16" t="n">
        <f aca="false">E632+E633</f>
        <v>175.680278394298</v>
      </c>
      <c r="F634" s="16" t="n">
        <f aca="false">F632+F633</f>
        <v>204.777192241356</v>
      </c>
      <c r="G634" s="16" t="n">
        <f aca="false">G632+G633</f>
        <v>223.124652268834</v>
      </c>
    </row>
    <row r="635" customFormat="false" ht="15" hidden="false" customHeight="false" outlineLevel="0" collapsed="false">
      <c r="A635" s="4" t="s">
        <v>553</v>
      </c>
      <c r="B635" s="0" t="s">
        <v>34</v>
      </c>
      <c r="C635" s="16" t="n">
        <f aca="false">met_25</f>
        <v>38.96</v>
      </c>
      <c r="D635" s="16" t="n">
        <f aca="false">g26_met*(1+g_anc)</f>
        <v>41.5</v>
      </c>
      <c r="E635" s="16" t="n">
        <f aca="false">D635*(1+gmet_A)</f>
        <v>43.99</v>
      </c>
      <c r="F635" s="16" t="n">
        <f aca="false">E635*(1+gmet_A)</f>
        <v>46.6294</v>
      </c>
      <c r="G635" s="16" t="n">
        <f aca="false">F635*(1+gmet_A)</f>
        <v>49.427164</v>
      </c>
    </row>
    <row r="636" customFormat="false" ht="17.15" hidden="false" customHeight="false" outlineLevel="0" collapsed="false">
      <c r="A636" s="4" t="s">
        <v>438</v>
      </c>
      <c r="B636" s="0" t="s">
        <v>34</v>
      </c>
      <c r="C636" s="16" t="n">
        <f aca="false">C634+C635</f>
        <v>166.838</v>
      </c>
      <c r="D636" s="16" t="n">
        <f aca="false">D634+D635</f>
        <v>189</v>
      </c>
      <c r="E636" s="16" t="n">
        <f aca="false">E634+E635</f>
        <v>219.670278394298</v>
      </c>
      <c r="F636" s="16" t="n">
        <f aca="false">F634+F635</f>
        <v>251.406592241356</v>
      </c>
      <c r="G636" s="16" t="n">
        <f aca="false">G634+G635</f>
        <v>272.551816268834</v>
      </c>
      <c r="J636" s="8" t="s">
        <v>554</v>
      </c>
    </row>
    <row r="637" customFormat="false" ht="17.15" hidden="false" customHeight="false" outlineLevel="0" collapsed="false">
      <c r="A637" s="0" t="s">
        <v>555</v>
      </c>
      <c r="B637" s="0" t="s">
        <v>108</v>
      </c>
      <c r="C637" s="11" t="n">
        <f aca="false">C634/C636</f>
        <v>0.766480058499862</v>
      </c>
      <c r="D637" s="11" t="n">
        <f aca="false">D634/D636</f>
        <v>0.780423280423281</v>
      </c>
      <c r="E637" s="11" t="n">
        <f aca="false">E634/E636</f>
        <v>0.799745325942366</v>
      </c>
      <c r="F637" s="11" t="n">
        <f aca="false">F634/F636</f>
        <v>0.814525945464331</v>
      </c>
      <c r="G637" s="11" t="n">
        <f aca="false">G634/G636</f>
        <v>0.818650395815939</v>
      </c>
    </row>
    <row r="638" customFormat="false" ht="17.15" hidden="false" customHeight="false" outlineLevel="0" collapsed="false">
      <c r="A638" s="6" t="s">
        <v>556</v>
      </c>
    </row>
    <row r="639" customFormat="false" ht="17.15" hidden="false" customHeight="false" outlineLevel="0" collapsed="false">
      <c r="A639" s="0" t="s">
        <v>455</v>
      </c>
      <c r="B639" s="0" t="s">
        <v>34</v>
      </c>
      <c r="C639" s="16" t="n">
        <f aca="false">spe_op25</f>
        <v>28.404</v>
      </c>
      <c r="D639" s="16" t="n">
        <f aca="false">g26_spe*m_spe26+v_s2*(D634-g26_spe)</f>
        <v>37.6125</v>
      </c>
      <c r="E639" s="16" t="n">
        <f aca="false">$D639+v_s2*(E634-$D634)</f>
        <v>44.3134994788425</v>
      </c>
      <c r="F639" s="16" t="n">
        <f aca="false">$D639+v_s2*(F634-$D634)+0*F634</f>
        <v>51.2324660623844</v>
      </c>
      <c r="G639" s="16" t="n">
        <f aca="false">$D639+v_s2*(G634-$D634)+0*G634</f>
        <v>55.5953157958735</v>
      </c>
      <c r="J639" s="4" t="s">
        <v>557</v>
      </c>
    </row>
    <row r="640" customFormat="false" ht="17.15" hidden="false" customHeight="false" outlineLevel="0" collapsed="false">
      <c r="A640" s="4" t="s">
        <v>460</v>
      </c>
      <c r="B640" s="0" t="s">
        <v>34</v>
      </c>
      <c r="C640" s="16" t="n">
        <f aca="false">met_op25</f>
        <v>5.333</v>
      </c>
      <c r="D640" s="16" t="n">
        <f aca="false">(g26_oi-g26_spe*m_spe26)+v_m*(D635-g26_met)</f>
        <v>6.3875</v>
      </c>
      <c r="E640" s="16" t="n">
        <f aca="false">$D640+v_m*(E635-$D635)</f>
        <v>6.98670815775652</v>
      </c>
      <c r="F640" s="16" t="n">
        <f aca="false">$D640+v_m*(F635-$D635)</f>
        <v>7.62186880497842</v>
      </c>
      <c r="G640" s="16" t="n">
        <f aca="false">$D640+v_m*(G635-$D635)</f>
        <v>8.29513909103364</v>
      </c>
      <c r="J640" s="8" t="s">
        <v>558</v>
      </c>
    </row>
    <row r="641" customFormat="false" ht="15" hidden="false" customHeight="false" outlineLevel="0" collapsed="false">
      <c r="A641" s="4" t="s">
        <v>442</v>
      </c>
      <c r="B641" s="0" t="s">
        <v>34</v>
      </c>
      <c r="C641" s="16" t="n">
        <f aca="false">C639+C640</f>
        <v>33.737</v>
      </c>
      <c r="D641" s="16" t="n">
        <f aca="false">D639+D640</f>
        <v>44</v>
      </c>
      <c r="E641" s="16" t="n">
        <f aca="false">E639+E640</f>
        <v>51.3002076365991</v>
      </c>
      <c r="F641" s="16" t="n">
        <f aca="false">F639+F640</f>
        <v>58.8543348673628</v>
      </c>
      <c r="G641" s="16" t="n">
        <f aca="false">G639+G640</f>
        <v>63.8904548869072</v>
      </c>
    </row>
    <row r="642" customFormat="false" ht="17.15" hidden="false" customHeight="false" outlineLevel="0" collapsed="false">
      <c r="A642" s="0" t="s">
        <v>525</v>
      </c>
      <c r="B642" s="0" t="s">
        <v>108</v>
      </c>
      <c r="C642" s="11" t="n">
        <f aca="false">C639/C634</f>
        <v>0.222117956176981</v>
      </c>
      <c r="D642" s="11" t="n">
        <f aca="false">D639/D634</f>
        <v>0.255</v>
      </c>
      <c r="E642" s="11" t="n">
        <f aca="false">E639/E634</f>
        <v>0.25223946525964</v>
      </c>
      <c r="F642" s="11" t="n">
        <f aca="false">F639/F634</f>
        <v>0.25018638795477</v>
      </c>
      <c r="G642" s="11" t="n">
        <f aca="false">G639/G634</f>
        <v>0.249167069754753</v>
      </c>
    </row>
    <row r="643" customFormat="false" ht="15" hidden="false" customHeight="false" outlineLevel="0" collapsed="false">
      <c r="A643" s="4" t="s">
        <v>559</v>
      </c>
      <c r="B643" s="0" t="s">
        <v>108</v>
      </c>
      <c r="C643" s="11" t="n">
        <f aca="false">C641/C636</f>
        <v>0.202214123880651</v>
      </c>
      <c r="D643" s="11" t="n">
        <f aca="false">D641/D636</f>
        <v>0.232804232804233</v>
      </c>
      <c r="E643" s="11" t="n">
        <f aca="false">E641/E636</f>
        <v>0.233532765613915</v>
      </c>
      <c r="F643" s="11" t="n">
        <f aca="false">F641/F636</f>
        <v>0.234100205339331</v>
      </c>
      <c r="G643" s="11" t="n">
        <f aca="false">G641/G636</f>
        <v>0.234415810400942</v>
      </c>
    </row>
    <row r="644" customFormat="false" ht="17.15" hidden="false" customHeight="false" outlineLevel="0" collapsed="false">
      <c r="A644" s="4" t="s">
        <v>445</v>
      </c>
      <c r="B644" s="0" t="s">
        <v>34</v>
      </c>
      <c r="C644" s="16" t="n">
        <f aca="false">a25_ni</f>
        <v>24.739</v>
      </c>
      <c r="D644" s="16" t="n">
        <f aca="false">D641*g26_ni/g26_oi</f>
        <v>30.8</v>
      </c>
      <c r="E644" s="16" t="n">
        <f aca="false">E641*nioi</f>
        <v>35.9101453456194</v>
      </c>
      <c r="F644" s="16" t="n">
        <f aca="false">F641*nioi</f>
        <v>41.198034407154</v>
      </c>
      <c r="G644" s="16" t="n">
        <f aca="false">G641*nioi</f>
        <v>44.723318420835</v>
      </c>
      <c r="J644" s="8" t="s">
        <v>560</v>
      </c>
    </row>
    <row r="645" customFormat="false" ht="15" hidden="false" customHeight="false" outlineLevel="0" collapsed="false">
      <c r="A645" s="0" t="s">
        <v>526</v>
      </c>
      <c r="B645" s="0" t="s">
        <v>56</v>
      </c>
      <c r="C645" s="16" t="n">
        <f aca="false">a25_eps</f>
        <v>610.02</v>
      </c>
      <c r="D645" s="16" t="n">
        <f aca="false">D644*1000/shares</f>
        <v>758.83675253348</v>
      </c>
      <c r="E645" s="16" t="n">
        <f aca="false">E644*1000/shares</f>
        <v>884.738249255683</v>
      </c>
      <c r="F645" s="16" t="n">
        <f aca="false">F644*1000/shares</f>
        <v>1015.01891689244</v>
      </c>
      <c r="G645" s="16" t="n">
        <f aca="false">G644*1000/shares</f>
        <v>1101.87330236972</v>
      </c>
    </row>
    <row r="646" customFormat="false" ht="17.15" hidden="false" customHeight="false" outlineLevel="0" collapsed="false">
      <c r="A646" s="4" t="s">
        <v>561</v>
      </c>
      <c r="B646" s="0" t="s">
        <v>34</v>
      </c>
      <c r="C646" s="19" t="n">
        <f aca="false">ABS(C636-a25_rev)+ABS(C641-a25_oi)</f>
        <v>0.00200000000000244</v>
      </c>
    </row>
    <row r="660" customFormat="false" ht="17.15" hidden="false" customHeight="false" outlineLevel="0" collapsed="false">
      <c r="A660" s="1" t="s">
        <v>845</v>
      </c>
    </row>
    <row r="661" customFormat="false" ht="17.15" hidden="false" customHeight="false" outlineLevel="0" collapsed="false">
      <c r="A661" s="5" t="s">
        <v>23</v>
      </c>
      <c r="B661" s="5" t="s">
        <v>24</v>
      </c>
      <c r="C661" s="14" t="s">
        <v>532</v>
      </c>
      <c r="D661" s="14" t="s">
        <v>533</v>
      </c>
      <c r="E661" s="14" t="s">
        <v>534</v>
      </c>
      <c r="F661" s="14" t="s">
        <v>535</v>
      </c>
      <c r="G661" s="14" t="s">
        <v>536</v>
      </c>
      <c r="H661" s="14" t="s">
        <v>537</v>
      </c>
      <c r="I661" s="5"/>
      <c r="J661" s="5" t="s">
        <v>520</v>
      </c>
    </row>
    <row r="662" customFormat="false" ht="17.15" hidden="false" customHeight="false" outlineLevel="0" collapsed="false">
      <c r="A662" s="6" t="s">
        <v>538</v>
      </c>
    </row>
    <row r="663" customFormat="false" ht="17.15" hidden="false" customHeight="false" outlineLevel="0" collapsed="false">
      <c r="A663" s="4" t="s">
        <v>539</v>
      </c>
      <c r="B663" s="0" t="s">
        <v>160</v>
      </c>
      <c r="C663" s="16" t="n">
        <f aca="false">tstA_25</f>
        <v>14.7359586560428</v>
      </c>
      <c r="D663" s="16" t="n">
        <f aca="false">tstA_26</f>
        <v>18.65</v>
      </c>
      <c r="E663" s="16" t="n">
        <f aca="false">tstA_27</f>
        <v>21.6346744396519</v>
      </c>
      <c r="F663" s="16" t="n">
        <f aca="false">tstA_28</f>
        <v>25.1</v>
      </c>
      <c r="G663" s="16" t="n">
        <f aca="false">tstA_29</f>
        <v>27.108</v>
      </c>
      <c r="H663" s="16" t="n">
        <f aca="false">G663*(1+g_tail)</f>
        <v>27.108</v>
      </c>
      <c r="J663" s="8" t="s">
        <v>540</v>
      </c>
    </row>
    <row r="664" customFormat="false" ht="17.15" hidden="false" customHeight="false" outlineLevel="0" collapsed="false">
      <c r="A664" s="4" t="s">
        <v>541</v>
      </c>
      <c r="B664" s="0" t="s">
        <v>160</v>
      </c>
      <c r="C664" s="16" t="n">
        <f aca="false">apkA_25</f>
        <v>3.05656934306569</v>
      </c>
      <c r="D664" s="16" t="n">
        <f aca="false">apkA_26</f>
        <v>3.35</v>
      </c>
      <c r="E664" s="16" t="n">
        <f aca="false">apkA_27</f>
        <v>3.79539194286967</v>
      </c>
      <c r="F664" s="16" t="n">
        <f aca="false">apkA_28</f>
        <v>4.3</v>
      </c>
      <c r="G664" s="16" t="n">
        <f aca="false">apkA_29</f>
        <v>4.644</v>
      </c>
      <c r="H664" s="16" t="n">
        <f aca="false">G664*(1+g_tail)</f>
        <v>4.644</v>
      </c>
    </row>
    <row r="665" customFormat="false" ht="15" hidden="false" customHeight="false" outlineLevel="0" collapsed="false">
      <c r="A665" s="4" t="s">
        <v>542</v>
      </c>
      <c r="B665" s="0" t="s">
        <v>160</v>
      </c>
      <c r="C665" s="16" t="n">
        <f aca="false">wfeA_25</f>
        <v>116.896831844029</v>
      </c>
      <c r="D665" s="16" t="n">
        <f aca="false">wfeA_26</f>
        <v>156.157050570127</v>
      </c>
      <c r="E665" s="16" t="n">
        <f aca="false">wfeA_27</f>
        <v>192.795469377561</v>
      </c>
      <c r="F665" s="16" t="n">
        <f aca="false">wfeA_28</f>
        <v>216.628626308958</v>
      </c>
      <c r="G665" s="16" t="n">
        <f aca="false">wfeA_29</f>
        <v>228.903685855226</v>
      </c>
      <c r="H665" s="16" t="n">
        <f aca="false">G665*(1+g_tail)</f>
        <v>228.903685855226</v>
      </c>
    </row>
    <row r="666" customFormat="false" ht="17.15" hidden="false" customHeight="false" outlineLevel="0" collapsed="false">
      <c r="A666" s="6" t="s">
        <v>543</v>
      </c>
    </row>
    <row r="667" customFormat="false" ht="15" hidden="false" customHeight="false" outlineLevel="0" collapsed="false">
      <c r="A667" s="4" t="s">
        <v>544</v>
      </c>
      <c r="B667" s="0" t="s">
        <v>301</v>
      </c>
      <c r="C667" s="19" t="n">
        <f aca="false">(0.75*C663+0.25*D663)/(0.75*D663+0.25*E663)</f>
        <v>0.810184181632695</v>
      </c>
      <c r="D667" s="19" t="n">
        <f aca="false">(0.75*D663+0.25*E663)/(0.75*D663+0.25*E663)</f>
        <v>1</v>
      </c>
      <c r="E667" s="19" t="n">
        <f aca="false">(0.75*E663+0.25*F663)/(0.75*D663+0.25*E663)</f>
        <v>1.16007476952119</v>
      </c>
      <c r="F667" s="19" t="n">
        <f aca="false">(0.75*F663+0.25*G663)/(0.75*D663+0.25*E663)</f>
        <v>1.31995140457355</v>
      </c>
      <c r="G667" s="19" t="n">
        <f aca="false">(0.75*G663+0.25*H663)/(0.75*D663+0.25*E663)</f>
        <v>1.39759560484258</v>
      </c>
    </row>
    <row r="668" customFormat="false" ht="17.15" hidden="false" customHeight="false" outlineLevel="0" collapsed="false">
      <c r="A668" s="4" t="s">
        <v>545</v>
      </c>
      <c r="B668" s="0" t="s">
        <v>301</v>
      </c>
      <c r="C668" s="19" t="n">
        <f aca="false">w_cmp*(0.75*C665+0.25*D665)/(0.75*D665+0.25*E665)+(1-w_cmp)*(0.75*C664+0.25*D664)/(0.75*D664+0.25*E664)</f>
        <v>0.876696686135123</v>
      </c>
      <c r="D668" s="19" t="n">
        <f aca="false">w_cmp*(0.75*D665+0.25*E665)/(0.75*D665+0.25*E665)+(1-w_cmp)*(0.75*D664+0.25*E664)/(0.75*D664+0.25*E664)</f>
        <v>1</v>
      </c>
      <c r="E668" s="19" t="n">
        <f aca="false">w_cmp*(0.75*E665+0.25*F665)/(0.75*D665+0.25*E665)+(1-w_cmp)*(0.75*E664+0.25*F664)/(0.75*D664+0.25*E664)</f>
        <v>1.14681444452041</v>
      </c>
      <c r="F668" s="19" t="n">
        <f aca="false">w_cmp*(0.75*F665+0.25*G665)/(0.75*D665+0.25*E665)+(1-w_cmp)*(0.75*F664+0.25*G664)/(0.75*D664+0.25*E664)</f>
        <v>1.27949889890768</v>
      </c>
      <c r="G668" s="19" t="n">
        <f aca="false">w_cmp*(0.75*G665+0.25*H665)/(0.75*D665+0.25*E665)+(1-w_cmp)*(0.75*G664+0.25*H664)/(0.75*D664+0.25*E664)</f>
        <v>1.35026661708511</v>
      </c>
    </row>
    <row r="669" customFormat="false" ht="17.15" hidden="false" customHeight="false" outlineLevel="0" collapsed="false">
      <c r="A669" s="4" t="s">
        <v>546</v>
      </c>
      <c r="B669" s="0" t="s">
        <v>301</v>
      </c>
      <c r="D669" s="19" t="n">
        <f aca="false">(1+exc_A)^0</f>
        <v>1</v>
      </c>
      <c r="E669" s="19" t="n">
        <f aca="false">(1+exc_A)^1</f>
        <v>1.03</v>
      </c>
      <c r="F669" s="19" t="n">
        <f aca="false">(1+exc_A)^2</f>
        <v>1.0609</v>
      </c>
      <c r="G669" s="19" t="n">
        <f aca="false">(1+exc_A)^3</f>
        <v>1.092727</v>
      </c>
    </row>
    <row r="670" customFormat="false" ht="17.15" hidden="false" customHeight="false" outlineLevel="0" collapsed="false">
      <c r="A670" s="4" t="s">
        <v>547</v>
      </c>
      <c r="B670" s="0" t="s">
        <v>301</v>
      </c>
      <c r="D670" s="19" t="n">
        <f aca="false">1</f>
        <v>1</v>
      </c>
      <c r="E670" s="19" t="n">
        <f aca="false">1+chn*chh_A*0.5</f>
        <v>1</v>
      </c>
      <c r="F670" s="19" t="n">
        <f aca="false">1+chn*chh_A</f>
        <v>1</v>
      </c>
      <c r="G670" s="19" t="n">
        <f aca="false">1+chn*chh_A</f>
        <v>1</v>
      </c>
    </row>
    <row r="671" customFormat="false" ht="17.15" hidden="false" customHeight="false" outlineLevel="0" collapsed="false">
      <c r="A671" s="6" t="s">
        <v>548</v>
      </c>
    </row>
    <row r="672" customFormat="false" ht="17.15" hidden="false" customHeight="false" outlineLevel="0" collapsed="false">
      <c r="A672" s="4" t="s">
        <v>549</v>
      </c>
      <c r="B672" s="0" t="s">
        <v>34</v>
      </c>
      <c r="C672" s="16" t="n">
        <f aca="false">spe_25*w_pr</f>
        <v>92.07216</v>
      </c>
      <c r="D672" s="16" t="n">
        <f aca="false">g26_spe*(1+g_anc)*w_pr</f>
        <v>106.2</v>
      </c>
      <c r="E672" s="16" t="n">
        <f aca="false">$D672*E667*E669*E670</f>
        <v>126.895938738845</v>
      </c>
      <c r="F672" s="16" t="n">
        <f aca="false">$D672*F667*F669*F670</f>
        <v>148.715730470903</v>
      </c>
      <c r="G672" s="16" t="n">
        <f aca="false">$D672*G667*G669*G670</f>
        <v>162.187626054737</v>
      </c>
      <c r="J672" s="8" t="s">
        <v>550</v>
      </c>
    </row>
    <row r="673" customFormat="false" ht="17.15" hidden="false" customHeight="false" outlineLevel="0" collapsed="false">
      <c r="A673" s="4" t="s">
        <v>551</v>
      </c>
      <c r="B673" s="0" t="s">
        <v>34</v>
      </c>
      <c r="C673" s="16" t="n">
        <f aca="false">spe_25*(1-w_pr)</f>
        <v>35.80584</v>
      </c>
      <c r="D673" s="16" t="n">
        <f aca="false">g26_spe*(1+g_anc)*(1-w_pr)</f>
        <v>41.3</v>
      </c>
      <c r="E673" s="16" t="n">
        <f aca="false">$D673*E668*E669*E670</f>
        <v>48.7843396554535</v>
      </c>
      <c r="F673" s="16" t="n">
        <f aca="false">$D673*F668*F669*F670</f>
        <v>56.061461770453</v>
      </c>
      <c r="G673" s="16" t="n">
        <f aca="false">$D673*G668*G669*G670</f>
        <v>60.9370262140963</v>
      </c>
    </row>
    <row r="674" customFormat="false" ht="17.15" hidden="false" customHeight="false" outlineLevel="0" collapsed="false">
      <c r="A674" s="4" t="s">
        <v>552</v>
      </c>
      <c r="B674" s="0" t="s">
        <v>34</v>
      </c>
      <c r="C674" s="16" t="n">
        <f aca="false">C672+C673</f>
        <v>127.878</v>
      </c>
      <c r="D674" s="16" t="n">
        <f aca="false">D672+D673</f>
        <v>147.5</v>
      </c>
      <c r="E674" s="16" t="n">
        <f aca="false">E672+E673</f>
        <v>175.680278394298</v>
      </c>
      <c r="F674" s="16" t="n">
        <f aca="false">F672+F673</f>
        <v>204.777192241356</v>
      </c>
      <c r="G674" s="16" t="n">
        <f aca="false">G672+G673</f>
        <v>223.124652268834</v>
      </c>
    </row>
    <row r="675" customFormat="false" ht="15" hidden="false" customHeight="false" outlineLevel="0" collapsed="false">
      <c r="A675" s="4" t="s">
        <v>553</v>
      </c>
      <c r="B675" s="0" t="s">
        <v>34</v>
      </c>
      <c r="C675" s="16" t="n">
        <f aca="false">met_25</f>
        <v>38.96</v>
      </c>
      <c r="D675" s="16" t="n">
        <f aca="false">g26_met*(1+g_anc)</f>
        <v>41.5</v>
      </c>
      <c r="E675" s="16" t="n">
        <f aca="false">D675*(1+gmet_A)</f>
        <v>43.99</v>
      </c>
      <c r="F675" s="16" t="n">
        <f aca="false">E675*(1+gmet_A)</f>
        <v>46.6294</v>
      </c>
      <c r="G675" s="16" t="n">
        <f aca="false">F675*(1+gmet_A)</f>
        <v>49.427164</v>
      </c>
    </row>
    <row r="676" customFormat="false" ht="17.15" hidden="false" customHeight="false" outlineLevel="0" collapsed="false">
      <c r="A676" s="4" t="s">
        <v>438</v>
      </c>
      <c r="B676" s="0" t="s">
        <v>34</v>
      </c>
      <c r="C676" s="16" t="n">
        <f aca="false">C674+C675</f>
        <v>166.838</v>
      </c>
      <c r="D676" s="16" t="n">
        <f aca="false">D674+D675</f>
        <v>189</v>
      </c>
      <c r="E676" s="16" t="n">
        <f aca="false">E674+E675</f>
        <v>219.670278394298</v>
      </c>
      <c r="F676" s="16" t="n">
        <f aca="false">F674+F675</f>
        <v>251.406592241356</v>
      </c>
      <c r="G676" s="16" t="n">
        <f aca="false">G674+G675</f>
        <v>272.551816268834</v>
      </c>
      <c r="J676" s="8" t="s">
        <v>554</v>
      </c>
    </row>
    <row r="677" customFormat="false" ht="17.15" hidden="false" customHeight="false" outlineLevel="0" collapsed="false">
      <c r="A677" s="0" t="s">
        <v>555</v>
      </c>
      <c r="B677" s="0" t="s">
        <v>108</v>
      </c>
      <c r="C677" s="11" t="n">
        <f aca="false">C674/C676</f>
        <v>0.766480058499862</v>
      </c>
      <c r="D677" s="11" t="n">
        <f aca="false">D674/D676</f>
        <v>0.780423280423281</v>
      </c>
      <c r="E677" s="11" t="n">
        <f aca="false">E674/E676</f>
        <v>0.799745325942366</v>
      </c>
      <c r="F677" s="11" t="n">
        <f aca="false">F674/F676</f>
        <v>0.814525945464331</v>
      </c>
      <c r="G677" s="11" t="n">
        <f aca="false">G674/G676</f>
        <v>0.818650395815939</v>
      </c>
    </row>
    <row r="678" customFormat="false" ht="17.15" hidden="false" customHeight="false" outlineLevel="0" collapsed="false">
      <c r="A678" s="6" t="s">
        <v>556</v>
      </c>
    </row>
    <row r="679" customFormat="false" ht="17.15" hidden="false" customHeight="false" outlineLevel="0" collapsed="false">
      <c r="A679" s="0" t="s">
        <v>455</v>
      </c>
      <c r="B679" s="0" t="s">
        <v>34</v>
      </c>
      <c r="C679" s="16" t="n">
        <f aca="false">spe_op25</f>
        <v>28.404</v>
      </c>
      <c r="D679" s="16" t="n">
        <f aca="false">g26_spe*m_spe26+v_s*(D674-g26_spe)</f>
        <v>37.6125</v>
      </c>
      <c r="E679" s="16" t="n">
        <f aca="false">$D679+v_s*(E674-$D674)</f>
        <v>46.0886608620245</v>
      </c>
      <c r="F679" s="16" t="n">
        <f aca="false">$D679+v_s*(F674-$D674)+0*F674</f>
        <v>54.8405304818089</v>
      </c>
      <c r="G679" s="16" t="n">
        <f aca="false">$D679+v_s*(G674-$D674)+0*G674</f>
        <v>60.3591424850862</v>
      </c>
      <c r="J679" s="4" t="s">
        <v>557</v>
      </c>
    </row>
    <row r="680" customFormat="false" ht="17.15" hidden="false" customHeight="false" outlineLevel="0" collapsed="false">
      <c r="A680" s="4" t="s">
        <v>460</v>
      </c>
      <c r="B680" s="0" t="s">
        <v>34</v>
      </c>
      <c r="C680" s="16" t="n">
        <f aca="false">met_op25</f>
        <v>5.333</v>
      </c>
      <c r="D680" s="16" t="n">
        <f aca="false">(g26_oi-g26_spe*m_spe26)+v_m*(D675-g26_met)</f>
        <v>6.3875</v>
      </c>
      <c r="E680" s="16" t="n">
        <f aca="false">$D680+v_m*(E675-$D675)</f>
        <v>6.98670815775652</v>
      </c>
      <c r="F680" s="16" t="n">
        <f aca="false">$D680+v_m*(F675-$D675)</f>
        <v>7.62186880497842</v>
      </c>
      <c r="G680" s="16" t="n">
        <f aca="false">$D680+v_m*(G675-$D675)</f>
        <v>8.29513909103364</v>
      </c>
      <c r="J680" s="8" t="s">
        <v>558</v>
      </c>
    </row>
    <row r="681" customFormat="false" ht="15" hidden="false" customHeight="false" outlineLevel="0" collapsed="false">
      <c r="A681" s="4" t="s">
        <v>442</v>
      </c>
      <c r="B681" s="0" t="s">
        <v>34</v>
      </c>
      <c r="C681" s="16" t="n">
        <f aca="false">C679+C680</f>
        <v>33.737</v>
      </c>
      <c r="D681" s="16" t="n">
        <f aca="false">D679+D680</f>
        <v>44</v>
      </c>
      <c r="E681" s="16" t="n">
        <f aca="false">E679+E680</f>
        <v>53.0753690197811</v>
      </c>
      <c r="F681" s="16" t="n">
        <f aca="false">F679+F680</f>
        <v>62.4623992867873</v>
      </c>
      <c r="G681" s="16" t="n">
        <f aca="false">G679+G680</f>
        <v>68.6542815761198</v>
      </c>
    </row>
    <row r="682" customFormat="false" ht="17.15" hidden="false" customHeight="false" outlineLevel="0" collapsed="false">
      <c r="A682" s="0" t="s">
        <v>525</v>
      </c>
      <c r="B682" s="0" t="s">
        <v>108</v>
      </c>
      <c r="C682" s="11" t="n">
        <f aca="false">C679/C674</f>
        <v>0.222117956176981</v>
      </c>
      <c r="D682" s="11" t="n">
        <f aca="false">D679/D674</f>
        <v>0.255</v>
      </c>
      <c r="E682" s="11" t="n">
        <f aca="false">E679/E674</f>
        <v>0.262343965317397</v>
      </c>
      <c r="F682" s="11" t="n">
        <f aca="false">F679/F674</f>
        <v>0.267805852212157</v>
      </c>
      <c r="G682" s="11" t="n">
        <f aca="false">G679/G674</f>
        <v>0.270517586789836</v>
      </c>
    </row>
    <row r="683" customFormat="false" ht="15" hidden="false" customHeight="false" outlineLevel="0" collapsed="false">
      <c r="A683" s="4" t="s">
        <v>559</v>
      </c>
      <c r="B683" s="0" t="s">
        <v>108</v>
      </c>
      <c r="C683" s="11" t="n">
        <f aca="false">C681/C676</f>
        <v>0.202214123880651</v>
      </c>
      <c r="D683" s="11" t="n">
        <f aca="false">D681/D676</f>
        <v>0.232804232804233</v>
      </c>
      <c r="E683" s="11" t="n">
        <f aca="false">E681/E676</f>
        <v>0.24161379230609</v>
      </c>
      <c r="F683" s="11" t="n">
        <f aca="false">F681/F676</f>
        <v>0.248451716122154</v>
      </c>
      <c r="G683" s="11" t="n">
        <f aca="false">G681/G676</f>
        <v>0.251894419622587</v>
      </c>
    </row>
    <row r="684" customFormat="false" ht="17.15" hidden="false" customHeight="false" outlineLevel="0" collapsed="false">
      <c r="A684" s="4" t="s">
        <v>445</v>
      </c>
      <c r="B684" s="0" t="s">
        <v>34</v>
      </c>
      <c r="C684" s="16" t="n">
        <f aca="false">a25_ni</f>
        <v>24.739</v>
      </c>
      <c r="D684" s="16" t="n">
        <f aca="false">D681*g26_ni/g26_oi</f>
        <v>30.8</v>
      </c>
      <c r="E684" s="16" t="n">
        <f aca="false">E681*nioi_lo</f>
        <v>36.0912509334511</v>
      </c>
      <c r="F684" s="16" t="n">
        <f aca="false">F681*nioi_lo</f>
        <v>42.4744315150154</v>
      </c>
      <c r="G684" s="16" t="n">
        <f aca="false">G681*nioi_lo</f>
        <v>46.6849114717615</v>
      </c>
      <c r="J684" s="8" t="s">
        <v>560</v>
      </c>
    </row>
    <row r="685" customFormat="false" ht="15" hidden="false" customHeight="false" outlineLevel="0" collapsed="false">
      <c r="A685" s="0" t="s">
        <v>526</v>
      </c>
      <c r="B685" s="0" t="s">
        <v>56</v>
      </c>
      <c r="C685" s="16" t="n">
        <f aca="false">a25_eps</f>
        <v>610.02</v>
      </c>
      <c r="D685" s="16" t="n">
        <f aca="false">D684*1000/shares</f>
        <v>758.83675253348</v>
      </c>
      <c r="E685" s="16" t="n">
        <f aca="false">E684*1000/shares</f>
        <v>889.200248480876</v>
      </c>
      <c r="F685" s="16" t="n">
        <f aca="false">F684*1000/shares</f>
        <v>1046.46622326493</v>
      </c>
      <c r="G685" s="16" t="n">
        <f aca="false">G684*1000/shares</f>
        <v>1150.20216277742</v>
      </c>
    </row>
    <row r="686" customFormat="false" ht="17.15" hidden="false" customHeight="false" outlineLevel="0" collapsed="false">
      <c r="A686" s="4" t="s">
        <v>561</v>
      </c>
      <c r="B686" s="0" t="s">
        <v>34</v>
      </c>
      <c r="C686" s="19" t="n">
        <f aca="false">ABS(C676-a25_rev)+ABS(C681-a25_oi)</f>
        <v>0.00200000000000244</v>
      </c>
    </row>
    <row r="700" customFormat="false" ht="17.15" hidden="false" customHeight="false" outlineLevel="0" collapsed="false">
      <c r="A700" s="1" t="s">
        <v>846</v>
      </c>
    </row>
    <row r="701" customFormat="false" ht="17.15" hidden="false" customHeight="false" outlineLevel="0" collapsed="false">
      <c r="A701" s="5" t="s">
        <v>23</v>
      </c>
      <c r="B701" s="5" t="s">
        <v>24</v>
      </c>
      <c r="C701" s="14" t="s">
        <v>532</v>
      </c>
      <c r="D701" s="14" t="s">
        <v>533</v>
      </c>
      <c r="E701" s="14" t="s">
        <v>534</v>
      </c>
      <c r="F701" s="14" t="s">
        <v>535</v>
      </c>
      <c r="G701" s="14" t="s">
        <v>536</v>
      </c>
      <c r="H701" s="14" t="s">
        <v>537</v>
      </c>
      <c r="I701" s="5"/>
      <c r="J701" s="5" t="s">
        <v>520</v>
      </c>
    </row>
    <row r="702" customFormat="false" ht="17.15" hidden="false" customHeight="false" outlineLevel="0" collapsed="false">
      <c r="A702" s="6" t="s">
        <v>538</v>
      </c>
    </row>
    <row r="703" customFormat="false" ht="17.15" hidden="false" customHeight="false" outlineLevel="0" collapsed="false">
      <c r="A703" s="4" t="s">
        <v>539</v>
      </c>
      <c r="B703" s="0" t="s">
        <v>160</v>
      </c>
      <c r="C703" s="16" t="n">
        <f aca="false">tstA_25</f>
        <v>14.7359586560428</v>
      </c>
      <c r="D703" s="16" t="n">
        <f aca="false">tstA_26</f>
        <v>18.65</v>
      </c>
      <c r="E703" s="16" t="n">
        <f aca="false">tstA_27</f>
        <v>21.6346744396519</v>
      </c>
      <c r="F703" s="16" t="n">
        <f aca="false">tstA_28</f>
        <v>25.1</v>
      </c>
      <c r="G703" s="16" t="n">
        <f aca="false">tstA_29</f>
        <v>27.108</v>
      </c>
      <c r="H703" s="16" t="n">
        <f aca="false">G703*(1+g_tail)</f>
        <v>27.108</v>
      </c>
      <c r="J703" s="8" t="s">
        <v>540</v>
      </c>
    </row>
    <row r="704" customFormat="false" ht="17.15" hidden="false" customHeight="false" outlineLevel="0" collapsed="false">
      <c r="A704" s="4" t="s">
        <v>541</v>
      </c>
      <c r="B704" s="0" t="s">
        <v>160</v>
      </c>
      <c r="C704" s="16" t="n">
        <f aca="false">apkA_25</f>
        <v>3.05656934306569</v>
      </c>
      <c r="D704" s="16" t="n">
        <f aca="false">apkA_26</f>
        <v>3.35</v>
      </c>
      <c r="E704" s="16" t="n">
        <f aca="false">apkA_27</f>
        <v>3.79539194286967</v>
      </c>
      <c r="F704" s="16" t="n">
        <f aca="false">apkA_28</f>
        <v>4.3</v>
      </c>
      <c r="G704" s="16" t="n">
        <f aca="false">apkA_29</f>
        <v>4.644</v>
      </c>
      <c r="H704" s="16" t="n">
        <f aca="false">G704*(1+g_tail)</f>
        <v>4.644</v>
      </c>
    </row>
    <row r="705" customFormat="false" ht="15" hidden="false" customHeight="false" outlineLevel="0" collapsed="false">
      <c r="A705" s="4" t="s">
        <v>542</v>
      </c>
      <c r="B705" s="0" t="s">
        <v>160</v>
      </c>
      <c r="C705" s="16" t="n">
        <f aca="false">wfeA_25</f>
        <v>116.896831844029</v>
      </c>
      <c r="D705" s="16" t="n">
        <f aca="false">wfeA_26</f>
        <v>156.157050570127</v>
      </c>
      <c r="E705" s="16" t="n">
        <f aca="false">wfeA_27</f>
        <v>192.795469377561</v>
      </c>
      <c r="F705" s="16" t="n">
        <f aca="false">wfeA_28</f>
        <v>216.628626308958</v>
      </c>
      <c r="G705" s="16" t="n">
        <f aca="false">wfeA_29</f>
        <v>228.903685855226</v>
      </c>
      <c r="H705" s="16" t="n">
        <f aca="false">G705*(1+g_tail)</f>
        <v>228.903685855226</v>
      </c>
    </row>
    <row r="706" customFormat="false" ht="17.15" hidden="false" customHeight="false" outlineLevel="0" collapsed="false">
      <c r="A706" s="6" t="s">
        <v>543</v>
      </c>
    </row>
    <row r="707" customFormat="false" ht="15" hidden="false" customHeight="false" outlineLevel="0" collapsed="false">
      <c r="A707" s="4" t="s">
        <v>544</v>
      </c>
      <c r="B707" s="0" t="s">
        <v>301</v>
      </c>
      <c r="C707" s="19" t="n">
        <f aca="false">(0.75*C703+0.25*D703)/(0.75*D703+0.25*E703)</f>
        <v>0.810184181632695</v>
      </c>
      <c r="D707" s="19" t="n">
        <f aca="false">(0.75*D703+0.25*E703)/(0.75*D703+0.25*E703)</f>
        <v>1</v>
      </c>
      <c r="E707" s="19" t="n">
        <f aca="false">(0.75*E703+0.25*F703)/(0.75*D703+0.25*E703)</f>
        <v>1.16007476952119</v>
      </c>
      <c r="F707" s="19" t="n">
        <f aca="false">(0.75*F703+0.25*G703)/(0.75*D703+0.25*E703)</f>
        <v>1.31995140457355</v>
      </c>
      <c r="G707" s="19" t="n">
        <f aca="false">(0.75*G703+0.25*H703)/(0.75*D703+0.25*E703)</f>
        <v>1.39759560484258</v>
      </c>
    </row>
    <row r="708" customFormat="false" ht="17.15" hidden="false" customHeight="false" outlineLevel="0" collapsed="false">
      <c r="A708" s="4" t="s">
        <v>545</v>
      </c>
      <c r="B708" s="0" t="s">
        <v>301</v>
      </c>
      <c r="C708" s="19" t="n">
        <f aca="false">w_cmp*(0.75*C705+0.25*D705)/(0.75*D705+0.25*E705)+(1-w_cmp)*(0.75*C704+0.25*D704)/(0.75*D704+0.25*E704)</f>
        <v>0.876696686135123</v>
      </c>
      <c r="D708" s="19" t="n">
        <f aca="false">w_cmp*(0.75*D705+0.25*E705)/(0.75*D705+0.25*E705)+(1-w_cmp)*(0.75*D704+0.25*E704)/(0.75*D704+0.25*E704)</f>
        <v>1</v>
      </c>
      <c r="E708" s="19" t="n">
        <f aca="false">w_cmp*(0.75*E705+0.25*F705)/(0.75*D705+0.25*E705)+(1-w_cmp)*(0.75*E704+0.25*F704)/(0.75*D704+0.25*E704)</f>
        <v>1.14681444452041</v>
      </c>
      <c r="F708" s="19" t="n">
        <f aca="false">w_cmp*(0.75*F705+0.25*G705)/(0.75*D705+0.25*E705)+(1-w_cmp)*(0.75*F704+0.25*G704)/(0.75*D704+0.25*E704)</f>
        <v>1.27949889890768</v>
      </c>
      <c r="G708" s="19" t="n">
        <f aca="false">w_cmp*(0.75*G705+0.25*H705)/(0.75*D705+0.25*E705)+(1-w_cmp)*(0.75*G704+0.25*H704)/(0.75*D704+0.25*E704)</f>
        <v>1.35026661708511</v>
      </c>
    </row>
    <row r="709" customFormat="false" ht="17.15" hidden="false" customHeight="false" outlineLevel="0" collapsed="false">
      <c r="A709" s="4" t="s">
        <v>546</v>
      </c>
      <c r="B709" s="0" t="s">
        <v>301</v>
      </c>
      <c r="D709" s="19" t="n">
        <f aca="false">(1+exc_A)^0</f>
        <v>1</v>
      </c>
      <c r="E709" s="19" t="n">
        <f aca="false">(1+exc_A)^1</f>
        <v>1.03</v>
      </c>
      <c r="F709" s="19" t="n">
        <f aca="false">(1+exc_A)^2</f>
        <v>1.0609</v>
      </c>
      <c r="G709" s="19" t="n">
        <f aca="false">(1+exc_A)^3</f>
        <v>1.092727</v>
      </c>
    </row>
    <row r="710" customFormat="false" ht="17.15" hidden="false" customHeight="false" outlineLevel="0" collapsed="false">
      <c r="A710" s="4" t="s">
        <v>547</v>
      </c>
      <c r="B710" s="0" t="s">
        <v>301</v>
      </c>
      <c r="D710" s="19" t="n">
        <f aca="false">1</f>
        <v>1</v>
      </c>
      <c r="E710" s="19" t="n">
        <f aca="false">1+chn*chh_A*0.5</f>
        <v>1</v>
      </c>
      <c r="F710" s="19" t="n">
        <f aca="false">1+chn*chh_A</f>
        <v>1</v>
      </c>
      <c r="G710" s="19" t="n">
        <f aca="false">1+chn*chh_A</f>
        <v>1</v>
      </c>
    </row>
    <row r="711" customFormat="false" ht="17.15" hidden="false" customHeight="false" outlineLevel="0" collapsed="false">
      <c r="A711" s="6" t="s">
        <v>548</v>
      </c>
    </row>
    <row r="712" customFormat="false" ht="17.15" hidden="false" customHeight="false" outlineLevel="0" collapsed="false">
      <c r="A712" s="4" t="s">
        <v>549</v>
      </c>
      <c r="B712" s="0" t="s">
        <v>34</v>
      </c>
      <c r="C712" s="16" t="n">
        <f aca="false">spe_25*w_pr</f>
        <v>92.07216</v>
      </c>
      <c r="D712" s="16" t="n">
        <f aca="false">g26_spe*(1+g_anc)*w_pr</f>
        <v>106.2</v>
      </c>
      <c r="E712" s="16" t="n">
        <f aca="false">$D712*E707*E709*E710</f>
        <v>126.895938738845</v>
      </c>
      <c r="F712" s="16" t="n">
        <f aca="false">$D712*F707*F709*F710</f>
        <v>148.715730470903</v>
      </c>
      <c r="G712" s="16" t="n">
        <f aca="false">$D712*G707*G709*G710</f>
        <v>162.187626054737</v>
      </c>
      <c r="J712" s="8" t="s">
        <v>550</v>
      </c>
    </row>
    <row r="713" customFormat="false" ht="17.15" hidden="false" customHeight="false" outlineLevel="0" collapsed="false">
      <c r="A713" s="4" t="s">
        <v>551</v>
      </c>
      <c r="B713" s="0" t="s">
        <v>34</v>
      </c>
      <c r="C713" s="16" t="n">
        <f aca="false">spe_25*(1-w_pr)</f>
        <v>35.80584</v>
      </c>
      <c r="D713" s="16" t="n">
        <f aca="false">g26_spe*(1+g_anc)*(1-w_pr)</f>
        <v>41.3</v>
      </c>
      <c r="E713" s="16" t="n">
        <f aca="false">$D713*E708*E709*E710</f>
        <v>48.7843396554535</v>
      </c>
      <c r="F713" s="16" t="n">
        <f aca="false">$D713*F708*F709*F710</f>
        <v>56.061461770453</v>
      </c>
      <c r="G713" s="16" t="n">
        <f aca="false">$D713*G708*G709*G710</f>
        <v>60.9370262140963</v>
      </c>
    </row>
    <row r="714" customFormat="false" ht="17.15" hidden="false" customHeight="false" outlineLevel="0" collapsed="false">
      <c r="A714" s="4" t="s">
        <v>552</v>
      </c>
      <c r="B714" s="0" t="s">
        <v>34</v>
      </c>
      <c r="C714" s="16" t="n">
        <f aca="false">C712+C713</f>
        <v>127.878</v>
      </c>
      <c r="D714" s="16" t="n">
        <f aca="false">D712+D713</f>
        <v>147.5</v>
      </c>
      <c r="E714" s="16" t="n">
        <f aca="false">E712+E713</f>
        <v>175.680278394298</v>
      </c>
      <c r="F714" s="16" t="n">
        <f aca="false">F712+F713</f>
        <v>204.777192241356</v>
      </c>
      <c r="G714" s="16" t="n">
        <f aca="false">G712+G713</f>
        <v>223.124652268834</v>
      </c>
    </row>
    <row r="715" customFormat="false" ht="15" hidden="false" customHeight="false" outlineLevel="0" collapsed="false">
      <c r="A715" s="4" t="s">
        <v>553</v>
      </c>
      <c r="B715" s="0" t="s">
        <v>34</v>
      </c>
      <c r="C715" s="16" t="n">
        <f aca="false">met_25</f>
        <v>38.96</v>
      </c>
      <c r="D715" s="16" t="n">
        <f aca="false">g26_met*(1+g_anc)</f>
        <v>41.5</v>
      </c>
      <c r="E715" s="16" t="n">
        <f aca="false">D715*(1+gmet_A)</f>
        <v>43.99</v>
      </c>
      <c r="F715" s="16" t="n">
        <f aca="false">E715*(1+gmet_A)</f>
        <v>46.6294</v>
      </c>
      <c r="G715" s="16" t="n">
        <f aca="false">F715*(1+gmet_A)</f>
        <v>49.427164</v>
      </c>
    </row>
    <row r="716" customFormat="false" ht="17.15" hidden="false" customHeight="false" outlineLevel="0" collapsed="false">
      <c r="A716" s="4" t="s">
        <v>438</v>
      </c>
      <c r="B716" s="0" t="s">
        <v>34</v>
      </c>
      <c r="C716" s="16" t="n">
        <f aca="false">C714+C715</f>
        <v>166.838</v>
      </c>
      <c r="D716" s="16" t="n">
        <f aca="false">D714+D715</f>
        <v>189</v>
      </c>
      <c r="E716" s="16" t="n">
        <f aca="false">E714+E715</f>
        <v>219.670278394298</v>
      </c>
      <c r="F716" s="16" t="n">
        <f aca="false">F714+F715</f>
        <v>251.406592241356</v>
      </c>
      <c r="G716" s="16" t="n">
        <f aca="false">G714+G715</f>
        <v>272.551816268834</v>
      </c>
      <c r="J716" s="8" t="s">
        <v>554</v>
      </c>
    </row>
    <row r="717" customFormat="false" ht="17.15" hidden="false" customHeight="false" outlineLevel="0" collapsed="false">
      <c r="A717" s="0" t="s">
        <v>555</v>
      </c>
      <c r="B717" s="0" t="s">
        <v>108</v>
      </c>
      <c r="C717" s="11" t="n">
        <f aca="false">C714/C716</f>
        <v>0.766480058499862</v>
      </c>
      <c r="D717" s="11" t="n">
        <f aca="false">D714/D716</f>
        <v>0.780423280423281</v>
      </c>
      <c r="E717" s="11" t="n">
        <f aca="false">E714/E716</f>
        <v>0.799745325942366</v>
      </c>
      <c r="F717" s="11" t="n">
        <f aca="false">F714/F716</f>
        <v>0.814525945464331</v>
      </c>
      <c r="G717" s="11" t="n">
        <f aca="false">G714/G716</f>
        <v>0.818650395815939</v>
      </c>
    </row>
    <row r="718" customFormat="false" ht="17.15" hidden="false" customHeight="false" outlineLevel="0" collapsed="false">
      <c r="A718" s="6" t="s">
        <v>556</v>
      </c>
    </row>
    <row r="719" customFormat="false" ht="17.15" hidden="false" customHeight="false" outlineLevel="0" collapsed="false">
      <c r="A719" s="0" t="s">
        <v>455</v>
      </c>
      <c r="B719" s="0" t="s">
        <v>34</v>
      </c>
      <c r="C719" s="16" t="n">
        <f aca="false">spe_op25</f>
        <v>28.404</v>
      </c>
      <c r="D719" s="16" t="n">
        <f aca="false">g26_spe*m_spe26+v_s*(D714-g26_spe)</f>
        <v>37.6125</v>
      </c>
      <c r="E719" s="16" t="n">
        <f aca="false">$D719+v_s*(E714-$D714)</f>
        <v>46.0886608620245</v>
      </c>
      <c r="F719" s="16" t="n">
        <f aca="false">$D719+v_s*(F714-$D714)+0*F714</f>
        <v>54.8405304818089</v>
      </c>
      <c r="G719" s="16" t="n">
        <f aca="false">$D719+v_s*(G714-$D714)+0*G714</f>
        <v>60.3591424850862</v>
      </c>
      <c r="J719" s="4" t="s">
        <v>557</v>
      </c>
    </row>
    <row r="720" customFormat="false" ht="17.15" hidden="false" customHeight="false" outlineLevel="0" collapsed="false">
      <c r="A720" s="4" t="s">
        <v>460</v>
      </c>
      <c r="B720" s="0" t="s">
        <v>34</v>
      </c>
      <c r="C720" s="16" t="n">
        <f aca="false">met_op25</f>
        <v>5.333</v>
      </c>
      <c r="D720" s="16" t="n">
        <f aca="false">(g26_oi-g26_spe*m_spe26)+v_m*(D715-g26_met)</f>
        <v>6.3875</v>
      </c>
      <c r="E720" s="16" t="n">
        <f aca="false">$D720+v_m*(E715-$D715)</f>
        <v>6.98670815775652</v>
      </c>
      <c r="F720" s="16" t="n">
        <f aca="false">$D720+v_m*(F715-$D715)</f>
        <v>7.62186880497842</v>
      </c>
      <c r="G720" s="16" t="n">
        <f aca="false">$D720+v_m*(G715-$D715)</f>
        <v>8.29513909103364</v>
      </c>
      <c r="J720" s="8" t="s">
        <v>558</v>
      </c>
    </row>
    <row r="721" customFormat="false" ht="15" hidden="false" customHeight="false" outlineLevel="0" collapsed="false">
      <c r="A721" s="4" t="s">
        <v>442</v>
      </c>
      <c r="B721" s="0" t="s">
        <v>34</v>
      </c>
      <c r="C721" s="16" t="n">
        <f aca="false">C719+C720</f>
        <v>33.737</v>
      </c>
      <c r="D721" s="16" t="n">
        <f aca="false">D719+D720</f>
        <v>44</v>
      </c>
      <c r="E721" s="16" t="n">
        <f aca="false">E719+E720</f>
        <v>53.0753690197811</v>
      </c>
      <c r="F721" s="16" t="n">
        <f aca="false">F719+F720</f>
        <v>62.4623992867873</v>
      </c>
      <c r="G721" s="16" t="n">
        <f aca="false">G719+G720</f>
        <v>68.6542815761198</v>
      </c>
    </row>
    <row r="722" customFormat="false" ht="17.15" hidden="false" customHeight="false" outlineLevel="0" collapsed="false">
      <c r="A722" s="0" t="s">
        <v>525</v>
      </c>
      <c r="B722" s="0" t="s">
        <v>108</v>
      </c>
      <c r="C722" s="11" t="n">
        <f aca="false">C719/C714</f>
        <v>0.222117956176981</v>
      </c>
      <c r="D722" s="11" t="n">
        <f aca="false">D719/D714</f>
        <v>0.255</v>
      </c>
      <c r="E722" s="11" t="n">
        <f aca="false">E719/E714</f>
        <v>0.262343965317397</v>
      </c>
      <c r="F722" s="11" t="n">
        <f aca="false">F719/F714</f>
        <v>0.267805852212157</v>
      </c>
      <c r="G722" s="11" t="n">
        <f aca="false">G719/G714</f>
        <v>0.270517586789836</v>
      </c>
    </row>
    <row r="723" customFormat="false" ht="15" hidden="false" customHeight="false" outlineLevel="0" collapsed="false">
      <c r="A723" s="4" t="s">
        <v>559</v>
      </c>
      <c r="B723" s="0" t="s">
        <v>108</v>
      </c>
      <c r="C723" s="11" t="n">
        <f aca="false">C721/C716</f>
        <v>0.202214123880651</v>
      </c>
      <c r="D723" s="11" t="n">
        <f aca="false">D721/D716</f>
        <v>0.232804232804233</v>
      </c>
      <c r="E723" s="11" t="n">
        <f aca="false">E721/E716</f>
        <v>0.24161379230609</v>
      </c>
      <c r="F723" s="11" t="n">
        <f aca="false">F721/F716</f>
        <v>0.248451716122154</v>
      </c>
      <c r="G723" s="11" t="n">
        <f aca="false">G721/G716</f>
        <v>0.251894419622587</v>
      </c>
    </row>
    <row r="724" customFormat="false" ht="17.15" hidden="false" customHeight="false" outlineLevel="0" collapsed="false">
      <c r="A724" s="4" t="s">
        <v>445</v>
      </c>
      <c r="B724" s="0" t="s">
        <v>34</v>
      </c>
      <c r="C724" s="16" t="n">
        <f aca="false">a25_ni</f>
        <v>24.739</v>
      </c>
      <c r="D724" s="16" t="n">
        <f aca="false">D721*g26_ni/g26_oi</f>
        <v>30.8</v>
      </c>
      <c r="E724" s="16" t="n">
        <f aca="false">E721*nioi_hi</f>
        <v>38.9184763228515</v>
      </c>
      <c r="F724" s="16" t="n">
        <f aca="false">F721*nioi_hi</f>
        <v>45.8016864057096</v>
      </c>
      <c r="G724" s="16" t="n">
        <f aca="false">G721*nioi_hi</f>
        <v>50.3419963219997</v>
      </c>
      <c r="J724" s="8" t="s">
        <v>560</v>
      </c>
    </row>
    <row r="725" customFormat="false" ht="15" hidden="false" customHeight="false" outlineLevel="0" collapsed="false">
      <c r="A725" s="0" t="s">
        <v>526</v>
      </c>
      <c r="B725" s="0" t="s">
        <v>56</v>
      </c>
      <c r="C725" s="16" t="n">
        <f aca="false">a25_eps</f>
        <v>610.02</v>
      </c>
      <c r="D725" s="16" t="n">
        <f aca="false">D724*1000/shares</f>
        <v>758.83675253348</v>
      </c>
      <c r="E725" s="16" t="n">
        <f aca="false">E724*1000/shares</f>
        <v>958.85617488259</v>
      </c>
      <c r="F725" s="16" t="n">
        <f aca="false">F724*1000/shares</f>
        <v>1128.44165495667</v>
      </c>
      <c r="G725" s="16" t="n">
        <f aca="false">G724*1000/shares</f>
        <v>1240.30379886489</v>
      </c>
    </row>
    <row r="726" customFormat="false" ht="17.15" hidden="false" customHeight="false" outlineLevel="0" collapsed="false">
      <c r="A726" s="4" t="s">
        <v>561</v>
      </c>
      <c r="B726" s="0" t="s">
        <v>34</v>
      </c>
      <c r="C726" s="19" t="n">
        <f aca="false">ABS(C716-a25_rev)+ABS(C721-a25_oi)</f>
        <v>0.00200000000000244</v>
      </c>
    </row>
    <row r="740" customFormat="false" ht="17.15" hidden="false" customHeight="false" outlineLevel="0" collapsed="false">
      <c r="A740" s="1" t="s">
        <v>847</v>
      </c>
    </row>
    <row r="741" customFormat="false" ht="17.15" hidden="false" customHeight="false" outlineLevel="0" collapsed="false">
      <c r="A741" s="5" t="s">
        <v>23</v>
      </c>
      <c r="B741" s="5" t="s">
        <v>24</v>
      </c>
      <c r="C741" s="14" t="s">
        <v>532</v>
      </c>
      <c r="D741" s="14" t="s">
        <v>533</v>
      </c>
      <c r="E741" s="14" t="s">
        <v>534</v>
      </c>
      <c r="F741" s="14" t="s">
        <v>535</v>
      </c>
      <c r="G741" s="14" t="s">
        <v>536</v>
      </c>
      <c r="H741" s="14" t="s">
        <v>537</v>
      </c>
      <c r="I741" s="5"/>
      <c r="J741" s="5" t="s">
        <v>520</v>
      </c>
    </row>
    <row r="742" customFormat="false" ht="17.15" hidden="false" customHeight="false" outlineLevel="0" collapsed="false">
      <c r="A742" s="6" t="s">
        <v>538</v>
      </c>
    </row>
    <row r="743" customFormat="false" ht="17.15" hidden="false" customHeight="false" outlineLevel="0" collapsed="false">
      <c r="A743" s="4" t="s">
        <v>539</v>
      </c>
      <c r="B743" s="0" t="s">
        <v>160</v>
      </c>
      <c r="C743" s="16" t="n">
        <f aca="false">tstA_25</f>
        <v>14.7359586560428</v>
      </c>
      <c r="D743" s="16" t="n">
        <f aca="false">tstA_26</f>
        <v>18.65</v>
      </c>
      <c r="E743" s="16" t="n">
        <f aca="false">tstA_27</f>
        <v>21.6346744396519</v>
      </c>
      <c r="F743" s="16" t="n">
        <f aca="false">tstA_28</f>
        <v>25.1</v>
      </c>
      <c r="G743" s="16" t="n">
        <f aca="false">tstA_29</f>
        <v>27.108</v>
      </c>
      <c r="H743" s="16" t="n">
        <f aca="false">G743*(1+g_tail)</f>
        <v>27.108</v>
      </c>
      <c r="J743" s="8" t="s">
        <v>540</v>
      </c>
    </row>
    <row r="744" customFormat="false" ht="17.15" hidden="false" customHeight="false" outlineLevel="0" collapsed="false">
      <c r="A744" s="4" t="s">
        <v>541</v>
      </c>
      <c r="B744" s="0" t="s">
        <v>160</v>
      </c>
      <c r="C744" s="16" t="n">
        <f aca="false">apkA_25</f>
        <v>3.05656934306569</v>
      </c>
      <c r="D744" s="16" t="n">
        <f aca="false">apkA_26</f>
        <v>3.35</v>
      </c>
      <c r="E744" s="16" t="n">
        <f aca="false">apkA_27</f>
        <v>3.79539194286967</v>
      </c>
      <c r="F744" s="16" t="n">
        <f aca="false">apkA_28</f>
        <v>4.3</v>
      </c>
      <c r="G744" s="16" t="n">
        <f aca="false">apkA_29</f>
        <v>4.644</v>
      </c>
      <c r="H744" s="16" t="n">
        <f aca="false">G744*(1+g_tail)</f>
        <v>4.644</v>
      </c>
    </row>
    <row r="745" customFormat="false" ht="15" hidden="false" customHeight="false" outlineLevel="0" collapsed="false">
      <c r="A745" s="4" t="s">
        <v>542</v>
      </c>
      <c r="B745" s="0" t="s">
        <v>160</v>
      </c>
      <c r="C745" s="16" t="n">
        <f aca="false">wfeA_25</f>
        <v>116.896831844029</v>
      </c>
      <c r="D745" s="16" t="n">
        <f aca="false">wfeA_26</f>
        <v>156.157050570127</v>
      </c>
      <c r="E745" s="16" t="n">
        <f aca="false">wfeA_27</f>
        <v>192.795469377561</v>
      </c>
      <c r="F745" s="16" t="n">
        <f aca="false">wfeA_28</f>
        <v>216.628626308958</v>
      </c>
      <c r="G745" s="16" t="n">
        <f aca="false">wfeA_29</f>
        <v>228.903685855226</v>
      </c>
      <c r="H745" s="16" t="n">
        <f aca="false">G745*(1+g_tail)</f>
        <v>228.903685855226</v>
      </c>
    </row>
    <row r="746" customFormat="false" ht="17.15" hidden="false" customHeight="false" outlineLevel="0" collapsed="false">
      <c r="A746" s="6" t="s">
        <v>543</v>
      </c>
    </row>
    <row r="747" customFormat="false" ht="15" hidden="false" customHeight="false" outlineLevel="0" collapsed="false">
      <c r="A747" s="4" t="s">
        <v>544</v>
      </c>
      <c r="B747" s="0" t="s">
        <v>301</v>
      </c>
      <c r="C747" s="19" t="n">
        <f aca="false">(0.75*C743+0.25*D743)/(0.75*D743+0.25*E743)</f>
        <v>0.810184181632695</v>
      </c>
      <c r="D747" s="19" t="n">
        <f aca="false">(0.75*D743+0.25*E743)/(0.75*D743+0.25*E743)</f>
        <v>1</v>
      </c>
      <c r="E747" s="19" t="n">
        <f aca="false">(0.75*E743+0.25*F743)/(0.75*D743+0.25*E743)</f>
        <v>1.16007476952119</v>
      </c>
      <c r="F747" s="19" t="n">
        <f aca="false">(0.75*F743+0.25*G743)/(0.75*D743+0.25*E743)</f>
        <v>1.31995140457355</v>
      </c>
      <c r="G747" s="19" t="n">
        <f aca="false">(0.75*G743+0.25*H743)/(0.75*D743+0.25*E743)</f>
        <v>1.39759560484258</v>
      </c>
    </row>
    <row r="748" customFormat="false" ht="17.15" hidden="false" customHeight="false" outlineLevel="0" collapsed="false">
      <c r="A748" s="4" t="s">
        <v>545</v>
      </c>
      <c r="B748" s="0" t="s">
        <v>301</v>
      </c>
      <c r="C748" s="19" t="n">
        <f aca="false">w_cmp*(0.75*C745+0.25*D745)/(0.75*D745+0.25*E745)+(1-w_cmp)*(0.75*C744+0.25*D744)/(0.75*D744+0.25*E744)</f>
        <v>0.876696686135123</v>
      </c>
      <c r="D748" s="19" t="n">
        <f aca="false">w_cmp*(0.75*D745+0.25*E745)/(0.75*D745+0.25*E745)+(1-w_cmp)*(0.75*D744+0.25*E744)/(0.75*D744+0.25*E744)</f>
        <v>1</v>
      </c>
      <c r="E748" s="19" t="n">
        <f aca="false">w_cmp*(0.75*E745+0.25*F745)/(0.75*D745+0.25*E745)+(1-w_cmp)*(0.75*E744+0.25*F744)/(0.75*D744+0.25*E744)</f>
        <v>1.14681444452041</v>
      </c>
      <c r="F748" s="19" t="n">
        <f aca="false">w_cmp*(0.75*F745+0.25*G745)/(0.75*D745+0.25*E745)+(1-w_cmp)*(0.75*F744+0.25*G744)/(0.75*D744+0.25*E744)</f>
        <v>1.27949889890768</v>
      </c>
      <c r="G748" s="19" t="n">
        <f aca="false">w_cmp*(0.75*G745+0.25*H745)/(0.75*D745+0.25*E745)+(1-w_cmp)*(0.75*G744+0.25*H744)/(0.75*D744+0.25*E744)</f>
        <v>1.35026661708511</v>
      </c>
    </row>
    <row r="749" customFormat="false" ht="17.15" hidden="false" customHeight="false" outlineLevel="0" collapsed="false">
      <c r="A749" s="4" t="s">
        <v>546</v>
      </c>
      <c r="B749" s="0" t="s">
        <v>301</v>
      </c>
      <c r="D749" s="19" t="n">
        <f aca="false">(1+exc_A)^0</f>
        <v>1</v>
      </c>
      <c r="E749" s="19" t="n">
        <f aca="false">(1+exc_A)^1</f>
        <v>1.03</v>
      </c>
      <c r="F749" s="19" t="n">
        <f aca="false">(1+exc_A)^2</f>
        <v>1.0609</v>
      </c>
      <c r="G749" s="19" t="n">
        <f aca="false">(1+exc_A)^3</f>
        <v>1.092727</v>
      </c>
    </row>
    <row r="750" customFormat="false" ht="17.15" hidden="false" customHeight="false" outlineLevel="0" collapsed="false">
      <c r="A750" s="4" t="s">
        <v>547</v>
      </c>
      <c r="B750" s="0" t="s">
        <v>301</v>
      </c>
      <c r="D750" s="19" t="n">
        <f aca="false">1</f>
        <v>1</v>
      </c>
      <c r="E750" s="19" t="n">
        <f aca="false">1+chn*chh_A*0.5</f>
        <v>1</v>
      </c>
      <c r="F750" s="19" t="n">
        <f aca="false">1+chn*chh_A</f>
        <v>1</v>
      </c>
      <c r="G750" s="19" t="n">
        <f aca="false">1+chn*chh_A</f>
        <v>1</v>
      </c>
    </row>
    <row r="751" customFormat="false" ht="17.15" hidden="false" customHeight="false" outlineLevel="0" collapsed="false">
      <c r="A751" s="6" t="s">
        <v>548</v>
      </c>
    </row>
    <row r="752" customFormat="false" ht="17.15" hidden="false" customHeight="false" outlineLevel="0" collapsed="false">
      <c r="A752" s="4" t="s">
        <v>549</v>
      </c>
      <c r="B752" s="0" t="s">
        <v>34</v>
      </c>
      <c r="C752" s="16" t="n">
        <f aca="false">spe_25*w_pr</f>
        <v>92.07216</v>
      </c>
      <c r="D752" s="16" t="n">
        <f aca="false">g26_spe*(1+g_anc_lo)*w_pr</f>
        <v>103.014</v>
      </c>
      <c r="E752" s="16" t="n">
        <f aca="false">$D752*E747*E749*E750</f>
        <v>123.089060576679</v>
      </c>
      <c r="F752" s="16" t="n">
        <f aca="false">$D752*F747*F749*F750</f>
        <v>144.254258556776</v>
      </c>
      <c r="G752" s="16" t="n">
        <f aca="false">$D752*G747*G749*G750</f>
        <v>157.321997273095</v>
      </c>
      <c r="J752" s="8" t="s">
        <v>550</v>
      </c>
    </row>
    <row r="753" customFormat="false" ht="17.15" hidden="false" customHeight="false" outlineLevel="0" collapsed="false">
      <c r="A753" s="4" t="s">
        <v>551</v>
      </c>
      <c r="B753" s="0" t="s">
        <v>34</v>
      </c>
      <c r="C753" s="16" t="n">
        <f aca="false">spe_25*(1-w_pr)</f>
        <v>35.80584</v>
      </c>
      <c r="D753" s="16" t="n">
        <f aca="false">g26_spe*(1+g_anc_lo)*(1-w_pr)</f>
        <v>40.061</v>
      </c>
      <c r="E753" s="16" t="n">
        <f aca="false">$D753*E748*E749*E750</f>
        <v>47.3208094657899</v>
      </c>
      <c r="F753" s="16" t="n">
        <f aca="false">$D753*F748*F749*F750</f>
        <v>54.3796179173394</v>
      </c>
      <c r="G753" s="16" t="n">
        <f aca="false">$D753*G748*G749*G750</f>
        <v>59.1089154276734</v>
      </c>
    </row>
    <row r="754" customFormat="false" ht="17.15" hidden="false" customHeight="false" outlineLevel="0" collapsed="false">
      <c r="A754" s="4" t="s">
        <v>552</v>
      </c>
      <c r="B754" s="0" t="s">
        <v>34</v>
      </c>
      <c r="C754" s="16" t="n">
        <f aca="false">C752+C753</f>
        <v>127.878</v>
      </c>
      <c r="D754" s="16" t="n">
        <f aca="false">D752+D753</f>
        <v>143.075</v>
      </c>
      <c r="E754" s="16" t="n">
        <f aca="false">E752+E753</f>
        <v>170.409870042469</v>
      </c>
      <c r="F754" s="16" t="n">
        <f aca="false">F752+F753</f>
        <v>198.633876474115</v>
      </c>
      <c r="G754" s="16" t="n">
        <f aca="false">G752+G753</f>
        <v>216.430912700769</v>
      </c>
    </row>
    <row r="755" customFormat="false" ht="15" hidden="false" customHeight="false" outlineLevel="0" collapsed="false">
      <c r="A755" s="4" t="s">
        <v>553</v>
      </c>
      <c r="B755" s="0" t="s">
        <v>34</v>
      </c>
      <c r="C755" s="16" t="n">
        <f aca="false">met_25</f>
        <v>38.96</v>
      </c>
      <c r="D755" s="16" t="n">
        <f aca="false">g26_met*(1+g_anc_lo)</f>
        <v>40.255</v>
      </c>
      <c r="E755" s="16" t="n">
        <f aca="false">D755*(1+gmet_A)</f>
        <v>42.6703</v>
      </c>
      <c r="F755" s="16" t="n">
        <f aca="false">E755*(1+gmet_A)</f>
        <v>45.230518</v>
      </c>
      <c r="G755" s="16" t="n">
        <f aca="false">F755*(1+gmet_A)</f>
        <v>47.94434908</v>
      </c>
    </row>
    <row r="756" customFormat="false" ht="17.15" hidden="false" customHeight="false" outlineLevel="0" collapsed="false">
      <c r="A756" s="4" t="s">
        <v>438</v>
      </c>
      <c r="B756" s="0" t="s">
        <v>34</v>
      </c>
      <c r="C756" s="16" t="n">
        <f aca="false">C754+C755</f>
        <v>166.838</v>
      </c>
      <c r="D756" s="16" t="n">
        <f aca="false">D754+D755</f>
        <v>183.33</v>
      </c>
      <c r="E756" s="16" t="n">
        <f aca="false">E754+E755</f>
        <v>213.080170042469</v>
      </c>
      <c r="F756" s="16" t="n">
        <f aca="false">F754+F755</f>
        <v>243.864394474115</v>
      </c>
      <c r="G756" s="16" t="n">
        <f aca="false">G754+G755</f>
        <v>264.375261780769</v>
      </c>
      <c r="J756" s="8" t="s">
        <v>554</v>
      </c>
    </row>
    <row r="757" customFormat="false" ht="17.15" hidden="false" customHeight="false" outlineLevel="0" collapsed="false">
      <c r="A757" s="0" t="s">
        <v>555</v>
      </c>
      <c r="B757" s="0" t="s">
        <v>108</v>
      </c>
      <c r="C757" s="11" t="n">
        <f aca="false">C754/C756</f>
        <v>0.766480058499862</v>
      </c>
      <c r="D757" s="11" t="n">
        <f aca="false">D754/D756</f>
        <v>0.780423280423281</v>
      </c>
      <c r="E757" s="11" t="n">
        <f aca="false">E754/E756</f>
        <v>0.799745325942366</v>
      </c>
      <c r="F757" s="11" t="n">
        <f aca="false">F754/F756</f>
        <v>0.814525945464331</v>
      </c>
      <c r="G757" s="11" t="n">
        <f aca="false">G754/G756</f>
        <v>0.818650395815939</v>
      </c>
    </row>
    <row r="758" customFormat="false" ht="17.15" hidden="false" customHeight="false" outlineLevel="0" collapsed="false">
      <c r="A758" s="6" t="s">
        <v>556</v>
      </c>
    </row>
    <row r="759" customFormat="false" ht="17.15" hidden="false" customHeight="false" outlineLevel="0" collapsed="false">
      <c r="A759" s="0" t="s">
        <v>455</v>
      </c>
      <c r="B759" s="0" t="s">
        <v>34</v>
      </c>
      <c r="C759" s="16" t="n">
        <f aca="false">spe_op25</f>
        <v>28.404</v>
      </c>
      <c r="D759" s="16" t="n">
        <f aca="false">g26_spe*m_spe26+v_s*(D754-g26_spe)</f>
        <v>36.2815333115358</v>
      </c>
      <c r="E759" s="16" t="n">
        <f aca="false">$D759+v_s*(E754-$D754)</f>
        <v>44.5034093476996</v>
      </c>
      <c r="F759" s="16" t="n">
        <f aca="false">$D759+v_s*(F754-$D754)+0*F754</f>
        <v>52.9927228788905</v>
      </c>
      <c r="G759" s="16" t="n">
        <f aca="false">$D759+v_s*(G754-$D754)+0*G754</f>
        <v>58.3457765220694</v>
      </c>
      <c r="J759" s="4" t="s">
        <v>557</v>
      </c>
    </row>
    <row r="760" customFormat="false" ht="17.15" hidden="false" customHeight="false" outlineLevel="0" collapsed="false">
      <c r="A760" s="4" t="s">
        <v>460</v>
      </c>
      <c r="B760" s="0" t="s">
        <v>34</v>
      </c>
      <c r="C760" s="16" t="n">
        <f aca="false">met_op25</f>
        <v>5.333</v>
      </c>
      <c r="D760" s="16" t="n">
        <f aca="false">(g26_oi-g26_spe*m_spe26)+v_m*(D755-g26_met)</f>
        <v>6.08789592112175</v>
      </c>
      <c r="E760" s="16" t="n">
        <f aca="false">$D760+v_m*(E755-$D755)</f>
        <v>6.66912783414556</v>
      </c>
      <c r="F760" s="16" t="n">
        <f aca="false">$D760+v_m*(F755-$D755)</f>
        <v>7.28523366195081</v>
      </c>
      <c r="G760" s="16" t="n">
        <f aca="false">$D760+v_m*(G755-$D755)</f>
        <v>7.93830583942437</v>
      </c>
      <c r="J760" s="8" t="s">
        <v>558</v>
      </c>
    </row>
    <row r="761" customFormat="false" ht="15" hidden="false" customHeight="false" outlineLevel="0" collapsed="false">
      <c r="A761" s="4" t="s">
        <v>442</v>
      </c>
      <c r="B761" s="0" t="s">
        <v>34</v>
      </c>
      <c r="C761" s="16" t="n">
        <f aca="false">C759+C760</f>
        <v>33.737</v>
      </c>
      <c r="D761" s="16" t="n">
        <f aca="false">D759+D760</f>
        <v>42.3694292326575</v>
      </c>
      <c r="E761" s="16" t="n">
        <f aca="false">E759+E760</f>
        <v>51.1725371818452</v>
      </c>
      <c r="F761" s="16" t="n">
        <f aca="false">F759+F760</f>
        <v>60.2779565408413</v>
      </c>
      <c r="G761" s="16" t="n">
        <f aca="false">G759+G760</f>
        <v>66.2840823614937</v>
      </c>
    </row>
    <row r="762" customFormat="false" ht="17.15" hidden="false" customHeight="false" outlineLevel="0" collapsed="false">
      <c r="A762" s="0" t="s">
        <v>525</v>
      </c>
      <c r="B762" s="0" t="s">
        <v>108</v>
      </c>
      <c r="C762" s="11" t="n">
        <f aca="false">C759/C754</f>
        <v>0.222117956176981</v>
      </c>
      <c r="D762" s="11" t="n">
        <f aca="false">D759/D754</f>
        <v>0.253584017553981</v>
      </c>
      <c r="E762" s="11" t="n">
        <f aca="false">E759/E754</f>
        <v>0.261155115819339</v>
      </c>
      <c r="F762" s="11" t="n">
        <f aca="false">F759/F754</f>
        <v>0.26678592705105</v>
      </c>
      <c r="G762" s="11" t="n">
        <f aca="false">G759/G754</f>
        <v>0.269581529708451</v>
      </c>
    </row>
    <row r="763" customFormat="false" ht="15" hidden="false" customHeight="false" outlineLevel="0" collapsed="false">
      <c r="A763" s="4" t="s">
        <v>559</v>
      </c>
      <c r="B763" s="0" t="s">
        <v>108</v>
      </c>
      <c r="C763" s="11" t="n">
        <f aca="false">C761/C756</f>
        <v>0.202214123880651</v>
      </c>
      <c r="D763" s="11" t="n">
        <f aca="false">D761/D756</f>
        <v>0.231110179635944</v>
      </c>
      <c r="E763" s="11" t="n">
        <f aca="false">E761/E756</f>
        <v>0.240156262178906</v>
      </c>
      <c r="F763" s="11" t="n">
        <f aca="false">F761/F756</f>
        <v>0.247178177326086</v>
      </c>
      <c r="G763" s="11" t="n">
        <f aca="false">G761/G756</f>
        <v>0.250719685022797</v>
      </c>
    </row>
    <row r="764" customFormat="false" ht="17.15" hidden="false" customHeight="false" outlineLevel="0" collapsed="false">
      <c r="A764" s="4" t="s">
        <v>445</v>
      </c>
      <c r="B764" s="0" t="s">
        <v>34</v>
      </c>
      <c r="C764" s="16" t="n">
        <f aca="false">a25_ni</f>
        <v>24.739</v>
      </c>
      <c r="D764" s="16" t="n">
        <f aca="false">D761*g26_ni/g26_oi</f>
        <v>29.6586004628603</v>
      </c>
      <c r="E764" s="16" t="n">
        <f aca="false">E761*nioi</f>
        <v>35.8207760272916</v>
      </c>
      <c r="F764" s="16" t="n">
        <f aca="false">F761*nioi</f>
        <v>42.1945695785889</v>
      </c>
      <c r="G764" s="16" t="n">
        <f aca="false">G761*nioi</f>
        <v>46.3988576530456</v>
      </c>
      <c r="J764" s="8" t="s">
        <v>560</v>
      </c>
    </row>
    <row r="765" customFormat="false" ht="15" hidden="false" customHeight="false" outlineLevel="0" collapsed="false">
      <c r="A765" s="0" t="s">
        <v>526</v>
      </c>
      <c r="B765" s="0" t="s">
        <v>56</v>
      </c>
      <c r="C765" s="16" t="n">
        <f aca="false">a25_eps</f>
        <v>610.02</v>
      </c>
      <c r="D765" s="16" t="n">
        <f aca="false">D764*1000/shares</f>
        <v>730.715456491067</v>
      </c>
      <c r="E765" s="16" t="n">
        <f aca="false">E764*1000/shares</f>
        <v>882.53640759023</v>
      </c>
      <c r="F765" s="16" t="n">
        <f aca="false">F764*1000/shares</f>
        <v>1039.57110888196</v>
      </c>
      <c r="G765" s="16" t="n">
        <f aca="false">G764*1000/shares</f>
        <v>1143.15449554222</v>
      </c>
    </row>
    <row r="766" customFormat="false" ht="17.15" hidden="false" customHeight="false" outlineLevel="0" collapsed="false">
      <c r="A766" s="4" t="s">
        <v>561</v>
      </c>
      <c r="B766" s="0" t="s">
        <v>34</v>
      </c>
      <c r="C766" s="19" t="n">
        <f aca="false">ABS(C756-a25_rev)+ABS(C761-a25_oi)</f>
        <v>0.00200000000000244</v>
      </c>
    </row>
    <row r="780" customFormat="false" ht="17.15" hidden="false" customHeight="false" outlineLevel="0" collapsed="false">
      <c r="A780" s="1" t="s">
        <v>848</v>
      </c>
    </row>
    <row r="781" customFormat="false" ht="17.15" hidden="false" customHeight="false" outlineLevel="0" collapsed="false">
      <c r="A781" s="5" t="s">
        <v>23</v>
      </c>
      <c r="B781" s="5" t="s">
        <v>24</v>
      </c>
      <c r="C781" s="14" t="s">
        <v>532</v>
      </c>
      <c r="D781" s="14" t="s">
        <v>533</v>
      </c>
      <c r="E781" s="14" t="s">
        <v>534</v>
      </c>
      <c r="F781" s="14" t="s">
        <v>535</v>
      </c>
      <c r="G781" s="14" t="s">
        <v>536</v>
      </c>
      <c r="H781" s="14" t="s">
        <v>537</v>
      </c>
      <c r="I781" s="5"/>
      <c r="J781" s="5" t="s">
        <v>520</v>
      </c>
    </row>
    <row r="782" customFormat="false" ht="17.15" hidden="false" customHeight="false" outlineLevel="0" collapsed="false">
      <c r="A782" s="6" t="s">
        <v>538</v>
      </c>
    </row>
    <row r="783" customFormat="false" ht="17.15" hidden="false" customHeight="false" outlineLevel="0" collapsed="false">
      <c r="A783" s="4" t="s">
        <v>539</v>
      </c>
      <c r="B783" s="0" t="s">
        <v>160</v>
      </c>
      <c r="C783" s="16" t="n">
        <f aca="false">tstA_25</f>
        <v>14.7359586560428</v>
      </c>
      <c r="D783" s="16" t="n">
        <f aca="false">tstA_26</f>
        <v>18.65</v>
      </c>
      <c r="E783" s="16" t="n">
        <f aca="false">tstA_27</f>
        <v>21.6346744396519</v>
      </c>
      <c r="F783" s="16" t="n">
        <f aca="false">tstA_28</f>
        <v>25.1</v>
      </c>
      <c r="G783" s="16" t="n">
        <f aca="false">tstA_29</f>
        <v>27.108</v>
      </c>
      <c r="H783" s="16" t="n">
        <f aca="false">G783*(1+g_tail)</f>
        <v>27.108</v>
      </c>
      <c r="J783" s="8" t="s">
        <v>540</v>
      </c>
    </row>
    <row r="784" customFormat="false" ht="17.15" hidden="false" customHeight="false" outlineLevel="0" collapsed="false">
      <c r="A784" s="4" t="s">
        <v>541</v>
      </c>
      <c r="B784" s="0" t="s">
        <v>160</v>
      </c>
      <c r="C784" s="16" t="n">
        <f aca="false">apkA_25</f>
        <v>3.05656934306569</v>
      </c>
      <c r="D784" s="16" t="n">
        <f aca="false">apkA_26</f>
        <v>3.35</v>
      </c>
      <c r="E784" s="16" t="n">
        <f aca="false">apkA_27</f>
        <v>3.79539194286967</v>
      </c>
      <c r="F784" s="16" t="n">
        <f aca="false">apkA_28</f>
        <v>4.3</v>
      </c>
      <c r="G784" s="16" t="n">
        <f aca="false">apkA_29</f>
        <v>4.644</v>
      </c>
      <c r="H784" s="16" t="n">
        <f aca="false">G784*(1+g_tail)</f>
        <v>4.644</v>
      </c>
    </row>
    <row r="785" customFormat="false" ht="15" hidden="false" customHeight="false" outlineLevel="0" collapsed="false">
      <c r="A785" s="4" t="s">
        <v>542</v>
      </c>
      <c r="B785" s="0" t="s">
        <v>160</v>
      </c>
      <c r="C785" s="16" t="n">
        <f aca="false">wfeA_25</f>
        <v>116.896831844029</v>
      </c>
      <c r="D785" s="16" t="n">
        <f aca="false">wfeA_26</f>
        <v>156.157050570127</v>
      </c>
      <c r="E785" s="16" t="n">
        <f aca="false">wfeA_27</f>
        <v>192.795469377561</v>
      </c>
      <c r="F785" s="16" t="n">
        <f aca="false">wfeA_28</f>
        <v>216.628626308958</v>
      </c>
      <c r="G785" s="16" t="n">
        <f aca="false">wfeA_29</f>
        <v>228.903685855226</v>
      </c>
      <c r="H785" s="16" t="n">
        <f aca="false">G785*(1+g_tail)</f>
        <v>228.903685855226</v>
      </c>
    </row>
    <row r="786" customFormat="false" ht="17.15" hidden="false" customHeight="false" outlineLevel="0" collapsed="false">
      <c r="A786" s="6" t="s">
        <v>543</v>
      </c>
    </row>
    <row r="787" customFormat="false" ht="15" hidden="false" customHeight="false" outlineLevel="0" collapsed="false">
      <c r="A787" s="4" t="s">
        <v>544</v>
      </c>
      <c r="B787" s="0" t="s">
        <v>301</v>
      </c>
      <c r="C787" s="19" t="n">
        <f aca="false">(0.75*C783+0.25*D783)/(0.75*D783+0.25*E783)</f>
        <v>0.810184181632695</v>
      </c>
      <c r="D787" s="19" t="n">
        <f aca="false">(0.75*D783+0.25*E783)/(0.75*D783+0.25*E783)</f>
        <v>1</v>
      </c>
      <c r="E787" s="19" t="n">
        <f aca="false">(0.75*E783+0.25*F783)/(0.75*D783+0.25*E783)</f>
        <v>1.16007476952119</v>
      </c>
      <c r="F787" s="19" t="n">
        <f aca="false">(0.75*F783+0.25*G783)/(0.75*D783+0.25*E783)</f>
        <v>1.31995140457355</v>
      </c>
      <c r="G787" s="19" t="n">
        <f aca="false">(0.75*G783+0.25*H783)/(0.75*D783+0.25*E783)</f>
        <v>1.39759560484258</v>
      </c>
    </row>
    <row r="788" customFormat="false" ht="17.15" hidden="false" customHeight="false" outlineLevel="0" collapsed="false">
      <c r="A788" s="4" t="s">
        <v>545</v>
      </c>
      <c r="B788" s="0" t="s">
        <v>301</v>
      </c>
      <c r="C788" s="19" t="n">
        <f aca="false">w_cmp*(0.75*C785+0.25*D785)/(0.75*D785+0.25*E785)+(1-w_cmp)*(0.75*C784+0.25*D784)/(0.75*D784+0.25*E784)</f>
        <v>0.876696686135123</v>
      </c>
      <c r="D788" s="19" t="n">
        <f aca="false">w_cmp*(0.75*D785+0.25*E785)/(0.75*D785+0.25*E785)+(1-w_cmp)*(0.75*D784+0.25*E784)/(0.75*D784+0.25*E784)</f>
        <v>1</v>
      </c>
      <c r="E788" s="19" t="n">
        <f aca="false">w_cmp*(0.75*E785+0.25*F785)/(0.75*D785+0.25*E785)+(1-w_cmp)*(0.75*E784+0.25*F784)/(0.75*D784+0.25*E784)</f>
        <v>1.14681444452041</v>
      </c>
      <c r="F788" s="19" t="n">
        <f aca="false">w_cmp*(0.75*F785+0.25*G785)/(0.75*D785+0.25*E785)+(1-w_cmp)*(0.75*F784+0.25*G784)/(0.75*D784+0.25*E784)</f>
        <v>1.27949889890768</v>
      </c>
      <c r="G788" s="19" t="n">
        <f aca="false">w_cmp*(0.75*G785+0.25*H785)/(0.75*D785+0.25*E785)+(1-w_cmp)*(0.75*G784+0.25*H784)/(0.75*D784+0.25*E784)</f>
        <v>1.35026661708511</v>
      </c>
    </row>
    <row r="789" customFormat="false" ht="17.15" hidden="false" customHeight="false" outlineLevel="0" collapsed="false">
      <c r="A789" s="4" t="s">
        <v>546</v>
      </c>
      <c r="B789" s="0" t="s">
        <v>301</v>
      </c>
      <c r="D789" s="19" t="n">
        <f aca="false">(1+exc_A)^0</f>
        <v>1</v>
      </c>
      <c r="E789" s="19" t="n">
        <f aca="false">(1+exc_A)^1</f>
        <v>1.03</v>
      </c>
      <c r="F789" s="19" t="n">
        <f aca="false">(1+exc_A)^2</f>
        <v>1.0609</v>
      </c>
      <c r="G789" s="19" t="n">
        <f aca="false">(1+exc_A)^3</f>
        <v>1.092727</v>
      </c>
    </row>
    <row r="790" customFormat="false" ht="17.15" hidden="false" customHeight="false" outlineLevel="0" collapsed="false">
      <c r="A790" s="4" t="s">
        <v>547</v>
      </c>
      <c r="B790" s="0" t="s">
        <v>301</v>
      </c>
      <c r="D790" s="19" t="n">
        <f aca="false">1</f>
        <v>1</v>
      </c>
      <c r="E790" s="19" t="n">
        <f aca="false">1+chn*chh_A*0.5</f>
        <v>1</v>
      </c>
      <c r="F790" s="19" t="n">
        <f aca="false">1+chn*chh_A</f>
        <v>1</v>
      </c>
      <c r="G790" s="19" t="n">
        <f aca="false">1+chn*chh_A</f>
        <v>1</v>
      </c>
    </row>
    <row r="791" customFormat="false" ht="17.15" hidden="false" customHeight="false" outlineLevel="0" collapsed="false">
      <c r="A791" s="6" t="s">
        <v>548</v>
      </c>
    </row>
    <row r="792" customFormat="false" ht="17.15" hidden="false" customHeight="false" outlineLevel="0" collapsed="false">
      <c r="A792" s="4" t="s">
        <v>549</v>
      </c>
      <c r="B792" s="0" t="s">
        <v>34</v>
      </c>
      <c r="C792" s="16" t="n">
        <f aca="false">spe_25*w_pr</f>
        <v>92.07216</v>
      </c>
      <c r="D792" s="16" t="n">
        <f aca="false">g26_spe*(1+g_anc_hi)*w_pr</f>
        <v>111.51</v>
      </c>
      <c r="E792" s="16" t="n">
        <f aca="false">$D792*E787*E789*E790</f>
        <v>133.240735675787</v>
      </c>
      <c r="F792" s="16" t="n">
        <f aca="false">$D792*F787*F789*F790</f>
        <v>156.151516994448</v>
      </c>
      <c r="G792" s="16" t="n">
        <f aca="false">$D792*G787*G789*G790</f>
        <v>170.297007357474</v>
      </c>
      <c r="J792" s="8" t="s">
        <v>550</v>
      </c>
    </row>
    <row r="793" customFormat="false" ht="17.15" hidden="false" customHeight="false" outlineLevel="0" collapsed="false">
      <c r="A793" s="4" t="s">
        <v>551</v>
      </c>
      <c r="B793" s="0" t="s">
        <v>34</v>
      </c>
      <c r="C793" s="16" t="n">
        <f aca="false">spe_25*(1-w_pr)</f>
        <v>35.80584</v>
      </c>
      <c r="D793" s="16" t="n">
        <f aca="false">g26_spe*(1+g_anc_hi)*(1-w_pr)</f>
        <v>43.365</v>
      </c>
      <c r="E793" s="16" t="n">
        <f aca="false">$D793*E788*E789*E790</f>
        <v>51.2235566382262</v>
      </c>
      <c r="F793" s="16" t="n">
        <f aca="false">$D793*F788*F789*F790</f>
        <v>58.8645348589756</v>
      </c>
      <c r="G793" s="16" t="n">
        <f aca="false">$D793*G788*G789*G790</f>
        <v>63.9838775248011</v>
      </c>
    </row>
    <row r="794" customFormat="false" ht="17.15" hidden="false" customHeight="false" outlineLevel="0" collapsed="false">
      <c r="A794" s="4" t="s">
        <v>552</v>
      </c>
      <c r="B794" s="0" t="s">
        <v>34</v>
      </c>
      <c r="C794" s="16" t="n">
        <f aca="false">C792+C793</f>
        <v>127.878</v>
      </c>
      <c r="D794" s="16" t="n">
        <f aca="false">D792+D793</f>
        <v>154.875</v>
      </c>
      <c r="E794" s="16" t="n">
        <f aca="false">E792+E793</f>
        <v>184.464292314013</v>
      </c>
      <c r="F794" s="16" t="n">
        <f aca="false">F792+F793</f>
        <v>215.016051853423</v>
      </c>
      <c r="G794" s="16" t="n">
        <f aca="false">G792+G793</f>
        <v>234.280884882275</v>
      </c>
    </row>
    <row r="795" customFormat="false" ht="15" hidden="false" customHeight="false" outlineLevel="0" collapsed="false">
      <c r="A795" s="4" t="s">
        <v>553</v>
      </c>
      <c r="B795" s="0" t="s">
        <v>34</v>
      </c>
      <c r="C795" s="16" t="n">
        <f aca="false">met_25</f>
        <v>38.96</v>
      </c>
      <c r="D795" s="16" t="n">
        <f aca="false">g26_met*(1+g_anc_hi)</f>
        <v>43.575</v>
      </c>
      <c r="E795" s="16" t="n">
        <f aca="false">D795*(1+gmet_A)</f>
        <v>46.1895</v>
      </c>
      <c r="F795" s="16" t="n">
        <f aca="false">E795*(1+gmet_A)</f>
        <v>48.96087</v>
      </c>
      <c r="G795" s="16" t="n">
        <f aca="false">F795*(1+gmet_A)</f>
        <v>51.8985222</v>
      </c>
    </row>
    <row r="796" customFormat="false" ht="17.15" hidden="false" customHeight="false" outlineLevel="0" collapsed="false">
      <c r="A796" s="4" t="s">
        <v>438</v>
      </c>
      <c r="B796" s="0" t="s">
        <v>34</v>
      </c>
      <c r="C796" s="16" t="n">
        <f aca="false">C794+C795</f>
        <v>166.838</v>
      </c>
      <c r="D796" s="16" t="n">
        <f aca="false">D794+D795</f>
        <v>198.45</v>
      </c>
      <c r="E796" s="16" t="n">
        <f aca="false">E794+E795</f>
        <v>230.653792314013</v>
      </c>
      <c r="F796" s="16" t="n">
        <f aca="false">F794+F795</f>
        <v>263.976921853423</v>
      </c>
      <c r="G796" s="16" t="n">
        <f aca="false">G794+G795</f>
        <v>286.179407082275</v>
      </c>
      <c r="J796" s="8" t="s">
        <v>554</v>
      </c>
    </row>
    <row r="797" customFormat="false" ht="17.15" hidden="false" customHeight="false" outlineLevel="0" collapsed="false">
      <c r="A797" s="0" t="s">
        <v>555</v>
      </c>
      <c r="B797" s="0" t="s">
        <v>108</v>
      </c>
      <c r="C797" s="11" t="n">
        <f aca="false">C794/C796</f>
        <v>0.766480058499862</v>
      </c>
      <c r="D797" s="11" t="n">
        <f aca="false">D794/D796</f>
        <v>0.780423280423281</v>
      </c>
      <c r="E797" s="11" t="n">
        <f aca="false">E794/E796</f>
        <v>0.799745325942366</v>
      </c>
      <c r="F797" s="11" t="n">
        <f aca="false">F794/F796</f>
        <v>0.814525945464331</v>
      </c>
      <c r="G797" s="11" t="n">
        <f aca="false">G794/G796</f>
        <v>0.818650395815939</v>
      </c>
    </row>
    <row r="798" customFormat="false" ht="17.15" hidden="false" customHeight="false" outlineLevel="0" collapsed="false">
      <c r="A798" s="6" t="s">
        <v>556</v>
      </c>
    </row>
    <row r="799" customFormat="false" ht="17.15" hidden="false" customHeight="false" outlineLevel="0" collapsed="false">
      <c r="A799" s="0" t="s">
        <v>455</v>
      </c>
      <c r="B799" s="0" t="s">
        <v>34</v>
      </c>
      <c r="C799" s="16" t="n">
        <f aca="false">spe_op25</f>
        <v>28.404</v>
      </c>
      <c r="D799" s="16" t="n">
        <f aca="false">g26_spe*m_spe26+v_s*(D794-g26_spe)</f>
        <v>39.830777814107</v>
      </c>
      <c r="E799" s="16" t="n">
        <f aca="false">$D799+v_s*(E794-$D794)</f>
        <v>48.7307467192328</v>
      </c>
      <c r="F799" s="16" t="n">
        <f aca="false">$D799+v_s*(F794-$D794)+0*F794</f>
        <v>57.9202098200064</v>
      </c>
      <c r="G799" s="16" t="n">
        <f aca="false">$D799+v_s*(G794-$D794)+0*G794</f>
        <v>63.7147524234474</v>
      </c>
      <c r="J799" s="4" t="s">
        <v>557</v>
      </c>
    </row>
    <row r="800" customFormat="false" ht="17.15" hidden="false" customHeight="false" outlineLevel="0" collapsed="false">
      <c r="A800" s="4" t="s">
        <v>460</v>
      </c>
      <c r="B800" s="0" t="s">
        <v>34</v>
      </c>
      <c r="C800" s="16" t="n">
        <f aca="false">met_op25</f>
        <v>5.333</v>
      </c>
      <c r="D800" s="16" t="n">
        <f aca="false">(g26_oi-g26_spe*m_spe26)+v_m*(D795-g26_met)</f>
        <v>6.88684013146377</v>
      </c>
      <c r="E800" s="16" t="n">
        <f aca="false">$D800+v_m*(E795-$D795)</f>
        <v>7.5160086971081</v>
      </c>
      <c r="F800" s="16" t="n">
        <f aca="false">$D800+v_m*(F795-$D795)</f>
        <v>8.1829273766911</v>
      </c>
      <c r="G800" s="16" t="n">
        <f aca="false">$D800+v_m*(G795-$D795)</f>
        <v>8.88986117704909</v>
      </c>
      <c r="J800" s="8" t="s">
        <v>558</v>
      </c>
    </row>
    <row r="801" customFormat="false" ht="15" hidden="false" customHeight="false" outlineLevel="0" collapsed="false">
      <c r="A801" s="4" t="s">
        <v>442</v>
      </c>
      <c r="B801" s="0" t="s">
        <v>34</v>
      </c>
      <c r="C801" s="16" t="n">
        <f aca="false">C799+C800</f>
        <v>33.737</v>
      </c>
      <c r="D801" s="16" t="n">
        <f aca="false">D799+D800</f>
        <v>46.7176179455708</v>
      </c>
      <c r="E801" s="16" t="n">
        <f aca="false">E799+E800</f>
        <v>56.2467554163409</v>
      </c>
      <c r="F801" s="16" t="n">
        <f aca="false">F799+F800</f>
        <v>66.1031371966975</v>
      </c>
      <c r="G801" s="16" t="n">
        <f aca="false">G799+G800</f>
        <v>72.6046136004965</v>
      </c>
    </row>
    <row r="802" customFormat="false" ht="17.15" hidden="false" customHeight="false" outlineLevel="0" collapsed="false">
      <c r="A802" s="0" t="s">
        <v>525</v>
      </c>
      <c r="B802" s="0" t="s">
        <v>108</v>
      </c>
      <c r="C802" s="11" t="n">
        <f aca="false">C799/C794</f>
        <v>0.222117956176981</v>
      </c>
      <c r="D802" s="11" t="n">
        <f aca="false">D799/D794</f>
        <v>0.257180163448633</v>
      </c>
      <c r="E802" s="11" t="n">
        <f aca="false">E799/E794</f>
        <v>0.264174416131868</v>
      </c>
      <c r="F802" s="11" t="n">
        <f aca="false">F799/F794</f>
        <v>0.269376213174497</v>
      </c>
      <c r="G802" s="11" t="n">
        <f aca="false">G799/G794</f>
        <v>0.271958817534191</v>
      </c>
    </row>
    <row r="803" customFormat="false" ht="15" hidden="false" customHeight="false" outlineLevel="0" collapsed="false">
      <c r="A803" s="4" t="s">
        <v>559</v>
      </c>
      <c r="B803" s="0" t="s">
        <v>108</v>
      </c>
      <c r="C803" s="11" t="n">
        <f aca="false">C801/C796</f>
        <v>0.202214123880651</v>
      </c>
      <c r="D803" s="11" t="n">
        <f aca="false">D801/D796</f>
        <v>0.235412536888742</v>
      </c>
      <c r="E803" s="11" t="n">
        <f aca="false">E801/E796</f>
        <v>0.243857925993977</v>
      </c>
      <c r="F803" s="11" t="n">
        <f aca="false">F801/F796</f>
        <v>0.250412561570068</v>
      </c>
      <c r="G803" s="11" t="n">
        <f aca="false">G801/G796</f>
        <v>0.253703137974645</v>
      </c>
    </row>
    <row r="804" customFormat="false" ht="17.15" hidden="false" customHeight="false" outlineLevel="0" collapsed="false">
      <c r="A804" s="4" t="s">
        <v>445</v>
      </c>
      <c r="B804" s="0" t="s">
        <v>34</v>
      </c>
      <c r="C804" s="16" t="n">
        <f aca="false">a25_ni</f>
        <v>24.739</v>
      </c>
      <c r="D804" s="16" t="n">
        <f aca="false">D801*g26_ni/g26_oi</f>
        <v>32.7023325618995</v>
      </c>
      <c r="E804" s="16" t="n">
        <f aca="false">E801*nioi</f>
        <v>39.3727287914386</v>
      </c>
      <c r="F804" s="16" t="n">
        <f aca="false">F801*nioi</f>
        <v>46.2721960376882</v>
      </c>
      <c r="G804" s="16" t="n">
        <f aca="false">G801*nioi</f>
        <v>50.8232295203476</v>
      </c>
      <c r="J804" s="8" t="s">
        <v>560</v>
      </c>
    </row>
    <row r="805" customFormat="false" ht="15" hidden="false" customHeight="false" outlineLevel="0" collapsed="false">
      <c r="A805" s="0" t="s">
        <v>526</v>
      </c>
      <c r="B805" s="0" t="s">
        <v>56</v>
      </c>
      <c r="C805" s="16" t="n">
        <f aca="false">a25_eps</f>
        <v>610.02</v>
      </c>
      <c r="D805" s="16" t="n">
        <f aca="false">D804*1000/shares</f>
        <v>805.705579270835</v>
      </c>
      <c r="E805" s="16" t="n">
        <f aca="false">E804*1000/shares</f>
        <v>970.047845924569</v>
      </c>
      <c r="F805" s="16" t="n">
        <f aca="false">F804*1000/shares</f>
        <v>1140.03386278675</v>
      </c>
      <c r="G805" s="16" t="n">
        <f aca="false">G804*1000/shares</f>
        <v>1252.16020917157</v>
      </c>
    </row>
    <row r="806" customFormat="false" ht="17.15" hidden="false" customHeight="false" outlineLevel="0" collapsed="false">
      <c r="A806" s="4" t="s">
        <v>561</v>
      </c>
      <c r="B806" s="0" t="s">
        <v>34</v>
      </c>
      <c r="C806" s="19" t="n">
        <f aca="false">ABS(C796-a25_rev)+ABS(C801-a25_oi)</f>
        <v>0.00200000000000244</v>
      </c>
    </row>
    <row r="823" customFormat="false" ht="17.15" hidden="false" customHeight="false" outlineLevel="0" collapsed="false">
      <c r="A823" s="1" t="s">
        <v>849</v>
      </c>
    </row>
    <row r="824" customFormat="false" ht="17.15" hidden="false" customHeight="false" outlineLevel="0" collapsed="false">
      <c r="A824" s="5" t="s">
        <v>778</v>
      </c>
      <c r="B824" s="5" t="s">
        <v>779</v>
      </c>
      <c r="C824" s="14" t="s">
        <v>850</v>
      </c>
      <c r="D824" s="14" t="s">
        <v>851</v>
      </c>
      <c r="E824" s="5" t="s">
        <v>852</v>
      </c>
      <c r="F824" s="5" t="s">
        <v>782</v>
      </c>
    </row>
    <row r="825" customFormat="false" ht="17.15" hidden="false" customHeight="false" outlineLevel="0" collapsed="false">
      <c r="A825" s="4" t="s">
        <v>26</v>
      </c>
      <c r="B825" s="0" t="s">
        <v>853</v>
      </c>
      <c r="C825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25" s="13" t="n">
        <f aca="false">Val!B36</f>
        <v>28867.0252927152</v>
      </c>
      <c r="E825" s="13" t="n">
        <f aca="false">tp_w_dcf*C825+(1-tp_w_dcf)*D825</f>
        <v>19528.0923097883</v>
      </c>
      <c r="F825" s="11" t="n">
        <f aca="false">E825/E$825-1</f>
        <v>0</v>
      </c>
    </row>
    <row r="826" customFormat="false" ht="17.15" hidden="false" customHeight="false" outlineLevel="0" collapsed="false">
      <c r="A826" s="4" t="s">
        <v>854</v>
      </c>
      <c r="B826" s="0" t="s">
        <v>855</v>
      </c>
      <c r="C826" s="13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8827.7576437299</v>
      </c>
      <c r="D826" s="13" t="n">
        <f aca="false">Val!B36</f>
        <v>28867.0252927152</v>
      </c>
      <c r="E826" s="13" t="n">
        <f aca="false">tp_w_dcf*C826+(1-tp_w_dcf)*D826</f>
        <v>18847.3914682226</v>
      </c>
      <c r="F826" s="11" t="n">
        <f aca="false">E826/E$825-1</f>
        <v>-0.034857518633528</v>
      </c>
    </row>
    <row r="827" customFormat="false" ht="17.15" hidden="false" customHeight="false" outlineLevel="0" collapsed="false">
      <c r="A827" s="4" t="s">
        <v>856</v>
      </c>
      <c r="B827" s="0" t="s">
        <v>857</v>
      </c>
      <c r="C827" s="13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12094.759804592</v>
      </c>
      <c r="D827" s="13" t="n">
        <f aca="false">Val!B36</f>
        <v>28867.0252927152</v>
      </c>
      <c r="E827" s="13" t="n">
        <f aca="false">tp_w_dcf*C827+(1-tp_w_dcf)*D827</f>
        <v>20480.8925486536</v>
      </c>
      <c r="F827" s="11" t="n">
        <f aca="false">E827/E$825-1</f>
        <v>0.0487912604954126</v>
      </c>
    </row>
    <row r="828" customFormat="false" ht="17.15" hidden="false" customHeight="false" outlineLevel="0" collapsed="false">
      <c r="A828" s="4" t="s">
        <v>858</v>
      </c>
      <c r="B828" s="0" t="s">
        <v>859</v>
      </c>
      <c r="C828" s="13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10532.0294294108</v>
      </c>
      <c r="D828" s="13" t="n">
        <f aca="false">Val!B36</f>
        <v>28867.0252927152</v>
      </c>
      <c r="E828" s="13" t="n">
        <f aca="false">tp_w_dcf*C828+(1-tp_w_dcf)*D828</f>
        <v>19699.527361063</v>
      </c>
      <c r="F828" s="11" t="n">
        <f aca="false">E828/E$825-1</f>
        <v>0.00877889394187337</v>
      </c>
    </row>
    <row r="829" customFormat="false" ht="17.15" hidden="false" customHeight="false" outlineLevel="0" collapsed="false">
      <c r="A829" s="4" t="s">
        <v>860</v>
      </c>
      <c r="B829" s="0" t="s">
        <v>861</v>
      </c>
      <c r="C829" s="13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10018.4615898444</v>
      </c>
      <c r="D829" s="13" t="n">
        <f aca="false">Val!B36</f>
        <v>28867.0252927152</v>
      </c>
      <c r="E829" s="13" t="n">
        <f aca="false">tp_w_dcf*C829+(1-tp_w_dcf)*D829</f>
        <v>19442.7434412798</v>
      </c>
      <c r="F829" s="11" t="n">
        <f aca="false">E829/E$825-1</f>
        <v>-0.00437056867381058</v>
      </c>
    </row>
    <row r="830" customFormat="false" ht="17.15" hidden="false" customHeight="false" outlineLevel="0" collapsed="false">
      <c r="A830" s="0" t="s">
        <v>862</v>
      </c>
      <c r="B830" s="0" t="s">
        <v>863</v>
      </c>
      <c r="C830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0" s="13" t="n">
        <f aca="false">Val!B36</f>
        <v>28867.0252927152</v>
      </c>
      <c r="E830" s="13" t="n">
        <f aca="false">0.3*C830+(1-0.3)*D830</f>
        <v>23263.665502959</v>
      </c>
      <c r="F830" s="11" t="n">
        <f aca="false">E830/E$825-1</f>
        <v>0.191292274427562</v>
      </c>
    </row>
    <row r="831" customFormat="false" ht="17.15" hidden="false" customHeight="false" outlineLevel="0" collapsed="false">
      <c r="A831" s="0" t="s">
        <v>864</v>
      </c>
      <c r="B831" s="0" t="s">
        <v>865</v>
      </c>
      <c r="C831" s="13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10189.1593268613</v>
      </c>
      <c r="D831" s="13" t="n">
        <f aca="false">Val!B36</f>
        <v>28867.0252927152</v>
      </c>
      <c r="E831" s="13" t="n">
        <f aca="false">0.7*C831+(1-0.7)*D831</f>
        <v>15792.5191166175</v>
      </c>
      <c r="F831" s="11" t="n">
        <f aca="false">E831/E$825-1</f>
        <v>-0.191292274427562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866</v>
      </c>
    </row>
    <row r="2" customFormat="false" ht="17.15" hidden="false" customHeight="false" outlineLevel="0" collapsed="false">
      <c r="A2" s="0" t="s">
        <v>867</v>
      </c>
      <c r="B2" s="0" t="s">
        <v>868</v>
      </c>
    </row>
    <row r="3" customFormat="false" ht="17.15" hidden="false" customHeight="false" outlineLevel="0" collapsed="false">
      <c r="A3" s="0" t="s">
        <v>869</v>
      </c>
      <c r="B3" s="0" t="s">
        <v>870</v>
      </c>
    </row>
    <row r="4" customFormat="false" ht="17.15" hidden="false" customHeight="false" outlineLevel="0" collapsed="false">
      <c r="A4" s="4" t="s">
        <v>871</v>
      </c>
      <c r="B4" s="0" t="s">
        <v>872</v>
      </c>
    </row>
    <row r="5" customFormat="false" ht="17.15" hidden="false" customHeight="false" outlineLevel="0" collapsed="false">
      <c r="A5" s="4" t="s">
        <v>873</v>
      </c>
      <c r="B5" s="0" t="s">
        <v>874</v>
      </c>
    </row>
    <row r="6" customFormat="false" ht="17.15" hidden="false" customHeight="false" outlineLevel="0" collapsed="false">
      <c r="A6" s="4" t="s">
        <v>875</v>
      </c>
      <c r="B6" s="0" t="s">
        <v>876</v>
      </c>
    </row>
    <row r="7" customFormat="false" ht="17.15" hidden="false" customHeight="false" outlineLevel="0" collapsed="false">
      <c r="A7" s="4" t="s">
        <v>877</v>
      </c>
      <c r="B7" s="0" t="s">
        <v>878</v>
      </c>
    </row>
    <row r="8" customFormat="false" ht="17.15" hidden="false" customHeight="false" outlineLevel="0" collapsed="false">
      <c r="A8" s="4" t="s">
        <v>879</v>
      </c>
      <c r="B8" s="0" t="s">
        <v>880</v>
      </c>
    </row>
    <row r="9" customFormat="false" ht="17.15" hidden="false" customHeight="false" outlineLevel="0" collapsed="false">
      <c r="A9" s="4" t="s">
        <v>881</v>
      </c>
      <c r="B9" s="0" t="s">
        <v>882</v>
      </c>
    </row>
    <row r="10" customFormat="false" ht="17.15" hidden="false" customHeight="false" outlineLevel="0" collapsed="false">
      <c r="A10" s="4" t="s">
        <v>883</v>
      </c>
      <c r="B10" s="0" t="s">
        <v>884</v>
      </c>
    </row>
    <row r="11" customFormat="false" ht="17.15" hidden="false" customHeight="false" outlineLevel="0" collapsed="false">
      <c r="A11" s="4" t="s">
        <v>885</v>
      </c>
      <c r="B11" s="0" t="s">
        <v>886</v>
      </c>
    </row>
    <row r="12" customFormat="false" ht="17.15" hidden="false" customHeight="false" outlineLevel="0" collapsed="false">
      <c r="A12" s="4" t="s">
        <v>887</v>
      </c>
      <c r="B12" s="0" t="s">
        <v>888</v>
      </c>
    </row>
    <row r="13" customFormat="false" ht="15" hidden="false" customHeight="false" outlineLevel="0" collapsed="false">
      <c r="A13" s="4" t="s">
        <v>889</v>
      </c>
      <c r="B13" s="0" t="s">
        <v>890</v>
      </c>
    </row>
    <row r="14" customFormat="false" ht="17.15" hidden="false" customHeight="false" outlineLevel="0" collapsed="false">
      <c r="A14" s="0" t="s">
        <v>891</v>
      </c>
      <c r="B14" s="0" t="s">
        <v>892</v>
      </c>
    </row>
    <row r="15" customFormat="false" ht="17.15" hidden="false" customHeight="false" outlineLevel="0" collapsed="false">
      <c r="A15" s="0" t="s">
        <v>893</v>
      </c>
      <c r="B15" s="0" t="s">
        <v>894</v>
      </c>
    </row>
    <row r="16" customFormat="false" ht="17.15" hidden="false" customHeight="false" outlineLevel="0" collapsed="false">
      <c r="A16" s="0" t="s">
        <v>895</v>
      </c>
      <c r="B16" s="0" t="s">
        <v>896</v>
      </c>
    </row>
    <row r="17" customFormat="false" ht="17.15" hidden="false" customHeight="false" outlineLevel="0" collapsed="false">
      <c r="A17" s="0" t="s">
        <v>897</v>
      </c>
      <c r="B17" s="0" t="s">
        <v>898</v>
      </c>
    </row>
    <row r="18" customFormat="false" ht="17.15" hidden="false" customHeight="false" outlineLevel="0" collapsed="false">
      <c r="A18" s="0" t="s">
        <v>899</v>
      </c>
      <c r="B18" s="0" t="s">
        <v>900</v>
      </c>
    </row>
    <row r="19" customFormat="false" ht="17.15" hidden="false" customHeight="false" outlineLevel="0" collapsed="false">
      <c r="A19" s="0" t="s">
        <v>901</v>
      </c>
      <c r="B19" s="0" t="s">
        <v>902</v>
      </c>
    </row>
    <row r="20" customFormat="false" ht="17.15" hidden="false" customHeight="false" outlineLevel="0" collapsed="false">
      <c r="A20" s="4" t="s">
        <v>903</v>
      </c>
    </row>
    <row r="21" customFormat="false" ht="17.15" hidden="false" customHeight="false" outlineLevel="0" collapsed="false">
      <c r="A21" s="4" t="s">
        <v>904</v>
      </c>
    </row>
    <row r="22" customFormat="false" ht="17.15" hidden="false" customHeight="false" outlineLevel="0" collapsed="false">
      <c r="A22" s="4" t="s">
        <v>905</v>
      </c>
    </row>
    <row r="23" customFormat="false" ht="15" hidden="false" customHeight="false" outlineLevel="0" collapsed="false">
      <c r="A23" s="0" t="s">
        <v>906</v>
      </c>
      <c r="B23" s="4" t="s">
        <v>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2026-10-25T07:45:18Z</dcterms:created>
  <dc:creator>openpyxl</dc:creator>
  <dc:description/>
  <dc:language>en-US</dc:language>
  <cp:lastModifiedBy/>
  <dcterms:modified xsi:type="dcterms:W3CDTF">2026-10-25T07:45:18Z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