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<sst xmlns="http://schemas.openxmlformats.org/spreadsheetml/2006/main" count="3578" uniqueCount="853">
  <si>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</si>
  <si>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</si>
  <si>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</si>
  <si>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</si>
  <si>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</si>
  <si>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</si>
  <si>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</si>
  <si>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</si>
  <si>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不納入、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取高值；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</si>
  <si>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</si>
  <si>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</si>
  <si>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</si>
  <si>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</si>
  <si>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</si>
  <si>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</si>
  <si>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</si>
  <si>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</si>
  <si>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</si>
  <si>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</si>
  <si>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</si>
  <si>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</si>
  <si>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</si>
  <si>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</si>
  <si>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</si>
  <si>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</si>
  <si>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</si>
  <si>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</si>
  <si>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</si>
  <si>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</si>
  <si>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</si>
  <si>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</si>
  <si>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</si>
  <si>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</si>
  <si>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</si>
  <si>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</si>
  <si>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</si>
  <si>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</si>
  <si>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</si>
  <si>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</si>
  <si>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</si>
  <si>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</si>
  <si>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</si>
  <si>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</si>
  <si>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</si>
  <si>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</si>
  <si>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</si>
  <si>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</si>
  <si>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</si>
  <si>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</si>
  <si>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</si>
  <si>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</si>
  <si>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</si>
  <si>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</si>
  <si>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</si>
  <si>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</si>
  <si>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</si>
  <si>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</si>
  <si>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</si>
  <si>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</si>
  <si>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</si>
  <si>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</si>
  <si>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</si>
  <si>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</si>
  <si>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</si>
  <si>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</si>
  <si>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</si>
  <si>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</si>
  <si>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</si>
  <si>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</si>
  <si>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</si>
  <si>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</si>
  <si>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</si>
  <si>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</si>
  <si>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</si>
  <si>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</si>
  <si>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</si>
  <si>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</si>
  <si>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</si>
  <si>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</si>
  <si>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</si>
  <si>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</si>
  <si>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</si>
  <si>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</si>
  <si>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</si>
  <si>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</si>
  <si>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</si>
  <si>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</si>
  <si>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</si>
  <si>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</si>
  <si>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</si>
  <si>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</si>
  <si>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</si>
  <si>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In!D43:F43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</si>
  <si>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</si>
  <si>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</si>
  <si>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</si>
  <si>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In!D44:F44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</si>
  <si>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</si>
  <si>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</si>
  <si>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In!D45:F45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</si>
  <si>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</si>
  <si>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</si>
  <si>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In!D46:F46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</si>
  <si>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</si>
  <si>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</si>
  <si>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</si>
  <si>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</si>
  <si>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</si>
  <si>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In!D48:F48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</si>
  <si>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</si>
  <si>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</si>
  <si>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</si>
  <si>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</si>
  <si>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</si>
  <si>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</si>
  <si>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</si>
  <si>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In!D66:F66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</si>
  <si>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不納入、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取高值；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</si>
  <si>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</si>
  <si>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</si>
  <si>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In!D67:F67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</si>
  <si>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</si>
  <si>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</si>
  <si>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In!D68:F68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</si>
  <si>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</si>
  <si>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</si>
  <si>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In!D69:F69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</si>
  <si>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</si>
  <si>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</si>
  <si>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In!D70:F70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</si>
  <si>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</si>
  <si>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</si>
  <si>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In!D71:F71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</si>
  <si>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</si>
  <si>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</si>
  <si>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</si>
  <si>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</si>
  <si>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</si>
  <si>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</si>
  <si>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</si>
  <si>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</si>
  <si>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</si>
  <si>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</si>
  <si>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</si>
  <si>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</si>
  <si>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</si>
  <si>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</si>
  <si>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</si>
  <si>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</si>
  <si>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</si>
  <si>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</si>
  <si>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</si>
  <si>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</si>
  <si>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</si>
  <si>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</si>
  <si>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</si>
  <si>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</si>
  <si>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</si>
  <si>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</si>
  <si>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</si>
  <si>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</si>
  <si>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</si>
  <si>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</si>
  <si>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</si>
  <si>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</si>
  <si>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</si>
  <si>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</si>
  <si>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</si>
  <si>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</si>
  <si>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</si>
  <si>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</si>
  <si>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</si>
  <si>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</si>
  <si>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</si>
  <si>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</si>
  <si>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</si>
  <si>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</si>
  <si>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</si>
  <si>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</si>
  <si>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</si>
  <si>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</si>
  <si>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</si>
  <si>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</si>
  <si>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</si>
  <si>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</si>
  <si>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</si>
  <si>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</si>
  <si>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</si>
  <si>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</si>
  <si>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</si>
  <si>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</si>
  <si>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</si>
  <si>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</si>
  <si>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</si>
  <si>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</si>
  <si>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</si>
  <si>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</si>
  <si>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</si>
  <si>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</si>
  <si>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</si>
  <si>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</si>
  <si>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</si>
  <si>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</si>
  <si>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</si>
  <si>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</si>
  <si>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</si>
  <si>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</si>
  <si>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</si>
  <si>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</si>
  <si>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</si>
  <si>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</si>
  <si>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</si>
  <si>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</si>
  <si>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</si>
  <si>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</si>
  <si>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</si>
  <si>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</si>
  <si>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</si>
  <si>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</si>
  <si>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</si>
  <si>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</si>
  <si>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</si>
  <si>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</si>
  <si>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</si>
  <si>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</si>
  <si>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</si>
  <si>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</si>
  <si>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</si>
  <si>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</si>
  <si>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</si>
  <si>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</si>
  <si>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</si>
  <si>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</si>
  <si>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</si>
  <si>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</si>
  <si>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</si>
  <si>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</si>
  <si>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</si>
  <si>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</si>
  <si>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</si>
  <si>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g_o_C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</si>
  <si>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</si>
  <si>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</si>
  <si>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</si>
  <si>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</si>
  <si>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</si>
  <si>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</si>
  <si>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</si>
  <si>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</si>
  <si>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</si>
  <si>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</si>
  <si>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</si>
  <si>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</si>
  <si>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</si>
  <si>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</si>
  <si>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</si>
  <si>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</si>
  <si>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</si>
  <si>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</si>
  <si>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</si>
  <si>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</si>
  <si>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</si>
  <si>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</si>
  <si>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</si>
  <si>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</si>
  <si>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</si>
  <si>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</si>
  <si>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</si>
  <si>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</si>
  <si>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</si>
  <si>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</si>
  <si>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</si>
  <si>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</si>
  <si>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</si>
  <si>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</si>
  <si>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</si>
  <si>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</si>
  <si>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</si>
  <si>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</si>
  <si>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</si>
  <si>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</si>
  <si>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</si>
  <si>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</si>
  <si>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</si>
  <si>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</si>
  <si>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</si>
  <si>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</si>
  <si>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</si>
  <si>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</si>
  <si>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</si>
  <si>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</si>
  <si>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</si>
  <si>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</si>
  <si>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</si>
  <si>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</si>
  <si>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</si>
  <si>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</si>
  <si>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</si>
  <si>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</si>
  <si>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</si>
  <si>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</si>
  <si>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</si>
  <si>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</si>
  <si>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</si>
  <si>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</si>
  <si>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</si>
  <si>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</si>
  <si>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</si>
  <si>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</si>
  <si>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</si>
  <si>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</si>
  <si>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</si>
  <si>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</si>
  <si>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</si>
  <si>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</si>
  <si>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</si>
  <si>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</si>
  <si>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</si>
  <si>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</si>
  <si>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</si>
  <si>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</si>
  <si>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</si>
  <si>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</si>
  <si>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</si>
  <si>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</si>
  <si>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</si>
  <si>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</si>
  <si>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</si>
  <si>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</si>
  <si>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</si>
  <si>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</si>
  <si>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</si>
  <si>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</si>
  <si>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</si>
  <si>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</si>
  <si>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</si>
  <si>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</si>
  <si>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</si>
  <si>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</si>
  <si>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</si>
  <si>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</si>
  <si>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</si>
  <si>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</si>
  <si>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</si>
  <si>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</si>
  <si>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</si>
  <si>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</si>
  <si>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</si>
  <si>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</si>
  <si>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</si>
  <si>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</si>
  <si>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</si>
  <si>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</si>
  <si>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</si>
  <si>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</si>
  <si>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</si>
  <si>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</si>
  <si>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</si>
  <si>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</si>
  <si>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</si>
  <si>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</si>
  <si>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</si>
  <si>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</si>
  <si>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</si>
  <si>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</si>
  <si>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</si>
  <si>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</si>
  <si>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</si>
  <si>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</si>
  <si>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</si>
  <si>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</si>
  <si>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</si>
  <si>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</si>
  <si>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</si>
  <si>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</si>
  <si>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</si>
  <si>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</si>
  <si>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</si>
  <si>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</si>
  <si>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</si>
  <si>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</si>
  <si>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</si>
  <si>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</si>
  <si>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</si>
  <si>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</si>
  <si>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</si>
  <si>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</si>
  <si>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</si>
  <si>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</si>
  <si>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</si>
  <si>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</si>
  <si>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</si>
  <si>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</si>
  <si>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</si>
  <si>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</si>
  <si>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</si>
  <si>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</si>
  <si>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</si>
  <si>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</si>
  <si>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</si>
  <si>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</si>
  <si>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</si>
  <si>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</si>
  <si>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</si>
  <si>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</si>
  <si>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</si>
  <si>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</si>
  <si>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</si>
  <si>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</si>
  <si>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</si>
  <si>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</si>
  <si>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</si>
  <si>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</si>
  <si>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</si>
  <si>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</si>
  <si>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</si>
  <si>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</si>
  <si>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</si>
  <si>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</si>
  <si>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</si>
  <si>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</si>
  <si>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</si>
  <si>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</si>
  <si>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</si>
  <si>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</si>
  <si>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</si>
  <si>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</si>
  <si>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</si>
  <si>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</si>
  <si>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</si>
  <si>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</si>
  <si>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</si>
  <si>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</si>
  <si>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</si>
  <si>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</si>
  <si>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</si>
  <si>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</si>
  <si>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</si>
  <si>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</si>
  <si>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</si>
  <si>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</si>
  <si>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</si>
  <si>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</si>
  <si>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</si>
  <si>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</si>
  <si>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</si>
  <si>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</si>
  <si>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</si>
  <si>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</si>
  <si>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</si>
  <si>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</si>
  <si>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</si>
  <si>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</si>
  <si>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</si>
  <si>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</si>
  <si>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</si>
  <si>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</si>
  <si>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</si>
  <si>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</si>
  <si>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</si>
  <si>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</si>
  <si>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</si>
  <si>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</si>
  <si>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</si>
  <si>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</si>
  <si>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</si>
  <si>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</si>
  <si>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</si>
  <si>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</si>
  <si>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：基準顆數；不納入混合鍵合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</si>
  <si>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</si>
  <si>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</si>
  <si>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</si>
  <si>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</si>
  <si>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</si>
  <si>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</si>
  <si>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</si>
  <si>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</si>
  <si>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</si>
  <si>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</si>
  <si>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不納入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</si>
  <si>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</si>
  <si>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</si>
  <si>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鍵合機在產能需要前一年購入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</si>
  <si>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</si>
  <si>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</si>
  <si>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</si>
  <si>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</si>
  <si>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</si>
  <si>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</si>
  <si>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</si>
  <si>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</si>
  <si>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</si>
  <si>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</si>
  <si>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</si>
  <si>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</si>
  <si>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</si>
  <si>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</si>
  <si>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</si>
  <si>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</si>
  <si>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</si>
  <si>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</si>
  <si>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</si>
  <si>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</si>
  <si>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</si>
  <si>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；混合鍵合取高值；韓華、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</si>
  <si>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</si>
  <si>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</si>
  <si>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</si>
  <si>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</si>
  <si>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</si>
  <si>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</si>
  <si>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</si>
  <si>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</si>
  <si>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</si>
  <si>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</si>
  <si>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</si>
  <si>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</si>
  <si>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</si>
  <si>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</si>
  <si>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</si>
  <si>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</si>
  <si>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</si>
  <si>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</si>
  <si>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</si>
  <si>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</si>
  <si>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</si>
  <si>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</si>
  <si>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</si>
  <si>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</si>
  <si>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</si>
  <si>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</si>
  <si>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</si>
  <si>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</si>
  <si>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</si>
  <si>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</si>
  <si>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</si>
  <si>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</si>
  <si>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</si>
  <si>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</si>
  <si>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</si>
  <si>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</si>
  <si>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</si>
  <si>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</si>
  <si>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</si>
  <si>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</si>
  <si>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</si>
  <si>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</si>
  <si>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</si>
  <si>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</si>
  <si>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</si>
  <si>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</si>
  <si>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</si>
  <si>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</si>
  <si>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</si>
  <si>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</si>
  <si>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</si>
  <si>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</si>
  <si>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</si>
  <si>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</si>
  <si>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</si>
  <si>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</si>
  <si>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</si>
  <si>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</si>
  <si>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</si>
  <si>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</si>
  <si>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</si>
  <si>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</si>
  <si>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</si>
  <si>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</si>
  <si>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</si>
  <si>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</si>
  <si>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</si>
  <si>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</si>
  <si>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</si>
  <si>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</si>
  <si>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</si>
  <si>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</si>
  <si>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</si>
  <si>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</si>
  <si>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</si>
  <si>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</si>
  <si>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</si>
  <si>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</si>
  <si>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</si>
  <si>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</si>
  <si>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</si>
  <si>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</si>
  <si>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</si>
  <si>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</si>
  <si>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</si>
  <si>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</si>
  <si>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</si>
  <si>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</si>
  <si>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</si>
  <si>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</si>
  <si>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</si>
  <si>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</si>
  <si>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</si>
  <si>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</si>
  <si>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</si>
  <si>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</si>
  <si>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</si>
  <si>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</si>
  <si>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</si>
  <si>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</si>
  <si>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</si>
  <si>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</si>
  <si>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</si>
  <si>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</si>
  <si>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</si>
  <si>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</si>
  <si>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</si>
  <si>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</si>
  <si>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</si>
  <si>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</si>
  <si>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</si>
  <si>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</si>
  <si>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</si>
  <si>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</si>
  <si>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</si>
  <si>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</si>
  <si>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</si>
  <si>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</si>
  <si>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</si>
  <si>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</si>
  <si>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</si>
  <si>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</si>
  <si>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</si>
  <si>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</si>
  <si>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</si>
  <si>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</si>
  <si>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</si>
  <si>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</si>
  <si>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</si>
  <si>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</si>
  <si>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</si>
  <si>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</si>
  <si>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</si>
  <si>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</si>
  <si>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</si>
  <si>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</si>
  <si>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</si>
  <si>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</si>
  <si>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</si>
  <si>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</si>
  <si>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</si>
  <si>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</si>
  <si>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</si>
  <si>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</si>
  <si>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</si>
  <si>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</si>
  <si>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</si>
  <si>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</si>
  <si>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</si>
  <si>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</si>
  <si>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</si>
  <si>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</si>
  <si>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</si>
  <si>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</si>
  <si>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</si>
  <si>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</si>
  <si>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</si>
  <si>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</si>
  <si>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</si>
  <si>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</si>
  <si>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</si>
  <si>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</si>
  <si>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</si>
  <si>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</si>
  <si>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</si>
  <si>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</si>
  <si>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</si>
  <si>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</si>
  <si>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</si>
  <si>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</si>
  <si>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</si>
  <si>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</si>
  <si>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</si>
  <si>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</si>
  <si>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</si>
  <si>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</si>
  <si>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</si>
  <si>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</si>
  <si>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</si>
  <si>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</si>
  <si>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</si>
  <si>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</si>
  <si>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</si>
  <si>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</si>
  <si>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</si>
  <si>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</si>
  <si>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</si>
  <si>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</si>
  <si>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</si>
  <si>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</si>
  <si>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</si>
  <si>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</si>
  <si>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</si>
  <si>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</si>
  <si>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</si>
  <si>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</si>
  <si>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</si>
  <si>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</si>
  <si>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</si>
  <si>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</si>
  <si>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</si>
  <si>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</si>
  <si>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</si>
  <si>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</si>
  <si>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</si>
  <si>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</si>
  <si>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</si>
  <si>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</si>
  <si>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</si>
  <si>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</si>
  <si>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</si>
  <si>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</si>
  <si>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</si>
  <si>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</si>
  <si>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</si>
  <si>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</si>
  <si>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</si>
  <si>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</si>
  <si>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</si>
  <si>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</si>
  <si>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</si>
  <si>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</si>
  <si>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</si>
  <si>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</si>
  <si>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Calibri"/>
        <family val="2"/>
        <charset val="1"/>
      </rPr>
      <t xml:space="preserve">2028 15%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2030 40%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</si>
  <si>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</si>
  <si>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</si>
  <si>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</si>
  <si>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</si>
  <si>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</si>
  <si>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</si>
  <si>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</si>
  <si>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</si>
  <si>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</si>
  <si>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</si>
  <si>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</si>
  <si>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</si>
  <si>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</si>
  <si>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</si>
  <si>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</si>
  <si>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</si>
  <si>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</si>
  <si>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</si>
  <si>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</si>
  <si>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</si>
  <si>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</si>
  <si>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</si>
  <si>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</si>
  <si>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</si>
  <si>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</si>
  <si>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</si>
  <si>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</si>
  <si>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</si>
  <si>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</si>
  <si>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</si>
  <si>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</si>
  <si>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</si>
  <si>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</si>
  <si>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</si>
  <si>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；混合鍵合高值；份額回落、毛利率下調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</si>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</sst>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#,##0.0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6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2.22511470588235</v>
      </c>
      <c r="G5" s="8" t="s">
        <v>28</v>
      </c>
      <c r="H5" s="8" t="s">
        <v>29</v>
      </c>
      <c r="I5" s="8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3.782695</v>
      </c>
      <c r="G6" s="8" t="s">
        <v>28</v>
      </c>
      <c r="H6" s="8" t="s">
        <v>29</v>
      </c>
      <c r="I6" s="4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5.86317725</v>
      </c>
      <c r="G7" s="8" t="s">
        <v>28</v>
      </c>
      <c r="H7" s="8" t="s">
        <v>29</v>
      </c>
      <c r="I7" s="4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8.5016070125</v>
      </c>
      <c r="G8" s="8" t="s">
        <v>28</v>
      </c>
      <c r="H8" s="8" t="s">
        <v>29</v>
      </c>
      <c r="I8" s="4" t="s">
        <v>33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27</v>
      </c>
      <c r="E9" s="7" t="n">
        <v>11.477169466875</v>
      </c>
      <c r="G9" s="8" t="s">
        <v>28</v>
      </c>
      <c r="H9" s="8" t="s">
        <v>29</v>
      </c>
      <c r="I9" s="4" t="s">
        <v>33</v>
      </c>
    </row>
    <row r="10" customFormat="false" ht="17.15" hidden="false" customHeight="false" outlineLevel="0" collapsed="false">
      <c r="A10" s="0" t="s">
        <v>40</v>
      </c>
      <c r="B10" s="0" t="s">
        <v>41</v>
      </c>
      <c r="C10" s="0" t="s">
        <v>27</v>
      </c>
      <c r="E10" s="7" t="n">
        <v>2.22511470588235</v>
      </c>
      <c r="G10" s="8" t="s">
        <v>28</v>
      </c>
      <c r="H10" s="8" t="s">
        <v>42</v>
      </c>
      <c r="I10" s="8" t="s">
        <v>30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27</v>
      </c>
      <c r="E11" s="7" t="n">
        <v>3.782695</v>
      </c>
      <c r="G11" s="8" t="s">
        <v>28</v>
      </c>
      <c r="H11" s="8" t="s">
        <v>42</v>
      </c>
      <c r="I11" s="4" t="s">
        <v>33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27</v>
      </c>
      <c r="E12" s="7" t="n">
        <v>5.86317725</v>
      </c>
      <c r="G12" s="8" t="s">
        <v>28</v>
      </c>
      <c r="H12" s="8" t="s">
        <v>42</v>
      </c>
      <c r="I12" s="4" t="s">
        <v>33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27</v>
      </c>
      <c r="E13" s="7" t="n">
        <v>8.22296</v>
      </c>
      <c r="G13" s="8" t="s">
        <v>28</v>
      </c>
      <c r="H13" s="8" t="s">
        <v>42</v>
      </c>
      <c r="I13" s="4" t="s">
        <v>33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0" t="s">
        <v>27</v>
      </c>
      <c r="E14" s="7" t="n">
        <v>11.3579635</v>
      </c>
      <c r="G14" s="8" t="s">
        <v>28</v>
      </c>
      <c r="H14" s="8" t="s">
        <v>42</v>
      </c>
      <c r="I14" s="4" t="s">
        <v>33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0" t="s">
        <v>27</v>
      </c>
      <c r="E15" s="7" t="n">
        <v>2.22511470588235</v>
      </c>
      <c r="G15" s="8" t="s">
        <v>28</v>
      </c>
      <c r="H15" s="8" t="s">
        <v>53</v>
      </c>
      <c r="I15" s="8" t="s">
        <v>30</v>
      </c>
    </row>
    <row r="16" customFormat="false" ht="17.15" hidden="false" customHeight="false" outlineLevel="0" collapsed="false">
      <c r="A16" s="0" t="s">
        <v>54</v>
      </c>
      <c r="B16" s="0" t="s">
        <v>55</v>
      </c>
      <c r="C16" s="0" t="s">
        <v>27</v>
      </c>
      <c r="E16" s="7" t="n">
        <v>3.782695</v>
      </c>
      <c r="G16" s="8" t="s">
        <v>28</v>
      </c>
      <c r="H16" s="8" t="s">
        <v>53</v>
      </c>
      <c r="I16" s="4" t="s">
        <v>33</v>
      </c>
    </row>
    <row r="17" customFormat="false" ht="17.15" hidden="false" customHeight="false" outlineLevel="0" collapsed="false">
      <c r="A17" s="0" t="s">
        <v>56</v>
      </c>
      <c r="B17" s="0" t="s">
        <v>57</v>
      </c>
      <c r="C17" s="0" t="s">
        <v>27</v>
      </c>
      <c r="E17" s="7" t="n">
        <v>5.86317725</v>
      </c>
      <c r="G17" s="8" t="s">
        <v>28</v>
      </c>
      <c r="H17" s="8" t="s">
        <v>53</v>
      </c>
      <c r="I17" s="4" t="s">
        <v>33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0" t="s">
        <v>27</v>
      </c>
      <c r="E18" s="7" t="n">
        <v>6.16722</v>
      </c>
      <c r="G18" s="8" t="s">
        <v>28</v>
      </c>
      <c r="H18" s="8" t="s">
        <v>53</v>
      </c>
      <c r="I18" s="4" t="s">
        <v>33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0" t="s">
        <v>27</v>
      </c>
      <c r="E19" s="7" t="n">
        <v>8.017386</v>
      </c>
      <c r="G19" s="8" t="s">
        <v>28</v>
      </c>
      <c r="H19" s="8" t="s">
        <v>53</v>
      </c>
      <c r="I19" s="4" t="s">
        <v>33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64</v>
      </c>
      <c r="D20" s="7" t="n">
        <v>0</v>
      </c>
      <c r="E20" s="7" t="n">
        <v>0.1</v>
      </c>
      <c r="F20" s="7" t="n">
        <v>0.2</v>
      </c>
      <c r="G20" s="8" t="s">
        <v>65</v>
      </c>
      <c r="H20" s="4" t="s">
        <v>66</v>
      </c>
      <c r="I20" s="4" t="s">
        <v>67</v>
      </c>
    </row>
    <row r="21" customFormat="false" ht="17.15" hidden="false" customHeight="false" outlineLevel="0" collapsed="false">
      <c r="A21" s="6" t="s">
        <v>68</v>
      </c>
    </row>
    <row r="22" customFormat="false" ht="17.15" hidden="false" customHeight="false" outlineLevel="0" collapsed="false">
      <c r="A22" s="0" t="s">
        <v>69</v>
      </c>
      <c r="B22" s="0" t="s">
        <v>70</v>
      </c>
      <c r="C22" s="0" t="s">
        <v>71</v>
      </c>
      <c r="D22" s="7" t="n">
        <v>22</v>
      </c>
      <c r="E22" s="7" t="n">
        <v>24</v>
      </c>
      <c r="F22" s="7" t="n">
        <v>24</v>
      </c>
      <c r="G22" s="8" t="s">
        <v>65</v>
      </c>
      <c r="H22" s="8" t="s">
        <v>72</v>
      </c>
      <c r="I22" s="8" t="s">
        <v>73</v>
      </c>
    </row>
    <row r="23" customFormat="false" ht="17.15" hidden="false" customHeight="false" outlineLevel="0" collapsed="false">
      <c r="A23" s="0" t="s">
        <v>74</v>
      </c>
      <c r="B23" s="0" t="s">
        <v>75</v>
      </c>
      <c r="C23" s="0" t="s">
        <v>71</v>
      </c>
      <c r="D23" s="7" t="n">
        <v>24</v>
      </c>
      <c r="E23" s="7" t="n">
        <v>24</v>
      </c>
      <c r="F23" s="7" t="n">
        <v>26</v>
      </c>
      <c r="G23" s="8" t="s">
        <v>65</v>
      </c>
      <c r="H23" s="8" t="s">
        <v>76</v>
      </c>
      <c r="I23" s="4" t="s">
        <v>33</v>
      </c>
    </row>
    <row r="24" customFormat="false" ht="17.15" hidden="false" customHeight="false" outlineLevel="0" collapsed="false">
      <c r="A24" s="0" t="s">
        <v>77</v>
      </c>
      <c r="B24" s="0" t="s">
        <v>78</v>
      </c>
      <c r="C24" s="0" t="s">
        <v>71</v>
      </c>
      <c r="D24" s="7" t="n">
        <v>24</v>
      </c>
      <c r="E24" s="7" t="n">
        <v>26</v>
      </c>
      <c r="F24" s="7" t="n">
        <v>28</v>
      </c>
      <c r="G24" s="8" t="s">
        <v>65</v>
      </c>
      <c r="H24" s="8" t="s">
        <v>79</v>
      </c>
      <c r="I24" s="4" t="s">
        <v>33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0" t="s">
        <v>71</v>
      </c>
      <c r="D25" s="7" t="n">
        <v>24</v>
      </c>
      <c r="E25" s="7" t="n">
        <v>28</v>
      </c>
      <c r="F25" s="7" t="n">
        <v>32</v>
      </c>
      <c r="G25" s="8" t="s">
        <v>65</v>
      </c>
      <c r="H25" s="8" t="s">
        <v>82</v>
      </c>
      <c r="I25" s="4" t="s">
        <v>33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0" t="s">
        <v>71</v>
      </c>
      <c r="D26" s="7" t="n">
        <v>26</v>
      </c>
      <c r="E26" s="7" t="n">
        <v>30</v>
      </c>
      <c r="F26" s="7" t="n">
        <v>32</v>
      </c>
      <c r="G26" s="8" t="s">
        <v>65</v>
      </c>
      <c r="H26" s="8" t="s">
        <v>85</v>
      </c>
      <c r="I26" s="4" t="s">
        <v>33</v>
      </c>
    </row>
    <row r="27" customFormat="false" ht="17.15" hidden="false" customHeight="false" outlineLevel="0" collapsed="false">
      <c r="A27" s="0" t="s">
        <v>86</v>
      </c>
      <c r="B27" s="0" t="s">
        <v>87</v>
      </c>
      <c r="C27" s="0" t="s">
        <v>71</v>
      </c>
      <c r="D27" s="7" t="n">
        <v>28</v>
      </c>
      <c r="E27" s="7" t="n">
        <v>32</v>
      </c>
      <c r="F27" s="7" t="n">
        <v>32</v>
      </c>
      <c r="G27" s="8" t="s">
        <v>65</v>
      </c>
      <c r="H27" s="8" t="s">
        <v>88</v>
      </c>
      <c r="I27" s="4" t="s">
        <v>33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4" t="s">
        <v>91</v>
      </c>
      <c r="D28" s="7" t="n">
        <v>8</v>
      </c>
      <c r="E28" s="7" t="n">
        <v>10</v>
      </c>
      <c r="F28" s="7" t="n">
        <v>12</v>
      </c>
      <c r="G28" s="8" t="s">
        <v>65</v>
      </c>
      <c r="H28" s="8" t="s">
        <v>92</v>
      </c>
      <c r="I28" s="4" t="s">
        <v>93</v>
      </c>
    </row>
    <row r="29" customFormat="false" ht="17.15" hidden="false" customHeight="false" outlineLevel="0" collapsed="false">
      <c r="A29" s="0" t="s">
        <v>94</v>
      </c>
      <c r="B29" s="0" t="s">
        <v>95</v>
      </c>
      <c r="C29" s="4" t="s">
        <v>91</v>
      </c>
      <c r="D29" s="7" t="n">
        <v>10</v>
      </c>
      <c r="E29" s="7" t="n">
        <v>12</v>
      </c>
      <c r="F29" s="7" t="n">
        <v>12</v>
      </c>
      <c r="G29" s="8" t="s">
        <v>65</v>
      </c>
      <c r="H29" s="8" t="s">
        <v>96</v>
      </c>
      <c r="I29" s="4" t="s">
        <v>33</v>
      </c>
    </row>
    <row r="30" customFormat="false" ht="17.15" hidden="false" customHeight="false" outlineLevel="0" collapsed="false">
      <c r="A30" s="0" t="s">
        <v>97</v>
      </c>
      <c r="B30" s="0" t="s">
        <v>98</v>
      </c>
      <c r="C30" s="4" t="s">
        <v>91</v>
      </c>
      <c r="D30" s="7" t="n">
        <v>12</v>
      </c>
      <c r="E30" s="7" t="n">
        <v>12.5</v>
      </c>
      <c r="F30" s="7" t="n">
        <v>14</v>
      </c>
      <c r="G30" s="8" t="s">
        <v>65</v>
      </c>
      <c r="H30" s="8" t="s">
        <v>99</v>
      </c>
      <c r="I30" s="4" t="s">
        <v>33</v>
      </c>
    </row>
    <row r="31" customFormat="false" ht="17.15" hidden="false" customHeight="false" outlineLevel="0" collapsed="false">
      <c r="A31" s="0" t="s">
        <v>100</v>
      </c>
      <c r="B31" s="0" t="s">
        <v>101</v>
      </c>
      <c r="C31" s="4" t="s">
        <v>91</v>
      </c>
      <c r="D31" s="7" t="n">
        <v>12</v>
      </c>
      <c r="E31" s="7" t="n">
        <v>14</v>
      </c>
      <c r="F31" s="7" t="n">
        <v>16</v>
      </c>
      <c r="G31" s="8" t="s">
        <v>65</v>
      </c>
      <c r="H31" s="8" t="s">
        <v>102</v>
      </c>
      <c r="I31" s="4" t="s">
        <v>33</v>
      </c>
    </row>
    <row r="32" customFormat="false" ht="17.15" hidden="false" customHeight="false" outlineLevel="0" collapsed="false">
      <c r="A32" s="0" t="s">
        <v>103</v>
      </c>
      <c r="B32" s="0" t="s">
        <v>104</v>
      </c>
      <c r="C32" s="4" t="s">
        <v>91</v>
      </c>
      <c r="D32" s="7" t="n">
        <v>12</v>
      </c>
      <c r="E32" s="7" t="n">
        <v>15</v>
      </c>
      <c r="F32" s="7" t="n">
        <v>16</v>
      </c>
      <c r="G32" s="8" t="s">
        <v>65</v>
      </c>
      <c r="H32" s="8" t="s">
        <v>105</v>
      </c>
      <c r="I32" s="4" t="s">
        <v>33</v>
      </c>
    </row>
    <row r="33" customFormat="false" ht="17.15" hidden="false" customHeight="false" outlineLevel="0" collapsed="false">
      <c r="A33" s="0" t="s">
        <v>106</v>
      </c>
      <c r="B33" s="0" t="s">
        <v>107</v>
      </c>
      <c r="C33" s="4" t="s">
        <v>91</v>
      </c>
      <c r="D33" s="7" t="n">
        <v>14</v>
      </c>
      <c r="E33" s="7" t="n">
        <v>16</v>
      </c>
      <c r="F33" s="7" t="n">
        <v>16</v>
      </c>
      <c r="G33" s="8" t="s">
        <v>65</v>
      </c>
      <c r="H33" s="8" t="s">
        <v>108</v>
      </c>
      <c r="I33" s="4" t="s">
        <v>33</v>
      </c>
    </row>
    <row r="34" customFormat="false" ht="17.15" hidden="false" customHeight="false" outlineLevel="0" collapsed="false">
      <c r="A34" s="0" t="s">
        <v>109</v>
      </c>
      <c r="B34" s="4" t="s">
        <v>110</v>
      </c>
      <c r="C34" s="0" t="s">
        <v>111</v>
      </c>
      <c r="D34" s="7" t="n">
        <v>0</v>
      </c>
      <c r="E34" s="7" t="n">
        <v>0.1</v>
      </c>
      <c r="F34" s="7" t="n">
        <v>0.25</v>
      </c>
      <c r="G34" s="8" t="s">
        <v>65</v>
      </c>
      <c r="H34" s="4" t="s">
        <v>112</v>
      </c>
      <c r="I34" s="4" t="s">
        <v>113</v>
      </c>
    </row>
    <row r="35" customFormat="false" ht="17.15" hidden="false" customHeight="false" outlineLevel="0" collapsed="false">
      <c r="A35" s="0" t="s">
        <v>114</v>
      </c>
      <c r="B35" s="4" t="s">
        <v>115</v>
      </c>
      <c r="C35" s="0" t="s">
        <v>64</v>
      </c>
      <c r="D35" s="7" t="n">
        <v>0</v>
      </c>
      <c r="E35" s="7" t="n">
        <v>0</v>
      </c>
      <c r="F35" s="7" t="n">
        <v>0</v>
      </c>
      <c r="G35" s="8" t="s">
        <v>65</v>
      </c>
      <c r="H35" s="8" t="s">
        <v>116</v>
      </c>
      <c r="I35" s="8" t="s">
        <v>117</v>
      </c>
    </row>
    <row r="36" customFormat="false" ht="17.15" hidden="false" customHeight="false" outlineLevel="0" collapsed="false">
      <c r="A36" s="0" t="s">
        <v>118</v>
      </c>
      <c r="B36" s="4" t="s">
        <v>119</v>
      </c>
      <c r="C36" s="0" t="s">
        <v>64</v>
      </c>
      <c r="D36" s="7" t="n">
        <v>0</v>
      </c>
      <c r="E36" s="7" t="n">
        <v>0</v>
      </c>
      <c r="F36" s="7" t="n">
        <v>0</v>
      </c>
      <c r="G36" s="8" t="s">
        <v>65</v>
      </c>
      <c r="H36" s="8" t="s">
        <v>120</v>
      </c>
      <c r="I36" s="4" t="s">
        <v>33</v>
      </c>
    </row>
    <row r="37" customFormat="false" ht="17.15" hidden="false" customHeight="false" outlineLevel="0" collapsed="false">
      <c r="A37" s="0" t="s">
        <v>121</v>
      </c>
      <c r="B37" s="4" t="s">
        <v>122</v>
      </c>
      <c r="C37" s="0" t="s">
        <v>64</v>
      </c>
      <c r="D37" s="7" t="n">
        <v>0</v>
      </c>
      <c r="E37" s="7" t="n">
        <v>0</v>
      </c>
      <c r="F37" s="7" t="n">
        <v>0.05</v>
      </c>
      <c r="G37" s="8" t="s">
        <v>65</v>
      </c>
      <c r="H37" s="8" t="s">
        <v>123</v>
      </c>
      <c r="I37" s="4" t="s">
        <v>33</v>
      </c>
    </row>
    <row r="38" customFormat="false" ht="17.15" hidden="false" customHeight="false" outlineLevel="0" collapsed="false">
      <c r="A38" s="0" t="s">
        <v>124</v>
      </c>
      <c r="B38" s="4" t="s">
        <v>125</v>
      </c>
      <c r="C38" s="0" t="s">
        <v>64</v>
      </c>
      <c r="D38" s="7" t="n">
        <v>0</v>
      </c>
      <c r="E38" s="7" t="n">
        <v>0.05</v>
      </c>
      <c r="F38" s="7" t="n">
        <v>0.15</v>
      </c>
      <c r="G38" s="8" t="s">
        <v>65</v>
      </c>
      <c r="H38" s="8" t="s">
        <v>126</v>
      </c>
      <c r="I38" s="4" t="s">
        <v>33</v>
      </c>
    </row>
    <row r="39" customFormat="false" ht="17.15" hidden="false" customHeight="false" outlineLevel="0" collapsed="false">
      <c r="A39" s="0" t="s">
        <v>127</v>
      </c>
      <c r="B39" s="4" t="s">
        <v>128</v>
      </c>
      <c r="C39" s="0" t="s">
        <v>64</v>
      </c>
      <c r="D39" s="7" t="n">
        <v>0.05</v>
      </c>
      <c r="E39" s="7" t="n">
        <v>0.15</v>
      </c>
      <c r="F39" s="7" t="n">
        <v>0.3</v>
      </c>
      <c r="G39" s="8" t="s">
        <v>65</v>
      </c>
      <c r="H39" s="8" t="s">
        <v>129</v>
      </c>
      <c r="I39" s="4" t="s">
        <v>33</v>
      </c>
    </row>
    <row r="40" customFormat="false" ht="17.15" hidden="false" customHeight="false" outlineLevel="0" collapsed="false">
      <c r="A40" s="0" t="s">
        <v>130</v>
      </c>
      <c r="B40" s="4" t="s">
        <v>131</v>
      </c>
      <c r="C40" s="0" t="s">
        <v>64</v>
      </c>
      <c r="D40" s="7" t="n">
        <v>0.1</v>
      </c>
      <c r="E40" s="7" t="n">
        <v>0.25</v>
      </c>
      <c r="F40" s="7" t="n">
        <v>0.4</v>
      </c>
      <c r="G40" s="8" t="s">
        <v>65</v>
      </c>
      <c r="H40" s="8" t="s">
        <v>132</v>
      </c>
      <c r="I40" s="4" t="s">
        <v>33</v>
      </c>
    </row>
    <row r="41" customFormat="false" ht="17.15" hidden="false" customHeight="false" outlineLevel="0" collapsed="false">
      <c r="A41" s="0" t="s">
        <v>133</v>
      </c>
      <c r="B41" s="4" t="s">
        <v>134</v>
      </c>
      <c r="C41" s="0" t="s">
        <v>135</v>
      </c>
      <c r="D41" s="7" t="n">
        <v>0.05</v>
      </c>
      <c r="E41" s="7" t="n">
        <v>0.1</v>
      </c>
      <c r="F41" s="7" t="n">
        <v>0.15</v>
      </c>
      <c r="G41" s="8" t="s">
        <v>65</v>
      </c>
      <c r="H41" s="4" t="s">
        <v>136</v>
      </c>
      <c r="I41" s="4" t="s">
        <v>137</v>
      </c>
    </row>
    <row r="42" customFormat="false" ht="17.15" hidden="false" customHeight="false" outlineLevel="0" collapsed="false">
      <c r="A42" s="6" t="s">
        <v>138</v>
      </c>
    </row>
    <row r="43" customFormat="false" ht="17.15" hidden="false" customHeight="false" outlineLevel="0" collapsed="false">
      <c r="A43" s="0" t="s">
        <v>139</v>
      </c>
      <c r="B43" s="0" t="s">
        <v>140</v>
      </c>
      <c r="C43" s="0" t="s">
        <v>64</v>
      </c>
      <c r="E43" s="7" t="n">
        <v>0.58</v>
      </c>
      <c r="G43" s="8" t="s">
        <v>141</v>
      </c>
      <c r="H43" s="8" t="s">
        <v>142</v>
      </c>
      <c r="I43" s="4" t="s">
        <v>143</v>
      </c>
    </row>
    <row r="44" customFormat="false" ht="17.15" hidden="false" customHeight="false" outlineLevel="0" collapsed="false">
      <c r="A44" s="0" t="s">
        <v>144</v>
      </c>
      <c r="B44" s="0" t="s">
        <v>145</v>
      </c>
      <c r="C44" s="0" t="s">
        <v>64</v>
      </c>
      <c r="E44" s="7" t="n">
        <v>0.52</v>
      </c>
      <c r="G44" s="8" t="s">
        <v>141</v>
      </c>
      <c r="H44" s="8" t="s">
        <v>146</v>
      </c>
      <c r="I44" s="4" t="s">
        <v>33</v>
      </c>
    </row>
    <row r="45" customFormat="false" ht="17.15" hidden="false" customHeight="false" outlineLevel="0" collapsed="false">
      <c r="A45" s="0" t="s">
        <v>147</v>
      </c>
      <c r="B45" s="0" t="s">
        <v>148</v>
      </c>
      <c r="C45" s="0" t="s">
        <v>64</v>
      </c>
      <c r="E45" s="7" t="n">
        <v>0.42</v>
      </c>
      <c r="G45" s="8" t="s">
        <v>141</v>
      </c>
      <c r="H45" s="8" t="s">
        <v>149</v>
      </c>
      <c r="I45" s="4" t="s">
        <v>33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64</v>
      </c>
      <c r="E46" s="7" t="n">
        <v>0.4</v>
      </c>
      <c r="G46" s="8" t="s">
        <v>141</v>
      </c>
      <c r="H46" s="8" t="s">
        <v>152</v>
      </c>
      <c r="I46" s="4" t="s">
        <v>33</v>
      </c>
    </row>
    <row r="47" customFormat="false" ht="17.15" hidden="false" customHeight="false" outlineLevel="0" collapsed="false">
      <c r="A47" s="0" t="s">
        <v>153</v>
      </c>
      <c r="B47" s="0" t="s">
        <v>154</v>
      </c>
      <c r="C47" s="0" t="s">
        <v>64</v>
      </c>
      <c r="E47" s="7" t="n">
        <v>0.4</v>
      </c>
      <c r="G47" s="8" t="s">
        <v>141</v>
      </c>
      <c r="H47" s="8" t="s">
        <v>155</v>
      </c>
      <c r="I47" s="4" t="s">
        <v>33</v>
      </c>
    </row>
    <row r="48" customFormat="false" ht="17.15" hidden="false" customHeight="false" outlineLevel="0" collapsed="false">
      <c r="A48" s="0" t="s">
        <v>156</v>
      </c>
      <c r="B48" s="4" t="s">
        <v>157</v>
      </c>
      <c r="C48" s="0" t="s">
        <v>64</v>
      </c>
      <c r="E48" s="7" t="n">
        <v>0.17</v>
      </c>
      <c r="G48" s="8" t="s">
        <v>141</v>
      </c>
      <c r="H48" s="8" t="s">
        <v>158</v>
      </c>
      <c r="I48" s="4" t="s">
        <v>143</v>
      </c>
    </row>
    <row r="49" customFormat="false" ht="17.15" hidden="false" customHeight="false" outlineLevel="0" collapsed="false">
      <c r="A49" s="0" t="s">
        <v>159</v>
      </c>
      <c r="B49" s="4" t="s">
        <v>160</v>
      </c>
      <c r="C49" s="0" t="s">
        <v>64</v>
      </c>
      <c r="E49" s="7" t="n">
        <v>0.29</v>
      </c>
      <c r="G49" s="8" t="s">
        <v>141</v>
      </c>
      <c r="H49" s="8" t="s">
        <v>161</v>
      </c>
      <c r="I49" s="4" t="s">
        <v>33</v>
      </c>
    </row>
    <row r="50" customFormat="false" ht="17.15" hidden="false" customHeight="false" outlineLevel="0" collapsed="false">
      <c r="A50" s="0" t="s">
        <v>162</v>
      </c>
      <c r="B50" s="4" t="s">
        <v>163</v>
      </c>
      <c r="C50" s="0" t="s">
        <v>64</v>
      </c>
      <c r="E50" s="7" t="n">
        <v>0.38</v>
      </c>
      <c r="G50" s="8" t="s">
        <v>141</v>
      </c>
      <c r="H50" s="8" t="s">
        <v>164</v>
      </c>
      <c r="I50" s="4" t="s">
        <v>33</v>
      </c>
    </row>
    <row r="51" customFormat="false" ht="17.15" hidden="false" customHeight="false" outlineLevel="0" collapsed="false">
      <c r="A51" s="0" t="s">
        <v>165</v>
      </c>
      <c r="B51" s="4" t="s">
        <v>166</v>
      </c>
      <c r="C51" s="0" t="s">
        <v>64</v>
      </c>
      <c r="E51" s="7" t="n">
        <v>0.4</v>
      </c>
      <c r="G51" s="8" t="s">
        <v>141</v>
      </c>
      <c r="H51" s="8" t="s">
        <v>167</v>
      </c>
      <c r="I51" s="4" t="s">
        <v>33</v>
      </c>
    </row>
    <row r="52" customFormat="false" ht="17.15" hidden="false" customHeight="false" outlineLevel="0" collapsed="false">
      <c r="A52" s="0" t="s">
        <v>168</v>
      </c>
      <c r="B52" s="4" t="s">
        <v>169</v>
      </c>
      <c r="C52" s="0" t="s">
        <v>64</v>
      </c>
      <c r="E52" s="7" t="n">
        <v>0.4</v>
      </c>
      <c r="G52" s="8" t="s">
        <v>141</v>
      </c>
      <c r="H52" s="8" t="s">
        <v>170</v>
      </c>
      <c r="I52" s="4" t="s">
        <v>33</v>
      </c>
    </row>
    <row r="53" customFormat="false" ht="17.15" hidden="false" customHeight="false" outlineLevel="0" collapsed="false">
      <c r="A53" s="0" t="s">
        <v>171</v>
      </c>
      <c r="B53" s="4" t="s">
        <v>172</v>
      </c>
      <c r="C53" s="0" t="s">
        <v>64</v>
      </c>
      <c r="E53" s="7" t="n">
        <v>0.21</v>
      </c>
      <c r="G53" s="8" t="s">
        <v>141</v>
      </c>
      <c r="H53" s="8" t="s">
        <v>173</v>
      </c>
      <c r="I53" s="4" t="s">
        <v>143</v>
      </c>
    </row>
    <row r="54" customFormat="false" ht="17.15" hidden="false" customHeight="false" outlineLevel="0" collapsed="false">
      <c r="A54" s="0" t="s">
        <v>174</v>
      </c>
      <c r="B54" s="4" t="s">
        <v>175</v>
      </c>
      <c r="C54" s="0" t="s">
        <v>64</v>
      </c>
      <c r="E54" s="7" t="n">
        <v>0.19</v>
      </c>
      <c r="G54" s="8" t="s">
        <v>141</v>
      </c>
      <c r="H54" s="8" t="s">
        <v>176</v>
      </c>
      <c r="I54" s="4" t="s">
        <v>33</v>
      </c>
    </row>
    <row r="55" customFormat="false" ht="17.15" hidden="false" customHeight="false" outlineLevel="0" collapsed="false">
      <c r="A55" s="0" t="s">
        <v>177</v>
      </c>
      <c r="B55" s="4" t="s">
        <v>178</v>
      </c>
      <c r="C55" s="0" t="s">
        <v>64</v>
      </c>
      <c r="E55" s="7" t="n">
        <v>0.2</v>
      </c>
      <c r="G55" s="8" t="s">
        <v>141</v>
      </c>
      <c r="H55" s="8" t="s">
        <v>179</v>
      </c>
      <c r="I55" s="4" t="s">
        <v>33</v>
      </c>
    </row>
    <row r="56" customFormat="false" ht="17.15" hidden="false" customHeight="false" outlineLevel="0" collapsed="false">
      <c r="A56" s="0" t="s">
        <v>180</v>
      </c>
      <c r="B56" s="4" t="s">
        <v>181</v>
      </c>
      <c r="C56" s="0" t="s">
        <v>64</v>
      </c>
      <c r="E56" s="7" t="n">
        <v>0.2</v>
      </c>
      <c r="G56" s="8" t="s">
        <v>141</v>
      </c>
      <c r="H56" s="8" t="s">
        <v>182</v>
      </c>
      <c r="I56" s="4" t="s">
        <v>33</v>
      </c>
    </row>
    <row r="57" customFormat="false" ht="17.15" hidden="false" customHeight="false" outlineLevel="0" collapsed="false">
      <c r="A57" s="0" t="s">
        <v>183</v>
      </c>
      <c r="B57" s="4" t="s">
        <v>184</v>
      </c>
      <c r="C57" s="0" t="s">
        <v>64</v>
      </c>
      <c r="E57" s="7" t="n">
        <v>0.2</v>
      </c>
      <c r="G57" s="8" t="s">
        <v>141</v>
      </c>
      <c r="H57" s="8" t="s">
        <v>185</v>
      </c>
      <c r="I57" s="4" t="s">
        <v>33</v>
      </c>
    </row>
    <row r="58" customFormat="false" ht="17.15" hidden="false" customHeight="false" outlineLevel="0" collapsed="false">
      <c r="A58" s="6" t="s">
        <v>186</v>
      </c>
    </row>
    <row r="59" customFormat="false" ht="17.15" hidden="false" customHeight="false" outlineLevel="0" collapsed="false">
      <c r="A59" s="0" t="s">
        <v>187</v>
      </c>
      <c r="B59" s="4" t="s">
        <v>188</v>
      </c>
      <c r="C59" s="0" t="s">
        <v>64</v>
      </c>
      <c r="D59" s="7" t="n">
        <v>0.4</v>
      </c>
      <c r="E59" s="7" t="n">
        <v>0.5</v>
      </c>
      <c r="F59" s="7" t="n">
        <v>0.65</v>
      </c>
      <c r="G59" s="8" t="s">
        <v>141</v>
      </c>
      <c r="H59" s="8" t="s">
        <v>189</v>
      </c>
      <c r="I59" s="8" t="s">
        <v>190</v>
      </c>
    </row>
    <row r="60" customFormat="false" ht="17.15" hidden="false" customHeight="false" outlineLevel="0" collapsed="false">
      <c r="A60" s="0" t="s">
        <v>191</v>
      </c>
      <c r="B60" s="4" t="s">
        <v>192</v>
      </c>
      <c r="C60" s="0" t="s">
        <v>64</v>
      </c>
      <c r="D60" s="7" t="n">
        <v>0.35</v>
      </c>
      <c r="E60" s="7" t="n">
        <v>0.45</v>
      </c>
      <c r="F60" s="7" t="n">
        <v>0.55</v>
      </c>
      <c r="G60" s="8" t="s">
        <v>65</v>
      </c>
      <c r="H60" s="4" t="s">
        <v>193</v>
      </c>
      <c r="I60" s="8" t="s">
        <v>194</v>
      </c>
    </row>
    <row r="61" customFormat="false" ht="17.15" hidden="false" customHeight="false" outlineLevel="0" collapsed="false">
      <c r="A61" s="0" t="s">
        <v>195</v>
      </c>
      <c r="B61" s="4" t="s">
        <v>196</v>
      </c>
      <c r="C61" s="0" t="s">
        <v>64</v>
      </c>
      <c r="D61" s="7" t="n">
        <v>0.35</v>
      </c>
      <c r="E61" s="7" t="n">
        <v>0.45</v>
      </c>
      <c r="F61" s="7" t="n">
        <v>0.55</v>
      </c>
      <c r="G61" s="8" t="s">
        <v>65</v>
      </c>
      <c r="H61" s="4" t="s">
        <v>193</v>
      </c>
      <c r="I61" s="8" t="s">
        <v>194</v>
      </c>
    </row>
    <row r="62" customFormat="false" ht="17.15" hidden="false" customHeight="false" outlineLevel="0" collapsed="false">
      <c r="A62" s="0" t="s">
        <v>197</v>
      </c>
      <c r="B62" s="4" t="s">
        <v>198</v>
      </c>
      <c r="C62" s="0" t="s">
        <v>64</v>
      </c>
      <c r="D62" s="7" t="n">
        <v>0.25</v>
      </c>
      <c r="E62" s="7" t="n">
        <v>0.35</v>
      </c>
      <c r="F62" s="7" t="n">
        <v>0.45</v>
      </c>
      <c r="G62" s="8" t="s">
        <v>65</v>
      </c>
      <c r="H62" s="4" t="s">
        <v>193</v>
      </c>
      <c r="I62" s="8" t="s">
        <v>199</v>
      </c>
    </row>
    <row r="63" customFormat="false" ht="17.15" hidden="false" customHeight="false" outlineLevel="0" collapsed="false">
      <c r="A63" s="0" t="s">
        <v>200</v>
      </c>
      <c r="B63" s="4" t="s">
        <v>201</v>
      </c>
      <c r="C63" s="0" t="s">
        <v>64</v>
      </c>
      <c r="D63" s="7" t="n">
        <v>0.7</v>
      </c>
      <c r="E63" s="7" t="n">
        <v>0.8</v>
      </c>
      <c r="F63" s="7" t="n">
        <v>0.9</v>
      </c>
      <c r="G63" s="8" t="s">
        <v>141</v>
      </c>
      <c r="H63" s="4" t="s">
        <v>202</v>
      </c>
      <c r="I63" s="8" t="s">
        <v>203</v>
      </c>
    </row>
    <row r="64" customFormat="false" ht="17.15" hidden="false" customHeight="false" outlineLevel="0" collapsed="false">
      <c r="A64" s="0" t="s">
        <v>204</v>
      </c>
      <c r="B64" s="4" t="s">
        <v>205</v>
      </c>
      <c r="C64" s="0" t="s">
        <v>64</v>
      </c>
      <c r="D64" s="7" t="n">
        <v>0.65</v>
      </c>
      <c r="E64" s="7" t="n">
        <v>0.75</v>
      </c>
      <c r="F64" s="7" t="n">
        <v>0.85</v>
      </c>
      <c r="G64" s="8" t="s">
        <v>65</v>
      </c>
      <c r="H64" s="4" t="s">
        <v>206</v>
      </c>
      <c r="I64" s="8" t="s">
        <v>207</v>
      </c>
    </row>
    <row r="65" customFormat="false" ht="17.15" hidden="false" customHeight="false" outlineLevel="0" collapsed="false">
      <c r="A65" s="0" t="s">
        <v>208</v>
      </c>
      <c r="B65" s="4" t="s">
        <v>209</v>
      </c>
      <c r="C65" s="0" t="s">
        <v>64</v>
      </c>
      <c r="D65" s="7" t="n">
        <v>0.6</v>
      </c>
      <c r="E65" s="7" t="n">
        <v>0.7</v>
      </c>
      <c r="F65" s="7" t="n">
        <v>0.8</v>
      </c>
      <c r="G65" s="8" t="s">
        <v>65</v>
      </c>
      <c r="H65" s="4" t="s">
        <v>206</v>
      </c>
      <c r="I65" s="8" t="s">
        <v>207</v>
      </c>
    </row>
    <row r="66" customFormat="false" ht="17.15" hidden="false" customHeight="false" outlineLevel="0" collapsed="false">
      <c r="A66" s="0" t="s">
        <v>210</v>
      </c>
      <c r="B66" s="4" t="s">
        <v>211</v>
      </c>
      <c r="C66" s="0" t="s">
        <v>64</v>
      </c>
      <c r="D66" s="7" t="n">
        <v>0.45</v>
      </c>
      <c r="E66" s="7" t="n">
        <v>0.55</v>
      </c>
      <c r="F66" s="7" t="n">
        <v>0.65</v>
      </c>
      <c r="G66" s="8" t="s">
        <v>65</v>
      </c>
      <c r="H66" s="4" t="s">
        <v>206</v>
      </c>
      <c r="I66" s="8" t="s">
        <v>212</v>
      </c>
    </row>
    <row r="67" customFormat="false" ht="17.15" hidden="false" customHeight="false" outlineLevel="0" collapsed="false">
      <c r="A67" s="0" t="s">
        <v>213</v>
      </c>
      <c r="B67" s="4" t="s">
        <v>214</v>
      </c>
      <c r="C67" s="0" t="s">
        <v>64</v>
      </c>
      <c r="D67" s="7" t="n">
        <v>0</v>
      </c>
      <c r="E67" s="7" t="n">
        <v>0</v>
      </c>
      <c r="F67" s="7" t="n">
        <v>0.1</v>
      </c>
      <c r="G67" s="8" t="s">
        <v>65</v>
      </c>
      <c r="H67" s="4" t="s">
        <v>215</v>
      </c>
      <c r="I67" s="8" t="s">
        <v>216</v>
      </c>
    </row>
    <row r="68" customFormat="false" ht="17.15" hidden="false" customHeight="false" outlineLevel="0" collapsed="false">
      <c r="A68" s="6" t="s">
        <v>217</v>
      </c>
    </row>
    <row r="69" customFormat="false" ht="17.15" hidden="false" customHeight="false" outlineLevel="0" collapsed="false">
      <c r="A69" s="0" t="s">
        <v>218</v>
      </c>
      <c r="B69" s="0" t="s">
        <v>219</v>
      </c>
      <c r="C69" s="0" t="s">
        <v>64</v>
      </c>
      <c r="D69" s="7" t="n">
        <v>0.5</v>
      </c>
      <c r="E69" s="7" t="n">
        <v>0.6</v>
      </c>
      <c r="F69" s="7" t="n">
        <v>0.7</v>
      </c>
      <c r="G69" s="8" t="s">
        <v>141</v>
      </c>
      <c r="H69" s="8" t="s">
        <v>220</v>
      </c>
      <c r="I69" s="4" t="s">
        <v>221</v>
      </c>
    </row>
    <row r="70" customFormat="false" ht="17.15" hidden="false" customHeight="false" outlineLevel="0" collapsed="false">
      <c r="A70" s="0" t="s">
        <v>222</v>
      </c>
      <c r="B70" s="4" t="s">
        <v>223</v>
      </c>
      <c r="C70" s="0" t="s">
        <v>64</v>
      </c>
      <c r="D70" s="7" t="n">
        <v>0.1</v>
      </c>
      <c r="E70" s="7" t="n">
        <v>0.17</v>
      </c>
      <c r="F70" s="7" t="n">
        <v>0.25</v>
      </c>
      <c r="G70" s="8" t="s">
        <v>141</v>
      </c>
      <c r="H70" s="8" t="s">
        <v>224</v>
      </c>
      <c r="I70" s="4" t="s">
        <v>225</v>
      </c>
    </row>
    <row r="71" customFormat="false" ht="17.15" hidden="false" customHeight="false" outlineLevel="0" collapsed="false">
      <c r="A71" s="0" t="s">
        <v>226</v>
      </c>
      <c r="B71" s="0" t="s">
        <v>227</v>
      </c>
      <c r="C71" s="4" t="s">
        <v>228</v>
      </c>
      <c r="E71" s="0" t="n">
        <f aca="false">a25_rev*tcb_sh25*(1-cn_sh25)</f>
        <v>2871.966</v>
      </c>
      <c r="G71" s="0" t="s">
        <v>28</v>
      </c>
      <c r="H71" s="4" t="s">
        <v>229</v>
      </c>
      <c r="I71" s="4" t="s">
        <v>230</v>
      </c>
    </row>
    <row r="72" customFormat="false" ht="17.15" hidden="false" customHeight="false" outlineLevel="0" collapsed="false">
      <c r="A72" s="0" t="s">
        <v>231</v>
      </c>
      <c r="B72" s="4" t="s">
        <v>232</v>
      </c>
      <c r="C72" s="0" t="s">
        <v>64</v>
      </c>
      <c r="D72" s="7" t="n">
        <v>0</v>
      </c>
      <c r="E72" s="7" t="n">
        <v>0.15</v>
      </c>
      <c r="F72" s="7" t="n">
        <v>0.35</v>
      </c>
      <c r="G72" s="8" t="s">
        <v>65</v>
      </c>
      <c r="H72" s="4" t="s">
        <v>233</v>
      </c>
      <c r="I72" s="8" t="s">
        <v>234</v>
      </c>
    </row>
    <row r="73" customFormat="false" ht="17.15" hidden="false" customHeight="false" outlineLevel="0" collapsed="false">
      <c r="A73" s="0" t="s">
        <v>235</v>
      </c>
      <c r="B73" s="4" t="s">
        <v>236</v>
      </c>
      <c r="C73" s="0" t="s">
        <v>64</v>
      </c>
      <c r="D73" s="7" t="n">
        <v>0.07</v>
      </c>
      <c r="E73" s="7" t="n">
        <v>0.12</v>
      </c>
      <c r="F73" s="7" t="n">
        <v>0.17</v>
      </c>
      <c r="G73" s="8" t="s">
        <v>65</v>
      </c>
      <c r="H73" s="4" t="s">
        <v>237</v>
      </c>
      <c r="I73" s="8" t="s">
        <v>207</v>
      </c>
    </row>
    <row r="74" customFormat="false" ht="17.15" hidden="false" customHeight="false" outlineLevel="0" collapsed="false">
      <c r="A74" s="0" t="s">
        <v>238</v>
      </c>
      <c r="B74" s="4" t="s">
        <v>239</v>
      </c>
      <c r="C74" s="0" t="s">
        <v>64</v>
      </c>
      <c r="D74" s="7" t="n">
        <v>0.03</v>
      </c>
      <c r="E74" s="7" t="n">
        <v>0.08</v>
      </c>
      <c r="F74" s="7" t="n">
        <v>0.13</v>
      </c>
      <c r="G74" s="8" t="s">
        <v>65</v>
      </c>
      <c r="H74" s="4" t="s">
        <v>237</v>
      </c>
      <c r="I74" s="8" t="s">
        <v>207</v>
      </c>
    </row>
    <row r="75" customFormat="false" ht="17.15" hidden="false" customHeight="false" outlineLevel="0" collapsed="false">
      <c r="A75" s="0" t="s">
        <v>240</v>
      </c>
      <c r="B75" s="4" t="s">
        <v>241</v>
      </c>
      <c r="C75" s="0" t="s">
        <v>64</v>
      </c>
      <c r="D75" s="7" t="n">
        <v>-0.1</v>
      </c>
      <c r="E75" s="7" t="n">
        <v>-0.05</v>
      </c>
      <c r="F75" s="7" t="n">
        <v>0</v>
      </c>
      <c r="G75" s="8" t="s">
        <v>65</v>
      </c>
      <c r="H75" s="4" t="s">
        <v>237</v>
      </c>
      <c r="I75" s="8" t="s">
        <v>242</v>
      </c>
    </row>
    <row r="76" customFormat="false" ht="17.15" hidden="false" customHeight="false" outlineLevel="0" collapsed="false">
      <c r="A76" s="6" t="s">
        <v>243</v>
      </c>
    </row>
    <row r="77" customFormat="false" ht="17.15" hidden="false" customHeight="false" outlineLevel="0" collapsed="false">
      <c r="A77" s="0" t="s">
        <v>244</v>
      </c>
      <c r="B77" s="0" t="s">
        <v>245</v>
      </c>
      <c r="C77" s="0" t="s">
        <v>111</v>
      </c>
      <c r="D77" s="7" t="n">
        <v>0.7</v>
      </c>
      <c r="E77" s="7" t="n">
        <v>0.9</v>
      </c>
      <c r="F77" s="7" t="n">
        <v>1.1</v>
      </c>
      <c r="G77" s="8" t="s">
        <v>65</v>
      </c>
      <c r="H77" s="4" t="s">
        <v>246</v>
      </c>
      <c r="I77" s="8" t="s">
        <v>247</v>
      </c>
    </row>
    <row r="78" customFormat="false" ht="17.15" hidden="false" customHeight="false" outlineLevel="0" collapsed="false">
      <c r="A78" s="0" t="s">
        <v>248</v>
      </c>
      <c r="B78" s="0" t="s">
        <v>249</v>
      </c>
      <c r="C78" s="0" t="s">
        <v>64</v>
      </c>
      <c r="D78" s="7" t="n">
        <v>0.42</v>
      </c>
      <c r="E78" s="7" t="n">
        <v>0.48</v>
      </c>
      <c r="F78" s="7" t="n">
        <v>0.52</v>
      </c>
      <c r="G78" s="8" t="s">
        <v>65</v>
      </c>
      <c r="H78" s="4" t="s">
        <v>250</v>
      </c>
      <c r="I78" s="4" t="s">
        <v>251</v>
      </c>
    </row>
    <row r="79" customFormat="false" ht="17.15" hidden="false" customHeight="false" outlineLevel="0" collapsed="false">
      <c r="A79" s="0" t="s">
        <v>252</v>
      </c>
      <c r="B79" s="0" t="s">
        <v>253</v>
      </c>
      <c r="C79" s="4" t="s">
        <v>228</v>
      </c>
      <c r="E79" s="0" t="n">
        <f aca="false">q1_rev+q2_rev+h2f*2*q2_rev</f>
        <v>7539.8</v>
      </c>
      <c r="G79" s="0" t="s">
        <v>28</v>
      </c>
      <c r="H79" s="4" t="s">
        <v>254</v>
      </c>
      <c r="I79" s="0" t="s">
        <v>207</v>
      </c>
    </row>
    <row r="80" customFormat="false" ht="17.15" hidden="false" customHeight="false" outlineLevel="0" collapsed="false">
      <c r="A80" s="0" t="s">
        <v>255</v>
      </c>
      <c r="B80" s="0" t="s">
        <v>256</v>
      </c>
      <c r="C80" s="4" t="s">
        <v>228</v>
      </c>
      <c r="E80" s="0" t="n">
        <f aca="false">q1_oi+q2_oi+h2f*2*q2_rev*m_h2</f>
        <v>3557.504</v>
      </c>
      <c r="G80" s="0" t="s">
        <v>28</v>
      </c>
      <c r="H80" s="4" t="s">
        <v>257</v>
      </c>
      <c r="I80" s="0" t="s">
        <v>207</v>
      </c>
    </row>
    <row r="81" customFormat="false" ht="17.15" hidden="false" customHeight="false" outlineLevel="0" collapsed="false">
      <c r="A81" s="6" t="s">
        <v>258</v>
      </c>
    </row>
    <row r="82" customFormat="false" ht="17.15" hidden="false" customHeight="false" outlineLevel="0" collapsed="false">
      <c r="A82" s="0" t="s">
        <v>259</v>
      </c>
      <c r="B82" s="0" t="s">
        <v>260</v>
      </c>
      <c r="C82" s="0" t="s">
        <v>64</v>
      </c>
      <c r="D82" s="7" t="n">
        <v>0.3</v>
      </c>
      <c r="E82" s="7" t="n">
        <v>0.5</v>
      </c>
      <c r="F82" s="7" t="n">
        <v>0.7</v>
      </c>
      <c r="G82" s="8" t="s">
        <v>65</v>
      </c>
      <c r="H82" s="4" t="s">
        <v>261</v>
      </c>
      <c r="I82" s="4" t="s">
        <v>262</v>
      </c>
    </row>
    <row r="83" customFormat="false" ht="17.15" hidden="false" customHeight="false" outlineLevel="0" collapsed="false">
      <c r="A83" s="0" t="s">
        <v>263</v>
      </c>
      <c r="B83" s="4" t="s">
        <v>264</v>
      </c>
      <c r="C83" s="4" t="s">
        <v>228</v>
      </c>
      <c r="E83" s="0" t="n">
        <f aca="false">a25_gp-a25_oi</f>
        <v>806.7</v>
      </c>
      <c r="G83" s="0" t="s">
        <v>28</v>
      </c>
      <c r="H83" s="0" t="s">
        <v>265</v>
      </c>
      <c r="I83" s="0" t="s">
        <v>207</v>
      </c>
    </row>
    <row r="84" customFormat="false" ht="15" hidden="false" customHeight="false" outlineLevel="0" collapsed="false">
      <c r="A84" s="0" t="s">
        <v>266</v>
      </c>
      <c r="B84" s="4" t="s">
        <v>267</v>
      </c>
      <c r="C84" s="4" t="s">
        <v>228</v>
      </c>
      <c r="E84" s="0" t="n">
        <f aca="false">(1-phi)*opex25</f>
        <v>403.35</v>
      </c>
      <c r="G84" s="0" t="s">
        <v>28</v>
      </c>
      <c r="H84" s="0" t="s">
        <v>207</v>
      </c>
      <c r="I84" s="0" t="s">
        <v>207</v>
      </c>
    </row>
    <row r="85" customFormat="false" ht="15" hidden="false" customHeight="false" outlineLevel="0" collapsed="false">
      <c r="A85" s="0" t="s">
        <v>268</v>
      </c>
      <c r="B85" s="4" t="s">
        <v>269</v>
      </c>
      <c r="C85" s="0" t="s">
        <v>64</v>
      </c>
      <c r="E85" s="0" t="n">
        <f aca="false">phi*opex25/a25_rev</f>
        <v>0.0699410438702965</v>
      </c>
      <c r="G85" s="0" t="s">
        <v>28</v>
      </c>
      <c r="H85" s="0" t="s">
        <v>207</v>
      </c>
      <c r="I85" s="0" t="s">
        <v>207</v>
      </c>
    </row>
    <row r="86" customFormat="false" ht="17.15" hidden="false" customHeight="false" outlineLevel="0" collapsed="false">
      <c r="A86" s="0" t="s">
        <v>270</v>
      </c>
      <c r="B86" s="4" t="s">
        <v>271</v>
      </c>
      <c r="C86" s="0" t="s">
        <v>272</v>
      </c>
      <c r="D86" s="7" t="n">
        <v>-0.06</v>
      </c>
      <c r="E86" s="7" t="n">
        <v>-0.03</v>
      </c>
      <c r="F86" s="7" t="n">
        <v>0</v>
      </c>
      <c r="G86" s="8" t="s">
        <v>65</v>
      </c>
      <c r="H86" s="4" t="s">
        <v>273</v>
      </c>
      <c r="I86" s="8" t="s">
        <v>207</v>
      </c>
    </row>
    <row r="87" customFormat="false" ht="17.15" hidden="false" customHeight="false" outlineLevel="0" collapsed="false">
      <c r="A87" s="0" t="s">
        <v>274</v>
      </c>
      <c r="B87" s="4" t="s">
        <v>275</v>
      </c>
      <c r="C87" s="0" t="s">
        <v>272</v>
      </c>
      <c r="D87" s="7" t="n">
        <v>-0.08</v>
      </c>
      <c r="E87" s="7" t="n">
        <v>-0.05</v>
      </c>
      <c r="F87" s="7" t="n">
        <v>0</v>
      </c>
      <c r="G87" s="8" t="s">
        <v>65</v>
      </c>
      <c r="H87" s="4" t="s">
        <v>276</v>
      </c>
      <c r="I87" s="8" t="s">
        <v>207</v>
      </c>
    </row>
    <row r="88" customFormat="false" ht="17.15" hidden="false" customHeight="false" outlineLevel="0" collapsed="false">
      <c r="A88" s="0" t="s">
        <v>277</v>
      </c>
      <c r="B88" s="4" t="s">
        <v>278</v>
      </c>
      <c r="C88" s="0" t="s">
        <v>111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28</v>
      </c>
      <c r="H88" s="4" t="s">
        <v>279</v>
      </c>
      <c r="I88" s="8" t="s">
        <v>280</v>
      </c>
    </row>
    <row r="89" customFormat="false" ht="17.15" hidden="false" customHeight="false" outlineLevel="0" collapsed="false">
      <c r="A89" s="0" t="s">
        <v>281</v>
      </c>
      <c r="B89" s="4" t="s">
        <v>282</v>
      </c>
      <c r="C89" s="4" t="s">
        <v>283</v>
      </c>
      <c r="E89" s="0" t="n">
        <f aca="false">a25_ni/a25_eps*100</f>
        <v>95.8910247793162</v>
      </c>
      <c r="G89" s="0" t="s">
        <v>28</v>
      </c>
      <c r="H89" s="0" t="s">
        <v>284</v>
      </c>
      <c r="I89" s="4" t="s">
        <v>285</v>
      </c>
    </row>
    <row r="90" customFormat="false" ht="15" hidden="false" customHeight="false" outlineLevel="0" collapsed="false">
      <c r="A90" s="0" t="s">
        <v>286</v>
      </c>
      <c r="B90" s="4" t="s">
        <v>287</v>
      </c>
      <c r="C90" s="0" t="s">
        <v>288</v>
      </c>
      <c r="D90" s="7" t="n">
        <v>1350</v>
      </c>
      <c r="E90" s="7" t="n">
        <v>1420</v>
      </c>
      <c r="F90" s="7" t="n">
        <v>1500</v>
      </c>
      <c r="G90" s="8" t="s">
        <v>65</v>
      </c>
      <c r="H90" s="4" t="s">
        <v>289</v>
      </c>
      <c r="I90" s="8" t="s">
        <v>207</v>
      </c>
    </row>
    <row r="91" customFormat="false" ht="17.15" hidden="false" customHeight="false" outlineLevel="0" collapsed="false">
      <c r="A91" s="6" t="s">
        <v>290</v>
      </c>
    </row>
    <row r="92" customFormat="false" ht="17.15" hidden="false" customHeight="false" outlineLevel="0" collapsed="false">
      <c r="A92" s="0" t="s">
        <v>291</v>
      </c>
      <c r="B92" s="4" t="s">
        <v>292</v>
      </c>
      <c r="C92" s="4" t="s">
        <v>293</v>
      </c>
      <c r="E92" s="7" t="n">
        <v>2029</v>
      </c>
      <c r="G92" s="8" t="s">
        <v>28</v>
      </c>
      <c r="H92" s="8" t="s">
        <v>294</v>
      </c>
      <c r="I92" s="4" t="s">
        <v>295</v>
      </c>
    </row>
    <row r="93" customFormat="false" ht="17.15" hidden="false" customHeight="false" outlineLevel="0" collapsed="false">
      <c r="A93" s="0" t="s">
        <v>296</v>
      </c>
      <c r="B93" s="4" t="s">
        <v>297</v>
      </c>
      <c r="C93" s="4" t="s">
        <v>293</v>
      </c>
      <c r="E93" s="7" t="n">
        <v>2028</v>
      </c>
      <c r="G93" s="8" t="s">
        <v>28</v>
      </c>
      <c r="H93" s="8" t="s">
        <v>298</v>
      </c>
      <c r="I93" s="4" t="s">
        <v>33</v>
      </c>
    </row>
    <row r="94" customFormat="false" ht="17.15" hidden="false" customHeight="false" outlineLevel="0" collapsed="false">
      <c r="A94" s="0" t="s">
        <v>299</v>
      </c>
      <c r="B94" s="4" t="s">
        <v>300</v>
      </c>
      <c r="C94" s="4" t="s">
        <v>293</v>
      </c>
      <c r="E94" s="7" t="n">
        <v>2027</v>
      </c>
      <c r="G94" s="8" t="s">
        <v>28</v>
      </c>
      <c r="H94" s="8" t="s">
        <v>301</v>
      </c>
      <c r="I94" s="4" t="s">
        <v>33</v>
      </c>
    </row>
    <row r="95" customFormat="false" ht="17.15" hidden="false" customHeight="false" outlineLevel="0" collapsed="false">
      <c r="A95" s="0" t="s">
        <v>302</v>
      </c>
      <c r="B95" s="4" t="s">
        <v>303</v>
      </c>
      <c r="C95" s="0" t="s">
        <v>304</v>
      </c>
      <c r="E95" s="7" t="n">
        <v>188500</v>
      </c>
      <c r="G95" s="8" t="s">
        <v>305</v>
      </c>
      <c r="H95" s="8" t="s">
        <v>306</v>
      </c>
      <c r="I95" s="8" t="s">
        <v>307</v>
      </c>
    </row>
    <row r="96" customFormat="false" ht="17.15" hidden="false" customHeight="false" outlineLevel="0" collapsed="false">
      <c r="A96" s="0" t="s">
        <v>308</v>
      </c>
      <c r="B96" s="4" t="s">
        <v>309</v>
      </c>
      <c r="C96" s="0" t="s">
        <v>64</v>
      </c>
      <c r="E96" s="7" t="n">
        <v>0.3</v>
      </c>
      <c r="G96" s="8" t="s">
        <v>65</v>
      </c>
      <c r="H96" s="8" t="s">
        <v>310</v>
      </c>
      <c r="I96" s="8" t="s">
        <v>207</v>
      </c>
    </row>
    <row r="97" customFormat="false" ht="17.15" hidden="false" customHeight="false" outlineLevel="0" collapsed="false">
      <c r="A97" s="0" t="s">
        <v>311</v>
      </c>
      <c r="B97" s="4" t="s">
        <v>312</v>
      </c>
      <c r="C97" s="0" t="s">
        <v>64</v>
      </c>
      <c r="E97" s="7" t="n">
        <v>0.5</v>
      </c>
      <c r="G97" s="8" t="s">
        <v>65</v>
      </c>
      <c r="H97" s="8" t="s">
        <v>310</v>
      </c>
      <c r="I97" s="8" t="s">
        <v>207</v>
      </c>
    </row>
    <row r="98" customFormat="false" ht="17.15" hidden="false" customHeight="false" outlineLevel="0" collapsed="false">
      <c r="A98" s="0" t="s">
        <v>313</v>
      </c>
      <c r="B98" s="4" t="s">
        <v>314</v>
      </c>
      <c r="C98" s="0" t="s">
        <v>64</v>
      </c>
      <c r="E98" s="7" t="n">
        <v>0.2</v>
      </c>
      <c r="G98" s="8" t="s">
        <v>65</v>
      </c>
      <c r="H98" s="8" t="s">
        <v>310</v>
      </c>
      <c r="I98" s="8" t="s">
        <v>207</v>
      </c>
    </row>
    <row r="99" customFormat="false" ht="17.15" hidden="false" customHeight="false" outlineLevel="0" collapsed="false">
      <c r="A99" s="0" t="s">
        <v>315</v>
      </c>
      <c r="B99" s="4" t="s">
        <v>316</v>
      </c>
      <c r="C99" s="4" t="s">
        <v>228</v>
      </c>
      <c r="E99" s="7" t="n">
        <v>7280</v>
      </c>
      <c r="G99" s="8" t="s">
        <v>141</v>
      </c>
      <c r="H99" s="8" t="s">
        <v>317</v>
      </c>
      <c r="I99" s="4" t="s">
        <v>318</v>
      </c>
    </row>
    <row r="100" customFormat="false" ht="17.15" hidden="false" customHeight="false" outlineLevel="0" collapsed="false">
      <c r="A100" s="0" t="s">
        <v>319</v>
      </c>
      <c r="B100" s="4" t="s">
        <v>320</v>
      </c>
      <c r="C100" s="4" t="s">
        <v>228</v>
      </c>
      <c r="E100" s="7" t="n">
        <v>3694</v>
      </c>
      <c r="G100" s="8" t="s">
        <v>141</v>
      </c>
      <c r="H100" s="4" t="s">
        <v>321</v>
      </c>
      <c r="I100" s="4" t="s">
        <v>322</v>
      </c>
    </row>
    <row r="101" customFormat="false" ht="17.15" hidden="false" customHeight="false" outlineLevel="0" collapsed="false">
      <c r="A101" s="0" t="s">
        <v>323</v>
      </c>
      <c r="B101" s="4" t="s">
        <v>324</v>
      </c>
      <c r="C101" s="0" t="s">
        <v>304</v>
      </c>
      <c r="E101" s="7" t="n">
        <v>3400</v>
      </c>
      <c r="G101" s="8" t="s">
        <v>141</v>
      </c>
      <c r="H101" s="8" t="s">
        <v>325</v>
      </c>
      <c r="I101" s="8" t="s">
        <v>326</v>
      </c>
    </row>
    <row r="102" customFormat="false" ht="17.15" hidden="false" customHeight="false" outlineLevel="0" collapsed="false">
      <c r="A102" s="0" t="s">
        <v>327</v>
      </c>
      <c r="B102" s="4" t="s">
        <v>328</v>
      </c>
      <c r="C102" s="4" t="s">
        <v>228</v>
      </c>
      <c r="E102" s="7" t="n">
        <v>9900</v>
      </c>
      <c r="G102" s="8" t="s">
        <v>141</v>
      </c>
      <c r="H102" s="8" t="s">
        <v>329</v>
      </c>
      <c r="I102" s="4" t="s">
        <v>330</v>
      </c>
    </row>
    <row r="103" customFormat="false" ht="17.15" hidden="false" customHeight="false" outlineLevel="0" collapsed="false">
      <c r="A103" s="0" t="s">
        <v>331</v>
      </c>
      <c r="B103" s="4" t="s">
        <v>332</v>
      </c>
      <c r="C103" s="0" t="s">
        <v>304</v>
      </c>
      <c r="E103" s="7" t="n">
        <v>4650</v>
      </c>
      <c r="G103" s="8" t="s">
        <v>141</v>
      </c>
      <c r="H103" s="8" t="s">
        <v>329</v>
      </c>
      <c r="I103" s="4" t="s">
        <v>330</v>
      </c>
    </row>
    <row r="104" customFormat="false" ht="17.15" hidden="false" customHeight="false" outlineLevel="0" collapsed="false">
      <c r="A104" s="0" t="s">
        <v>333</v>
      </c>
      <c r="B104" s="0" t="s">
        <v>334</v>
      </c>
      <c r="C104" s="0" t="s">
        <v>335</v>
      </c>
      <c r="E104" s="7" t="n">
        <v>759</v>
      </c>
      <c r="G104" s="8" t="s">
        <v>141</v>
      </c>
      <c r="H104" s="8" t="s">
        <v>336</v>
      </c>
      <c r="I104" s="4" t="s">
        <v>337</v>
      </c>
    </row>
    <row r="105" customFormat="false" ht="17.15" hidden="false" customHeight="false" outlineLevel="0" collapsed="false">
      <c r="A105" s="0" t="s">
        <v>338</v>
      </c>
      <c r="B105" s="0" t="s">
        <v>339</v>
      </c>
      <c r="C105" s="0" t="s">
        <v>335</v>
      </c>
      <c r="E105" s="7" t="n">
        <v>1600</v>
      </c>
      <c r="G105" s="8" t="s">
        <v>141</v>
      </c>
      <c r="H105" s="4" t="s">
        <v>33</v>
      </c>
      <c r="I105" s="8" t="s">
        <v>207</v>
      </c>
    </row>
    <row r="106" customFormat="false" ht="17.15" hidden="false" customHeight="false" outlineLevel="0" collapsed="false">
      <c r="A106" s="0" t="s">
        <v>340</v>
      </c>
      <c r="B106" s="4" t="s">
        <v>341</v>
      </c>
      <c r="C106" s="0" t="s">
        <v>64</v>
      </c>
      <c r="E106" s="7" t="n">
        <v>0.712</v>
      </c>
      <c r="G106" s="8" t="s">
        <v>141</v>
      </c>
      <c r="H106" s="4" t="s">
        <v>342</v>
      </c>
      <c r="I106" s="4" t="s">
        <v>343</v>
      </c>
    </row>
    <row r="107" customFormat="false" ht="17.15" hidden="false" customHeight="false" outlineLevel="0" collapsed="false">
      <c r="A107" s="0" t="s">
        <v>344</v>
      </c>
      <c r="B107" s="0" t="s">
        <v>345</v>
      </c>
      <c r="C107" s="0" t="s">
        <v>346</v>
      </c>
      <c r="E107" s="7" t="n">
        <v>6.11313868613139</v>
      </c>
      <c r="G107" s="8" t="s">
        <v>28</v>
      </c>
      <c r="H107" s="8" t="s">
        <v>347</v>
      </c>
      <c r="I107" s="8" t="s">
        <v>348</v>
      </c>
    </row>
    <row r="108" customFormat="false" ht="17.15" hidden="false" customHeight="false" outlineLevel="0" collapsed="false">
      <c r="A108" s="0" t="s">
        <v>349</v>
      </c>
      <c r="B108" s="0" t="s">
        <v>350</v>
      </c>
      <c r="C108" s="0" t="s">
        <v>346</v>
      </c>
      <c r="E108" s="7" t="n">
        <v>8.6</v>
      </c>
      <c r="G108" s="8" t="s">
        <v>141</v>
      </c>
      <c r="H108" s="8" t="s">
        <v>347</v>
      </c>
      <c r="I108" s="8" t="s">
        <v>351</v>
      </c>
    </row>
    <row r="109" customFormat="false" ht="17.15" hidden="false" customHeight="false" outlineLevel="0" collapsed="false">
      <c r="A109" s="0" t="s">
        <v>352</v>
      </c>
      <c r="B109" s="0" t="s">
        <v>353</v>
      </c>
      <c r="C109" s="4" t="s">
        <v>354</v>
      </c>
      <c r="D109" s="7" t="n">
        <v>25</v>
      </c>
      <c r="E109" s="7" t="n">
        <v>30</v>
      </c>
      <c r="F109" s="7" t="n">
        <v>40</v>
      </c>
      <c r="G109" s="8" t="s">
        <v>141</v>
      </c>
      <c r="H109" s="4" t="s">
        <v>355</v>
      </c>
      <c r="I109" s="8" t="s">
        <v>356</v>
      </c>
    </row>
    <row r="111" customFormat="false" ht="17.15" hidden="false" customHeight="false" outlineLevel="0" collapsed="false">
      <c r="A111" s="6" t="s">
        <v>357</v>
      </c>
    </row>
    <row r="112" customFormat="false" ht="17.15" hidden="false" customHeight="false" outlineLevel="0" collapsed="false">
      <c r="A112" s="0" t="s">
        <v>358</v>
      </c>
      <c r="B112" s="4" t="s">
        <v>359</v>
      </c>
      <c r="C112" s="0" t="s">
        <v>64</v>
      </c>
      <c r="E112" s="9" t="n">
        <v>0.1</v>
      </c>
      <c r="G112" s="8" t="s">
        <v>65</v>
      </c>
      <c r="H112" s="8" t="s">
        <v>360</v>
      </c>
      <c r="I112" s="8" t="s">
        <v>207</v>
      </c>
    </row>
    <row r="113" customFormat="false" ht="17.15" hidden="false" customHeight="false" outlineLevel="0" collapsed="false">
      <c r="A113" s="0" t="s">
        <v>361</v>
      </c>
      <c r="B113" s="4" t="s">
        <v>362</v>
      </c>
      <c r="C113" s="0" t="s">
        <v>64</v>
      </c>
      <c r="E113" s="9" t="n">
        <v>0.04</v>
      </c>
      <c r="G113" s="8" t="s">
        <v>65</v>
      </c>
      <c r="H113" s="8" t="s">
        <v>363</v>
      </c>
      <c r="I113" s="4" t="s">
        <v>364</v>
      </c>
    </row>
    <row r="114" customFormat="false" ht="17.15" hidden="false" customHeight="false" outlineLevel="0" collapsed="false">
      <c r="A114" s="0" t="s">
        <v>365</v>
      </c>
      <c r="B114" s="0" t="s">
        <v>366</v>
      </c>
      <c r="C114" s="0" t="s">
        <v>64</v>
      </c>
      <c r="E114" s="10" t="n">
        <f aca="false">AVERAGE(0.5554,0.2743,0.3476)</f>
        <v>0.392433333333333</v>
      </c>
      <c r="G114" s="8" t="s">
        <v>28</v>
      </c>
      <c r="H114" s="8" t="s">
        <v>367</v>
      </c>
      <c r="I114" s="4" t="s">
        <v>368</v>
      </c>
    </row>
    <row r="115" customFormat="false" ht="17.15" hidden="false" customHeight="false" outlineLevel="0" collapsed="false">
      <c r="A115" s="0" t="s">
        <v>369</v>
      </c>
      <c r="B115" s="4" t="s">
        <v>370</v>
      </c>
      <c r="C115" s="0" t="s">
        <v>64</v>
      </c>
      <c r="E115" s="11" t="n">
        <v>0.5</v>
      </c>
      <c r="G115" s="8" t="s">
        <v>65</v>
      </c>
      <c r="H115" s="8" t="s">
        <v>371</v>
      </c>
      <c r="I115" s="8" t="s">
        <v>207</v>
      </c>
    </row>
    <row r="116" customFormat="false" ht="17.15" hidden="false" customHeight="false" outlineLevel="0" collapsed="false">
      <c r="A116" s="0" t="s">
        <v>372</v>
      </c>
      <c r="B116" s="4" t="s">
        <v>373</v>
      </c>
      <c r="C116" s="0" t="s">
        <v>64</v>
      </c>
      <c r="E116" s="4" t="s">
        <v>374</v>
      </c>
      <c r="G116" s="0" t="s">
        <v>65</v>
      </c>
      <c r="H116" s="4" t="s">
        <v>375</v>
      </c>
      <c r="I116" s="4" t="s">
        <v>376</v>
      </c>
    </row>
    <row r="117" customFormat="false" ht="17.15" hidden="false" customHeight="false" outlineLevel="0" collapsed="false">
      <c r="A117" s="0" t="s">
        <v>377</v>
      </c>
      <c r="B117" s="4" t="s">
        <v>378</v>
      </c>
      <c r="C117" s="0" t="s">
        <v>304</v>
      </c>
      <c r="E117" s="12" t="n">
        <v>271429</v>
      </c>
      <c r="G117" s="8" t="s">
        <v>141</v>
      </c>
      <c r="H117" s="8" t="s">
        <v>379</v>
      </c>
      <c r="I117" s="4" t="s">
        <v>380</v>
      </c>
    </row>
    <row r="118" customFormat="false" ht="17.15" hidden="false" customHeight="false" outlineLevel="0" collapsed="false">
      <c r="A118" s="0" t="s">
        <v>381</v>
      </c>
      <c r="B118" s="4" t="s">
        <v>382</v>
      </c>
      <c r="C118" s="0" t="s">
        <v>304</v>
      </c>
      <c r="E118" s="12" t="n">
        <v>5000</v>
      </c>
      <c r="G118" s="8" t="s">
        <v>141</v>
      </c>
      <c r="H118" s="4" t="s">
        <v>383</v>
      </c>
      <c r="I118" s="8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5" t="s">
        <v>16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13" t="s">
        <v>392</v>
      </c>
      <c r="H3" s="13" t="s">
        <v>393</v>
      </c>
      <c r="I3" s="13" t="s">
        <v>394</v>
      </c>
      <c r="J3" s="13" t="s">
        <v>395</v>
      </c>
      <c r="K3" s="5" t="s">
        <v>21</v>
      </c>
      <c r="L3" s="5" t="s">
        <v>22</v>
      </c>
      <c r="M3" s="5" t="s">
        <v>23</v>
      </c>
    </row>
    <row r="4" customFormat="false" ht="17.15" hidden="false" customHeight="false" outlineLevel="0" collapsed="false">
      <c r="A4" s="4" t="s">
        <v>396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397</v>
      </c>
      <c r="K4" s="8" t="s">
        <v>398</v>
      </c>
      <c r="L4" s="4" t="s">
        <v>399</v>
      </c>
      <c r="M4" s="8" t="s">
        <v>400</v>
      </c>
    </row>
    <row r="5" customFormat="false" ht="17.15" hidden="false" customHeight="false" outlineLevel="0" collapsed="false">
      <c r="A5" s="4" t="s">
        <v>401</v>
      </c>
      <c r="B5" s="15" t="n">
        <v>3143</v>
      </c>
      <c r="G5" s="15" t="n">
        <v>3320.6</v>
      </c>
      <c r="K5" s="8" t="s">
        <v>305</v>
      </c>
      <c r="L5" s="8" t="s">
        <v>402</v>
      </c>
      <c r="M5" s="8" t="s">
        <v>403</v>
      </c>
    </row>
    <row r="6" customFormat="false" ht="17.15" hidden="false" customHeight="false" outlineLevel="0" collapsed="false">
      <c r="A6" s="4" t="s">
        <v>404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397</v>
      </c>
      <c r="K6" s="8" t="s">
        <v>398</v>
      </c>
      <c r="L6" s="4" t="s">
        <v>405</v>
      </c>
      <c r="M6" s="8" t="s">
        <v>406</v>
      </c>
    </row>
    <row r="7" customFormat="false" ht="17.15" hidden="false" customHeight="false" outlineLevel="0" collapsed="false">
      <c r="A7" s="4" t="s">
        <v>407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28</v>
      </c>
      <c r="L7" s="8" t="s">
        <v>207</v>
      </c>
      <c r="M7" s="4" t="s">
        <v>408</v>
      </c>
    </row>
    <row r="8" customFormat="false" ht="17.15" hidden="false" customHeight="false" outlineLevel="0" collapsed="false">
      <c r="A8" s="4" t="s">
        <v>409</v>
      </c>
      <c r="B8" s="16" t="n">
        <f aca="false">B5-B6</f>
        <v>589</v>
      </c>
      <c r="G8" s="16" t="n">
        <f aca="false">G5-G6</f>
        <v>806.7</v>
      </c>
      <c r="K8" s="8" t="s">
        <v>28</v>
      </c>
      <c r="L8" s="8" t="s">
        <v>207</v>
      </c>
      <c r="M8" s="8" t="s">
        <v>410</v>
      </c>
    </row>
    <row r="9" customFormat="false" ht="17.15" hidden="false" customHeight="false" outlineLevel="0" collapsed="false">
      <c r="A9" s="4" t="s">
        <v>411</v>
      </c>
      <c r="B9" s="15" t="n">
        <v>1526</v>
      </c>
      <c r="G9" s="15" t="n">
        <v>2140</v>
      </c>
      <c r="H9" s="15" t="n">
        <v>190</v>
      </c>
      <c r="K9" s="8" t="s">
        <v>305</v>
      </c>
      <c r="L9" s="8" t="s">
        <v>412</v>
      </c>
      <c r="M9" s="8" t="s">
        <v>413</v>
      </c>
    </row>
    <row r="10" customFormat="false" ht="17.15" hidden="false" customHeight="false" outlineLevel="0" collapsed="false">
      <c r="A10" s="0" t="s">
        <v>414</v>
      </c>
      <c r="B10" s="15" t="n">
        <v>1584</v>
      </c>
      <c r="G10" s="15" t="n">
        <v>2231.7</v>
      </c>
      <c r="K10" s="8" t="s">
        <v>415</v>
      </c>
      <c r="L10" s="8" t="s">
        <v>416</v>
      </c>
      <c r="M10" s="8" t="s">
        <v>417</v>
      </c>
    </row>
    <row r="11" customFormat="false" ht="17.15" hidden="false" customHeight="false" outlineLevel="0" collapsed="false">
      <c r="A11" s="4" t="s">
        <v>418</v>
      </c>
      <c r="B11" s="17" t="n">
        <f aca="false">SUM(C4:F4)-G4</f>
        <v>0</v>
      </c>
      <c r="C11" s="17" t="n">
        <f aca="false">SUM(C6:F6)-G6</f>
        <v>0</v>
      </c>
      <c r="K11" s="8" t="s">
        <v>207</v>
      </c>
      <c r="L11" s="8" t="s">
        <v>207</v>
      </c>
      <c r="M11" s="8" t="s">
        <v>207</v>
      </c>
    </row>
    <row r="13" customFormat="false" ht="15" hidden="false" customHeight="false" outlineLevel="0" collapsed="false">
      <c r="A13" s="1" t="s">
        <v>419</v>
      </c>
    </row>
    <row r="14" customFormat="false" ht="17.15" hidden="false" customHeight="false" outlineLevel="0" collapsed="false">
      <c r="A14" s="5" t="s">
        <v>420</v>
      </c>
      <c r="B14" s="13" t="s">
        <v>387</v>
      </c>
      <c r="C14" s="5" t="s">
        <v>421</v>
      </c>
      <c r="D14" s="5"/>
      <c r="E14" s="5"/>
      <c r="F14" s="5"/>
      <c r="G14" s="13" t="s">
        <v>392</v>
      </c>
      <c r="H14" s="5"/>
      <c r="I14" s="5"/>
      <c r="J14" s="5"/>
      <c r="K14" s="5" t="s">
        <v>21</v>
      </c>
      <c r="L14" s="5" t="s">
        <v>22</v>
      </c>
      <c r="M14" s="5" t="s">
        <v>23</v>
      </c>
    </row>
    <row r="15" customFormat="false" ht="17.15" hidden="false" customHeight="false" outlineLevel="0" collapsed="false">
      <c r="A15" s="0" t="s">
        <v>422</v>
      </c>
      <c r="B15" s="12" t="n">
        <v>2996</v>
      </c>
      <c r="C15" s="10" t="n">
        <f aca="false">B15/B4</f>
        <v>0.536052961173734</v>
      </c>
      <c r="G15" s="8" t="s">
        <v>423</v>
      </c>
      <c r="K15" s="8" t="s">
        <v>305</v>
      </c>
      <c r="L15" s="4" t="s">
        <v>424</v>
      </c>
    </row>
    <row r="16" customFormat="false" ht="17.15" hidden="false" customHeight="false" outlineLevel="0" collapsed="false">
      <c r="A16" s="4" t="s">
        <v>425</v>
      </c>
      <c r="B16" s="12" t="n">
        <v>1111</v>
      </c>
      <c r="C16" s="10" t="n">
        <f aca="false">B16/B4</f>
        <v>0.198783324387189</v>
      </c>
      <c r="G16" s="4" t="s">
        <v>374</v>
      </c>
      <c r="K16" s="8" t="s">
        <v>305</v>
      </c>
      <c r="L16" s="4" t="s">
        <v>424</v>
      </c>
    </row>
    <row r="17" customFormat="false" ht="17.15" hidden="false" customHeight="false" outlineLevel="0" collapsed="false">
      <c r="A17" s="4" t="s">
        <v>426</v>
      </c>
      <c r="B17" s="14" t="n">
        <f aca="false">B4-B15-B16</f>
        <v>1482</v>
      </c>
      <c r="C17" s="10" t="n">
        <f aca="false">B17/B4</f>
        <v>0.265163714439077</v>
      </c>
      <c r="G17" s="8" t="s">
        <v>427</v>
      </c>
      <c r="K17" s="8" t="s">
        <v>28</v>
      </c>
      <c r="L17" s="4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429</v>
      </c>
    </row>
    <row r="3" customFormat="false" ht="15" hidden="false" customHeight="false" outlineLevel="0" collapsed="false">
      <c r="A3" s="5" t="s">
        <v>16</v>
      </c>
      <c r="B3" s="5" t="s">
        <v>17</v>
      </c>
      <c r="C3" s="13" t="s">
        <v>430</v>
      </c>
      <c r="D3" s="13" t="s">
        <v>431</v>
      </c>
      <c r="E3" s="13" t="s">
        <v>432</v>
      </c>
      <c r="F3" s="13" t="s">
        <v>433</v>
      </c>
      <c r="G3" s="13" t="s">
        <v>434</v>
      </c>
      <c r="H3" s="13" t="s">
        <v>435</v>
      </c>
      <c r="I3" s="5" t="s">
        <v>436</v>
      </c>
    </row>
    <row r="4" customFormat="false" ht="17.15" hidden="false" customHeight="false" outlineLevel="0" collapsed="false">
      <c r="A4" s="1" t="s">
        <v>437</v>
      </c>
    </row>
    <row r="5" customFormat="false" ht="17.15" hidden="false" customHeight="false" outlineLevel="0" collapsed="false">
      <c r="A5" s="0" t="s">
        <v>438</v>
      </c>
      <c r="B5" s="0" t="s">
        <v>27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4" t="s">
        <v>439</v>
      </c>
      <c r="B6" s="4" t="s">
        <v>440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441</v>
      </c>
      <c r="B7" s="4" t="s">
        <v>442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2671.9336325</v>
      </c>
      <c r="G7" s="14" t="n">
        <f aca="false">PL!G49</f>
        <v>3443.1508400625</v>
      </c>
      <c r="H7" s="14" t="n">
        <f aca="false">PL!H49</f>
        <v>3629.65484389922</v>
      </c>
    </row>
    <row r="8" customFormat="false" ht="15" hidden="false" customHeight="false" outlineLevel="0" collapsed="false">
      <c r="A8" s="4" t="s">
        <v>443</v>
      </c>
      <c r="B8" s="4" t="s">
        <v>442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946.806480096154</v>
      </c>
      <c r="F8" s="14" t="n">
        <f aca="false">PL!F50</f>
        <v>1038.4105708125</v>
      </c>
      <c r="G8" s="14" t="n">
        <f aca="false">PL!G50</f>
        <v>530.819087842968</v>
      </c>
    </row>
    <row r="9" customFormat="false" ht="15" hidden="false" customHeight="false" outlineLevel="0" collapsed="false">
      <c r="A9" s="4" t="s">
        <v>444</v>
      </c>
      <c r="B9" s="0" t="s">
        <v>64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445</v>
      </c>
      <c r="B10" s="4" t="s">
        <v>442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312.446138431731</v>
      </c>
      <c r="F10" s="14" t="n">
        <f aca="false">PL!F55</f>
        <v>342.675488368125</v>
      </c>
      <c r="G10" s="14" t="n">
        <f aca="false">PL!G55</f>
        <v>175.17029898818</v>
      </c>
    </row>
    <row r="11" customFormat="false" ht="17.15" hidden="false" customHeight="false" outlineLevel="0" collapsed="false">
      <c r="A11" s="4" t="s">
        <v>446</v>
      </c>
      <c r="B11" s="4" t="s">
        <v>228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12987.9775616341</v>
      </c>
      <c r="F11" s="14" t="n">
        <f aca="false">PL!F69</f>
        <v>14244.5721242917</v>
      </c>
      <c r="G11" s="14" t="n">
        <f aca="false">PL!G69</f>
        <v>7281.60035564122</v>
      </c>
    </row>
    <row r="13" customFormat="false" ht="17.15" hidden="false" customHeight="false" outlineLevel="0" collapsed="false">
      <c r="A13" s="1" t="s">
        <v>447</v>
      </c>
    </row>
    <row r="14" customFormat="false" ht="17.15" hidden="false" customHeight="false" outlineLevel="0" collapsed="false">
      <c r="A14" s="0" t="s">
        <v>438</v>
      </c>
      <c r="B14" s="0" t="s">
        <v>27</v>
      </c>
      <c r="C14" s="18" t="n">
        <f aca="false">PL!C76</f>
        <v>2.22511470588235</v>
      </c>
      <c r="D14" s="18" t="n">
        <f aca="false">PL!D76</f>
        <v>3.782695</v>
      </c>
      <c r="E14" s="18" t="n">
        <f aca="false">PL!E76</f>
        <v>5.86317725</v>
      </c>
      <c r="F14" s="18" t="n">
        <f aca="false">PL!F76</f>
        <v>8.22296</v>
      </c>
      <c r="G14" s="18" t="n">
        <f aca="false">PL!G76</f>
        <v>11.3579635</v>
      </c>
      <c r="H14" s="18" t="n">
        <f aca="false">PL!H76</f>
        <v>12.49375985</v>
      </c>
    </row>
    <row r="15" customFormat="false" ht="15" hidden="false" customHeight="false" outlineLevel="0" collapsed="false">
      <c r="A15" s="4" t="s">
        <v>439</v>
      </c>
      <c r="B15" s="4" t="s">
        <v>440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441</v>
      </c>
      <c r="B16" s="4" t="s">
        <v>442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443</v>
      </c>
      <c r="B17" s="4" t="s">
        <v>442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730.013761881869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444</v>
      </c>
      <c r="B18" s="0" t="s">
        <v>64</v>
      </c>
      <c r="C18" s="10" t="n">
        <f aca="false">PL!C87</f>
        <v>0.412</v>
      </c>
      <c r="D18" s="10" t="n">
        <f aca="false">PL!D87</f>
        <v>0.329</v>
      </c>
      <c r="E18" s="10" t="n">
        <f aca="false">PL!E87</f>
        <v>0.32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445</v>
      </c>
      <c r="B19" s="4" t="s">
        <v>442</v>
      </c>
      <c r="C19" s="14" t="n">
        <f aca="false">PL!C88</f>
        <v>270.440441352942</v>
      </c>
      <c r="D19" s="14" t="n">
        <f aca="false">PL!D88</f>
        <v>238.610218275962</v>
      </c>
      <c r="E19" s="14" t="n">
        <f aca="false">PL!E88</f>
        <v>233.604403802198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446</v>
      </c>
      <c r="B20" s="4" t="s">
        <v>228</v>
      </c>
      <c r="C20" s="14" t="n">
        <f aca="false">PL!C102</f>
        <v>9132.68718116666</v>
      </c>
      <c r="D20" s="14" t="n">
        <f aca="false">PL!D102</f>
        <v>10090.6072381743</v>
      </c>
      <c r="E20" s="14" t="n">
        <f aca="false">PL!E102</f>
        <v>10156.7604469456</v>
      </c>
      <c r="F20" s="14" t="n">
        <f aca="false">PL!F102</f>
        <v>9553.48957525448</v>
      </c>
      <c r="G20" s="14" t="n">
        <f aca="false">PL!G102</f>
        <v>4029.6266614213</v>
      </c>
    </row>
    <row r="22" customFormat="false" ht="17.15" hidden="false" customHeight="false" outlineLevel="0" collapsed="false">
      <c r="A22" s="1" t="s">
        <v>448</v>
      </c>
    </row>
    <row r="23" customFormat="false" ht="17.15" hidden="false" customHeight="false" outlineLevel="0" collapsed="false">
      <c r="A23" s="0" t="s">
        <v>438</v>
      </c>
      <c r="B23" s="0" t="s">
        <v>27</v>
      </c>
      <c r="C23" s="18" t="n">
        <f aca="false">PL!C109</f>
        <v>2.22511470588235</v>
      </c>
      <c r="D23" s="18" t="n">
        <f aca="false">PL!D109</f>
        <v>3.782695</v>
      </c>
      <c r="E23" s="18" t="n">
        <f aca="false">PL!E109</f>
        <v>5.86317725</v>
      </c>
      <c r="F23" s="18" t="n">
        <f aca="false">PL!F109</f>
        <v>6.16722</v>
      </c>
      <c r="G23" s="18" t="n">
        <f aca="false">PL!G109</f>
        <v>8.017386</v>
      </c>
      <c r="H23" s="18" t="n">
        <f aca="false">PL!H109</f>
        <v>8.8191246</v>
      </c>
    </row>
    <row r="24" customFormat="false" ht="15" hidden="false" customHeight="false" outlineLevel="0" collapsed="false">
      <c r="A24" s="4" t="s">
        <v>439</v>
      </c>
      <c r="B24" s="4" t="s">
        <v>440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441</v>
      </c>
      <c r="B25" s="4" t="s">
        <v>442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1820.96754975962</v>
      </c>
      <c r="F25" s="14" t="n">
        <f aca="false">PL!F115</f>
        <v>1647.52877142857</v>
      </c>
      <c r="G25" s="14" t="n">
        <f aca="false">PL!G115</f>
        <v>1683.65106</v>
      </c>
      <c r="H25" s="14" t="n">
        <f aca="false">PL!H115</f>
        <v>1521.2989935</v>
      </c>
    </row>
    <row r="26" customFormat="false" ht="15" hidden="false" customHeight="false" outlineLevel="0" collapsed="false">
      <c r="A26" s="4" t="s">
        <v>443</v>
      </c>
      <c r="B26" s="4" t="s">
        <v>442</v>
      </c>
      <c r="C26" s="14" t="n">
        <f aca="false">PL!C116</f>
        <v>656.408838235295</v>
      </c>
      <c r="D26" s="14" t="n">
        <f aca="false">PL!D116</f>
        <v>629.418624759615</v>
      </c>
      <c r="E26" s="14" t="n">
        <f aca="false">PL!E116</f>
        <v>182.096754975962</v>
      </c>
      <c r="F26" s="14" t="n">
        <f aca="false">PL!F116</f>
        <v>200.875165714285</v>
      </c>
      <c r="G26" s="14" t="n">
        <f aca="false">PL!G116</f>
        <v>168.365106</v>
      </c>
    </row>
    <row r="27" customFormat="false" ht="15" hidden="false" customHeight="false" outlineLevel="0" collapsed="false">
      <c r="A27" s="4" t="s">
        <v>444</v>
      </c>
      <c r="B27" s="0" t="s">
        <v>64</v>
      </c>
      <c r="C27" s="10" t="n">
        <f aca="false">PL!C120</f>
        <v>0.412</v>
      </c>
      <c r="D27" s="10" t="n">
        <f aca="false">PL!D120</f>
        <v>0.257</v>
      </c>
      <c r="E27" s="10" t="n">
        <f aca="false">PL!E120</f>
        <v>0.25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445</v>
      </c>
      <c r="B28" s="4" t="s">
        <v>442</v>
      </c>
      <c r="C28" s="14" t="n">
        <f aca="false">PL!C121</f>
        <v>270.440441352942</v>
      </c>
      <c r="D28" s="14" t="n">
        <f aca="false">PL!D121</f>
        <v>161.760586563221</v>
      </c>
      <c r="E28" s="14" t="n">
        <f aca="false">PL!E121</f>
        <v>45.5241887439904</v>
      </c>
      <c r="F28" s="14" t="n">
        <f aca="false">PL!F121</f>
        <v>50.2187914285714</v>
      </c>
      <c r="G28" s="14" t="n">
        <f aca="false">PL!G121</f>
        <v>42.0912765</v>
      </c>
    </row>
    <row r="29" customFormat="false" ht="17.15" hidden="false" customHeight="false" outlineLevel="0" collapsed="false">
      <c r="A29" s="4" t="s">
        <v>446</v>
      </c>
      <c r="B29" s="4" t="s">
        <v>228</v>
      </c>
      <c r="C29" s="14" t="n">
        <f aca="false">PL!C135</f>
        <v>10756.5695902489</v>
      </c>
      <c r="D29" s="14" t="n">
        <f aca="false">PL!D135</f>
        <v>10314.2810459823</v>
      </c>
      <c r="E29" s="14" t="n">
        <f aca="false">PL!E135</f>
        <v>2984.01895733663</v>
      </c>
      <c r="F29" s="14" t="n">
        <f aca="false">PL!F135</f>
        <v>3291.74071569092</v>
      </c>
      <c r="G29" s="14" t="n">
        <f aca="false">PL!G135</f>
        <v>2758.99846828305</v>
      </c>
    </row>
    <row r="31" customFormat="false" ht="17.15" hidden="false" customHeight="false" outlineLevel="0" collapsed="false">
      <c r="A31" s="1" t="s">
        <v>449</v>
      </c>
    </row>
    <row r="32" customFormat="false" ht="17.15" hidden="false" customHeight="false" outlineLevel="0" collapsed="false">
      <c r="A32" s="4" t="s">
        <v>450</v>
      </c>
      <c r="B32" s="4" t="s">
        <v>451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432.932585387804</v>
      </c>
      <c r="F32" s="14" t="n">
        <f aca="false">F11/asp</f>
        <v>474.819070809724</v>
      </c>
      <c r="G32" s="14" t="n">
        <f aca="false">G11/asp</f>
        <v>242.720011854707</v>
      </c>
    </row>
    <row r="33" customFormat="false" ht="17.15" hidden="false" customHeight="false" outlineLevel="0" collapsed="false">
      <c r="A33" s="4" t="s">
        <v>452</v>
      </c>
      <c r="B33" s="4" t="s">
        <v>451</v>
      </c>
      <c r="C33" s="14" t="n">
        <f aca="false">C20/asp</f>
        <v>304.422906038889</v>
      </c>
      <c r="D33" s="14" t="n">
        <f aca="false">D20/asp</f>
        <v>336.353574605809</v>
      </c>
      <c r="E33" s="14" t="n">
        <f aca="false">E20/asp</f>
        <v>338.558681564855</v>
      </c>
      <c r="F33" s="14" t="n">
        <f aca="false">F20/asp</f>
        <v>318.449652508483</v>
      </c>
      <c r="G33" s="14" t="n">
        <f aca="false">G20/asp</f>
        <v>134.320888714043</v>
      </c>
    </row>
    <row r="34" customFormat="false" ht="17.15" hidden="false" customHeight="false" outlineLevel="0" collapsed="false">
      <c r="A34" s="4" t="s">
        <v>453</v>
      </c>
      <c r="B34" s="4" t="s">
        <v>451</v>
      </c>
      <c r="C34" s="14" t="n">
        <f aca="false">C29/asp</f>
        <v>358.552319674964</v>
      </c>
      <c r="D34" s="14" t="n">
        <f aca="false">D29/asp</f>
        <v>343.80936819941</v>
      </c>
      <c r="E34" s="14" t="n">
        <f aca="false">E29/asp</f>
        <v>99.4672985778877</v>
      </c>
      <c r="F34" s="14" t="n">
        <f aca="false">F29/asp</f>
        <v>109.724690523031</v>
      </c>
      <c r="G34" s="14" t="n">
        <f aca="false">G29/asp</f>
        <v>91.9666156094349</v>
      </c>
    </row>
    <row r="35" customFormat="false" ht="17.15" hidden="false" customHeight="false" outlineLevel="0" collapsed="false">
      <c r="I35" s="4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455</v>
      </c>
    </row>
    <row r="3" customFormat="false" ht="17.15" hidden="false" customHeight="false" outlineLevel="0" collapsed="false">
      <c r="A3" s="5" t="s">
        <v>456</v>
      </c>
      <c r="B3" s="5" t="s">
        <v>17</v>
      </c>
      <c r="C3" s="13" t="s">
        <v>457</v>
      </c>
      <c r="D3" s="13" t="s">
        <v>458</v>
      </c>
      <c r="E3" s="13" t="s">
        <v>459</v>
      </c>
      <c r="F3" s="13" t="s">
        <v>460</v>
      </c>
      <c r="G3" s="13" t="s">
        <v>461</v>
      </c>
      <c r="H3" s="5" t="s">
        <v>436</v>
      </c>
    </row>
    <row r="4" customFormat="false" ht="17.15" hidden="false" customHeight="false" outlineLevel="0" collapsed="false">
      <c r="A4" s="1" t="s">
        <v>437</v>
      </c>
    </row>
    <row r="5" customFormat="false" ht="17.15" hidden="false" customHeight="false" outlineLevel="0" collapsed="false">
      <c r="A5" s="4" t="s">
        <v>396</v>
      </c>
      <c r="B5" s="4" t="s">
        <v>228</v>
      </c>
      <c r="C5" s="14" t="n">
        <f aca="false">C60</f>
        <v>5767</v>
      </c>
      <c r="D5" s="14" t="n">
        <f aca="false">D60</f>
        <v>7539.8</v>
      </c>
      <c r="E5" s="14" t="n">
        <f aca="false">E60</f>
        <v>8014.83638733926</v>
      </c>
      <c r="F5" s="14" t="n">
        <f aca="false">F60</f>
        <v>8876.96904805627</v>
      </c>
      <c r="G5" s="14" t="n">
        <f aca="false">G60</f>
        <v>7080.33959404641</v>
      </c>
      <c r="H5" s="8" t="s">
        <v>462</v>
      </c>
    </row>
    <row r="6" customFormat="false" ht="17.15" hidden="false" customHeight="false" outlineLevel="0" collapsed="false">
      <c r="A6" s="0" t="s">
        <v>463</v>
      </c>
      <c r="B6" s="4" t="s">
        <v>228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4286.03259533926</v>
      </c>
      <c r="F6" s="14" t="n">
        <f aca="false">F58</f>
        <v>4700.70880101627</v>
      </c>
      <c r="G6" s="14" t="n">
        <f aca="false">G58</f>
        <v>2402.9281173616</v>
      </c>
    </row>
    <row r="7" customFormat="false" ht="15" hidden="false" customHeight="false" outlineLevel="0" collapsed="false">
      <c r="A7" s="4" t="s">
        <v>464</v>
      </c>
      <c r="B7" s="4" t="s">
        <v>228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465</v>
      </c>
      <c r="B8" s="0" t="s">
        <v>64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404</v>
      </c>
      <c r="B9" s="4" t="s">
        <v>228</v>
      </c>
      <c r="C9" s="14" t="n">
        <f aca="false">C65</f>
        <v>2513.9</v>
      </c>
      <c r="D9" s="14" t="n">
        <f aca="false">D65</f>
        <v>3557.504</v>
      </c>
      <c r="E9" s="14" t="n">
        <f aca="false">E65</f>
        <v>3807.05302980693</v>
      </c>
      <c r="F9" s="14" t="n">
        <f aca="false">F65</f>
        <v>4259.95384915646</v>
      </c>
      <c r="G9" s="14" t="n">
        <f aca="false">G65</f>
        <v>3316.13744030837</v>
      </c>
    </row>
    <row r="10" customFormat="false" ht="15" hidden="false" customHeight="false" outlineLevel="0" collapsed="false">
      <c r="A10" s="4" t="s">
        <v>407</v>
      </c>
      <c r="B10" s="0" t="s">
        <v>64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0.475000716898075</v>
      </c>
      <c r="F10" s="10" t="n">
        <f aca="false">F66</f>
        <v>0.479888329687173</v>
      </c>
      <c r="G10" s="10" t="n">
        <f aca="false">G66</f>
        <v>0.468358529454829</v>
      </c>
    </row>
    <row r="11" customFormat="false" ht="15" hidden="false" customHeight="false" outlineLevel="0" collapsed="false">
      <c r="A11" s="4" t="s">
        <v>466</v>
      </c>
      <c r="B11" s="4" t="s">
        <v>228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3240.81844297181</v>
      </c>
      <c r="F11" s="14" t="n">
        <f aca="false">F67</f>
        <v>3626.35794470537</v>
      </c>
      <c r="G11" s="14" t="n">
        <f aca="false">G67</f>
        <v>2822.91822358086</v>
      </c>
    </row>
    <row r="12" customFormat="false" ht="15" hidden="false" customHeight="false" outlineLevel="0" collapsed="false">
      <c r="A12" s="0" t="s">
        <v>467</v>
      </c>
      <c r="B12" s="0" t="s">
        <v>304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3379.68902765429</v>
      </c>
      <c r="F12" s="14" t="n">
        <f aca="false">F68</f>
        <v>3781.74907719578</v>
      </c>
      <c r="G12" s="14" t="n">
        <f aca="false">G68</f>
        <v>2943.88158858196</v>
      </c>
    </row>
    <row r="14" customFormat="false" ht="17.15" hidden="false" customHeight="false" outlineLevel="0" collapsed="false">
      <c r="A14" s="1" t="s">
        <v>447</v>
      </c>
    </row>
    <row r="15" customFormat="false" ht="15" hidden="false" customHeight="false" outlineLevel="0" collapsed="false">
      <c r="A15" s="4" t="s">
        <v>396</v>
      </c>
      <c r="B15" s="4" t="s">
        <v>228</v>
      </c>
      <c r="C15" s="14" t="n">
        <f aca="false">C93</f>
        <v>5767</v>
      </c>
      <c r="D15" s="14" t="n">
        <f aca="false">D93</f>
        <v>7539.8</v>
      </c>
      <c r="E15" s="14" t="n">
        <f aca="false">E93</f>
        <v>6845.79557102261</v>
      </c>
      <c r="F15" s="14" t="n">
        <f aca="false">F93</f>
        <v>6940.39947032143</v>
      </c>
      <c r="G15" s="14" t="n">
        <f aca="false">G93</f>
        <v>5483.42596239402</v>
      </c>
    </row>
    <row r="16" customFormat="false" ht="17.15" hidden="false" customHeight="false" outlineLevel="0" collapsed="false">
      <c r="A16" s="0" t="s">
        <v>463</v>
      </c>
      <c r="B16" s="4" t="s">
        <v>228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3250.16334302261</v>
      </c>
      <c r="F16" s="14" t="n">
        <f aca="false">F91</f>
        <v>3057.11666408143</v>
      </c>
      <c r="G16" s="14" t="n">
        <f aca="false">G91</f>
        <v>1289.48053165481</v>
      </c>
    </row>
    <row r="17" customFormat="false" ht="15" hidden="false" customHeight="false" outlineLevel="0" collapsed="false">
      <c r="A17" s="4" t="s">
        <v>464</v>
      </c>
      <c r="B17" s="4" t="s">
        <v>228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3595.632228</v>
      </c>
      <c r="F17" s="14" t="n">
        <f aca="false">F90</f>
        <v>3883.28280624</v>
      </c>
      <c r="G17" s="14" t="n">
        <f aca="false">G90</f>
        <v>4193.9454307392</v>
      </c>
    </row>
    <row r="18" customFormat="false" ht="15" hidden="false" customHeight="false" outlineLevel="0" collapsed="false">
      <c r="A18" s="4" t="s">
        <v>465</v>
      </c>
      <c r="B18" s="0" t="s">
        <v>64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404</v>
      </c>
      <c r="B19" s="4" t="s">
        <v>228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3192.92533497801</v>
      </c>
      <c r="F19" s="14" t="n">
        <f aca="false">F98</f>
        <v>3242.62323584452</v>
      </c>
      <c r="G19" s="14" t="n">
        <f aca="false">G98</f>
        <v>2477.23697271177</v>
      </c>
    </row>
    <row r="20" customFormat="false" ht="15" hidden="false" customHeight="false" outlineLevel="0" collapsed="false">
      <c r="A20" s="4" t="s">
        <v>407</v>
      </c>
      <c r="B20" s="0" t="s">
        <v>64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0.466406760449181</v>
      </c>
      <c r="F20" s="10" t="n">
        <f aca="false">F99</f>
        <v>0.467209884634255</v>
      </c>
      <c r="G20" s="10" t="n">
        <f aca="false">G99</f>
        <v>0.451768108058895</v>
      </c>
    </row>
    <row r="21" customFormat="false" ht="15" hidden="false" customHeight="false" outlineLevel="0" collapsed="false">
      <c r="A21" s="4" t="s">
        <v>466</v>
      </c>
      <c r="B21" s="4" t="s">
        <v>228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2718.03182976767</v>
      </c>
      <c r="F21" s="14" t="n">
        <f aca="false">F100</f>
        <v>2760.33801054428</v>
      </c>
      <c r="G21" s="14" t="n">
        <f aca="false">G100</f>
        <v>2108.78997637264</v>
      </c>
    </row>
    <row r="22" customFormat="false" ht="15" hidden="false" customHeight="false" outlineLevel="0" collapsed="false">
      <c r="A22" s="0" t="s">
        <v>467</v>
      </c>
      <c r="B22" s="0" t="s">
        <v>304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2834.50076378154</v>
      </c>
      <c r="F22" s="14" t="n">
        <f aca="false">F101</f>
        <v>2878.61978417368</v>
      </c>
      <c r="G22" s="14" t="n">
        <f aca="false">G101</f>
        <v>2199.15261227609</v>
      </c>
    </row>
    <row r="24" customFormat="false" ht="17.15" hidden="false" customHeight="false" outlineLevel="0" collapsed="false">
      <c r="A24" s="1" t="s">
        <v>448</v>
      </c>
    </row>
    <row r="25" customFormat="false" ht="15" hidden="false" customHeight="false" outlineLevel="0" collapsed="false">
      <c r="A25" s="4" t="s">
        <v>396</v>
      </c>
      <c r="B25" s="4" t="s">
        <v>228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3908.82938433416</v>
      </c>
      <c r="F25" s="14" t="n">
        <f aca="false">F126</f>
        <v>3827.61859167273</v>
      </c>
      <c r="G25" s="14" t="n">
        <f aca="false">G126</f>
        <v>3544.19885918326</v>
      </c>
    </row>
    <row r="26" customFormat="false" ht="17.15" hidden="false" customHeight="false" outlineLevel="0" collapsed="false">
      <c r="A26" s="0" t="s">
        <v>463</v>
      </c>
      <c r="B26" s="4" t="s">
        <v>228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746.004739334158</v>
      </c>
      <c r="F26" s="14" t="n">
        <f aca="false">F124</f>
        <v>822.935178922729</v>
      </c>
      <c r="G26" s="14" t="n">
        <f aca="false">G124</f>
        <v>689.749617070762</v>
      </c>
    </row>
    <row r="27" customFormat="false" ht="15" hidden="false" customHeight="false" outlineLevel="0" collapsed="false">
      <c r="A27" s="4" t="s">
        <v>464</v>
      </c>
      <c r="B27" s="4" t="s">
        <v>228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3162.824645</v>
      </c>
      <c r="F27" s="14" t="n">
        <f aca="false">F123</f>
        <v>3004.68341275</v>
      </c>
      <c r="G27" s="14" t="n">
        <f aca="false">G123</f>
        <v>2854.4492421125</v>
      </c>
    </row>
    <row r="28" customFormat="false" ht="15" hidden="false" customHeight="false" outlineLevel="0" collapsed="false">
      <c r="A28" s="4" t="s">
        <v>465</v>
      </c>
      <c r="B28" s="0" t="s">
        <v>64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404</v>
      </c>
      <c r="B29" s="4" t="s">
        <v>228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1650.0602366452</v>
      </c>
      <c r="F29" s="14" t="n">
        <f aca="false">F131</f>
        <v>1492.56952698699</v>
      </c>
      <c r="G29" s="14" t="n">
        <f aca="false">G131</f>
        <v>1281.30034885116</v>
      </c>
    </row>
    <row r="30" customFormat="false" ht="15" hidden="false" customHeight="false" outlineLevel="0" collapsed="false">
      <c r="A30" s="4" t="s">
        <v>407</v>
      </c>
      <c r="B30" s="0" t="s">
        <v>64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0.422136674283694</v>
      </c>
      <c r="F30" s="10" t="n">
        <f aca="false">F132</f>
        <v>0.389947297840538</v>
      </c>
      <c r="G30" s="10" t="n">
        <f aca="false">G132</f>
        <v>0.361520445031243</v>
      </c>
    </row>
    <row r="31" customFormat="false" ht="15" hidden="false" customHeight="false" outlineLevel="0" collapsed="false">
      <c r="A31" s="4" t="s">
        <v>466</v>
      </c>
      <c r="B31" s="4" t="s">
        <v>228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1404.64175441375</v>
      </c>
      <c r="F31" s="14" t="n">
        <f aca="false">F133</f>
        <v>1270.57511744785</v>
      </c>
      <c r="G31" s="14" t="n">
        <f aca="false">G133</f>
        <v>1090.7286473374</v>
      </c>
    </row>
    <row r="32" customFormat="false" ht="15" hidden="false" customHeight="false" outlineLevel="0" collapsed="false">
      <c r="A32" s="0" t="s">
        <v>467</v>
      </c>
      <c r="B32" s="0" t="s">
        <v>304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1464.83130996503</v>
      </c>
      <c r="F32" s="14" t="n">
        <f aca="false">F134</f>
        <v>1325.01985495718</v>
      </c>
      <c r="G32" s="14" t="n">
        <f aca="false">G134</f>
        <v>1137.46687956209</v>
      </c>
    </row>
    <row r="34" customFormat="false" ht="17.15" hidden="false" customHeight="false" outlineLevel="0" collapsed="false">
      <c r="A34" s="1" t="s">
        <v>468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469</v>
      </c>
    </row>
    <row r="41" customFormat="false" ht="15" hidden="false" customHeight="false" outlineLevel="0" collapsed="false">
      <c r="A41" s="5" t="s">
        <v>16</v>
      </c>
      <c r="B41" s="5" t="s">
        <v>17</v>
      </c>
      <c r="C41" s="13" t="s">
        <v>430</v>
      </c>
      <c r="D41" s="13" t="s">
        <v>431</v>
      </c>
      <c r="E41" s="13" t="s">
        <v>432</v>
      </c>
      <c r="F41" s="13" t="s">
        <v>433</v>
      </c>
      <c r="G41" s="13" t="s">
        <v>434</v>
      </c>
      <c r="H41" s="13" t="s">
        <v>435</v>
      </c>
      <c r="I41" s="5" t="s">
        <v>436</v>
      </c>
    </row>
    <row r="42" customFormat="false" ht="17.15" hidden="false" customHeight="false" outlineLevel="0" collapsed="false">
      <c r="A42" s="6" t="s">
        <v>470</v>
      </c>
    </row>
    <row r="43" customFormat="false" ht="17.15" hidden="false" customHeight="false" outlineLevel="0" collapsed="false">
      <c r="A43" s="0" t="s">
        <v>471</v>
      </c>
      <c r="B43" s="0" t="s">
        <v>27</v>
      </c>
      <c r="C43" s="19" t="n">
        <f aca="false">hsA_25</f>
        <v>2.22511470588235</v>
      </c>
      <c r="D43" s="19" t="n">
        <f aca="false">hsA_26</f>
        <v>3.782695</v>
      </c>
      <c r="E43" s="19" t="n">
        <f aca="false">hsA_27</f>
        <v>5.86317725</v>
      </c>
      <c r="F43" s="19" t="n">
        <f aca="false">hsA_28</f>
        <v>8.5016070125</v>
      </c>
      <c r="G43" s="19" t="n">
        <f aca="false">hsA_29</f>
        <v>11.477169466875</v>
      </c>
      <c r="H43" s="19" t="n">
        <f aca="false">G43*(1+g_tail)</f>
        <v>12.6248864135625</v>
      </c>
      <c r="I43" s="8" t="s">
        <v>472</v>
      </c>
    </row>
    <row r="44" customFormat="false" ht="17.15" hidden="false" customHeight="false" outlineLevel="0" collapsed="false">
      <c r="A44" s="0" t="s">
        <v>473</v>
      </c>
      <c r="B44" s="0" t="s">
        <v>474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475</v>
      </c>
      <c r="B45" s="4" t="s">
        <v>440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476</v>
      </c>
    </row>
    <row r="46" customFormat="false" ht="15" hidden="false" customHeight="false" outlineLevel="0" collapsed="false">
      <c r="A46" s="4" t="s">
        <v>477</v>
      </c>
      <c r="B46" s="4" t="s">
        <v>91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478</v>
      </c>
      <c r="B47" s="0" t="s">
        <v>111</v>
      </c>
      <c r="C47" s="20" t="n">
        <f aca="false">1+beta*(C46-$C46)/4</f>
        <v>1</v>
      </c>
      <c r="D47" s="20" t="n">
        <f aca="false">1+beta*(D46-$C46)/4</f>
        <v>1.05</v>
      </c>
      <c r="E47" s="20" t="n">
        <f aca="false">1+beta*(E46-$C46)/4</f>
        <v>1.0625</v>
      </c>
      <c r="F47" s="20" t="n">
        <f aca="false">1+beta*(F46-$C46)/4</f>
        <v>1.1</v>
      </c>
      <c r="G47" s="20" t="n">
        <f aca="false">1+beta*(G46-$C46)/4</f>
        <v>1.125</v>
      </c>
      <c r="H47" s="20" t="n">
        <f aca="false">1+beta*(H46-$C46)/4</f>
        <v>1.15</v>
      </c>
    </row>
    <row r="48" customFormat="false" ht="17.15" hidden="false" customHeight="false" outlineLevel="0" collapsed="false">
      <c r="A48" s="4" t="s">
        <v>479</v>
      </c>
      <c r="B48" s="0" t="s">
        <v>64</v>
      </c>
      <c r="C48" s="10" t="n">
        <f aca="false">0</f>
        <v>0</v>
      </c>
      <c r="D48" s="10" t="n">
        <f aca="false">0</f>
        <v>0</v>
      </c>
      <c r="E48" s="10" t="n">
        <f aca="false">0</f>
        <v>0</v>
      </c>
      <c r="F48" s="10" t="n">
        <f aca="false">0</f>
        <v>0</v>
      </c>
      <c r="G48" s="10" t="n">
        <f aca="false">0</f>
        <v>0</v>
      </c>
      <c r="H48" s="10" t="n">
        <f aca="false">0</f>
        <v>0</v>
      </c>
      <c r="I48" s="4" t="s">
        <v>480</v>
      </c>
    </row>
    <row r="49" customFormat="false" ht="17.15" hidden="false" customHeight="false" outlineLevel="0" collapsed="false">
      <c r="A49" s="0" t="s">
        <v>481</v>
      </c>
      <c r="B49" s="4" t="s">
        <v>442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2671.9336325</v>
      </c>
      <c r="G49" s="14" t="n">
        <f aca="false">G45*G47*(1-G48)</f>
        <v>3443.1508400625</v>
      </c>
      <c r="H49" s="14" t="n">
        <f aca="false">H45*H47*(1-H48)</f>
        <v>3629.65484389922</v>
      </c>
    </row>
    <row r="50" customFormat="false" ht="17.15" hidden="false" customHeight="false" outlineLevel="0" collapsed="false">
      <c r="A50" s="4" t="s">
        <v>482</v>
      </c>
      <c r="B50" s="4" t="s">
        <v>442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MAX(0,F49-E49)+dlt*E49</f>
        <v>946.806480096154</v>
      </c>
      <c r="F50" s="14" t="n">
        <f aca="false">MAX(0,G49-F49)+dlt*F49</f>
        <v>1038.4105708125</v>
      </c>
      <c r="G50" s="14" t="n">
        <f aca="false">MAX(0,H49-G49)+dlt*G49</f>
        <v>530.819087842968</v>
      </c>
      <c r="I50" s="4" t="s">
        <v>483</v>
      </c>
    </row>
    <row r="51" customFormat="false" ht="17.15" hidden="false" customHeight="false" outlineLevel="0" collapsed="false">
      <c r="A51" s="0" t="s">
        <v>484</v>
      </c>
      <c r="B51" s="0" t="s">
        <v>64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485</v>
      </c>
      <c r="B52" s="0" t="s">
        <v>64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486</v>
      </c>
      <c r="B53" s="0" t="s">
        <v>64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487</v>
      </c>
      <c r="B54" s="0" t="s">
        <v>64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488</v>
      </c>
      <c r="B55" s="4" t="s">
        <v>442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312.446138431731</v>
      </c>
      <c r="F55" s="14" t="n">
        <f aca="false">F50*F54</f>
        <v>342.675488368125</v>
      </c>
      <c r="G55" s="14" t="n">
        <f aca="false">G50*G54</f>
        <v>175.17029898818</v>
      </c>
    </row>
    <row r="56" customFormat="false" ht="17.15" hidden="false" customHeight="false" outlineLevel="0" collapsed="false">
      <c r="A56" s="6" t="s">
        <v>489</v>
      </c>
    </row>
    <row r="57" customFormat="false" ht="17.15" hidden="false" customHeight="false" outlineLevel="0" collapsed="false">
      <c r="A57" s="4" t="s">
        <v>490</v>
      </c>
      <c r="B57" s="4" t="s">
        <v>228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</row>
    <row r="58" customFormat="false" ht="17.15" hidden="false" customHeight="false" outlineLevel="0" collapsed="false">
      <c r="A58" s="0" t="s">
        <v>491</v>
      </c>
      <c r="B58" s="4" t="s">
        <v>228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4286.03259533926</v>
      </c>
      <c r="F58" s="14" t="n">
        <f aca="false">$C59*F55</f>
        <v>4700.70880101627</v>
      </c>
      <c r="G58" s="14" t="n">
        <f aca="false">$C59*G55</f>
        <v>2402.9281173616</v>
      </c>
      <c r="I58" s="8" t="s">
        <v>492</v>
      </c>
    </row>
    <row r="59" customFormat="false" ht="17.15" hidden="false" customHeight="false" outlineLevel="0" collapsed="false">
      <c r="A59" s="4" t="s">
        <v>493</v>
      </c>
      <c r="B59" s="4" t="s">
        <v>494</v>
      </c>
      <c r="C59" s="20" t="n">
        <f aca="false">(C58+D58)/(C55+D55)</f>
        <v>13.7176686415529</v>
      </c>
      <c r="I59" s="4" t="s">
        <v>495</v>
      </c>
    </row>
    <row r="60" customFormat="false" ht="15" hidden="false" customHeight="false" outlineLevel="0" collapsed="false">
      <c r="A60" s="4" t="s">
        <v>396</v>
      </c>
      <c r="B60" s="4" t="s">
        <v>228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8014.83638733926</v>
      </c>
      <c r="F60" s="14" t="n">
        <f aca="false">F57+F58</f>
        <v>8876.96904805627</v>
      </c>
      <c r="G60" s="14" t="n">
        <f aca="false">G57+G58</f>
        <v>7080.33959404641</v>
      </c>
    </row>
    <row r="61" customFormat="false" ht="17.15" hidden="false" customHeight="false" outlineLevel="0" collapsed="false">
      <c r="A61" s="0" t="s">
        <v>496</v>
      </c>
      <c r="B61" s="0" t="s">
        <v>64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0.534762331781314</v>
      </c>
      <c r="F61" s="10" t="n">
        <f aca="false">F58/F60</f>
        <v>0.529539843562432</v>
      </c>
      <c r="G61" s="10" t="n">
        <f aca="false">G58/G60</f>
        <v>0.339380348279077</v>
      </c>
    </row>
    <row r="62" customFormat="false" ht="17.15" hidden="false" customHeight="false" outlineLevel="0" collapsed="false">
      <c r="A62" s="4" t="s">
        <v>497</v>
      </c>
      <c r="B62" s="4" t="s">
        <v>228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963.916023380144</v>
      </c>
      <c r="F62" s="14" t="n">
        <f aca="false">opex_fix+opex_var*F60</f>
        <v>1024.21448162537</v>
      </c>
      <c r="G62" s="14" t="n">
        <f aca="false">opex_fix+opex_var*G60</f>
        <v>898.556342163797</v>
      </c>
      <c r="I62" s="4" t="s">
        <v>498</v>
      </c>
    </row>
    <row r="63" customFormat="false" ht="17.15" hidden="false" customHeight="false" outlineLevel="0" collapsed="false">
      <c r="A63" s="4" t="s">
        <v>465</v>
      </c>
      <c r="B63" s="0" t="s">
        <v>64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499</v>
      </c>
    </row>
    <row r="64" customFormat="false" ht="15" hidden="false" customHeight="false" outlineLevel="0" collapsed="false">
      <c r="A64" s="4" t="s">
        <v>401</v>
      </c>
      <c r="B64" s="4" t="s">
        <v>228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4770.96905318707</v>
      </c>
      <c r="F64" s="14" t="n">
        <f aca="false">F60*F63</f>
        <v>5284.16833078183</v>
      </c>
      <c r="G64" s="14" t="n">
        <f aca="false">G60*G63</f>
        <v>4214.69378247217</v>
      </c>
    </row>
    <row r="65" customFormat="false" ht="15" hidden="false" customHeight="false" outlineLevel="0" collapsed="false">
      <c r="A65" s="4" t="s">
        <v>404</v>
      </c>
      <c r="B65" s="4" t="s">
        <v>228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3807.05302980693</v>
      </c>
      <c r="F65" s="14" t="n">
        <f aca="false">F64-F62</f>
        <v>4259.95384915646</v>
      </c>
      <c r="G65" s="14" t="n">
        <f aca="false">G64-G62</f>
        <v>3316.13744030837</v>
      </c>
    </row>
    <row r="66" customFormat="false" ht="15" hidden="false" customHeight="false" outlineLevel="0" collapsed="false">
      <c r="A66" s="4" t="s">
        <v>407</v>
      </c>
      <c r="B66" s="0" t="s">
        <v>64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0.475000716898075</v>
      </c>
      <c r="F66" s="10" t="n">
        <f aca="false">F65/F60</f>
        <v>0.479888329687173</v>
      </c>
      <c r="G66" s="10" t="n">
        <f aca="false">G65/G60</f>
        <v>0.468358529454829</v>
      </c>
    </row>
    <row r="67" customFormat="false" ht="15" hidden="false" customHeight="false" outlineLevel="0" collapsed="false">
      <c r="A67" s="4" t="s">
        <v>466</v>
      </c>
      <c r="B67" s="4" t="s">
        <v>228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3240.81844297181</v>
      </c>
      <c r="F67" s="14" t="n">
        <f aca="false">F65*nioi</f>
        <v>3626.35794470537</v>
      </c>
      <c r="G67" s="14" t="n">
        <f aca="false">G65*nioi</f>
        <v>2822.91822358086</v>
      </c>
    </row>
    <row r="68" customFormat="false" ht="15" hidden="false" customHeight="false" outlineLevel="0" collapsed="false">
      <c r="A68" s="0" t="s">
        <v>467</v>
      </c>
      <c r="B68" s="0" t="s">
        <v>304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3379.68902765429</v>
      </c>
      <c r="F68" s="14" t="n">
        <f aca="false">F67*100/shares</f>
        <v>3781.74907719578</v>
      </c>
      <c r="G68" s="14" t="n">
        <f aca="false">G67*100/shares</f>
        <v>2943.88158858196</v>
      </c>
    </row>
    <row r="69" customFormat="false" ht="17.15" hidden="false" customHeight="false" outlineLevel="0" collapsed="false">
      <c r="A69" s="4" t="s">
        <v>500</v>
      </c>
      <c r="B69" s="4" t="s">
        <v>228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12987.9775616341</v>
      </c>
      <c r="F69" s="14" t="n">
        <f aca="false">$C59*F50</f>
        <v>14244.5721242917</v>
      </c>
      <c r="G69" s="14" t="n">
        <f aca="false">$C59*G50</f>
        <v>7281.60035564122</v>
      </c>
      <c r="I69" s="4" t="s">
        <v>501</v>
      </c>
    </row>
    <row r="70" customFormat="false" ht="15" hidden="false" customHeight="false" outlineLevel="0" collapsed="false">
      <c r="A70" s="4" t="s">
        <v>502</v>
      </c>
      <c r="B70" s="0" t="s">
        <v>335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914.646307157333</v>
      </c>
      <c r="F70" s="14" t="n">
        <f aca="false">F69/fx*100</f>
        <v>1003.13888199238</v>
      </c>
      <c r="G70" s="14" t="n">
        <f aca="false">G69/fx*100</f>
        <v>512.788757439523</v>
      </c>
    </row>
    <row r="73" customFormat="false" ht="17.15" hidden="false" customHeight="false" outlineLevel="0" collapsed="false">
      <c r="A73" s="1" t="s">
        <v>503</v>
      </c>
    </row>
    <row r="74" customFormat="false" ht="15" hidden="false" customHeight="false" outlineLevel="0" collapsed="false">
      <c r="A74" s="5" t="s">
        <v>16</v>
      </c>
      <c r="B74" s="5" t="s">
        <v>17</v>
      </c>
      <c r="C74" s="13" t="s">
        <v>430</v>
      </c>
      <c r="D74" s="13" t="s">
        <v>431</v>
      </c>
      <c r="E74" s="13" t="s">
        <v>432</v>
      </c>
      <c r="F74" s="13" t="s">
        <v>433</v>
      </c>
      <c r="G74" s="13" t="s">
        <v>434</v>
      </c>
      <c r="H74" s="13" t="s">
        <v>435</v>
      </c>
      <c r="I74" s="5" t="s">
        <v>436</v>
      </c>
    </row>
    <row r="75" customFormat="false" ht="17.15" hidden="false" customHeight="false" outlineLevel="0" collapsed="false">
      <c r="A75" s="6" t="s">
        <v>470</v>
      </c>
    </row>
    <row r="76" customFormat="false" ht="17.15" hidden="false" customHeight="false" outlineLevel="0" collapsed="false">
      <c r="A76" s="0" t="s">
        <v>471</v>
      </c>
      <c r="B76" s="0" t="s">
        <v>27</v>
      </c>
      <c r="C76" s="19" t="n">
        <f aca="false">hsB_25</f>
        <v>2.22511470588235</v>
      </c>
      <c r="D76" s="19" t="n">
        <f aca="false">hsB_26</f>
        <v>3.782695</v>
      </c>
      <c r="E76" s="19" t="n">
        <f aca="false">hsB_27</f>
        <v>5.86317725</v>
      </c>
      <c r="F76" s="19" t="n">
        <f aca="false">hsB_28</f>
        <v>8.22296</v>
      </c>
      <c r="G76" s="19" t="n">
        <f aca="false">hsB_29</f>
        <v>11.3579635</v>
      </c>
      <c r="H76" s="19" t="n">
        <f aca="false">G76*(1+g_tail)</f>
        <v>12.49375985</v>
      </c>
      <c r="I76" s="8" t="s">
        <v>472</v>
      </c>
    </row>
    <row r="77" customFormat="false" ht="17.15" hidden="false" customHeight="false" outlineLevel="0" collapsed="false">
      <c r="A77" s="0" t="s">
        <v>473</v>
      </c>
      <c r="B77" s="0" t="s">
        <v>474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475</v>
      </c>
      <c r="B78" s="4" t="s">
        <v>440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476</v>
      </c>
    </row>
    <row r="79" customFormat="false" ht="15" hidden="false" customHeight="false" outlineLevel="0" collapsed="false">
      <c r="A79" s="4" t="s">
        <v>477</v>
      </c>
      <c r="B79" s="4" t="s">
        <v>91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478</v>
      </c>
      <c r="B80" s="0" t="s">
        <v>111</v>
      </c>
      <c r="C80" s="20" t="n">
        <f aca="false">1+beta*(C79-$C79)/4</f>
        <v>1</v>
      </c>
      <c r="D80" s="20" t="n">
        <f aca="false">1+beta*(D79-$C79)/4</f>
        <v>1.05</v>
      </c>
      <c r="E80" s="20" t="n">
        <f aca="false">1+beta*(E79-$C79)/4</f>
        <v>1.0625</v>
      </c>
      <c r="F80" s="20" t="n">
        <f aca="false">1+beta*(F79-$C79)/4</f>
        <v>1.1</v>
      </c>
      <c r="G80" s="20" t="n">
        <f aca="false">1+beta*(G79-$C79)/4</f>
        <v>1.125</v>
      </c>
      <c r="H80" s="20" t="n">
        <f aca="false">1+beta*(H79-$C79)/4</f>
        <v>1.15</v>
      </c>
    </row>
    <row r="81" customFormat="false" ht="17.15" hidden="false" customHeight="false" outlineLevel="0" collapsed="false">
      <c r="A81" s="4" t="s">
        <v>479</v>
      </c>
      <c r="B81" s="0" t="s">
        <v>64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504</v>
      </c>
    </row>
    <row r="82" customFormat="false" ht="17.15" hidden="false" customHeight="false" outlineLevel="0" collapsed="false">
      <c r="A82" s="0" t="s">
        <v>481</v>
      </c>
      <c r="B82" s="4" t="s">
        <v>442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482</v>
      </c>
      <c r="B83" s="4" t="s">
        <v>442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MAX(0,F82-E82)+dlt*E82</f>
        <v>730.013761881869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483</v>
      </c>
    </row>
    <row r="84" customFormat="false" ht="17.15" hidden="false" customHeight="false" outlineLevel="0" collapsed="false">
      <c r="A84" s="0" t="s">
        <v>484</v>
      </c>
      <c r="B84" s="0" t="s">
        <v>64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485</v>
      </c>
      <c r="B85" s="0" t="s">
        <v>64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486</v>
      </c>
      <c r="B86" s="0" t="s">
        <v>64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487</v>
      </c>
      <c r="B87" s="0" t="s">
        <v>64</v>
      </c>
      <c r="C87" s="10" t="n">
        <f aca="false">C84*hsk_25+C85*hss+C86*hmu_25</f>
        <v>0.412</v>
      </c>
      <c r="D87" s="10" t="n">
        <f aca="false">D84*hsk_B+D85*hss+D86*hmu_B</f>
        <v>0.329</v>
      </c>
      <c r="E87" s="10" t="n">
        <f aca="false">E84*hsk_B+E85*hss+E86*hmu_B</f>
        <v>0.32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488</v>
      </c>
      <c r="B88" s="4" t="s">
        <v>442</v>
      </c>
      <c r="C88" s="14" t="n">
        <f aca="false">C83*C87</f>
        <v>270.440441352942</v>
      </c>
      <c r="D88" s="14" t="n">
        <f aca="false">D83*D87</f>
        <v>238.610218275962</v>
      </c>
      <c r="E88" s="14" t="n">
        <f aca="false">E83*E87</f>
        <v>233.604403802198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489</v>
      </c>
    </row>
    <row r="90" customFormat="false" ht="17.15" hidden="false" customHeight="false" outlineLevel="0" collapsed="false">
      <c r="A90" s="4" t="s">
        <v>490</v>
      </c>
      <c r="B90" s="4" t="s">
        <v>228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D90*(1+g_o_B)</f>
        <v>3595.632228</v>
      </c>
      <c r="F90" s="14" t="n">
        <f aca="false">E90*(1+g_o_B)</f>
        <v>3883.28280624</v>
      </c>
      <c r="G90" s="14" t="n">
        <f aca="false">F90*(1+g_o_B)</f>
        <v>4193.9454307392</v>
      </c>
    </row>
    <row r="91" customFormat="false" ht="17.15" hidden="false" customHeight="false" outlineLevel="0" collapsed="false">
      <c r="A91" s="0" t="s">
        <v>491</v>
      </c>
      <c r="B91" s="4" t="s">
        <v>228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3250.16334302261</v>
      </c>
      <c r="F91" s="14" t="n">
        <f aca="false">$C92*F88</f>
        <v>3057.11666408143</v>
      </c>
      <c r="G91" s="14" t="n">
        <f aca="false">$C92*G88</f>
        <v>1289.48053165481</v>
      </c>
      <c r="I91" s="8" t="s">
        <v>492</v>
      </c>
    </row>
    <row r="92" customFormat="false" ht="17.15" hidden="false" customHeight="false" outlineLevel="0" collapsed="false">
      <c r="A92" s="4" t="s">
        <v>493</v>
      </c>
      <c r="B92" s="4" t="s">
        <v>494</v>
      </c>
      <c r="C92" s="20" t="n">
        <f aca="false">(C91+D91)/(C88+D88)</f>
        <v>13.9131081868416</v>
      </c>
      <c r="I92" s="4" t="s">
        <v>495</v>
      </c>
    </row>
    <row r="93" customFormat="false" ht="15" hidden="false" customHeight="false" outlineLevel="0" collapsed="false">
      <c r="A93" s="4" t="s">
        <v>396</v>
      </c>
      <c r="B93" s="4" t="s">
        <v>228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6845.79557102261</v>
      </c>
      <c r="F93" s="14" t="n">
        <f aca="false">F90+F91</f>
        <v>6940.39947032143</v>
      </c>
      <c r="G93" s="14" t="n">
        <f aca="false">G90+G91</f>
        <v>5483.42596239402</v>
      </c>
    </row>
    <row r="94" customFormat="false" ht="17.15" hidden="false" customHeight="false" outlineLevel="0" collapsed="false">
      <c r="A94" s="0" t="s">
        <v>496</v>
      </c>
      <c r="B94" s="0" t="s">
        <v>64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0.474767805918737</v>
      </c>
      <c r="F94" s="10" t="n">
        <f aca="false">F91/F93</f>
        <v>0.440481369574516</v>
      </c>
      <c r="G94" s="10" t="n">
        <f aca="false">G91/G93</f>
        <v>0.235159650280358</v>
      </c>
    </row>
    <row r="95" customFormat="false" ht="17.15" hidden="false" customHeight="false" outlineLevel="0" collapsed="false">
      <c r="A95" s="4" t="s">
        <v>497</v>
      </c>
      <c r="B95" s="4" t="s">
        <v>228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882.152088359974</v>
      </c>
      <c r="F95" s="14" t="n">
        <f aca="false">opex_fix+opex_var*F93</f>
        <v>888.768783831134</v>
      </c>
      <c r="G95" s="14" t="n">
        <f aca="false">opex_fix+opex_var*G93</f>
        <v>786.866535795323</v>
      </c>
      <c r="I95" s="4" t="s">
        <v>498</v>
      </c>
    </row>
    <row r="96" customFormat="false" ht="17.15" hidden="false" customHeight="false" outlineLevel="0" collapsed="false">
      <c r="A96" s="4" t="s">
        <v>465</v>
      </c>
      <c r="B96" s="0" t="s">
        <v>64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499</v>
      </c>
    </row>
    <row r="97" customFormat="false" ht="15" hidden="false" customHeight="false" outlineLevel="0" collapsed="false">
      <c r="A97" s="4" t="s">
        <v>401</v>
      </c>
      <c r="B97" s="4" t="s">
        <v>228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4075.07742333798</v>
      </c>
      <c r="F97" s="14" t="n">
        <f aca="false">F93*F96</f>
        <v>4131.39201967566</v>
      </c>
      <c r="G97" s="14" t="n">
        <f aca="false">G93*G96</f>
        <v>3264.10350850709</v>
      </c>
    </row>
    <row r="98" customFormat="false" ht="15" hidden="false" customHeight="false" outlineLevel="0" collapsed="false">
      <c r="A98" s="4" t="s">
        <v>404</v>
      </c>
      <c r="B98" s="4" t="s">
        <v>228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3192.92533497801</v>
      </c>
      <c r="F98" s="14" t="n">
        <f aca="false">F97-F95</f>
        <v>3242.62323584452</v>
      </c>
      <c r="G98" s="14" t="n">
        <f aca="false">G97-G95</f>
        <v>2477.23697271177</v>
      </c>
    </row>
    <row r="99" customFormat="false" ht="15" hidden="false" customHeight="false" outlineLevel="0" collapsed="false">
      <c r="A99" s="4" t="s">
        <v>407</v>
      </c>
      <c r="B99" s="0" t="s">
        <v>64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0.466406760449181</v>
      </c>
      <c r="F99" s="10" t="n">
        <f aca="false">F98/F93</f>
        <v>0.467209884634255</v>
      </c>
      <c r="G99" s="10" t="n">
        <f aca="false">G98/G93</f>
        <v>0.451768108058895</v>
      </c>
    </row>
    <row r="100" customFormat="false" ht="15" hidden="false" customHeight="false" outlineLevel="0" collapsed="false">
      <c r="A100" s="4" t="s">
        <v>466</v>
      </c>
      <c r="B100" s="4" t="s">
        <v>228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2718.03182976767</v>
      </c>
      <c r="F100" s="14" t="n">
        <f aca="false">F98*nioi</f>
        <v>2760.33801054428</v>
      </c>
      <c r="G100" s="14" t="n">
        <f aca="false">G98*nioi</f>
        <v>2108.78997637264</v>
      </c>
    </row>
    <row r="101" customFormat="false" ht="15" hidden="false" customHeight="false" outlineLevel="0" collapsed="false">
      <c r="A101" s="0" t="s">
        <v>467</v>
      </c>
      <c r="B101" s="0" t="s">
        <v>304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2834.50076378154</v>
      </c>
      <c r="F101" s="14" t="n">
        <f aca="false">F100*100/shares</f>
        <v>2878.61978417368</v>
      </c>
      <c r="G101" s="14" t="n">
        <f aca="false">G100*100/shares</f>
        <v>2199.15261227609</v>
      </c>
    </row>
    <row r="102" customFormat="false" ht="17.15" hidden="false" customHeight="false" outlineLevel="0" collapsed="false">
      <c r="A102" s="4" t="s">
        <v>500</v>
      </c>
      <c r="B102" s="4" t="s">
        <v>228</v>
      </c>
      <c r="C102" s="14" t="n">
        <f aca="false">$C92*C83</f>
        <v>9132.68718116666</v>
      </c>
      <c r="D102" s="14" t="n">
        <f aca="false">$C92*D83</f>
        <v>10090.6072381743</v>
      </c>
      <c r="E102" s="14" t="n">
        <f aca="false">$C92*E83</f>
        <v>10156.7604469456</v>
      </c>
      <c r="F102" s="14" t="n">
        <f aca="false">$C92*F83</f>
        <v>9553.48957525448</v>
      </c>
      <c r="G102" s="14" t="n">
        <f aca="false">$C92*G83</f>
        <v>4029.6266614213</v>
      </c>
      <c r="I102" s="4" t="s">
        <v>501</v>
      </c>
    </row>
    <row r="103" customFormat="false" ht="15" hidden="false" customHeight="false" outlineLevel="0" collapsed="false">
      <c r="A103" s="4" t="s">
        <v>502</v>
      </c>
      <c r="B103" s="0" t="s">
        <v>335</v>
      </c>
      <c r="C103" s="14" t="n">
        <f aca="false">C102/fx*100</f>
        <v>643.146984589201</v>
      </c>
      <c r="D103" s="14" t="n">
        <f aca="false">D102/fx*100</f>
        <v>710.6061435334</v>
      </c>
      <c r="E103" s="14" t="n">
        <f aca="false">E102/fx*100</f>
        <v>715.26482020744</v>
      </c>
      <c r="F103" s="14" t="n">
        <f aca="false">F102/fx*100</f>
        <v>672.780956003836</v>
      </c>
      <c r="G103" s="14" t="n">
        <f aca="false">G102/fx*100</f>
        <v>283.776525452204</v>
      </c>
    </row>
    <row r="106" customFormat="false" ht="17.15" hidden="false" customHeight="false" outlineLevel="0" collapsed="false">
      <c r="A106" s="1" t="s">
        <v>505</v>
      </c>
    </row>
    <row r="107" customFormat="false" ht="15" hidden="false" customHeight="false" outlineLevel="0" collapsed="false">
      <c r="A107" s="5" t="s">
        <v>16</v>
      </c>
      <c r="B107" s="5" t="s">
        <v>17</v>
      </c>
      <c r="C107" s="13" t="s">
        <v>430</v>
      </c>
      <c r="D107" s="13" t="s">
        <v>431</v>
      </c>
      <c r="E107" s="13" t="s">
        <v>432</v>
      </c>
      <c r="F107" s="13" t="s">
        <v>433</v>
      </c>
      <c r="G107" s="13" t="s">
        <v>434</v>
      </c>
      <c r="H107" s="13" t="s">
        <v>435</v>
      </c>
      <c r="I107" s="5" t="s">
        <v>436</v>
      </c>
    </row>
    <row r="108" customFormat="false" ht="17.15" hidden="false" customHeight="false" outlineLevel="0" collapsed="false">
      <c r="A108" s="6" t="s">
        <v>470</v>
      </c>
    </row>
    <row r="109" customFormat="false" ht="17.15" hidden="false" customHeight="false" outlineLevel="0" collapsed="false">
      <c r="A109" s="0" t="s">
        <v>471</v>
      </c>
      <c r="B109" s="0" t="s">
        <v>27</v>
      </c>
      <c r="C109" s="19" t="n">
        <f aca="false">hsC_25</f>
        <v>2.22511470588235</v>
      </c>
      <c r="D109" s="19" t="n">
        <f aca="false">hsC_26</f>
        <v>3.782695</v>
      </c>
      <c r="E109" s="19" t="n">
        <f aca="false">hsC_27</f>
        <v>5.86317725</v>
      </c>
      <c r="F109" s="19" t="n">
        <f aca="false">hsC_28</f>
        <v>6.16722</v>
      </c>
      <c r="G109" s="19" t="n">
        <f aca="false">hsC_29</f>
        <v>8.017386</v>
      </c>
      <c r="H109" s="19" t="n">
        <f aca="false">G109*(1+g_tail)</f>
        <v>8.8191246</v>
      </c>
      <c r="I109" s="8" t="s">
        <v>472</v>
      </c>
    </row>
    <row r="110" customFormat="false" ht="17.15" hidden="false" customHeight="false" outlineLevel="0" collapsed="false">
      <c r="A110" s="0" t="s">
        <v>473</v>
      </c>
      <c r="B110" s="0" t="s">
        <v>474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475</v>
      </c>
      <c r="B111" s="4" t="s">
        <v>440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476</v>
      </c>
    </row>
    <row r="112" customFormat="false" ht="15" hidden="false" customHeight="false" outlineLevel="0" collapsed="false">
      <c r="A112" s="4" t="s">
        <v>477</v>
      </c>
      <c r="B112" s="4" t="s">
        <v>91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478</v>
      </c>
      <c r="B113" s="0" t="s">
        <v>111</v>
      </c>
      <c r="C113" s="20" t="n">
        <f aca="false">1+beta*(C112-$C112)/4</f>
        <v>1</v>
      </c>
      <c r="D113" s="20" t="n">
        <f aca="false">1+beta*(D112-$C112)/4</f>
        <v>1.05</v>
      </c>
      <c r="E113" s="20" t="n">
        <f aca="false">1+beta*(E112-$C112)/4</f>
        <v>1.0625</v>
      </c>
      <c r="F113" s="20" t="n">
        <f aca="false">1+beta*(F112-$C112)/4</f>
        <v>1.1</v>
      </c>
      <c r="G113" s="20" t="n">
        <f aca="false">1+beta*(G112-$C112)/4</f>
        <v>1.125</v>
      </c>
      <c r="H113" s="20" t="n">
        <f aca="false">1+beta*(H112-$C112)/4</f>
        <v>1.15</v>
      </c>
    </row>
    <row r="114" customFormat="false" ht="17.15" hidden="false" customHeight="false" outlineLevel="0" collapsed="false">
      <c r="A114" s="4" t="s">
        <v>479</v>
      </c>
      <c r="B114" s="0" t="s">
        <v>64</v>
      </c>
      <c r="C114" s="10" t="n">
        <f aca="false">hbp_25_hi</f>
        <v>0</v>
      </c>
      <c r="D114" s="10" t="n">
        <f aca="false">hbp_26_hi</f>
        <v>0</v>
      </c>
      <c r="E114" s="10" t="n">
        <f aca="false">hbp_27_hi</f>
        <v>0.05</v>
      </c>
      <c r="F114" s="10" t="n">
        <f aca="false">hbp_28_hi</f>
        <v>0.15</v>
      </c>
      <c r="G114" s="10" t="n">
        <f aca="false">hbp_29_hi</f>
        <v>0.3</v>
      </c>
      <c r="H114" s="10" t="n">
        <f aca="false">hbp_30_hi</f>
        <v>0.4</v>
      </c>
      <c r="I114" s="4" t="s">
        <v>506</v>
      </c>
    </row>
    <row r="115" customFormat="false" ht="17.15" hidden="false" customHeight="false" outlineLevel="0" collapsed="false">
      <c r="A115" s="0" t="s">
        <v>481</v>
      </c>
      <c r="B115" s="4" t="s">
        <v>442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1820.96754975962</v>
      </c>
      <c r="F115" s="14" t="n">
        <f aca="false">F111*F113*(1-F114)</f>
        <v>1647.52877142857</v>
      </c>
      <c r="G115" s="14" t="n">
        <f aca="false">G111*G113*(1-G114)</f>
        <v>1683.65106</v>
      </c>
      <c r="H115" s="14" t="n">
        <f aca="false">H111*H113*(1-H114)</f>
        <v>1521.2989935</v>
      </c>
    </row>
    <row r="116" customFormat="false" ht="17.15" hidden="false" customHeight="false" outlineLevel="0" collapsed="false">
      <c r="A116" s="4" t="s">
        <v>482</v>
      </c>
      <c r="B116" s="4" t="s">
        <v>442</v>
      </c>
      <c r="C116" s="14" t="n">
        <f aca="false">MAX(0,D115-C115)+dlt*C115</f>
        <v>656.408838235295</v>
      </c>
      <c r="D116" s="14" t="n">
        <f aca="false">MAX(0,E115-D115)+dlt*D115</f>
        <v>629.418624759615</v>
      </c>
      <c r="E116" s="14" t="n">
        <f aca="false">MAX(0,F115-E115)+dlt*E115</f>
        <v>182.096754975962</v>
      </c>
      <c r="F116" s="14" t="n">
        <f aca="false">MAX(0,G115-F115)+dlt*F115</f>
        <v>200.875165714285</v>
      </c>
      <c r="G116" s="14" t="n">
        <f aca="false">MAX(0,H115-G115)+dlt*G115</f>
        <v>168.365106</v>
      </c>
      <c r="I116" s="4" t="s">
        <v>483</v>
      </c>
    </row>
    <row r="117" customFormat="false" ht="17.15" hidden="false" customHeight="false" outlineLevel="0" collapsed="false">
      <c r="A117" s="0" t="s">
        <v>484</v>
      </c>
      <c r="B117" s="0" t="s">
        <v>64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485</v>
      </c>
      <c r="B118" s="0" t="s">
        <v>64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486</v>
      </c>
      <c r="B119" s="0" t="s">
        <v>64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487</v>
      </c>
      <c r="B120" s="0" t="s">
        <v>64</v>
      </c>
      <c r="C120" s="10" t="n">
        <f aca="false">C117*hsk_25+C118*hss+C119*hmu_25</f>
        <v>0.412</v>
      </c>
      <c r="D120" s="10" t="n">
        <f aca="false">D117*hsk_C+D118*hss+D119*hmu_C</f>
        <v>0.257</v>
      </c>
      <c r="E120" s="10" t="n">
        <f aca="false">E117*hsk_C+E118*hss+E119*hmu_C</f>
        <v>0.25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488</v>
      </c>
      <c r="B121" s="4" t="s">
        <v>442</v>
      </c>
      <c r="C121" s="14" t="n">
        <f aca="false">C116*C120</f>
        <v>270.440441352942</v>
      </c>
      <c r="D121" s="14" t="n">
        <f aca="false">D116*D120</f>
        <v>161.760586563221</v>
      </c>
      <c r="E121" s="14" t="n">
        <f aca="false">E116*E120</f>
        <v>45.5241887439904</v>
      </c>
      <c r="F121" s="14" t="n">
        <f aca="false">F116*F120</f>
        <v>50.2187914285714</v>
      </c>
      <c r="G121" s="14" t="n">
        <f aca="false">G116*G120</f>
        <v>42.0912765</v>
      </c>
    </row>
    <row r="122" customFormat="false" ht="17.15" hidden="false" customHeight="false" outlineLevel="0" collapsed="false">
      <c r="A122" s="6" t="s">
        <v>489</v>
      </c>
    </row>
    <row r="123" customFormat="false" ht="17.15" hidden="false" customHeight="false" outlineLevel="0" collapsed="false">
      <c r="A123" s="4" t="s">
        <v>490</v>
      </c>
      <c r="B123" s="4" t="s">
        <v>228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D123*(1+g_o_C)</f>
        <v>3162.824645</v>
      </c>
      <c r="F123" s="14" t="n">
        <f aca="false">E123*(1+g_o_C)</f>
        <v>3004.68341275</v>
      </c>
      <c r="G123" s="14" t="n">
        <f aca="false">F123*(1+g_o_C)</f>
        <v>2854.4492421125</v>
      </c>
    </row>
    <row r="124" customFormat="false" ht="17.15" hidden="false" customHeight="false" outlineLevel="0" collapsed="false">
      <c r="A124" s="0" t="s">
        <v>491</v>
      </c>
      <c r="B124" s="4" t="s">
        <v>228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746.004739334158</v>
      </c>
      <c r="F124" s="14" t="n">
        <f aca="false">$C125*F121</f>
        <v>822.935178922729</v>
      </c>
      <c r="G124" s="14" t="n">
        <f aca="false">$C125*G121</f>
        <v>689.749617070762</v>
      </c>
      <c r="I124" s="8" t="s">
        <v>492</v>
      </c>
    </row>
    <row r="125" customFormat="false" ht="17.15" hidden="false" customHeight="false" outlineLevel="0" collapsed="false">
      <c r="A125" s="4" t="s">
        <v>493</v>
      </c>
      <c r="B125" s="4" t="s">
        <v>494</v>
      </c>
      <c r="C125" s="20" t="n">
        <f aca="false">(C124+D124)/(C121+D121)</f>
        <v>16.3869968892666</v>
      </c>
      <c r="I125" s="4" t="s">
        <v>495</v>
      </c>
    </row>
    <row r="126" customFormat="false" ht="15" hidden="false" customHeight="false" outlineLevel="0" collapsed="false">
      <c r="A126" s="4" t="s">
        <v>396</v>
      </c>
      <c r="B126" s="4" t="s">
        <v>228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3908.82938433416</v>
      </c>
      <c r="F126" s="14" t="n">
        <f aca="false">F123+F124</f>
        <v>3827.61859167273</v>
      </c>
      <c r="G126" s="14" t="n">
        <f aca="false">G123+G124</f>
        <v>3544.19885918326</v>
      </c>
    </row>
    <row r="127" customFormat="false" ht="17.15" hidden="false" customHeight="false" outlineLevel="0" collapsed="false">
      <c r="A127" s="0" t="s">
        <v>496</v>
      </c>
      <c r="B127" s="0" t="s">
        <v>64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0.190851189955745</v>
      </c>
      <c r="F127" s="10" t="n">
        <f aca="false">F124/F126</f>
        <v>0.214999263697038</v>
      </c>
      <c r="G127" s="10" t="n">
        <f aca="false">G124/G126</f>
        <v>0.194613689715399</v>
      </c>
    </row>
    <row r="128" customFormat="false" ht="17.15" hidden="false" customHeight="false" outlineLevel="0" collapsed="false">
      <c r="A128" s="4" t="s">
        <v>497</v>
      </c>
      <c r="B128" s="4" t="s">
        <v>228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676.737607451219</v>
      </c>
      <c r="F128" s="14" t="n">
        <f aca="false">opex_fix+opex_var*F126</f>
        <v>671.057639838945</v>
      </c>
      <c r="G128" s="14" t="n">
        <f aca="false">opex_fix+opex_var*G126</f>
        <v>651.234967895191</v>
      </c>
      <c r="I128" s="4" t="s">
        <v>498</v>
      </c>
    </row>
    <row r="129" customFormat="false" ht="17.15" hidden="false" customHeight="false" outlineLevel="0" collapsed="false">
      <c r="A129" s="4" t="s">
        <v>465</v>
      </c>
      <c r="B129" s="0" t="s">
        <v>64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499</v>
      </c>
    </row>
    <row r="130" customFormat="false" ht="15" hidden="false" customHeight="false" outlineLevel="0" collapsed="false">
      <c r="A130" s="4" t="s">
        <v>401</v>
      </c>
      <c r="B130" s="4" t="s">
        <v>228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2326.79784409642</v>
      </c>
      <c r="F130" s="14" t="n">
        <f aca="false">F126*F129</f>
        <v>2163.62716682593</v>
      </c>
      <c r="G130" s="14" t="n">
        <f aca="false">G126*G129</f>
        <v>1932.53531674635</v>
      </c>
    </row>
    <row r="131" customFormat="false" ht="15" hidden="false" customHeight="false" outlineLevel="0" collapsed="false">
      <c r="A131" s="4" t="s">
        <v>404</v>
      </c>
      <c r="B131" s="4" t="s">
        <v>228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1650.0602366452</v>
      </c>
      <c r="F131" s="14" t="n">
        <f aca="false">F130-F128</f>
        <v>1492.56952698699</v>
      </c>
      <c r="G131" s="14" t="n">
        <f aca="false">G130-G128</f>
        <v>1281.30034885116</v>
      </c>
    </row>
    <row r="132" customFormat="false" ht="15" hidden="false" customHeight="false" outlineLevel="0" collapsed="false">
      <c r="A132" s="4" t="s">
        <v>407</v>
      </c>
      <c r="B132" s="0" t="s">
        <v>64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0.422136674283694</v>
      </c>
      <c r="F132" s="10" t="n">
        <f aca="false">F131/F126</f>
        <v>0.389947297840538</v>
      </c>
      <c r="G132" s="10" t="n">
        <f aca="false">G131/G126</f>
        <v>0.361520445031243</v>
      </c>
    </row>
    <row r="133" customFormat="false" ht="15" hidden="false" customHeight="false" outlineLevel="0" collapsed="false">
      <c r="A133" s="4" t="s">
        <v>466</v>
      </c>
      <c r="B133" s="4" t="s">
        <v>228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1404.64175441375</v>
      </c>
      <c r="F133" s="14" t="n">
        <f aca="false">F131*nioi</f>
        <v>1270.57511744785</v>
      </c>
      <c r="G133" s="14" t="n">
        <f aca="false">G131*nioi</f>
        <v>1090.7286473374</v>
      </c>
    </row>
    <row r="134" customFormat="false" ht="15" hidden="false" customHeight="false" outlineLevel="0" collapsed="false">
      <c r="A134" s="0" t="s">
        <v>467</v>
      </c>
      <c r="B134" s="0" t="s">
        <v>304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1464.83130996503</v>
      </c>
      <c r="F134" s="14" t="n">
        <f aca="false">F133*100/shares</f>
        <v>1325.01985495718</v>
      </c>
      <c r="G134" s="14" t="n">
        <f aca="false">G133*100/shares</f>
        <v>1137.46687956209</v>
      </c>
    </row>
    <row r="135" customFormat="false" ht="17.15" hidden="false" customHeight="false" outlineLevel="0" collapsed="false">
      <c r="A135" s="4" t="s">
        <v>500</v>
      </c>
      <c r="B135" s="4" t="s">
        <v>228</v>
      </c>
      <c r="C135" s="14" t="n">
        <f aca="false">$C125*C116</f>
        <v>10756.5695902489</v>
      </c>
      <c r="D135" s="14" t="n">
        <f aca="false">$C125*D116</f>
        <v>10314.2810459823</v>
      </c>
      <c r="E135" s="14" t="n">
        <f aca="false">$C125*E116</f>
        <v>2984.01895733663</v>
      </c>
      <c r="F135" s="14" t="n">
        <f aca="false">$C125*F116</f>
        <v>3291.74071569092</v>
      </c>
      <c r="G135" s="14" t="n">
        <f aca="false">$C125*G116</f>
        <v>2758.99846828305</v>
      </c>
      <c r="I135" s="4" t="s">
        <v>501</v>
      </c>
    </row>
    <row r="136" customFormat="false" ht="15" hidden="false" customHeight="false" outlineLevel="0" collapsed="false">
      <c r="A136" s="4" t="s">
        <v>502</v>
      </c>
      <c r="B136" s="0" t="s">
        <v>335</v>
      </c>
      <c r="C136" s="14" t="n">
        <f aca="false">C135/fx*100</f>
        <v>757.504900721754</v>
      </c>
      <c r="D136" s="14" t="n">
        <f aca="false">D135/fx*100</f>
        <v>726.357820139599</v>
      </c>
      <c r="E136" s="14" t="n">
        <f aca="false">E135/fx*100</f>
        <v>210.142180094129</v>
      </c>
      <c r="F136" s="14" t="n">
        <f aca="false">F135/fx*100</f>
        <v>231.812726457107</v>
      </c>
      <c r="G136" s="14" t="n">
        <f aca="false">G135/fx*100</f>
        <v>194.295666780496</v>
      </c>
    </row>
    <row r="139" customFormat="false" ht="17.15" hidden="false" customHeight="false" outlineLevel="0" collapsed="false">
      <c r="A139" s="1" t="s">
        <v>507</v>
      </c>
    </row>
    <row r="140" customFormat="false" ht="17.15" hidden="false" customHeight="false" outlineLevel="0" collapsed="false">
      <c r="A140" s="4" t="s">
        <v>508</v>
      </c>
    </row>
    <row r="141" customFormat="false" ht="17.15" hidden="false" customHeight="false" outlineLevel="0" collapsed="false">
      <c r="A141" s="5" t="s">
        <v>509</v>
      </c>
      <c r="B141" s="5" t="s">
        <v>17</v>
      </c>
      <c r="C141" s="13" t="s">
        <v>457</v>
      </c>
      <c r="D141" s="13" t="s">
        <v>458</v>
      </c>
      <c r="E141" s="13" t="s">
        <v>459</v>
      </c>
      <c r="F141" s="13" t="s">
        <v>460</v>
      </c>
      <c r="G141" s="13" t="s">
        <v>461</v>
      </c>
      <c r="H141" s="13" t="s">
        <v>510</v>
      </c>
      <c r="I141" s="13" t="s">
        <v>511</v>
      </c>
      <c r="J141" s="13" t="s">
        <v>512</v>
      </c>
      <c r="K141" s="5" t="s">
        <v>436</v>
      </c>
    </row>
    <row r="142" customFormat="false" ht="17.15" hidden="false" customHeight="false" outlineLevel="0" collapsed="false">
      <c r="A142" s="1" t="s">
        <v>513</v>
      </c>
    </row>
    <row r="143" customFormat="false" ht="17.15" hidden="false" customHeight="false" outlineLevel="0" collapsed="false">
      <c r="A143" s="4" t="s">
        <v>396</v>
      </c>
      <c r="B143" s="4" t="s">
        <v>228</v>
      </c>
      <c r="C143" s="14" t="n">
        <f aca="false">C5</f>
        <v>5767</v>
      </c>
      <c r="D143" s="14" t="n">
        <f aca="false">D5</f>
        <v>7539.8</v>
      </c>
      <c r="E143" s="14" t="n">
        <f aca="false">E5</f>
        <v>8014.83638733926</v>
      </c>
      <c r="F143" s="14" t="n">
        <f aca="false">F5</f>
        <v>8876.96904805627</v>
      </c>
      <c r="G143" s="14" t="n">
        <f aca="false">G5</f>
        <v>7080.33959404641</v>
      </c>
      <c r="H143" s="21" t="n">
        <f aca="false">G143*(1+H144)</f>
        <v>6266.60929656788</v>
      </c>
      <c r="I143" s="21" t="n">
        <f aca="false">H143*(1+I144)</f>
        <v>6094.50268364831</v>
      </c>
      <c r="J143" s="21" t="n">
        <f aca="false">I143*(1+J144)</f>
        <v>6460.17284466721</v>
      </c>
      <c r="K143" s="8" t="s">
        <v>514</v>
      </c>
    </row>
    <row r="144" customFormat="false" ht="15" hidden="false" customHeight="false" outlineLevel="0" collapsed="false">
      <c r="A144" s="4" t="s">
        <v>515</v>
      </c>
      <c r="B144" s="0" t="s">
        <v>64</v>
      </c>
      <c r="D144" s="10" t="n">
        <f aca="false">D143/C143-1</f>
        <v>0.307404196289232</v>
      </c>
      <c r="E144" s="10" t="n">
        <f aca="false">E143/D143-1</f>
        <v>0.0630038445766814</v>
      </c>
      <c r="F144" s="10" t="n">
        <f aca="false">F143/E143-1</f>
        <v>0.107567094205302</v>
      </c>
      <c r="G144" s="10" t="n">
        <f aca="false">G143/F143-1</f>
        <v>-0.202392217916234</v>
      </c>
      <c r="H144" s="22" t="n">
        <f aca="false">$G144+((tp_g+0.02)-$G144)*1/3</f>
        <v>-0.114928145277489</v>
      </c>
      <c r="I144" s="22" t="n">
        <f aca="false">$G144+((tp_g+0.02)-$G144)*2/3</f>
        <v>-0.0274640726387445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516</v>
      </c>
      <c r="B145" s="0" t="s">
        <v>64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0.404352414241569</v>
      </c>
      <c r="F145" s="10" t="n">
        <f aca="false">F146/F143</f>
        <v>0.408513077501313</v>
      </c>
      <c r="G145" s="10" t="n">
        <f aca="false">G146/G143</f>
        <v>0.398698139557394</v>
      </c>
      <c r="H145" s="22" t="n">
        <f aca="false">$G145+($G145-$G145)*1/3</f>
        <v>0.398698139557394</v>
      </c>
      <c r="I145" s="22" t="n">
        <f aca="false">$G145+($G145-$G145)*2/3</f>
        <v>0.398698139557394</v>
      </c>
      <c r="J145" s="22" t="n">
        <f aca="false">$G145+($G145-$G145)*3/3</f>
        <v>0.398698139557394</v>
      </c>
    </row>
    <row r="146" customFormat="false" ht="15" hidden="false" customHeight="false" outlineLevel="0" collapsed="false">
      <c r="A146" s="4" t="s">
        <v>517</v>
      </c>
      <c r="B146" s="4" t="s">
        <v>228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3240.81844297181</v>
      </c>
      <c r="F146" s="14" t="n">
        <f aca="false">F11</f>
        <v>3626.35794470537</v>
      </c>
      <c r="G146" s="14" t="n">
        <f aca="false">G11</f>
        <v>2822.91822358086</v>
      </c>
      <c r="H146" s="21" t="n">
        <f aca="false">H143*H145</f>
        <v>2498.48546787469</v>
      </c>
      <c r="I146" s="21" t="n">
        <f aca="false">I143*I145</f>
        <v>2429.86688149813</v>
      </c>
      <c r="J146" s="21" t="n">
        <f aca="false">J143*J145</f>
        <v>2575.65889438802</v>
      </c>
    </row>
    <row r="147" customFormat="false" ht="17.15" hidden="false" customHeight="false" outlineLevel="0" collapsed="false">
      <c r="A147" s="0" t="s">
        <v>518</v>
      </c>
      <c r="B147" s="0" t="s">
        <v>304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3379.68902765429</v>
      </c>
      <c r="F147" s="14" t="n">
        <f aca="false">F12</f>
        <v>3781.74907719578</v>
      </c>
      <c r="G147" s="14" t="n">
        <f aca="false">G12</f>
        <v>2943.88158858196</v>
      </c>
      <c r="H147" s="21" t="n">
        <f aca="false">$G147*H146/$G146</f>
        <v>2605.54673768969</v>
      </c>
      <c r="I147" s="21" t="n">
        <f aca="false">$G147*I146/$G146</f>
        <v>2533.98781282214</v>
      </c>
      <c r="J147" s="21" t="n">
        <f aca="false">$G147*J146/$G146</f>
        <v>2686.02708159146</v>
      </c>
    </row>
    <row r="149" customFormat="false" ht="17.15" hidden="false" customHeight="false" outlineLevel="0" collapsed="false">
      <c r="A149" s="1" t="s">
        <v>519</v>
      </c>
    </row>
    <row r="150" customFormat="false" ht="17.15" hidden="false" customHeight="false" outlineLevel="0" collapsed="false">
      <c r="A150" s="4" t="s">
        <v>396</v>
      </c>
      <c r="B150" s="4" t="s">
        <v>228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6845.79557102261</v>
      </c>
      <c r="F150" s="14" t="n">
        <f aca="false">F15</f>
        <v>6940.39947032143</v>
      </c>
      <c r="G150" s="14" t="n">
        <f aca="false">G15</f>
        <v>5483.42596239402</v>
      </c>
      <c r="H150" s="21" t="n">
        <f aca="false">G150*(1+H151)</f>
        <v>4789.12749942136</v>
      </c>
      <c r="I150" s="21" t="n">
        <f aca="false">H150*(1+I151)</f>
        <v>4581.71603488018</v>
      </c>
      <c r="J150" s="21" t="n">
        <f aca="false">I150*(1+J151)</f>
        <v>4764.98467627538</v>
      </c>
      <c r="K150" s="8" t="s">
        <v>514</v>
      </c>
    </row>
    <row r="151" customFormat="false" ht="15" hidden="false" customHeight="false" outlineLevel="0" collapsed="false">
      <c r="A151" s="4" t="s">
        <v>515</v>
      </c>
      <c r="B151" s="0" t="s">
        <v>64</v>
      </c>
      <c r="D151" s="10" t="n">
        <f aca="false">D150/C150-1</f>
        <v>0.307404196289232</v>
      </c>
      <c r="E151" s="10" t="n">
        <f aca="false">E150/D150-1</f>
        <v>-0.0920454692402177</v>
      </c>
      <c r="F151" s="10" t="n">
        <f aca="false">F150/E150-1</f>
        <v>0.0138192702831024</v>
      </c>
      <c r="G151" s="10" t="n">
        <f aca="false">G150/F150-1</f>
        <v>-0.209926462325077</v>
      </c>
      <c r="H151" s="22" t="n">
        <f aca="false">$G151+((tp_g)-$G151)*1/3</f>
        <v>-0.126617641550051</v>
      </c>
      <c r="I151" s="22" t="n">
        <f aca="false">$G151+((tp_g)-$G151)*2/3</f>
        <v>-0.0433088207750257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516</v>
      </c>
      <c r="B152" s="0" t="s">
        <v>64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0.397036663097676</v>
      </c>
      <c r="F152" s="10" t="n">
        <f aca="false">F153/F150</f>
        <v>0.397720336177774</v>
      </c>
      <c r="G152" s="10" t="n">
        <f aca="false">G153/G150</f>
        <v>0.384575262041463</v>
      </c>
      <c r="H152" s="22" t="n">
        <f aca="false">$G152+(($G152+0.8*$G152)/2-$G152)*1/3</f>
        <v>0.371756086640081</v>
      </c>
      <c r="I152" s="22" t="n">
        <f aca="false">$G152+(($G152+0.8*$G152)/2-$G152)*2/3</f>
        <v>0.358936911238699</v>
      </c>
      <c r="J152" s="22" t="n">
        <f aca="false">$G152+(($G152+0.8*$G152)/2-$G152)*3/3</f>
        <v>0.346117735837317</v>
      </c>
    </row>
    <row r="153" customFormat="false" ht="15" hidden="false" customHeight="false" outlineLevel="0" collapsed="false">
      <c r="A153" s="4" t="s">
        <v>517</v>
      </c>
      <c r="B153" s="4" t="s">
        <v>228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2718.03182976767</v>
      </c>
      <c r="F153" s="14" t="n">
        <f aca="false">F21</f>
        <v>2760.33801054428</v>
      </c>
      <c r="G153" s="14" t="n">
        <f aca="false">G21</f>
        <v>2108.78997637264</v>
      </c>
      <c r="H153" s="21" t="n">
        <f aca="false">H150*H152</f>
        <v>1780.38729760528</v>
      </c>
      <c r="I153" s="21" t="n">
        <f aca="false">I150*I152</f>
        <v>1644.54700173271</v>
      </c>
      <c r="J153" s="21" t="n">
        <f aca="false">J150*J152</f>
        <v>1649.24570745195</v>
      </c>
    </row>
    <row r="154" customFormat="false" ht="17.15" hidden="false" customHeight="false" outlineLevel="0" collapsed="false">
      <c r="A154" s="0" t="s">
        <v>518</v>
      </c>
      <c r="B154" s="0" t="s">
        <v>304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2834.50076378154</v>
      </c>
      <c r="F154" s="14" t="n">
        <f aca="false">F22</f>
        <v>2878.61978417368</v>
      </c>
      <c r="G154" s="14" t="n">
        <f aca="false">G22</f>
        <v>2199.15261227609</v>
      </c>
      <c r="H154" s="21" t="n">
        <f aca="false">$G154*H153/$G153</f>
        <v>1856.67772526435</v>
      </c>
      <c r="I154" s="21" t="n">
        <f aca="false">$G154*I153/$G153</f>
        <v>1715.01660923686</v>
      </c>
      <c r="J154" s="21" t="n">
        <f aca="false">$G154*J153/$G153</f>
        <v>1719.91665669183</v>
      </c>
    </row>
    <row r="156" customFormat="false" ht="17.15" hidden="false" customHeight="false" outlineLevel="0" collapsed="false">
      <c r="A156" s="1" t="s">
        <v>520</v>
      </c>
    </row>
    <row r="157" customFormat="false" ht="17.15" hidden="false" customHeight="false" outlineLevel="0" collapsed="false">
      <c r="A157" s="4" t="s">
        <v>396</v>
      </c>
      <c r="B157" s="4" t="s">
        <v>228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3908.82938433416</v>
      </c>
      <c r="F157" s="14" t="n">
        <f aca="false">F25</f>
        <v>3827.61859167273</v>
      </c>
      <c r="G157" s="14" t="n">
        <f aca="false">G25</f>
        <v>3544.19885918326</v>
      </c>
      <c r="H157" s="21" t="n">
        <f aca="false">G157*(1+H158)</f>
        <v>3392.87108931099</v>
      </c>
      <c r="I157" s="21" t="n">
        <f aca="false">H157*(1+I158)</f>
        <v>3354.36655988531</v>
      </c>
      <c r="J157" s="21" t="n">
        <f aca="false">I157*(1+J158)</f>
        <v>3421.45389108302</v>
      </c>
      <c r="K157" s="8" t="s">
        <v>514</v>
      </c>
    </row>
    <row r="158" customFormat="false" ht="15" hidden="false" customHeight="false" outlineLevel="0" collapsed="false">
      <c r="A158" s="4" t="s">
        <v>515</v>
      </c>
      <c r="B158" s="0" t="s">
        <v>64</v>
      </c>
      <c r="D158" s="10" t="n">
        <f aca="false">D157/C157-1</f>
        <v>0.307404196289232</v>
      </c>
      <c r="E158" s="10" t="n">
        <f aca="false">E157/D157-1</f>
        <v>-0.481573863453386</v>
      </c>
      <c r="F158" s="10" t="n">
        <f aca="false">F157/E157-1</f>
        <v>-0.0207762439023064</v>
      </c>
      <c r="G158" s="10" t="n">
        <f aca="false">G157/F157-1</f>
        <v>-0.0740459702819053</v>
      </c>
      <c r="H158" s="22" t="n">
        <f aca="false">$G158+((tp_g-0.02)-$G158)*1/3</f>
        <v>-0.0426973135212702</v>
      </c>
      <c r="I158" s="22" t="n">
        <f aca="false">$G158+((tp_g-0.02)-$G158)*2/3</f>
        <v>-0.0113486567606351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516</v>
      </c>
      <c r="B159" s="0" t="s">
        <v>64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0.359351001617847</v>
      </c>
      <c r="F159" s="10" t="n">
        <f aca="false">F160/F157</f>
        <v>0.331949249126358</v>
      </c>
      <c r="G159" s="10" t="n">
        <f aca="false">G160/G157</f>
        <v>0.307750408674514</v>
      </c>
      <c r="H159" s="22" t="n">
        <f aca="false">$G159+(0.8*$G159-$G159)*1/3</f>
        <v>0.28723371476288</v>
      </c>
      <c r="I159" s="22" t="n">
        <f aca="false">$G159+(0.8*$G159-$G159)*2/3</f>
        <v>0.266717020851245</v>
      </c>
      <c r="J159" s="22" t="n">
        <f aca="false">$G159+(0.8*$G159-$G159)*3/3</f>
        <v>0.246200326939611</v>
      </c>
    </row>
    <row r="160" customFormat="false" ht="15" hidden="false" customHeight="false" outlineLevel="0" collapsed="false">
      <c r="A160" s="4" t="s">
        <v>517</v>
      </c>
      <c r="B160" s="4" t="s">
        <v>228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1404.64175441375</v>
      </c>
      <c r="F160" s="14" t="n">
        <f aca="false">F31</f>
        <v>1270.57511744785</v>
      </c>
      <c r="G160" s="14" t="n">
        <f aca="false">G31</f>
        <v>1090.7286473374</v>
      </c>
      <c r="H160" s="21" t="n">
        <f aca="false">H157*H159</f>
        <v>974.546966694373</v>
      </c>
      <c r="I160" s="21" t="n">
        <f aca="false">I157*I159</f>
        <v>894.666655695652</v>
      </c>
      <c r="J160" s="21" t="n">
        <f aca="false">J157*J159</f>
        <v>842.363066593444</v>
      </c>
    </row>
    <row r="161" customFormat="false" ht="17.15" hidden="false" customHeight="false" outlineLevel="0" collapsed="false">
      <c r="A161" s="0" t="s">
        <v>518</v>
      </c>
      <c r="B161" s="0" t="s">
        <v>304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1464.83130996503</v>
      </c>
      <c r="F161" s="14" t="n">
        <f aca="false">F32</f>
        <v>1325.01985495718</v>
      </c>
      <c r="G161" s="14" t="n">
        <f aca="false">G32</f>
        <v>1137.46687956209</v>
      </c>
      <c r="H161" s="21" t="n">
        <f aca="false">$G161*H160/$G160</f>
        <v>1016.30675961301</v>
      </c>
      <c r="I161" s="21" t="n">
        <f aca="false">$G161*I160/$G160</f>
        <v>933.003539960741</v>
      </c>
      <c r="J161" s="21" t="n">
        <f aca="false">$G161*J160/$G160</f>
        <v>878.458717624574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521</v>
      </c>
    </row>
    <row r="2" customFormat="false" ht="17.15" hidden="false" customHeight="false" outlineLevel="0" collapsed="false">
      <c r="A2" s="0" t="s">
        <v>522</v>
      </c>
    </row>
    <row r="3" customFormat="false" ht="17.15" hidden="false" customHeight="false" outlineLevel="0" collapsed="false">
      <c r="A3" s="4" t="s">
        <v>523</v>
      </c>
    </row>
    <row r="4" customFormat="false" ht="15" hidden="false" customHeight="false" outlineLevel="0" collapsed="false">
      <c r="A4" s="1" t="s">
        <v>524</v>
      </c>
    </row>
    <row r="5" customFormat="false" ht="15" hidden="false" customHeight="false" outlineLevel="0" collapsed="false">
      <c r="A5" s="5" t="s">
        <v>16</v>
      </c>
      <c r="B5" s="5" t="s">
        <v>525</v>
      </c>
      <c r="C5" s="5"/>
      <c r="D5" s="5"/>
      <c r="E5" s="5" t="s">
        <v>436</v>
      </c>
    </row>
    <row r="6" customFormat="false" ht="17.15" hidden="false" customHeight="false" outlineLevel="0" collapsed="false">
      <c r="A6" s="23" t="s">
        <v>526</v>
      </c>
      <c r="B6" s="24" t="n">
        <f aca="false">tp_wA*B8+tp_wB*B9+tp_wC*B10</f>
        <v>57464.4298285149</v>
      </c>
      <c r="C6" s="23"/>
      <c r="D6" s="23"/>
      <c r="E6" s="23" t="s">
        <v>527</v>
      </c>
    </row>
    <row r="7" customFormat="false" ht="17.15" hidden="false" customHeight="false" outlineLevel="0" collapsed="false">
      <c r="A7" s="4" t="s">
        <v>528</v>
      </c>
      <c r="B7" s="10" t="n">
        <f aca="false">B6/px-1</f>
        <v>-0.695148913376579</v>
      </c>
      <c r="E7" s="4" t="s">
        <v>529</v>
      </c>
    </row>
    <row r="8" customFormat="false" ht="17.15" hidden="false" customHeight="false" outlineLevel="0" collapsed="false">
      <c r="A8" s="4" t="s">
        <v>530</v>
      </c>
      <c r="B8" s="14" t="n">
        <f aca="false">F44</f>
        <v>72899.892326503</v>
      </c>
      <c r="E8" s="8" t="s">
        <v>531</v>
      </c>
    </row>
    <row r="9" customFormat="false" ht="17.15" hidden="false" customHeight="false" outlineLevel="0" collapsed="false">
      <c r="A9" s="4" t="s">
        <v>532</v>
      </c>
      <c r="B9" s="14" t="n">
        <f aca="false">F51</f>
        <v>61140.1814747679</v>
      </c>
      <c r="E9" s="8" t="s">
        <v>533</v>
      </c>
    </row>
    <row r="10" customFormat="false" ht="17.15" hidden="false" customHeight="false" outlineLevel="0" collapsed="false">
      <c r="A10" s="4" t="s">
        <v>534</v>
      </c>
      <c r="B10" s="14" t="n">
        <f aca="false">F58</f>
        <v>25121.8569659003</v>
      </c>
      <c r="E10" s="8" t="s">
        <v>535</v>
      </c>
    </row>
    <row r="11" customFormat="false" ht="17.15" hidden="false" customHeight="false" outlineLevel="0" collapsed="false">
      <c r="A11" s="4" t="s">
        <v>536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537</v>
      </c>
    </row>
    <row r="12" customFormat="false" ht="17.15" hidden="false" customHeight="false" outlineLevel="0" collapsed="false">
      <c r="A12" s="4" t="s">
        <v>538</v>
      </c>
      <c r="B12" s="0" t="s">
        <v>539</v>
      </c>
    </row>
    <row r="14" customFormat="false" ht="17.15" hidden="false" customHeight="false" outlineLevel="0" collapsed="false">
      <c r="A14" s="6" t="s">
        <v>540</v>
      </c>
    </row>
    <row r="15" customFormat="false" ht="17.15" hidden="false" customHeight="false" outlineLevel="0" collapsed="false">
      <c r="A15" s="5" t="s">
        <v>541</v>
      </c>
      <c r="B15" s="5" t="s">
        <v>542</v>
      </c>
      <c r="C15" s="5" t="s">
        <v>543</v>
      </c>
      <c r="D15" s="5" t="s">
        <v>544</v>
      </c>
      <c r="E15" s="5" t="s">
        <v>21</v>
      </c>
      <c r="F15" s="5" t="s">
        <v>545</v>
      </c>
    </row>
    <row r="16" customFormat="false" ht="17.15" hidden="false" customHeight="false" outlineLevel="0" collapsed="false">
      <c r="A16" s="0" t="s">
        <v>546</v>
      </c>
      <c r="B16" s="26" t="n">
        <v>23.2</v>
      </c>
      <c r="C16" s="17"/>
      <c r="D16" s="17" t="str">
        <f aca="false">IF(C16="","",B16-C16)</f>
        <v/>
      </c>
      <c r="E16" s="8" t="s">
        <v>547</v>
      </c>
      <c r="F16" s="4" t="s">
        <v>548</v>
      </c>
    </row>
    <row r="17" customFormat="false" ht="17.15" hidden="false" customHeight="false" outlineLevel="0" collapsed="false">
      <c r="A17" s="0" t="s">
        <v>549</v>
      </c>
      <c r="B17" s="26" t="n">
        <v>55</v>
      </c>
      <c r="C17" s="17"/>
      <c r="D17" s="17" t="str">
        <f aca="false">IF(C17="","",B17-C17)</f>
        <v/>
      </c>
      <c r="E17" s="8" t="s">
        <v>547</v>
      </c>
      <c r="F17" s="4" t="s">
        <v>374</v>
      </c>
    </row>
    <row r="18" customFormat="false" ht="17.15" hidden="false" customHeight="false" outlineLevel="0" collapsed="false">
      <c r="A18" s="0" t="s">
        <v>550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547</v>
      </c>
      <c r="F18" s="8" t="s">
        <v>551</v>
      </c>
    </row>
    <row r="19" customFormat="false" ht="17.15" hidden="false" customHeight="false" outlineLevel="0" collapsed="false">
      <c r="A19" s="0" t="s">
        <v>552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547</v>
      </c>
      <c r="F19" s="8" t="s">
        <v>553</v>
      </c>
    </row>
    <row r="20" customFormat="false" ht="17.15" hidden="false" customHeight="false" outlineLevel="0" collapsed="false">
      <c r="A20" s="0" t="s">
        <v>554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547</v>
      </c>
      <c r="F20" s="8" t="s">
        <v>555</v>
      </c>
    </row>
    <row r="21" customFormat="false" ht="17.15" hidden="false" customHeight="false" outlineLevel="0" collapsed="false">
      <c r="A21" s="0" t="s">
        <v>556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547</v>
      </c>
      <c r="F21" s="8" t="s">
        <v>557</v>
      </c>
    </row>
    <row r="22" customFormat="false" ht="17.15" hidden="false" customHeight="false" outlineLevel="0" collapsed="false">
      <c r="A22" s="0" t="s">
        <v>558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547</v>
      </c>
      <c r="F22" s="8" t="s">
        <v>559</v>
      </c>
    </row>
    <row r="23" customFormat="false" ht="17.15" hidden="false" customHeight="false" outlineLevel="0" collapsed="false">
      <c r="A23" s="0" t="s">
        <v>560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547</v>
      </c>
      <c r="F23" s="8" t="s">
        <v>561</v>
      </c>
    </row>
    <row r="24" customFormat="false" ht="17.15" hidden="false" customHeight="false" outlineLevel="0" collapsed="false">
      <c r="A24" s="0" t="s">
        <v>562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547</v>
      </c>
      <c r="F24" s="8" t="s">
        <v>561</v>
      </c>
    </row>
    <row r="25" customFormat="false" ht="17.15" hidden="false" customHeight="false" outlineLevel="0" collapsed="false">
      <c r="A25" s="0" t="s">
        <v>563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547</v>
      </c>
      <c r="F25" s="8" t="s">
        <v>561</v>
      </c>
    </row>
    <row r="26" customFormat="false" ht="17.15" hidden="false" customHeight="false" outlineLevel="0" collapsed="false">
      <c r="A26" s="4" t="s">
        <v>564</v>
      </c>
    </row>
    <row r="28" customFormat="false" ht="17.15" hidden="false" customHeight="false" outlineLevel="0" collapsed="false">
      <c r="A28" s="6" t="s">
        <v>565</v>
      </c>
    </row>
    <row r="29" customFormat="false" ht="17.15" hidden="false" customHeight="false" outlineLevel="0" collapsed="false">
      <c r="A29" s="5" t="s">
        <v>566</v>
      </c>
      <c r="B29" s="5" t="s">
        <v>567</v>
      </c>
      <c r="C29" s="5" t="s">
        <v>22</v>
      </c>
      <c r="D29" s="5" t="s">
        <v>568</v>
      </c>
      <c r="E29" s="5" t="s">
        <v>569</v>
      </c>
    </row>
    <row r="30" customFormat="false" ht="17.15" hidden="false" customHeight="false" outlineLevel="0" collapsed="false">
      <c r="A30" s="0" t="s">
        <v>570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571</v>
      </c>
    </row>
    <row r="31" customFormat="false" ht="15" hidden="false" customHeight="false" outlineLevel="0" collapsed="false">
      <c r="A31" s="4" t="s">
        <v>572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573</v>
      </c>
    </row>
    <row r="32" customFormat="false" ht="17.15" hidden="false" customHeight="false" outlineLevel="0" collapsed="false">
      <c r="A32" s="0" t="s">
        <v>574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575</v>
      </c>
    </row>
    <row r="33" customFormat="false" ht="15" hidden="false" customHeight="false" outlineLevel="0" collapsed="false">
      <c r="A33" s="4" t="s">
        <v>576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577</v>
      </c>
    </row>
    <row r="36" customFormat="false" ht="17.15" hidden="false" customHeight="false" outlineLevel="0" collapsed="false">
      <c r="A36" s="4" t="s">
        <v>578</v>
      </c>
    </row>
    <row r="37" customFormat="false" ht="17.15" hidden="false" customHeight="false" outlineLevel="0" collapsed="false">
      <c r="A37" s="5" t="s">
        <v>579</v>
      </c>
      <c r="B37" s="5" t="s">
        <v>580</v>
      </c>
      <c r="C37" s="13" t="s">
        <v>581</v>
      </c>
      <c r="D37" s="5" t="s">
        <v>582</v>
      </c>
      <c r="E37" s="5" t="s">
        <v>583</v>
      </c>
      <c r="F37" s="5" t="s">
        <v>584</v>
      </c>
    </row>
    <row r="38" customFormat="false" ht="15" hidden="false" customHeight="false" outlineLevel="0" collapsed="false">
      <c r="A38" s="0" t="s">
        <v>585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586</v>
      </c>
    </row>
    <row r="39" customFormat="false" ht="15" hidden="false" customHeight="false" outlineLevel="0" collapsed="false">
      <c r="A39" s="0" t="s">
        <v>587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586</v>
      </c>
    </row>
    <row r="40" customFormat="false" ht="15" hidden="false" customHeight="false" outlineLevel="0" collapsed="false">
      <c r="A40" s="0" t="s">
        <v>588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586</v>
      </c>
    </row>
    <row r="42" customFormat="false" ht="17.15" hidden="false" customHeight="false" outlineLevel="0" collapsed="false">
      <c r="A42" s="6" t="s">
        <v>589</v>
      </c>
    </row>
    <row r="43" customFormat="false" ht="17.15" hidden="false" customHeight="false" outlineLevel="0" collapsed="false">
      <c r="A43" s="5" t="s">
        <v>579</v>
      </c>
      <c r="B43" s="13" t="s">
        <v>590</v>
      </c>
      <c r="C43" s="13" t="s">
        <v>467</v>
      </c>
      <c r="D43" s="5" t="s">
        <v>591</v>
      </c>
      <c r="E43" s="5" t="s">
        <v>583</v>
      </c>
      <c r="F43" s="5" t="s">
        <v>592</v>
      </c>
      <c r="G43" s="5" t="s">
        <v>593</v>
      </c>
      <c r="H43" s="5" t="s">
        <v>594</v>
      </c>
    </row>
    <row r="44" customFormat="false" ht="15" hidden="false" customHeight="false" outlineLevel="0" collapsed="false">
      <c r="A44" s="27" t="s">
        <v>585</v>
      </c>
      <c r="B44" s="27" t="s">
        <v>459</v>
      </c>
      <c r="C44" s="24" t="n">
        <f aca="false">PL!E12</f>
        <v>3379.68902765429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72899.892326503</v>
      </c>
      <c r="G44" s="29" t="n">
        <f aca="false">F44/px-1</f>
        <v>-0.613263170681682</v>
      </c>
      <c r="H44" s="27"/>
    </row>
    <row r="45" customFormat="false" ht="17.15" hidden="false" customHeight="false" outlineLevel="0" collapsed="false">
      <c r="A45" s="0" t="s">
        <v>585</v>
      </c>
      <c r="B45" s="0" t="s">
        <v>459</v>
      </c>
      <c r="C45" s="14" t="n">
        <f aca="false">PL!E12</f>
        <v>3379.68902765429</v>
      </c>
      <c r="D45" s="4" t="s">
        <v>595</v>
      </c>
      <c r="E45" s="17" t="n">
        <f aca="false">pe_peak</f>
        <v>17.15</v>
      </c>
      <c r="F45" s="14" t="n">
        <f aca="false">C45*E45</f>
        <v>57961.6668242711</v>
      </c>
      <c r="G45" s="25" t="n">
        <f aca="false">F45/px-1</f>
        <v>-0.692511051330127</v>
      </c>
    </row>
    <row r="46" customFormat="false" ht="15" hidden="false" customHeight="false" outlineLevel="0" collapsed="false">
      <c r="A46" s="0" t="s">
        <v>585</v>
      </c>
      <c r="B46" s="0" t="s">
        <v>459</v>
      </c>
      <c r="C46" s="14" t="n">
        <f aca="false">PL!E12</f>
        <v>3379.68902765429</v>
      </c>
      <c r="D46" s="4" t="s">
        <v>596</v>
      </c>
      <c r="E46" s="17" t="n">
        <f aca="false">pe_mid</f>
        <v>21.57</v>
      </c>
      <c r="F46" s="14" t="n">
        <f aca="false">C46*E46</f>
        <v>72899.892326503</v>
      </c>
      <c r="G46" s="25" t="n">
        <f aca="false">F46/px-1</f>
        <v>-0.613263170681682</v>
      </c>
    </row>
    <row r="47" customFormat="false" ht="17.15" hidden="false" customHeight="false" outlineLevel="0" collapsed="false">
      <c r="A47" s="0" t="s">
        <v>585</v>
      </c>
      <c r="B47" s="0" t="s">
        <v>459</v>
      </c>
      <c r="C47" s="14" t="n">
        <f aca="false">PL!E12</f>
        <v>3379.68902765429</v>
      </c>
      <c r="D47" s="4" t="s">
        <v>597</v>
      </c>
      <c r="E47" s="17" t="n">
        <f aca="false">pe_trough</f>
        <v>39.17</v>
      </c>
      <c r="F47" s="14" t="n">
        <f aca="false">C47*E47</f>
        <v>132382.419213219</v>
      </c>
      <c r="G47" s="25" t="n">
        <f aca="false">F47/px-1</f>
        <v>-0.297705998868867</v>
      </c>
    </row>
    <row r="48" customFormat="false" ht="17.15" hidden="false" customHeight="false" outlineLevel="0" collapsed="false">
      <c r="A48" s="0" t="s">
        <v>585</v>
      </c>
      <c r="B48" s="0" t="s">
        <v>460</v>
      </c>
      <c r="C48" s="14" t="n">
        <f aca="false">PL!F12</f>
        <v>3781.74907719578</v>
      </c>
      <c r="D48" s="4" t="s">
        <v>595</v>
      </c>
      <c r="E48" s="17" t="n">
        <f aca="false">pe_peak</f>
        <v>17.15</v>
      </c>
      <c r="F48" s="14" t="n">
        <f aca="false">C48*E48</f>
        <v>64856.9966739076</v>
      </c>
      <c r="G48" s="25" t="n">
        <f aca="false">F48/px-1</f>
        <v>-0.655931052127811</v>
      </c>
    </row>
    <row r="49" customFormat="false" ht="15" hidden="false" customHeight="false" outlineLevel="0" collapsed="false">
      <c r="A49" s="0" t="s">
        <v>585</v>
      </c>
      <c r="B49" s="0" t="s">
        <v>460</v>
      </c>
      <c r="C49" s="14" t="n">
        <f aca="false">PL!F12</f>
        <v>3781.74907719578</v>
      </c>
      <c r="D49" s="4" t="s">
        <v>596</v>
      </c>
      <c r="E49" s="17" t="n">
        <f aca="false">pe_mid</f>
        <v>21.57</v>
      </c>
      <c r="F49" s="14" t="n">
        <f aca="false">C49*E49</f>
        <v>81572.327595113</v>
      </c>
      <c r="G49" s="25" t="n">
        <f aca="false">F49/px-1</f>
        <v>-0.5672555565246</v>
      </c>
    </row>
    <row r="50" customFormat="false" ht="17.15" hidden="false" customHeight="false" outlineLevel="0" collapsed="false">
      <c r="A50" s="0" t="s">
        <v>585</v>
      </c>
      <c r="B50" s="0" t="s">
        <v>460</v>
      </c>
      <c r="C50" s="14" t="n">
        <f aca="false">PL!F12</f>
        <v>3781.74907719578</v>
      </c>
      <c r="D50" s="4" t="s">
        <v>597</v>
      </c>
      <c r="E50" s="17" t="n">
        <f aca="false">pe_trough</f>
        <v>39.17</v>
      </c>
      <c r="F50" s="14" t="n">
        <f aca="false">C50*E50</f>
        <v>148131.111353759</v>
      </c>
      <c r="G50" s="25" t="n">
        <f aca="false">F50/px-1</f>
        <v>-0.214158560457514</v>
      </c>
    </row>
    <row r="51" customFormat="false" ht="15" hidden="false" customHeight="false" outlineLevel="0" collapsed="false">
      <c r="A51" s="27" t="s">
        <v>587</v>
      </c>
      <c r="B51" s="27" t="s">
        <v>459</v>
      </c>
      <c r="C51" s="24" t="n">
        <f aca="false">PL!E22</f>
        <v>2834.50076378154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61140.1814747679</v>
      </c>
      <c r="G51" s="29" t="n">
        <f aca="false">F51/px-1</f>
        <v>-0.675648904643141</v>
      </c>
      <c r="H51" s="27"/>
    </row>
    <row r="52" customFormat="false" ht="17.15" hidden="false" customHeight="false" outlineLevel="0" collapsed="false">
      <c r="A52" s="0" t="s">
        <v>587</v>
      </c>
      <c r="B52" s="0" t="s">
        <v>459</v>
      </c>
      <c r="C52" s="14" t="n">
        <f aca="false">PL!E22</f>
        <v>2834.50076378154</v>
      </c>
      <c r="D52" s="4" t="s">
        <v>595</v>
      </c>
      <c r="E52" s="17" t="n">
        <f aca="false">pe_peak</f>
        <v>17.15</v>
      </c>
      <c r="F52" s="14" t="n">
        <f aca="false">C52*E52</f>
        <v>48611.6880988534</v>
      </c>
      <c r="G52" s="25" t="n">
        <f aca="false">F52/px-1</f>
        <v>-0.742113060483536</v>
      </c>
    </row>
    <row r="53" customFormat="false" ht="15" hidden="false" customHeight="false" outlineLevel="0" collapsed="false">
      <c r="A53" s="0" t="s">
        <v>587</v>
      </c>
      <c r="B53" s="0" t="s">
        <v>459</v>
      </c>
      <c r="C53" s="14" t="n">
        <f aca="false">PL!E22</f>
        <v>2834.50076378154</v>
      </c>
      <c r="D53" s="4" t="s">
        <v>596</v>
      </c>
      <c r="E53" s="17" t="n">
        <f aca="false">pe_mid</f>
        <v>21.57</v>
      </c>
      <c r="F53" s="14" t="n">
        <f aca="false">C53*E53</f>
        <v>61140.1814747679</v>
      </c>
      <c r="G53" s="25" t="n">
        <f aca="false">F53/px-1</f>
        <v>-0.675648904643141</v>
      </c>
    </row>
    <row r="54" customFormat="false" ht="17.15" hidden="false" customHeight="false" outlineLevel="0" collapsed="false">
      <c r="A54" s="0" t="s">
        <v>587</v>
      </c>
      <c r="B54" s="0" t="s">
        <v>459</v>
      </c>
      <c r="C54" s="14" t="n">
        <f aca="false">PL!E22</f>
        <v>2834.50076378154</v>
      </c>
      <c r="D54" s="4" t="s">
        <v>597</v>
      </c>
      <c r="E54" s="17" t="n">
        <f aca="false">pe_trough</f>
        <v>39.17</v>
      </c>
      <c r="F54" s="14" t="n">
        <f aca="false">C54*E54</f>
        <v>111027.394917323</v>
      </c>
      <c r="G54" s="25" t="n">
        <f aca="false">F54/px-1</f>
        <v>-0.410995252427995</v>
      </c>
    </row>
    <row r="55" customFormat="false" ht="17.15" hidden="false" customHeight="false" outlineLevel="0" collapsed="false">
      <c r="A55" s="0" t="s">
        <v>587</v>
      </c>
      <c r="B55" s="0" t="s">
        <v>460</v>
      </c>
      <c r="C55" s="14" t="n">
        <f aca="false">PL!F22</f>
        <v>2878.61978417368</v>
      </c>
      <c r="D55" s="4" t="s">
        <v>595</v>
      </c>
      <c r="E55" s="17" t="n">
        <f aca="false">pe_peak</f>
        <v>17.15</v>
      </c>
      <c r="F55" s="14" t="n">
        <f aca="false">C55*E55</f>
        <v>49368.3292985786</v>
      </c>
      <c r="G55" s="25" t="n">
        <f aca="false">F55/px-1</f>
        <v>-0.738099048813906</v>
      </c>
    </row>
    <row r="56" customFormat="false" ht="15" hidden="false" customHeight="false" outlineLevel="0" collapsed="false">
      <c r="A56" s="0" t="s">
        <v>587</v>
      </c>
      <c r="B56" s="0" t="s">
        <v>460</v>
      </c>
      <c r="C56" s="14" t="n">
        <f aca="false">PL!F22</f>
        <v>2878.61978417368</v>
      </c>
      <c r="D56" s="4" t="s">
        <v>596</v>
      </c>
      <c r="E56" s="17" t="n">
        <f aca="false">pe_mid</f>
        <v>21.57</v>
      </c>
      <c r="F56" s="14" t="n">
        <f aca="false">C56*E56</f>
        <v>62091.8287446263</v>
      </c>
      <c r="G56" s="25" t="n">
        <f aca="false">F56/px-1</f>
        <v>-0.670600378012592</v>
      </c>
    </row>
    <row r="57" customFormat="false" ht="17.15" hidden="false" customHeight="false" outlineLevel="0" collapsed="false">
      <c r="A57" s="0" t="s">
        <v>587</v>
      </c>
      <c r="B57" s="0" t="s">
        <v>460</v>
      </c>
      <c r="C57" s="14" t="n">
        <f aca="false">PL!F22</f>
        <v>2878.61978417368</v>
      </c>
      <c r="D57" s="4" t="s">
        <v>597</v>
      </c>
      <c r="E57" s="17" t="n">
        <f aca="false">pe_trough</f>
        <v>39.17</v>
      </c>
      <c r="F57" s="14" t="n">
        <f aca="false">C57*E57</f>
        <v>112755.536946083</v>
      </c>
      <c r="G57" s="25" t="n">
        <f aca="false">F57/px-1</f>
        <v>-0.401827390206456</v>
      </c>
    </row>
    <row r="58" customFormat="false" ht="15" hidden="false" customHeight="false" outlineLevel="0" collapsed="false">
      <c r="A58" s="27" t="s">
        <v>588</v>
      </c>
      <c r="B58" s="27" t="s">
        <v>459</v>
      </c>
      <c r="C58" s="24" t="n">
        <f aca="false">PL!E32</f>
        <v>1464.83130996503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25121.8569659003</v>
      </c>
      <c r="G58" s="29" t="n">
        <f aca="false">F58/px-1</f>
        <v>-0.866727549252518</v>
      </c>
      <c r="H58" s="27"/>
    </row>
    <row r="59" customFormat="false" ht="17.15" hidden="false" customHeight="false" outlineLevel="0" collapsed="false">
      <c r="A59" s="0" t="s">
        <v>588</v>
      </c>
      <c r="B59" s="0" t="s">
        <v>459</v>
      </c>
      <c r="C59" s="14" t="n">
        <f aca="false">PL!E32</f>
        <v>1464.83130996503</v>
      </c>
      <c r="D59" s="4" t="s">
        <v>595</v>
      </c>
      <c r="E59" s="17" t="n">
        <f aca="false">pe_peak</f>
        <v>17.15</v>
      </c>
      <c r="F59" s="14" t="n">
        <f aca="false">C59*E59</f>
        <v>25121.8569659003</v>
      </c>
      <c r="G59" s="25" t="n">
        <f aca="false">F59/px-1</f>
        <v>-0.866727549252518</v>
      </c>
    </row>
    <row r="60" customFormat="false" ht="15" hidden="false" customHeight="false" outlineLevel="0" collapsed="false">
      <c r="A60" s="0" t="s">
        <v>588</v>
      </c>
      <c r="B60" s="0" t="s">
        <v>459</v>
      </c>
      <c r="C60" s="14" t="n">
        <f aca="false">PL!E32</f>
        <v>1464.83130996503</v>
      </c>
      <c r="D60" s="4" t="s">
        <v>596</v>
      </c>
      <c r="E60" s="17" t="n">
        <f aca="false">pe_mid</f>
        <v>21.57</v>
      </c>
      <c r="F60" s="14" t="n">
        <f aca="false">C60*E60</f>
        <v>31596.4113559457</v>
      </c>
      <c r="G60" s="25" t="n">
        <f aca="false">F60/px-1</f>
        <v>-0.832379780605062</v>
      </c>
    </row>
    <row r="61" customFormat="false" ht="17.15" hidden="false" customHeight="false" outlineLevel="0" collapsed="false">
      <c r="A61" s="0" t="s">
        <v>588</v>
      </c>
      <c r="B61" s="0" t="s">
        <v>459</v>
      </c>
      <c r="C61" s="14" t="n">
        <f aca="false">PL!E32</f>
        <v>1464.83130996503</v>
      </c>
      <c r="D61" s="4" t="s">
        <v>597</v>
      </c>
      <c r="E61" s="17" t="n">
        <f aca="false">pe_trough</f>
        <v>39.17</v>
      </c>
      <c r="F61" s="14" t="n">
        <f aca="false">C61*E61</f>
        <v>57377.4424113303</v>
      </c>
      <c r="G61" s="25" t="n">
        <f aca="false">F61/px-1</f>
        <v>-0.695610385085781</v>
      </c>
    </row>
    <row r="62" customFormat="false" ht="17.15" hidden="false" customHeight="false" outlineLevel="0" collapsed="false">
      <c r="A62" s="0" t="s">
        <v>588</v>
      </c>
      <c r="B62" s="0" t="s">
        <v>460</v>
      </c>
      <c r="C62" s="14" t="n">
        <f aca="false">PL!F32</f>
        <v>1325.01985495718</v>
      </c>
      <c r="D62" s="4" t="s">
        <v>595</v>
      </c>
      <c r="E62" s="17" t="n">
        <f aca="false">pe_peak</f>
        <v>17.15</v>
      </c>
      <c r="F62" s="14" t="n">
        <f aca="false">C62*E62</f>
        <v>22724.0905125156</v>
      </c>
      <c r="G62" s="25" t="n">
        <f aca="false">F62/px-1</f>
        <v>-0.879447795689572</v>
      </c>
    </row>
    <row r="63" customFormat="false" ht="15" hidden="false" customHeight="false" outlineLevel="0" collapsed="false">
      <c r="A63" s="0" t="s">
        <v>588</v>
      </c>
      <c r="B63" s="0" t="s">
        <v>460</v>
      </c>
      <c r="C63" s="14" t="n">
        <f aca="false">PL!F32</f>
        <v>1325.01985495718</v>
      </c>
      <c r="D63" s="4" t="s">
        <v>596</v>
      </c>
      <c r="E63" s="17" t="n">
        <f aca="false">pe_mid</f>
        <v>21.57</v>
      </c>
      <c r="F63" s="14" t="n">
        <f aca="false">C63*E63</f>
        <v>28580.6782714264</v>
      </c>
      <c r="G63" s="25" t="n">
        <f aca="false">F63/px-1</f>
        <v>-0.848378364607818</v>
      </c>
    </row>
    <row r="64" customFormat="false" ht="17.15" hidden="false" customHeight="false" outlineLevel="0" collapsed="false">
      <c r="A64" s="0" t="s">
        <v>588</v>
      </c>
      <c r="B64" s="0" t="s">
        <v>460</v>
      </c>
      <c r="C64" s="14" t="n">
        <f aca="false">PL!F32</f>
        <v>1325.01985495718</v>
      </c>
      <c r="D64" s="4" t="s">
        <v>597</v>
      </c>
      <c r="E64" s="17" t="n">
        <f aca="false">pe_trough</f>
        <v>39.17</v>
      </c>
      <c r="F64" s="14" t="n">
        <f aca="false">C64*E64</f>
        <v>51901.0277186727</v>
      </c>
      <c r="G64" s="25" t="n">
        <f aca="false">F64/px-1</f>
        <v>-0.724662982924813</v>
      </c>
    </row>
    <row r="66" customFormat="false" ht="17.15" hidden="false" customHeight="false" outlineLevel="0" collapsed="false">
      <c r="A66" s="6" t="s">
        <v>598</v>
      </c>
    </row>
    <row r="67" customFormat="false" ht="15" hidden="false" customHeight="false" outlineLevel="0" collapsed="false">
      <c r="A67" s="5" t="s">
        <v>16</v>
      </c>
      <c r="B67" s="13" t="s">
        <v>585</v>
      </c>
      <c r="C67" s="13" t="s">
        <v>587</v>
      </c>
      <c r="D67" s="13" t="s">
        <v>588</v>
      </c>
      <c r="E67" s="5" t="s">
        <v>594</v>
      </c>
    </row>
    <row r="68" customFormat="false" ht="17.15" hidden="false" customHeight="false" outlineLevel="0" collapsed="false">
      <c r="A68" s="4" t="s">
        <v>599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600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601</v>
      </c>
      <c r="B70" s="17" t="n">
        <f aca="false">px/PL!E12</f>
        <v>55.7743622142746</v>
      </c>
      <c r="C70" s="17" t="n">
        <f aca="false">px/PL!E22</f>
        <v>66.5020106569031</v>
      </c>
      <c r="D70" s="17" t="n">
        <f aca="false">px/PL!E32</f>
        <v>128.683759500266</v>
      </c>
    </row>
    <row r="71" customFormat="false" ht="17.15" hidden="false" customHeight="false" outlineLevel="0" collapsed="false">
      <c r="A71" s="4" t="s">
        <v>602</v>
      </c>
      <c r="B71" s="17" t="n">
        <f aca="false">px/PL!F12</f>
        <v>49.8446608043534</v>
      </c>
      <c r="C71" s="17" t="n">
        <f aca="false">px/PL!F22</f>
        <v>65.4827709572314</v>
      </c>
      <c r="D71" s="17" t="n">
        <f aca="false">px/PL!F32</f>
        <v>142.262019165057</v>
      </c>
    </row>
    <row r="72" customFormat="false" ht="17.15" hidden="false" customHeight="false" outlineLevel="0" collapsed="false">
      <c r="A72" s="4" t="s">
        <v>603</v>
      </c>
      <c r="B72" s="7" t="n">
        <v>116.68</v>
      </c>
      <c r="E72" s="4" t="s">
        <v>604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605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606</v>
      </c>
      <c r="B74" s="18" t="n">
        <f aca="false">B70/E38</f>
        <v>2.58573770117175</v>
      </c>
      <c r="E74" s="8" t="s">
        <v>607</v>
      </c>
    </row>
    <row r="77" customFormat="false" ht="17.15" hidden="false" customHeight="false" outlineLevel="0" collapsed="false">
      <c r="A77" s="6" t="s">
        <v>608</v>
      </c>
    </row>
    <row r="78" customFormat="false" ht="17.15" hidden="false" customHeight="false" outlineLevel="0" collapsed="false">
      <c r="A78" s="6" t="s">
        <v>609</v>
      </c>
    </row>
    <row r="79" customFormat="false" ht="17.15" hidden="false" customHeight="false" outlineLevel="0" collapsed="false">
      <c r="A79" s="5" t="s">
        <v>16</v>
      </c>
      <c r="B79" s="13" t="s">
        <v>610</v>
      </c>
      <c r="C79" s="13" t="s">
        <v>611</v>
      </c>
      <c r="D79" s="13" t="s">
        <v>612</v>
      </c>
      <c r="E79" s="5" t="s">
        <v>436</v>
      </c>
    </row>
    <row r="80" customFormat="false" ht="17.15" hidden="false" customHeight="false" outlineLevel="0" collapsed="false">
      <c r="A80" s="4" t="s">
        <v>613</v>
      </c>
      <c r="E80" s="0" t="s">
        <v>614</v>
      </c>
    </row>
    <row r="81" customFormat="false" ht="15" hidden="false" customHeight="false" outlineLevel="0" collapsed="false">
      <c r="A81" s="0" t="s">
        <v>615</v>
      </c>
      <c r="B81" s="14" t="n">
        <f aca="false">PL!E147</f>
        <v>3379.68902765429</v>
      </c>
      <c r="C81" s="14" t="n">
        <f aca="false">PL!E154</f>
        <v>2834.50076378154</v>
      </c>
      <c r="D81" s="14" t="n">
        <f aca="false">PL!E161</f>
        <v>1464.83130996503</v>
      </c>
    </row>
    <row r="82" customFormat="false" ht="15" hidden="false" customHeight="false" outlineLevel="0" collapsed="false">
      <c r="A82" s="0" t="s">
        <v>616</v>
      </c>
      <c r="B82" s="14" t="n">
        <f aca="false">PL!F147</f>
        <v>3781.74907719578</v>
      </c>
      <c r="C82" s="14" t="n">
        <f aca="false">PL!F154</f>
        <v>2878.61978417368</v>
      </c>
      <c r="D82" s="14" t="n">
        <f aca="false">PL!F161</f>
        <v>1325.01985495718</v>
      </c>
    </row>
    <row r="83" customFormat="false" ht="15" hidden="false" customHeight="false" outlineLevel="0" collapsed="false">
      <c r="A83" s="0" t="s">
        <v>617</v>
      </c>
      <c r="B83" s="14" t="n">
        <f aca="false">PL!G147</f>
        <v>2943.88158858196</v>
      </c>
      <c r="C83" s="14" t="n">
        <f aca="false">PL!G154</f>
        <v>2199.15261227609</v>
      </c>
      <c r="D83" s="14" t="n">
        <f aca="false">PL!G161</f>
        <v>1137.46687956209</v>
      </c>
    </row>
    <row r="84" customFormat="false" ht="15" hidden="false" customHeight="false" outlineLevel="0" collapsed="false">
      <c r="A84" s="0" t="s">
        <v>618</v>
      </c>
      <c r="B84" s="14" t="n">
        <f aca="false">PL!H147</f>
        <v>2605.54673768969</v>
      </c>
      <c r="C84" s="14" t="n">
        <f aca="false">PL!H154</f>
        <v>1856.67772526435</v>
      </c>
      <c r="D84" s="14" t="n">
        <f aca="false">PL!H161</f>
        <v>1016.30675961301</v>
      </c>
    </row>
    <row r="85" customFormat="false" ht="15" hidden="false" customHeight="false" outlineLevel="0" collapsed="false">
      <c r="A85" s="0" t="s">
        <v>619</v>
      </c>
      <c r="B85" s="14" t="n">
        <f aca="false">PL!I147</f>
        <v>2533.98781282214</v>
      </c>
      <c r="C85" s="14" t="n">
        <f aca="false">PL!I154</f>
        <v>1715.01660923686</v>
      </c>
      <c r="D85" s="14" t="n">
        <f aca="false">PL!I161</f>
        <v>933.003539960741</v>
      </c>
    </row>
    <row r="86" customFormat="false" ht="15" hidden="false" customHeight="false" outlineLevel="0" collapsed="false">
      <c r="A86" s="0" t="s">
        <v>620</v>
      </c>
      <c r="B86" s="14" t="n">
        <f aca="false">PL!J147</f>
        <v>2686.02708159146</v>
      </c>
      <c r="C86" s="14" t="n">
        <f aca="false">PL!J154</f>
        <v>1719.91665669183</v>
      </c>
      <c r="D86" s="14" t="n">
        <f aca="false">PL!J161</f>
        <v>878.458717624574</v>
      </c>
    </row>
    <row r="87" customFormat="false" ht="17.15" hidden="false" customHeight="false" outlineLevel="0" collapsed="false">
      <c r="A87" s="4" t="s">
        <v>621</v>
      </c>
      <c r="E87" s="4" t="s">
        <v>622</v>
      </c>
    </row>
    <row r="88" customFormat="false" ht="17.15" hidden="false" customHeight="false" outlineLevel="0" collapsed="false">
      <c r="A88" s="4" t="s">
        <v>623</v>
      </c>
      <c r="B88" s="10" t="n">
        <f aca="false">MIN(tp_g/tp_roe,0.8)</f>
        <v>0.101928140660834</v>
      </c>
      <c r="E88" s="8" t="s">
        <v>624</v>
      </c>
    </row>
    <row r="89" customFormat="false" ht="15" hidden="false" customHeight="false" outlineLevel="0" collapsed="false">
      <c r="A89" s="0" t="s">
        <v>615</v>
      </c>
      <c r="B89" s="14" t="n">
        <f aca="false">B81*(1-$B$88)</f>
        <v>3035.20360905367</v>
      </c>
      <c r="C89" s="14" t="n">
        <f aca="false">C81*(1-$B$88)</f>
        <v>2545.58537122758</v>
      </c>
      <c r="D89" s="14" t="n">
        <f aca="false">D81*(1-$B$88)</f>
        <v>1315.52377815852</v>
      </c>
    </row>
    <row r="90" customFormat="false" ht="15" hidden="false" customHeight="false" outlineLevel="0" collapsed="false">
      <c r="A90" s="0" t="s">
        <v>616</v>
      </c>
      <c r="B90" s="14" t="n">
        <f aca="false">B82*(1-$B$88)</f>
        <v>3396.28242531139</v>
      </c>
      <c r="C90" s="14" t="n">
        <f aca="false">C82*(1-$B$88)</f>
        <v>2585.20742190337</v>
      </c>
      <c r="D90" s="14" t="n">
        <f aca="false">D82*(1-$B$88)</f>
        <v>1189.96304480271</v>
      </c>
    </row>
    <row r="91" customFormat="false" ht="15" hidden="false" customHeight="false" outlineLevel="0" collapsed="false">
      <c r="A91" s="0" t="s">
        <v>617</v>
      </c>
      <c r="B91" s="14" t="n">
        <f aca="false">B83*(1-$B$88)</f>
        <v>2643.81721193214</v>
      </c>
      <c r="C91" s="14" t="n">
        <f aca="false">C83*(1-$B$88)</f>
        <v>1974.99707547737</v>
      </c>
      <c r="D91" s="14" t="n">
        <f aca="false">D83*(1-$B$88)</f>
        <v>1021.52699546504</v>
      </c>
    </row>
    <row r="92" customFormat="false" ht="15" hidden="false" customHeight="false" outlineLevel="0" collapsed="false">
      <c r="A92" s="0" t="s">
        <v>618</v>
      </c>
      <c r="B92" s="14" t="n">
        <f aca="false">B84*(1-$B$88)</f>
        <v>2339.96820331208</v>
      </c>
      <c r="C92" s="14" t="n">
        <f aca="false">C84*(1-$B$88)</f>
        <v>1667.43001692177</v>
      </c>
      <c r="D92" s="14" t="n">
        <f aca="false">D84*(1-$B$88)</f>
        <v>912.716501264614</v>
      </c>
    </row>
    <row r="93" customFormat="false" ht="15" hidden="false" customHeight="false" outlineLevel="0" collapsed="false">
      <c r="A93" s="0" t="s">
        <v>619</v>
      </c>
      <c r="B93" s="14" t="n">
        <f aca="false">B85*(1-$B$88)</f>
        <v>2275.70314660396</v>
      </c>
      <c r="C93" s="14" t="n">
        <f aca="false">C85*(1-$B$88)</f>
        <v>1540.2081550549</v>
      </c>
      <c r="D93" s="14" t="n">
        <f aca="false">D85*(1-$B$88)</f>
        <v>837.904223902566</v>
      </c>
    </row>
    <row r="94" customFormat="false" ht="15" hidden="false" customHeight="false" outlineLevel="0" collapsed="false">
      <c r="A94" s="0" t="s">
        <v>620</v>
      </c>
      <c r="B94" s="14" t="n">
        <f aca="false">B86*(1-$B$88)</f>
        <v>2412.2453354002</v>
      </c>
      <c r="C94" s="14" t="n">
        <f aca="false">C86*(1-$B$88)</f>
        <v>1544.60874978363</v>
      </c>
      <c r="D94" s="14" t="n">
        <f aca="false">D86*(1-$B$88)</f>
        <v>788.919053889801</v>
      </c>
    </row>
    <row r="95" customFormat="false" ht="17.15" hidden="false" customHeight="false" outlineLevel="0" collapsed="false">
      <c r="A95" s="0" t="s">
        <v>625</v>
      </c>
      <c r="B95" s="14" t="n">
        <f aca="false">SUMPRODUCT(B89:B94,1/(1+tp_r)^{1;2;3;4;5;6})+B94*(1+tp_g)/(tp_r-tp_g)/(1+tp_r)^6</f>
        <v>35527.2984533637</v>
      </c>
      <c r="C95" s="14" t="n">
        <f aca="false">SUMPRODUCT(C89:C94,1/(1+tp_r)^{1;2;3;4;5;6})+C94*(1+tp_g)/(tp_r-tp_g)/(1+tp_r)^6</f>
        <v>24014.4484781992</v>
      </c>
      <c r="D95" s="14" t="n">
        <f aca="false">SUMPRODUCT(D89:D94,1/(1+tp_r)^{1;2;3;4;5;6})+D94*(1+tp_g)/(tp_r-tp_g)/(1+tp_r)^6</f>
        <v>12254.8075542555</v>
      </c>
      <c r="E95" s="8" t="s">
        <v>626</v>
      </c>
    </row>
    <row r="96" customFormat="false" ht="17.15" hidden="false" customHeight="false" outlineLevel="0" collapsed="false">
      <c r="A96" s="0" t="s">
        <v>627</v>
      </c>
      <c r="B96" s="14" t="n">
        <f aca="false">B95*(1+tp_r)</f>
        <v>39080.0282987</v>
      </c>
      <c r="C96" s="14" t="n">
        <f aca="false">C95*(1+tp_r)</f>
        <v>26415.8933260191</v>
      </c>
      <c r="D96" s="14" t="n">
        <f aca="false">D95*(1+tp_r)</f>
        <v>13480.288309681</v>
      </c>
    </row>
    <row r="97" customFormat="false" ht="17.15" hidden="false" customHeight="false" outlineLevel="0" collapsed="false">
      <c r="A97" s="0" t="s">
        <v>628</v>
      </c>
      <c r="B97" s="24" t="n">
        <f aca="false">tp_wA*B96+tp_wB*C96+tp_wC*D96</f>
        <v>27628.0128145558</v>
      </c>
      <c r="E97" s="8" t="s">
        <v>629</v>
      </c>
    </row>
    <row r="99" customFormat="false" ht="17.15" hidden="false" customHeight="false" outlineLevel="0" collapsed="false">
      <c r="A99" s="6" t="s">
        <v>630</v>
      </c>
    </row>
    <row r="100" customFormat="false" ht="17.15" hidden="false" customHeight="false" outlineLevel="0" collapsed="false">
      <c r="A100" s="5" t="s">
        <v>631</v>
      </c>
      <c r="B100" s="5" t="s">
        <v>632</v>
      </c>
      <c r="C100" s="5" t="s">
        <v>633</v>
      </c>
      <c r="D100" s="5" t="s">
        <v>634</v>
      </c>
      <c r="E100" s="5" t="s">
        <v>635</v>
      </c>
      <c r="F100" s="5" t="s">
        <v>21</v>
      </c>
    </row>
    <row r="101" customFormat="false" ht="17.15" hidden="false" customHeight="false" outlineLevel="0" collapsed="false">
      <c r="A101" s="0" t="s">
        <v>636</v>
      </c>
      <c r="B101" s="0" t="s">
        <v>637</v>
      </c>
      <c r="C101" s="26" t="n">
        <v>25.82</v>
      </c>
      <c r="D101" s="8" t="s">
        <v>638</v>
      </c>
      <c r="E101" s="8" t="s">
        <v>639</v>
      </c>
      <c r="F101" s="8" t="s">
        <v>141</v>
      </c>
    </row>
    <row r="102" customFormat="false" ht="17.15" hidden="false" customHeight="false" outlineLevel="0" collapsed="false">
      <c r="A102" s="0" t="s">
        <v>640</v>
      </c>
      <c r="B102" s="0" t="s">
        <v>641</v>
      </c>
      <c r="C102" s="26" t="n">
        <v>30.26</v>
      </c>
      <c r="D102" s="8" t="s">
        <v>642</v>
      </c>
      <c r="E102" s="8" t="s">
        <v>639</v>
      </c>
      <c r="F102" s="8" t="s">
        <v>141</v>
      </c>
    </row>
    <row r="103" customFormat="false" ht="17.15" hidden="false" customHeight="false" outlineLevel="0" collapsed="false">
      <c r="A103" s="0" t="s">
        <v>643</v>
      </c>
      <c r="B103" s="0" t="s">
        <v>644</v>
      </c>
      <c r="C103" s="26" t="n">
        <v>12.61</v>
      </c>
      <c r="D103" s="8" t="s">
        <v>638</v>
      </c>
      <c r="E103" s="8" t="s">
        <v>639</v>
      </c>
      <c r="F103" s="8" t="s">
        <v>141</v>
      </c>
    </row>
    <row r="104" customFormat="false" ht="17.15" hidden="false" customHeight="false" outlineLevel="0" collapsed="false">
      <c r="A104" s="0" t="s">
        <v>645</v>
      </c>
      <c r="B104" s="0" t="s">
        <v>646</v>
      </c>
      <c r="C104" s="26" t="n">
        <v>26.01</v>
      </c>
      <c r="D104" s="8" t="s">
        <v>638</v>
      </c>
      <c r="E104" s="8" t="s">
        <v>639</v>
      </c>
      <c r="F104" s="8" t="s">
        <v>141</v>
      </c>
    </row>
    <row r="105" customFormat="false" ht="17.15" hidden="false" customHeight="false" outlineLevel="0" collapsed="false">
      <c r="A105" s="4" t="s">
        <v>647</v>
      </c>
      <c r="B105" s="17" t="n">
        <f aca="false">MEDIAN(C101:C104)</f>
        <v>25.915</v>
      </c>
      <c r="E105" s="4" t="s">
        <v>648</v>
      </c>
    </row>
    <row r="106" customFormat="false" ht="17.15" hidden="false" customHeight="false" outlineLevel="0" collapsed="false">
      <c r="A106" s="0" t="s">
        <v>649</v>
      </c>
      <c r="B106" s="14" t="n">
        <f aca="false">tp_wA*(2/12*B81+10/12*B82)+tp_wB*(2/12*C81+10/12*C82)+tp_wC*(2/12*D81+10/12*D82)</f>
        <v>2819.71938056085</v>
      </c>
      <c r="E106" s="4" t="s">
        <v>650</v>
      </c>
    </row>
    <row r="107" customFormat="false" ht="17.15" hidden="false" customHeight="false" outlineLevel="0" collapsed="false">
      <c r="A107" s="0" t="s">
        <v>651</v>
      </c>
      <c r="B107" s="24" t="n">
        <f aca="false">B105*B106</f>
        <v>73073.0277472345</v>
      </c>
      <c r="E107" s="4" t="s">
        <v>652</v>
      </c>
    </row>
    <row r="109" customFormat="false" ht="17.15" hidden="false" customHeight="false" outlineLevel="0" collapsed="false">
      <c r="A109" s="6" t="s">
        <v>653</v>
      </c>
    </row>
    <row r="110" customFormat="false" ht="15" hidden="false" customHeight="false" outlineLevel="0" collapsed="false">
      <c r="A110" s="5" t="s">
        <v>16</v>
      </c>
      <c r="B110" s="5" t="s">
        <v>525</v>
      </c>
      <c r="C110" s="5"/>
      <c r="D110" s="5"/>
      <c r="E110" s="5" t="s">
        <v>436</v>
      </c>
    </row>
    <row r="111" customFormat="false" ht="17.15" hidden="false" customHeight="false" outlineLevel="0" collapsed="false">
      <c r="A111" s="4" t="s">
        <v>654</v>
      </c>
      <c r="B111" s="24" t="n">
        <f aca="false">tp_w_dcf*B97+(1-tp_w_dcf)*B107</f>
        <v>50350.5202808951</v>
      </c>
      <c r="E111" s="8" t="s">
        <v>655</v>
      </c>
    </row>
    <row r="112" customFormat="false" ht="17.15" hidden="false" customHeight="false" outlineLevel="0" collapsed="false">
      <c r="A112" s="0" t="s">
        <v>656</v>
      </c>
      <c r="B112" s="14" t="n">
        <f aca="false">B107</f>
        <v>73073.0277472345</v>
      </c>
      <c r="E112" s="4" t="s">
        <v>657</v>
      </c>
    </row>
    <row r="113" customFormat="false" ht="17.15" hidden="false" customHeight="false" outlineLevel="0" collapsed="false">
      <c r="A113" s="4" t="s">
        <v>658</v>
      </c>
      <c r="B113" s="14" t="n">
        <f aca="false">cons_tp</f>
        <v>271429</v>
      </c>
      <c r="E113" s="8" t="s">
        <v>379</v>
      </c>
    </row>
    <row r="114" customFormat="false" ht="17.15" hidden="false" customHeight="false" outlineLevel="0" collapsed="false">
      <c r="A114" s="4" t="s">
        <v>659</v>
      </c>
      <c r="B114" s="10" t="n">
        <f aca="false">B111/px-1</f>
        <v>-0.732888486573501</v>
      </c>
      <c r="E114" s="4" t="s">
        <v>660</v>
      </c>
    </row>
    <row r="115" customFormat="false" ht="17.15" hidden="false" customHeight="false" outlineLevel="0" collapsed="false">
      <c r="A115" s="4" t="s">
        <v>661</v>
      </c>
      <c r="B115" s="10" t="n">
        <f aca="false">B112/px-1</f>
        <v>-0.612344680386024</v>
      </c>
    </row>
    <row r="116" customFormat="false" ht="17.15" hidden="false" customHeight="false" outlineLevel="0" collapsed="false">
      <c r="A116" s="4" t="s">
        <v>662</v>
      </c>
      <c r="B116" s="10" t="n">
        <f aca="false">B106/cons_feps-1</f>
        <v>-0.436056123887829</v>
      </c>
      <c r="E116" s="4" t="s">
        <v>663</v>
      </c>
    </row>
    <row r="117" customFormat="false" ht="17.15" hidden="false" customHeight="false" outlineLevel="0" collapsed="false">
      <c r="A117" s="4" t="s">
        <v>664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665</v>
      </c>
      <c r="B118" s="30" t="str">
        <f aca="false">TEXT(D96,"#,##0")&amp;"～"&amp;TEXT(B96,"#,##0")</f>
        <v>13,480～39,080</v>
      </c>
      <c r="E118" s="8" t="s">
        <v>666</v>
      </c>
    </row>
    <row r="119" customFormat="false" ht="17.15" hidden="false" customHeight="false" outlineLevel="0" collapsed="false">
      <c r="A119" s="4" t="s">
        <v>667</v>
      </c>
      <c r="B119" s="25" t="n">
        <f aca="false">IF(px/B82&lt;MIN(B16:B25),0,IF(px/B82&gt;MAX(B16:B25),1,PERCENTRANK(B16:B25,px/B82)))</f>
        <v>0.767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668</v>
      </c>
    </row>
    <row r="120" customFormat="false" ht="17.15" hidden="false" customHeight="false" outlineLevel="0" collapsed="false">
      <c r="A120" s="4" t="s">
        <v>669</v>
      </c>
      <c r="B120" s="0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671</v>
      </c>
    </row>
    <row r="3" customFormat="false" ht="17.15" hidden="false" customHeight="false" outlineLevel="0" collapsed="false">
      <c r="A3" s="5" t="s">
        <v>16</v>
      </c>
      <c r="B3" s="5" t="s">
        <v>672</v>
      </c>
      <c r="C3" s="5" t="s">
        <v>673</v>
      </c>
      <c r="D3" s="5" t="s">
        <v>674</v>
      </c>
      <c r="E3" s="5" t="s">
        <v>675</v>
      </c>
      <c r="F3" s="5" t="s">
        <v>676</v>
      </c>
      <c r="G3" s="5" t="s">
        <v>677</v>
      </c>
      <c r="H3" s="5" t="s">
        <v>678</v>
      </c>
      <c r="I3" s="5" t="s">
        <v>679</v>
      </c>
      <c r="J3" s="5" t="s">
        <v>436</v>
      </c>
    </row>
    <row r="4" customFormat="false" ht="17.15" hidden="false" customHeight="false" outlineLevel="0" collapsed="false">
      <c r="A4" s="6" t="s">
        <v>680</v>
      </c>
    </row>
    <row r="5" customFormat="false" ht="17.15" hidden="false" customHeight="false" outlineLevel="0" collapsed="false">
      <c r="A5" s="4" t="s">
        <v>396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681</v>
      </c>
      <c r="J5" s="4" t="s">
        <v>682</v>
      </c>
    </row>
    <row r="6" customFormat="false" ht="17.15" hidden="false" customHeight="false" outlineLevel="0" collapsed="false">
      <c r="A6" s="4" t="s">
        <v>404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683</v>
      </c>
    </row>
    <row r="7" customFormat="false" ht="17.15" hidden="false" customHeight="false" outlineLevel="0" collapsed="false">
      <c r="A7" s="0" t="s">
        <v>414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684</v>
      </c>
      <c r="J7" s="8" t="s">
        <v>685</v>
      </c>
    </row>
    <row r="8" customFormat="false" ht="17.15" hidden="false" customHeight="false" outlineLevel="0" collapsed="false">
      <c r="A8" s="6" t="s">
        <v>686</v>
      </c>
    </row>
    <row r="9" customFormat="false" ht="15" hidden="false" customHeight="false" outlineLevel="0" collapsed="false">
      <c r="A9" s="4" t="s">
        <v>396</v>
      </c>
      <c r="B9" s="14" t="n">
        <f aca="false">cons_rev27</f>
        <v>9900</v>
      </c>
      <c r="C9" s="14" t="n">
        <f aca="false">PL!E5</f>
        <v>8014.83638733926</v>
      </c>
      <c r="D9" s="10" t="n">
        <f aca="false">C9/B9-1</f>
        <v>-0.190420566935428</v>
      </c>
      <c r="E9" s="14" t="n">
        <f aca="false">PL!E15</f>
        <v>6845.79557102261</v>
      </c>
      <c r="F9" s="10" t="n">
        <f aca="false">E9/B9-1</f>
        <v>-0.308505497876504</v>
      </c>
      <c r="G9" s="14" t="n">
        <f aca="false">PL!E25</f>
        <v>3908.82938433416</v>
      </c>
      <c r="H9" s="10" t="n">
        <f aca="false">G9/B9-1</f>
        <v>-0.605168749057156</v>
      </c>
      <c r="I9" s="8" t="s">
        <v>687</v>
      </c>
    </row>
    <row r="10" customFormat="false" ht="17.15" hidden="false" customHeight="false" outlineLevel="0" collapsed="false">
      <c r="A10" s="0" t="s">
        <v>414</v>
      </c>
      <c r="B10" s="14" t="n">
        <f aca="false">cons_eps27</f>
        <v>4650</v>
      </c>
      <c r="C10" s="14" t="n">
        <f aca="false">PL!E12</f>
        <v>3379.68902765429</v>
      </c>
      <c r="D10" s="10" t="n">
        <f aca="false">C10/B10-1</f>
        <v>-0.273185155343164</v>
      </c>
      <c r="E10" s="14" t="n">
        <f aca="false">PL!E22</f>
        <v>2834.50076378154</v>
      </c>
      <c r="F10" s="10" t="n">
        <f aca="false">E10/B10-1</f>
        <v>-0.390429943272787</v>
      </c>
      <c r="G10" s="14" t="n">
        <f aca="false">PL!E32</f>
        <v>1464.83130996503</v>
      </c>
      <c r="H10" s="10" t="n">
        <f aca="false">G10/B10-1</f>
        <v>-0.684982513986015</v>
      </c>
      <c r="I10" s="8" t="s">
        <v>687</v>
      </c>
    </row>
    <row r="11" customFormat="false" ht="17.15" hidden="false" customHeight="false" outlineLevel="0" collapsed="false">
      <c r="A11" s="6" t="s">
        <v>688</v>
      </c>
    </row>
    <row r="12" customFormat="false" ht="17.15" hidden="false" customHeight="false" outlineLevel="0" collapsed="false">
      <c r="A12" s="0" t="s">
        <v>689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643.146984589201</v>
      </c>
      <c r="F12" s="10" t="n">
        <f aca="false">E12/B12-1</f>
        <v>-0.15263901898656</v>
      </c>
      <c r="G12" s="14" t="n">
        <f aca="false">PL!C136</f>
        <v>757.504900721754</v>
      </c>
      <c r="H12" s="10" t="n">
        <f aca="false">G12/B12-1</f>
        <v>-0.00196982777107524</v>
      </c>
      <c r="I12" s="8" t="s">
        <v>690</v>
      </c>
      <c r="J12" s="4" t="s">
        <v>691</v>
      </c>
    </row>
    <row r="13" customFormat="false" ht="17.15" hidden="false" customHeight="false" outlineLevel="0" collapsed="false">
      <c r="A13" s="0" t="s">
        <v>692</v>
      </c>
      <c r="B13" s="14" t="n">
        <f aca="false">tam28</f>
        <v>1600</v>
      </c>
      <c r="C13" s="14" t="n">
        <f aca="false">PL!F70</f>
        <v>1003.13888199238</v>
      </c>
      <c r="D13" s="10" t="n">
        <f aca="false">C13/B13-1</f>
        <v>-0.373038198754766</v>
      </c>
      <c r="E13" s="14" t="n">
        <f aca="false">PL!F103</f>
        <v>672.780956003836</v>
      </c>
      <c r="F13" s="10" t="n">
        <f aca="false">E13/B13-1</f>
        <v>-0.579511902497602</v>
      </c>
      <c r="G13" s="14" t="n">
        <f aca="false">PL!F136</f>
        <v>231.812726457107</v>
      </c>
      <c r="H13" s="10" t="n">
        <f aca="false">G13/B13-1</f>
        <v>-0.855117045964308</v>
      </c>
      <c r="I13" s="8" t="s">
        <v>693</v>
      </c>
    </row>
    <row r="14" customFormat="false" ht="17.15" hidden="false" customHeight="false" outlineLevel="0" collapsed="false">
      <c r="A14" s="4" t="s">
        <v>694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695</v>
      </c>
      <c r="J14" s="4" t="s">
        <v>696</v>
      </c>
    </row>
    <row r="15" customFormat="false" ht="17.15" hidden="false" customHeight="false" outlineLevel="0" collapsed="false">
      <c r="A15" s="6" t="s">
        <v>697</v>
      </c>
    </row>
    <row r="16" customFormat="false" ht="17.15" hidden="false" customHeight="false" outlineLevel="0" collapsed="false">
      <c r="A16" s="0" t="s">
        <v>698</v>
      </c>
      <c r="B16" s="18" t="n">
        <f aca="false">semi_pkg25</f>
        <v>6.11313868613139</v>
      </c>
      <c r="C16" s="18" t="n">
        <f aca="false">PL!C70/1000</f>
        <v>0.634112601147782</v>
      </c>
      <c r="D16" s="10" t="n">
        <f aca="false">C16/B16-1</f>
        <v>-0.896270535692841</v>
      </c>
      <c r="E16" s="18" t="n">
        <f aca="false">PL!C103/1000</f>
        <v>0.643146984589201</v>
      </c>
      <c r="F16" s="10" t="n">
        <f aca="false">E16/B16-1</f>
        <v>-0.894792672371677</v>
      </c>
      <c r="G16" s="18" t="n">
        <f aca="false">PL!C136/1000</f>
        <v>0.757504900721754</v>
      </c>
      <c r="H16" s="10" t="n">
        <f aca="false">G16/B16-1</f>
        <v>-0.876085765493874</v>
      </c>
      <c r="I16" s="8" t="s">
        <v>699</v>
      </c>
      <c r="J16" s="4" t="s">
        <v>700</v>
      </c>
    </row>
    <row r="17" customFormat="false" ht="17.15" hidden="false" customHeight="false" outlineLevel="0" collapsed="false">
      <c r="A17" s="0" t="s">
        <v>701</v>
      </c>
      <c r="B17" s="18" t="n">
        <f aca="false">semi_pkg28</f>
        <v>8.6</v>
      </c>
      <c r="C17" s="18" t="n">
        <f aca="false">PL!F70/1000</f>
        <v>1.00313888199238</v>
      </c>
      <c r="D17" s="10" t="n">
        <f aca="false">C17/B17-1</f>
        <v>-0.883355943954375</v>
      </c>
      <c r="E17" s="18" t="n">
        <f aca="false">PL!F103/1000</f>
        <v>0.672780956003837</v>
      </c>
      <c r="F17" s="10" t="n">
        <f aca="false">E17/B17-1</f>
        <v>-0.921769656278624</v>
      </c>
      <c r="G17" s="18" t="n">
        <f aca="false">PL!F136/1000</f>
        <v>0.231812726457107</v>
      </c>
      <c r="H17" s="10" t="n">
        <f aca="false">G17/B17-1</f>
        <v>-0.973045031807313</v>
      </c>
      <c r="I17" s="8" t="s">
        <v>702</v>
      </c>
    </row>
    <row r="18" customFormat="false" ht="17.15" hidden="false" customHeight="false" outlineLevel="0" collapsed="false">
      <c r="A18" s="6" t="s">
        <v>703</v>
      </c>
    </row>
    <row r="19" customFormat="false" ht="17.15" hidden="false" customHeight="false" outlineLevel="0" collapsed="false">
      <c r="A19" s="0" t="s">
        <v>704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705</v>
      </c>
      <c r="C20" s="14" t="n">
        <f aca="false">Units!D32</f>
        <v>331.628764822519</v>
      </c>
      <c r="J20" s="4" t="s">
        <v>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707</v>
      </c>
    </row>
    <row r="3" customFormat="false" ht="17.15" hidden="false" customHeight="false" outlineLevel="0" collapsed="false">
      <c r="A3" s="5" t="s">
        <v>708</v>
      </c>
      <c r="B3" s="5" t="s">
        <v>709</v>
      </c>
      <c r="C3" s="13" t="s">
        <v>710</v>
      </c>
      <c r="D3" s="13" t="s">
        <v>711</v>
      </c>
      <c r="E3" s="5" t="s">
        <v>712</v>
      </c>
      <c r="F3" s="13" t="s">
        <v>713</v>
      </c>
      <c r="G3" s="13" t="s">
        <v>714</v>
      </c>
      <c r="H3" s="5" t="s">
        <v>712</v>
      </c>
    </row>
    <row r="4" customFormat="false" ht="17.15" hidden="false" customHeight="false" outlineLevel="0" collapsed="false">
      <c r="A4" s="4" t="s">
        <v>715</v>
      </c>
      <c r="B4" s="0" t="s">
        <v>716</v>
      </c>
      <c r="C4" s="14" t="n">
        <f aca="false">PL!E60</f>
        <v>8014.83638733926</v>
      </c>
      <c r="D4" s="14" t="n">
        <f aca="false">PL!E68</f>
        <v>3379.68902765429</v>
      </c>
      <c r="E4" s="10" t="n">
        <f aca="false">D4/D$4-1</f>
        <v>0</v>
      </c>
      <c r="F4" s="14" t="n">
        <f aca="false">PL!F60</f>
        <v>8876.96904805627</v>
      </c>
      <c r="G4" s="14" t="n">
        <f aca="false">PL!F68</f>
        <v>3781.74907719578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717</v>
      </c>
      <c r="B5" s="0" t="s">
        <v>718</v>
      </c>
      <c r="C5" s="14" t="n">
        <f aca="false">E80</f>
        <v>7731.46653483074</v>
      </c>
      <c r="D5" s="14" t="n">
        <f aca="false">E88</f>
        <v>3247.5380233722</v>
      </c>
      <c r="E5" s="10" t="n">
        <f aca="false">D5/D$4-1</f>
        <v>-0.0391015277443468</v>
      </c>
      <c r="F5" s="14" t="n">
        <f aca="false">F80</f>
        <v>8566.18299358762</v>
      </c>
      <c r="G5" s="14" t="n">
        <f aca="false">F88</f>
        <v>3636.81238456132</v>
      </c>
      <c r="H5" s="10" t="n">
        <f aca="false">G5/G$4-1</f>
        <v>-0.0383253065382991</v>
      </c>
    </row>
    <row r="6" customFormat="false" ht="17.15" hidden="false" customHeight="false" outlineLevel="0" collapsed="false">
      <c r="A6" s="0" t="s">
        <v>719</v>
      </c>
      <c r="B6" s="0" t="s">
        <v>720</v>
      </c>
      <c r="C6" s="14" t="n">
        <f aca="false">E120</f>
        <v>8266.63249784454</v>
      </c>
      <c r="D6" s="14" t="n">
        <f aca="false">E128</f>
        <v>3497.11545316508</v>
      </c>
      <c r="E6" s="10" t="n">
        <f aca="false">D6/D$4-1</f>
        <v>0.034744742652342</v>
      </c>
      <c r="F6" s="14" t="n">
        <f aca="false">F120</f>
        <v>9153.12658218257</v>
      </c>
      <c r="G6" s="14" t="n">
        <f aca="false">F128</f>
        <v>3910.53657929521</v>
      </c>
      <c r="H6" s="10" t="n">
        <f aca="false">G6/G$4-1</f>
        <v>0.0340550098566887</v>
      </c>
    </row>
    <row r="7" customFormat="false" ht="17.15" hidden="false" customHeight="false" outlineLevel="0" collapsed="false">
      <c r="A7" s="4" t="s">
        <v>721</v>
      </c>
      <c r="B7" s="0" t="s">
        <v>722</v>
      </c>
      <c r="C7" s="14" t="n">
        <f aca="false">E160</f>
        <v>7871.46193317101</v>
      </c>
      <c r="D7" s="14" t="n">
        <f aca="false">E168</f>
        <v>3312.82560538476</v>
      </c>
      <c r="E7" s="10" t="n">
        <f aca="false">D7/D$4-1</f>
        <v>-0.0197838977853928</v>
      </c>
      <c r="F7" s="14" t="n">
        <f aca="false">F160</f>
        <v>8719.72303007627</v>
      </c>
      <c r="G7" s="14" t="n">
        <f aca="false">F168</f>
        <v>3708.41657900848</v>
      </c>
      <c r="H7" s="10" t="n">
        <f aca="false">G7/G$4-1</f>
        <v>-0.0193911591410179</v>
      </c>
    </row>
    <row r="8" customFormat="false" ht="17.15" hidden="false" customHeight="false" outlineLevel="0" collapsed="false">
      <c r="A8" s="4" t="s">
        <v>723</v>
      </c>
      <c r="B8" s="0" t="s">
        <v>724</v>
      </c>
      <c r="C8" s="14" t="n">
        <f aca="false">E200</f>
        <v>8150.37497376373</v>
      </c>
      <c r="D8" s="14" t="n">
        <f aca="false">E208</f>
        <v>3442.89815225384</v>
      </c>
      <c r="E8" s="10" t="n">
        <f aca="false">D8/D$4-1</f>
        <v>0.0187026451494041</v>
      </c>
      <c r="F8" s="14" t="n">
        <f aca="false">F200</f>
        <v>9025.62107342249</v>
      </c>
      <c r="G8" s="14" t="n">
        <f aca="false">F208</f>
        <v>3851.07372223762</v>
      </c>
      <c r="H8" s="10" t="n">
        <f aca="false">G8/G$4-1</f>
        <v>0.018331370915081</v>
      </c>
    </row>
    <row r="9" customFormat="false" ht="17.15" hidden="false" customHeight="false" outlineLevel="0" collapsed="false">
      <c r="A9" s="4" t="s">
        <v>725</v>
      </c>
      <c r="B9" s="4" t="s">
        <v>726</v>
      </c>
      <c r="C9" s="14" t="n">
        <f aca="false">E240</f>
        <v>8136.5611049422</v>
      </c>
      <c r="D9" s="14" t="n">
        <f aca="false">E248</f>
        <v>3436.45598269478</v>
      </c>
      <c r="E9" s="10" t="n">
        <f aca="false">D9/D$4-1</f>
        <v>0.0167965024521468</v>
      </c>
      <c r="F9" s="14" t="n">
        <f aca="false">F240</f>
        <v>9010.47070456713</v>
      </c>
      <c r="G9" s="14" t="n">
        <f aca="false">F248</f>
        <v>3844.00826893779</v>
      </c>
      <c r="H9" s="10" t="n">
        <f aca="false">G9/G$4-1</f>
        <v>0.0164630678744488</v>
      </c>
    </row>
    <row r="10" customFormat="false" ht="17.15" hidden="false" customHeight="false" outlineLevel="0" collapsed="false">
      <c r="A10" s="4" t="s">
        <v>727</v>
      </c>
      <c r="B10" s="0" t="s">
        <v>728</v>
      </c>
      <c r="C10" s="14" t="n">
        <f aca="false">E280</f>
        <v>7410.06683399214</v>
      </c>
      <c r="D10" s="14" t="n">
        <f aca="false">E288</f>
        <v>3097.6516015606</v>
      </c>
      <c r="E10" s="10" t="n">
        <f aca="false">D10/D$4-1</f>
        <v>-0.0834507032410141</v>
      </c>
      <c r="F10" s="14" t="n">
        <f aca="false">F280</f>
        <v>7083.27753187901</v>
      </c>
      <c r="G10" s="14" t="n">
        <f aca="false">F288</f>
        <v>2945.25171116791</v>
      </c>
      <c r="H10" s="10" t="n">
        <f aca="false">G10/G$4-1</f>
        <v>-0.221193249195726</v>
      </c>
    </row>
    <row r="11" customFormat="false" ht="17.15" hidden="false" customHeight="false" outlineLevel="0" collapsed="false">
      <c r="A11" s="4" t="s">
        <v>729</v>
      </c>
      <c r="B11" s="0" t="s">
        <v>730</v>
      </c>
      <c r="C11" s="14" t="n">
        <f aca="false">E320</f>
        <v>6783.20264790962</v>
      </c>
      <c r="D11" s="14" t="n">
        <f aca="false">E328</f>
        <v>2805.31022859543</v>
      </c>
      <c r="E11" s="10" t="n">
        <f aca="false">D11/D$4-1</f>
        <v>-0.169950191972991</v>
      </c>
      <c r="F11" s="14" t="n">
        <f aca="false">F320</f>
        <v>5945.19394971952</v>
      </c>
      <c r="G11" s="14" t="n">
        <f aca="false">F328</f>
        <v>2414.5005144265</v>
      </c>
      <c r="H11" s="10" t="n">
        <f aca="false">G11/G$4-1</f>
        <v>-0.361538678230632</v>
      </c>
    </row>
    <row r="12" customFormat="false" ht="15" hidden="false" customHeight="false" outlineLevel="0" collapsed="false">
      <c r="A12" s="4" t="s">
        <v>731</v>
      </c>
      <c r="B12" s="4" t="s">
        <v>732</v>
      </c>
      <c r="C12" s="14" t="n">
        <f aca="false">E360</f>
        <v>9077.970644124</v>
      </c>
      <c r="D12" s="14" t="n">
        <f aca="false">E368</f>
        <v>3875.48721675971</v>
      </c>
      <c r="E12" s="10" t="n">
        <f aca="false">D12/D$4-1</f>
        <v>0.146699351641098</v>
      </c>
      <c r="F12" s="14" t="n">
        <f aca="false">F360</f>
        <v>9178.21036777218</v>
      </c>
      <c r="G12" s="14" t="n">
        <f aca="false">F368</f>
        <v>3922.23453314428</v>
      </c>
      <c r="H12" s="10" t="n">
        <f aca="false">G12/G$4-1</f>
        <v>0.0371482753299628</v>
      </c>
    </row>
    <row r="13" customFormat="false" ht="15" hidden="false" customHeight="false" outlineLevel="0" collapsed="false">
      <c r="A13" s="4" t="s">
        <v>733</v>
      </c>
      <c r="B13" s="4" t="s">
        <v>734</v>
      </c>
      <c r="C13" s="14" t="n">
        <f aca="false">E400</f>
        <v>7476.67479969568</v>
      </c>
      <c r="D13" s="14" t="n">
        <f aca="false">E408</f>
        <v>3128.71457273762</v>
      </c>
      <c r="E13" s="10" t="n">
        <f aca="false">D13/D$4-1</f>
        <v>-0.0742596294697741</v>
      </c>
      <c r="F13" s="14" t="n">
        <f aca="false">F400</f>
        <v>9898.62752228573</v>
      </c>
      <c r="G13" s="14" t="n">
        <f aca="false">F408</f>
        <v>4258.2048194264</v>
      </c>
      <c r="H13" s="10" t="n">
        <f aca="false">G13/G$4-1</f>
        <v>0.125988195542555</v>
      </c>
    </row>
    <row r="14" customFormat="false" ht="15" hidden="false" customHeight="false" outlineLevel="0" collapsed="false">
      <c r="A14" s="4" t="s">
        <v>735</v>
      </c>
      <c r="C14" s="14" t="n">
        <f aca="false">E440</f>
        <v>7568.64721920796</v>
      </c>
      <c r="D14" s="14" t="n">
        <f aca="false">E448</f>
        <v>3171.60638884723</v>
      </c>
      <c r="E14" s="10" t="n">
        <f aca="false">D14/D$4-1</f>
        <v>-0.0615685754234868</v>
      </c>
      <c r="F14" s="14" t="n">
        <f aca="false">F440</f>
        <v>8345.40864656531</v>
      </c>
      <c r="G14" s="14" t="n">
        <f aca="false">F448</f>
        <v>3533.85311976852</v>
      </c>
      <c r="H14" s="10" t="n">
        <f aca="false">G14/G$4-1</f>
        <v>-0.0655506096166153</v>
      </c>
    </row>
    <row r="15" customFormat="false" ht="15" hidden="false" customHeight="false" outlineLevel="0" collapsed="false">
      <c r="A15" s="4" t="s">
        <v>736</v>
      </c>
      <c r="C15" s="14" t="n">
        <f aca="false">E480</f>
        <v>8232.17488616461</v>
      </c>
      <c r="D15" s="14" t="n">
        <f aca="false">E488</f>
        <v>3481.04596677352</v>
      </c>
      <c r="E15" s="10" t="n">
        <f aca="false">D15/D$4-1</f>
        <v>0.0299900192857618</v>
      </c>
      <c r="F15" s="14" t="n">
        <f aca="false">F480</f>
        <v>8655.3893435758</v>
      </c>
      <c r="G15" s="14" t="n">
        <f aca="false">F488</f>
        <v>3678.41422976439</v>
      </c>
      <c r="H15" s="10" t="n">
        <f aca="false">G15/G$4-1</f>
        <v>-0.0273246176100107</v>
      </c>
    </row>
    <row r="16" customFormat="false" ht="17.15" hidden="false" customHeight="false" outlineLevel="0" collapsed="false">
      <c r="A16" s="4" t="s">
        <v>737</v>
      </c>
      <c r="B16" s="0" t="s">
        <v>738</v>
      </c>
      <c r="C16" s="14" t="n">
        <f aca="false">E520</f>
        <v>7722.41826505685</v>
      </c>
      <c r="D16" s="14" t="n">
        <f aca="false">E528</f>
        <v>3243.31831571082</v>
      </c>
      <c r="E16" s="10" t="n">
        <f aca="false">D16/D$4-1</f>
        <v>-0.0403500768347677</v>
      </c>
      <c r="F16" s="14" t="n">
        <f aca="false">F520</f>
        <v>8512.3670973062</v>
      </c>
      <c r="G16" s="14" t="n">
        <f aca="false">F528</f>
        <v>3611.71506147994</v>
      </c>
      <c r="H16" s="10" t="n">
        <f aca="false">G16/G$4-1</f>
        <v>-0.0449617391965953</v>
      </c>
    </row>
    <row r="17" customFormat="false" ht="17.15" hidden="false" customHeight="false" outlineLevel="0" collapsed="false">
      <c r="A17" s="4" t="s">
        <v>739</v>
      </c>
      <c r="B17" s="0" t="s">
        <v>740</v>
      </c>
      <c r="C17" s="14" t="n">
        <f aca="false">E560</f>
        <v>8369.00089821876</v>
      </c>
      <c r="D17" s="14" t="n">
        <f aca="false">E568</f>
        <v>3544.85548901027</v>
      </c>
      <c r="E17" s="10" t="n">
        <f aca="false">D17/D$4-1</f>
        <v>0.048870313216544</v>
      </c>
      <c r="F17" s="14" t="n">
        <f aca="false">F560</f>
        <v>9318.55957105537</v>
      </c>
      <c r="G17" s="14" t="n">
        <f aca="false">F568</f>
        <v>3987.68711393181</v>
      </c>
      <c r="H17" s="10" t="n">
        <f aca="false">G17/G$4-1</f>
        <v>0.0544557643916279</v>
      </c>
    </row>
    <row r="18" customFormat="false" ht="17.15" hidden="false" customHeight="false" outlineLevel="0" collapsed="false">
      <c r="A18" s="4" t="s">
        <v>741</v>
      </c>
      <c r="C18" s="14" t="n">
        <f aca="false">E600</f>
        <v>7884.59601067093</v>
      </c>
      <c r="D18" s="14" t="n">
        <f aca="false">E608</f>
        <v>3318.95075072598</v>
      </c>
      <c r="E18" s="10" t="n">
        <f aca="false">D18/D$4-1</f>
        <v>-0.0179715578656268</v>
      </c>
      <c r="F18" s="14" t="n">
        <f aca="false">F600</f>
        <v>8595.02451543679</v>
      </c>
      <c r="G18" s="14" t="n">
        <f aca="false">F608</f>
        <v>3650.26277825582</v>
      </c>
      <c r="H18" s="10" t="n">
        <f aca="false">G18/G$4-1</f>
        <v>-0.0347686470614443</v>
      </c>
    </row>
    <row r="19" customFormat="false" ht="17.15" hidden="false" customHeight="false" outlineLevel="0" collapsed="false">
      <c r="A19" s="4" t="s">
        <v>742</v>
      </c>
      <c r="C19" s="14" t="n">
        <f aca="false">E640</f>
        <v>8127.34226625429</v>
      </c>
      <c r="D19" s="14" t="n">
        <f aca="false">E648</f>
        <v>3432.15672933336</v>
      </c>
      <c r="E19" s="10" t="n">
        <f aca="false">D19/D$4-1</f>
        <v>0.0155244169655127</v>
      </c>
      <c r="F19" s="14" t="n">
        <f aca="false">F640</f>
        <v>9120.52191744347</v>
      </c>
      <c r="G19" s="14" t="n">
        <f aca="false">F648</f>
        <v>3895.33122434509</v>
      </c>
      <c r="H19" s="10" t="n">
        <f aca="false">G19/G$4-1</f>
        <v>0.0300342896450281</v>
      </c>
    </row>
    <row r="20" customFormat="false" ht="17.15" hidden="false" customHeight="false" outlineLevel="0" collapsed="false">
      <c r="A20" s="0" t="s">
        <v>743</v>
      </c>
      <c r="B20" s="4" t="s">
        <v>744</v>
      </c>
      <c r="C20" s="14" t="n">
        <f aca="false">E680</f>
        <v>7407.01355931723</v>
      </c>
      <c r="D20" s="14" t="n">
        <f aca="false">E688</f>
        <v>3142.03282764213</v>
      </c>
      <c r="E20" s="10" t="n">
        <f aca="false">D20/D$4-1</f>
        <v>-0.0703189548113855</v>
      </c>
      <c r="F20" s="14" t="n">
        <f aca="false">F680</f>
        <v>8210.3389995007</v>
      </c>
      <c r="G20" s="14" t="n">
        <f aca="false">F688</f>
        <v>3521.63560647196</v>
      </c>
      <c r="H20" s="10" t="n">
        <f aca="false">G20/G$4-1</f>
        <v>-0.0687812611080735</v>
      </c>
    </row>
    <row r="21" customFormat="false" ht="17.15" hidden="false" customHeight="false" outlineLevel="0" collapsed="false">
      <c r="A21" s="0" t="s">
        <v>745</v>
      </c>
      <c r="B21" s="4" t="s">
        <v>746</v>
      </c>
      <c r="C21" s="14" t="n">
        <f aca="false">E720</f>
        <v>8622.6592153613</v>
      </c>
      <c r="D21" s="14" t="n">
        <f aca="false">E728</f>
        <v>3622.3641840976</v>
      </c>
      <c r="E21" s="10" t="n">
        <f aca="false">D21/D$4-1</f>
        <v>0.0718039897924387</v>
      </c>
      <c r="F21" s="14" t="n">
        <f aca="false">F720</f>
        <v>9543.59909661185</v>
      </c>
      <c r="G21" s="14" t="n">
        <f aca="false">F728</f>
        <v>4047.49313407556</v>
      </c>
      <c r="H21" s="10" t="n">
        <f aca="false">G21/G$4-1</f>
        <v>0.0702701452304788</v>
      </c>
    </row>
    <row r="22" customFormat="false" ht="17.15" hidden="false" customHeight="false" outlineLevel="0" collapsed="false">
      <c r="A22" s="4" t="s">
        <v>747</v>
      </c>
      <c r="B22" s="4" t="s">
        <v>748</v>
      </c>
      <c r="C22" s="14" t="n">
        <f aca="false">E760</f>
        <v>8014.83638733926</v>
      </c>
      <c r="D22" s="14" t="n">
        <f aca="false">E768</f>
        <v>3123.7755733673</v>
      </c>
      <c r="E22" s="10" t="n">
        <f aca="false">D22/D$4-1</f>
        <v>-0.0757210063390374</v>
      </c>
      <c r="F22" s="14" t="n">
        <f aca="false">F760</f>
        <v>8876.96904805627</v>
      </c>
      <c r="G22" s="14" t="n">
        <f aca="false">F768</f>
        <v>3498.3077562631</v>
      </c>
      <c r="H22" s="10" t="n">
        <f aca="false">G22/G$4-1</f>
        <v>-0.0749497957550511</v>
      </c>
    </row>
    <row r="23" customFormat="false" ht="17.15" hidden="false" customHeight="false" outlineLevel="0" collapsed="false">
      <c r="A23" s="4" t="s">
        <v>749</v>
      </c>
      <c r="C23" s="14" t="n">
        <f aca="false">E800</f>
        <v>8014.83638733926</v>
      </c>
      <c r="D23" s="14" t="n">
        <f aca="false">E808</f>
        <v>3550.29799717895</v>
      </c>
      <c r="E23" s="10" t="n">
        <f aca="false">D23/D$4-1</f>
        <v>0.0504806708926915</v>
      </c>
      <c r="F23" s="14" t="n">
        <f aca="false">F800</f>
        <v>8876.96904805627</v>
      </c>
      <c r="G23" s="14" t="n">
        <f aca="false">F808</f>
        <v>3970.70995781757</v>
      </c>
      <c r="H23" s="10" t="n">
        <f aca="false">G23/G$4-1</f>
        <v>0.0499665305033681</v>
      </c>
    </row>
    <row r="24" customFormat="false" ht="17.15" hidden="false" customHeight="false" outlineLevel="0" collapsed="false">
      <c r="A24" s="0" t="s">
        <v>750</v>
      </c>
      <c r="B24" s="0" t="s">
        <v>751</v>
      </c>
      <c r="C24" s="14" t="n">
        <f aca="false">E840</f>
        <v>8008.56867313069</v>
      </c>
      <c r="D24" s="14" t="n">
        <f aca="false">E848</f>
        <v>3376.76604654009</v>
      </c>
      <c r="E24" s="10" t="n">
        <f aca="false">D24/D$4-1</f>
        <v>-0.000864866882805959</v>
      </c>
      <c r="F24" s="14" t="n">
        <f aca="false">F840</f>
        <v>8884.42854397367</v>
      </c>
      <c r="G24" s="14" t="n">
        <f aca="false">F848</f>
        <v>3785.22785190733</v>
      </c>
      <c r="H24" s="10" t="n">
        <f aca="false">G24/G$4-1</f>
        <v>0.000919885122079522</v>
      </c>
    </row>
    <row r="25" customFormat="false" ht="17.15" hidden="false" customHeight="false" outlineLevel="0" collapsed="false">
      <c r="A25" s="0" t="s">
        <v>752</v>
      </c>
      <c r="C25" s="14" t="n">
        <f aca="false">E880</f>
        <v>8021.10410154784</v>
      </c>
      <c r="D25" s="14" t="n">
        <f aca="false">E888</f>
        <v>3382.61200876849</v>
      </c>
      <c r="E25" s="10" t="n">
        <f aca="false">D25/D$4-1</f>
        <v>0.000864866882805737</v>
      </c>
      <c r="F25" s="14" t="n">
        <f aca="false">F880</f>
        <v>8869.50955213887</v>
      </c>
      <c r="G25" s="14" t="n">
        <f aca="false">F888</f>
        <v>3778.27030248423</v>
      </c>
      <c r="H25" s="10" t="n">
        <f aca="false">G25/G$4-1</f>
        <v>-0.0009198851220793</v>
      </c>
    </row>
    <row r="26" customFormat="false" ht="15" hidden="false" customHeight="false" outlineLevel="0" collapsed="false">
      <c r="A26" s="4" t="s">
        <v>753</v>
      </c>
      <c r="B26" s="0" t="s">
        <v>754</v>
      </c>
      <c r="C26" s="14" t="n">
        <f aca="false">E920</f>
        <v>7848.37193233926</v>
      </c>
      <c r="D26" s="14" t="n">
        <f aca="false">E928</f>
        <v>3302.05746342549</v>
      </c>
      <c r="E26" s="10" t="n">
        <f aca="false">D26/D$4-1</f>
        <v>-0.0229700317377067</v>
      </c>
      <c r="F26" s="14" t="n">
        <f aca="false">F920</f>
        <v>8512.41189160627</v>
      </c>
      <c r="G26" s="14" t="n">
        <f aca="false">F928</f>
        <v>3611.73595153471</v>
      </c>
      <c r="H26" s="10" t="n">
        <f aca="false">G26/G$4-1</f>
        <v>-0.0449562152830972</v>
      </c>
    </row>
    <row r="27" customFormat="false" ht="15" hidden="false" customHeight="false" outlineLevel="0" collapsed="false">
      <c r="A27" s="4" t="s">
        <v>755</v>
      </c>
      <c r="B27" s="0" t="s">
        <v>756</v>
      </c>
      <c r="C27" s="14" t="n">
        <f aca="false">E960</f>
        <v>8181.30084233926</v>
      </c>
      <c r="D27" s="14" t="n">
        <f aca="false">E968</f>
        <v>3457.32059188309</v>
      </c>
      <c r="E27" s="10" t="n">
        <f aca="false">D27/D$4-1</f>
        <v>0.0229700317377064</v>
      </c>
      <c r="F27" s="14" t="n">
        <f aca="false">F960</f>
        <v>9258.17265000627</v>
      </c>
      <c r="G27" s="14" t="n">
        <f aca="false">F968</f>
        <v>3959.52535927973</v>
      </c>
      <c r="H27" s="10" t="n">
        <f aca="false">G27/G$4-1</f>
        <v>0.0470090105015033</v>
      </c>
    </row>
    <row r="28" customFormat="false" ht="17.15" hidden="false" customHeight="false" outlineLevel="0" collapsed="false">
      <c r="A28" s="4" t="s">
        <v>757</v>
      </c>
      <c r="C28" s="14" t="n">
        <f aca="false">E1000</f>
        <v>8014.83638733926</v>
      </c>
      <c r="D28" s="14" t="n">
        <f aca="false">E1008</f>
        <v>3388.71298262537</v>
      </c>
      <c r="E28" s="10" t="n">
        <f aca="false">D28/D$4-1</f>
        <v>0.00267005481783822</v>
      </c>
      <c r="F28" s="14" t="n">
        <f aca="false">F1000</f>
        <v>8876.96904805627</v>
      </c>
      <c r="G28" s="14" t="n">
        <f aca="false">F1008</f>
        <v>3807.15040138901</v>
      </c>
      <c r="H28" s="10" t="n">
        <f aca="false">G28/G$4-1</f>
        <v>0.00671681903656807</v>
      </c>
    </row>
    <row r="29" customFormat="false" ht="17.15" hidden="false" customHeight="false" outlineLevel="0" collapsed="false">
      <c r="A29" s="4" t="s">
        <v>758</v>
      </c>
      <c r="C29" s="14" t="n">
        <f aca="false">E1040</f>
        <v>8014.83638733926</v>
      </c>
      <c r="D29" s="14" t="n">
        <f aca="false">E1048</f>
        <v>3370.66507268321</v>
      </c>
      <c r="E29" s="10" t="n">
        <f aca="false">D29/D$4-1</f>
        <v>-0.00267005481783833</v>
      </c>
      <c r="F29" s="14" t="n">
        <f aca="false">F1040</f>
        <v>8876.96904805627</v>
      </c>
      <c r="G29" s="14" t="n">
        <f aca="false">F1048</f>
        <v>3756.34775300255</v>
      </c>
      <c r="H29" s="10" t="n">
        <f aca="false">G29/G$4-1</f>
        <v>-0.00671681903656773</v>
      </c>
    </row>
    <row r="30" customFormat="false" ht="17.15" hidden="false" customHeight="false" outlineLevel="0" collapsed="false">
      <c r="A30" s="4" t="s">
        <v>759</v>
      </c>
      <c r="C30" s="14" t="n">
        <f aca="false">E1080</f>
        <v>8014.83638733926</v>
      </c>
      <c r="D30" s="14" t="n">
        <f aca="false">E1088</f>
        <v>2858.53466241425</v>
      </c>
      <c r="E30" s="10" t="n">
        <f aca="false">D30/D$4-1</f>
        <v>-0.154201869158879</v>
      </c>
      <c r="F30" s="14" t="n">
        <f aca="false">F1080</f>
        <v>8876.96904805627</v>
      </c>
      <c r="G30" s="14" t="n">
        <f aca="false">F1088</f>
        <v>3198.59630080233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760</v>
      </c>
      <c r="B31" s="4" t="s">
        <v>761</v>
      </c>
      <c r="C31" s="14" t="n">
        <f aca="false">E1120</f>
        <v>8014.83638733926</v>
      </c>
      <c r="D31" s="14" t="n">
        <f aca="false">E1128</f>
        <v>3771.67767957435</v>
      </c>
      <c r="E31" s="10" t="n">
        <f aca="false">D31/D$4-1</f>
        <v>0.115983644859813</v>
      </c>
      <c r="F31" s="14" t="n">
        <f aca="false">F1120</f>
        <v>8876.96904805627</v>
      </c>
      <c r="G31" s="14" t="n">
        <f aca="false">F1128</f>
        <v>4220.37011911418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762</v>
      </c>
      <c r="B32" s="0" t="s">
        <v>763</v>
      </c>
      <c r="C32" s="14" t="n">
        <f aca="false">PL!E93</f>
        <v>6845.79557102261</v>
      </c>
      <c r="D32" s="14" t="n">
        <f aca="false">PL!E101</f>
        <v>2834.50076378154</v>
      </c>
      <c r="E32" s="10" t="n">
        <f aca="false">D32/D$4-1</f>
        <v>-0.161313144319417</v>
      </c>
      <c r="F32" s="14" t="n">
        <f aca="false">PL!F93</f>
        <v>6940.39947032143</v>
      </c>
      <c r="G32" s="14" t="n">
        <f aca="false">PL!F101</f>
        <v>2878.61978417368</v>
      </c>
      <c r="H32" s="10" t="n">
        <f aca="false">G32/G$4-1</f>
        <v>-0.238812590308551</v>
      </c>
    </row>
    <row r="33" customFormat="false" ht="17.15" hidden="false" customHeight="false" outlineLevel="0" collapsed="false">
      <c r="A33" s="4" t="s">
        <v>764</v>
      </c>
      <c r="B33" s="0" t="s">
        <v>765</v>
      </c>
      <c r="C33" s="14" t="n">
        <f aca="false">PL!E126</f>
        <v>3908.82938433416</v>
      </c>
      <c r="D33" s="14" t="n">
        <f aca="false">PL!E134</f>
        <v>1464.83130996503</v>
      </c>
      <c r="E33" s="10" t="n">
        <f aca="false">D33/D$4-1</f>
        <v>-0.56657807923183</v>
      </c>
      <c r="F33" s="14" t="n">
        <f aca="false">PL!F126</f>
        <v>3827.61859167273</v>
      </c>
      <c r="G33" s="14" t="n">
        <f aca="false">PL!F134</f>
        <v>1325.01985495718</v>
      </c>
      <c r="H33" s="10" t="n">
        <f aca="false">G33/G$4-1</f>
        <v>-0.64962777066645</v>
      </c>
    </row>
    <row r="35" customFormat="false" ht="17.15" hidden="false" customHeight="false" outlineLevel="0" collapsed="false">
      <c r="A35" s="4" t="s">
        <v>766</v>
      </c>
    </row>
    <row r="60" customFormat="false" ht="17.15" hidden="false" customHeight="false" outlineLevel="0" collapsed="false">
      <c r="A60" s="1" t="s">
        <v>767</v>
      </c>
    </row>
    <row r="61" customFormat="false" ht="15" hidden="false" customHeight="false" outlineLevel="0" collapsed="false">
      <c r="A61" s="5" t="s">
        <v>16</v>
      </c>
      <c r="B61" s="5" t="s">
        <v>17</v>
      </c>
      <c r="C61" s="13" t="s">
        <v>430</v>
      </c>
      <c r="D61" s="13" t="s">
        <v>431</v>
      </c>
      <c r="E61" s="13" t="s">
        <v>432</v>
      </c>
      <c r="F61" s="13" t="s">
        <v>433</v>
      </c>
      <c r="G61" s="13" t="s">
        <v>434</v>
      </c>
      <c r="H61" s="13" t="s">
        <v>435</v>
      </c>
      <c r="I61" s="5" t="s">
        <v>436</v>
      </c>
    </row>
    <row r="62" customFormat="false" ht="17.15" hidden="false" customHeight="false" outlineLevel="0" collapsed="false">
      <c r="A62" s="6" t="s">
        <v>470</v>
      </c>
    </row>
    <row r="63" customFormat="false" ht="17.15" hidden="false" customHeight="false" outlineLevel="0" collapsed="false">
      <c r="A63" s="0" t="s">
        <v>471</v>
      </c>
      <c r="B63" s="0" t="s">
        <v>27</v>
      </c>
      <c r="C63" s="19" t="n">
        <f aca="false">hsA_25</f>
        <v>2.22511470588235</v>
      </c>
      <c r="D63" s="19" t="n">
        <f aca="false">hsA_26</f>
        <v>3.782695</v>
      </c>
      <c r="E63" s="19" t="n">
        <f aca="false">hsA_27</f>
        <v>5.86317725</v>
      </c>
      <c r="F63" s="19" t="n">
        <f aca="false">hsA_28</f>
        <v>8.5016070125</v>
      </c>
      <c r="G63" s="19" t="n">
        <f aca="false">hsA_29</f>
        <v>11.477169466875</v>
      </c>
      <c r="H63" s="19" t="n">
        <f aca="false">G63*(1+g_tail)</f>
        <v>12.6248864135625</v>
      </c>
      <c r="I63" s="8" t="s">
        <v>472</v>
      </c>
    </row>
    <row r="64" customFormat="false" ht="17.15" hidden="false" customHeight="false" outlineLevel="0" collapsed="false">
      <c r="A64" s="0" t="s">
        <v>473</v>
      </c>
      <c r="B64" s="0" t="s">
        <v>474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475</v>
      </c>
      <c r="B65" s="4" t="s">
        <v>440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476</v>
      </c>
    </row>
    <row r="66" customFormat="false" ht="15" hidden="false" customHeight="false" outlineLevel="0" collapsed="false">
      <c r="A66" s="4" t="s">
        <v>477</v>
      </c>
      <c r="B66" s="4" t="s">
        <v>91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478</v>
      </c>
      <c r="B67" s="0" t="s">
        <v>111</v>
      </c>
      <c r="C67" s="20" t="n">
        <f aca="false">1+beta*(C66-$C66)/4</f>
        <v>1</v>
      </c>
      <c r="D67" s="20" t="n">
        <f aca="false">1+beta*(D66-$C66)/4</f>
        <v>1.05</v>
      </c>
      <c r="E67" s="20" t="n">
        <f aca="false">1+beta*(E66-$C66)/4</f>
        <v>1.0625</v>
      </c>
      <c r="F67" s="20" t="n">
        <f aca="false">1+beta*(F66-$C66)/4</f>
        <v>1.1</v>
      </c>
      <c r="G67" s="20" t="n">
        <f aca="false">1+beta*(G66-$C66)/4</f>
        <v>1.125</v>
      </c>
      <c r="H67" s="20" t="n">
        <f aca="false">1+beta*(H66-$C66)/4</f>
        <v>1.15</v>
      </c>
    </row>
    <row r="68" customFormat="false" ht="17.15" hidden="false" customHeight="false" outlineLevel="0" collapsed="false">
      <c r="A68" s="4" t="s">
        <v>479</v>
      </c>
      <c r="B68" s="0" t="s">
        <v>64</v>
      </c>
      <c r="C68" s="10" t="n">
        <f aca="false">0</f>
        <v>0</v>
      </c>
      <c r="D68" s="10" t="n">
        <f aca="false">0</f>
        <v>0</v>
      </c>
      <c r="E68" s="10" t="n">
        <f aca="false">0</f>
        <v>0</v>
      </c>
      <c r="F68" s="10" t="n">
        <f aca="false">0</f>
        <v>0</v>
      </c>
      <c r="G68" s="10" t="n">
        <f aca="false">0</f>
        <v>0</v>
      </c>
      <c r="H68" s="10" t="n">
        <f aca="false">0</f>
        <v>0</v>
      </c>
      <c r="I68" s="4" t="s">
        <v>480</v>
      </c>
    </row>
    <row r="69" customFormat="false" ht="17.15" hidden="false" customHeight="false" outlineLevel="0" collapsed="false">
      <c r="A69" s="0" t="s">
        <v>481</v>
      </c>
      <c r="B69" s="4" t="s">
        <v>442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2671.9336325</v>
      </c>
      <c r="G69" s="14" t="n">
        <f aca="false">G65*G67*(1-G68)</f>
        <v>3443.1508400625</v>
      </c>
      <c r="H69" s="14" t="n">
        <f aca="false">H65*H67*(1-H68)</f>
        <v>3629.65484389922</v>
      </c>
    </row>
    <row r="70" customFormat="false" ht="17.15" hidden="false" customHeight="false" outlineLevel="0" collapsed="false">
      <c r="A70" s="4" t="s">
        <v>482</v>
      </c>
      <c r="B70" s="4" t="s">
        <v>442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MAX(0,F69-E69)+dlt*E69</f>
        <v>946.806480096154</v>
      </c>
      <c r="F70" s="14" t="n">
        <f aca="false">MAX(0,G69-F69)+dlt*F69</f>
        <v>1038.4105708125</v>
      </c>
      <c r="G70" s="14" t="n">
        <f aca="false">MAX(0,H69-G69)+dlt*G69</f>
        <v>530.819087842968</v>
      </c>
      <c r="I70" s="4" t="s">
        <v>483</v>
      </c>
    </row>
    <row r="71" customFormat="false" ht="17.15" hidden="false" customHeight="false" outlineLevel="0" collapsed="false">
      <c r="A71" s="0" t="s">
        <v>484</v>
      </c>
      <c r="B71" s="0" t="s">
        <v>64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485</v>
      </c>
      <c r="B72" s="0" t="s">
        <v>64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486</v>
      </c>
      <c r="B73" s="0" t="s">
        <v>64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487</v>
      </c>
      <c r="B74" s="0" t="s">
        <v>64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488</v>
      </c>
      <c r="B75" s="4" t="s">
        <v>442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274.573879227885</v>
      </c>
      <c r="F75" s="14" t="n">
        <f aca="false">F70*F74</f>
        <v>301.139065535625</v>
      </c>
      <c r="G75" s="14" t="n">
        <f aca="false">G70*G74</f>
        <v>153.937535474461</v>
      </c>
    </row>
    <row r="76" customFormat="false" ht="17.15" hidden="false" customHeight="false" outlineLevel="0" collapsed="false">
      <c r="A76" s="6" t="s">
        <v>489</v>
      </c>
    </row>
    <row r="77" customFormat="false" ht="17.15" hidden="false" customHeight="false" outlineLevel="0" collapsed="false">
      <c r="A77" s="4" t="s">
        <v>490</v>
      </c>
      <c r="B77" s="4" t="s">
        <v>228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</row>
    <row r="78" customFormat="false" ht="17.15" hidden="false" customHeight="false" outlineLevel="0" collapsed="false">
      <c r="A78" s="0" t="s">
        <v>491</v>
      </c>
      <c r="B78" s="4" t="s">
        <v>228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4002.66274283074</v>
      </c>
      <c r="F78" s="14" t="n">
        <f aca="false">$C79*F75</f>
        <v>4389.92274654762</v>
      </c>
      <c r="G78" s="14" t="n">
        <f aca="false">$C79*G75</f>
        <v>2244.05919346546</v>
      </c>
      <c r="I78" s="8" t="s">
        <v>492</v>
      </c>
    </row>
    <row r="79" customFormat="false" ht="17.15" hidden="false" customHeight="false" outlineLevel="0" collapsed="false">
      <c r="A79" s="4" t="s">
        <v>493</v>
      </c>
      <c r="B79" s="4" t="s">
        <v>494</v>
      </c>
      <c r="C79" s="20" t="n">
        <f aca="false">(C78+D78)/(C75+D75)</f>
        <v>14.5777258713991</v>
      </c>
      <c r="I79" s="4" t="s">
        <v>495</v>
      </c>
    </row>
    <row r="80" customFormat="false" ht="15" hidden="false" customHeight="false" outlineLevel="0" collapsed="false">
      <c r="A80" s="4" t="s">
        <v>396</v>
      </c>
      <c r="B80" s="4" t="s">
        <v>228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7731.46653483074</v>
      </c>
      <c r="F80" s="14" t="n">
        <f aca="false">F77+F78</f>
        <v>8566.18299358762</v>
      </c>
      <c r="G80" s="14" t="n">
        <f aca="false">G77+G78</f>
        <v>6921.47067015026</v>
      </c>
    </row>
    <row r="81" customFormat="false" ht="17.15" hidden="false" customHeight="false" outlineLevel="0" collapsed="false">
      <c r="A81" s="0" t="s">
        <v>496</v>
      </c>
      <c r="B81" s="0" t="s">
        <v>64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0.517710672974977</v>
      </c>
      <c r="F81" s="10" t="n">
        <f aca="false">F78/F80</f>
        <v>0.51247127802824</v>
      </c>
      <c r="G81" s="10" t="n">
        <f aca="false">G78/G80</f>
        <v>0.324217106509352</v>
      </c>
    </row>
    <row r="82" customFormat="false" ht="17.15" hidden="false" customHeight="false" outlineLevel="0" collapsed="false">
      <c r="A82" s="4" t="s">
        <v>497</v>
      </c>
      <c r="B82" s="4" t="s">
        <v>228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944.096840094326</v>
      </c>
      <c r="F82" s="14" t="n">
        <f aca="false">opex_fix+opex_var*F80</f>
        <v>1002.4777805555</v>
      </c>
      <c r="G82" s="14" t="n">
        <f aca="false">opex_fix+opex_var*G80</f>
        <v>887.44488378795</v>
      </c>
      <c r="I82" s="4" t="s">
        <v>498</v>
      </c>
    </row>
    <row r="83" customFormat="false" ht="17.15" hidden="false" customHeight="false" outlineLevel="0" collapsed="false">
      <c r="A83" s="4" t="s">
        <v>465</v>
      </c>
      <c r="B83" s="0" t="s">
        <v>64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499</v>
      </c>
    </row>
    <row r="84" customFormat="false" ht="15" hidden="false" customHeight="false" outlineLevel="0" collapsed="false">
      <c r="A84" s="4" t="s">
        <v>401</v>
      </c>
      <c r="B84" s="4" t="s">
        <v>228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4602.28828023206</v>
      </c>
      <c r="F84" s="14" t="n">
        <f aca="false">F80*F83</f>
        <v>5099.16759260403</v>
      </c>
      <c r="G84" s="14" t="n">
        <f aca="false">G80*G83</f>
        <v>4120.12432617997</v>
      </c>
    </row>
    <row r="85" customFormat="false" ht="15" hidden="false" customHeight="false" outlineLevel="0" collapsed="false">
      <c r="A85" s="4" t="s">
        <v>404</v>
      </c>
      <c r="B85" s="4" t="s">
        <v>228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3658.19144013773</v>
      </c>
      <c r="F85" s="14" t="n">
        <f aca="false">F84-F82</f>
        <v>4096.68981204853</v>
      </c>
      <c r="G85" s="14" t="n">
        <f aca="false">G84-G82</f>
        <v>3232.67944239202</v>
      </c>
    </row>
    <row r="86" customFormat="false" ht="15" hidden="false" customHeight="false" outlineLevel="0" collapsed="false">
      <c r="A86" s="4" t="s">
        <v>407</v>
      </c>
      <c r="B86" s="0" t="s">
        <v>64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0.473156214756586</v>
      </c>
      <c r="F86" s="10" t="n">
        <f aca="false">F85/F80</f>
        <v>0.478239819895884</v>
      </c>
      <c r="G86" s="10" t="n">
        <f aca="false">G85/G80</f>
        <v>0.467050948627633</v>
      </c>
    </row>
    <row r="87" customFormat="false" ht="15" hidden="false" customHeight="false" outlineLevel="0" collapsed="false">
      <c r="A87" s="4" t="s">
        <v>466</v>
      </c>
      <c r="B87" s="4" t="s">
        <v>228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3114.09749070955</v>
      </c>
      <c r="F87" s="14" t="n">
        <f aca="false">F85*nioi</f>
        <v>3487.37666485694</v>
      </c>
      <c r="G87" s="14" t="n">
        <f aca="false">G85*nioi</f>
        <v>2751.8731877636</v>
      </c>
    </row>
    <row r="88" customFormat="false" ht="15" hidden="false" customHeight="false" outlineLevel="0" collapsed="false">
      <c r="A88" s="0" t="s">
        <v>467</v>
      </c>
      <c r="B88" s="0" t="s">
        <v>304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3247.5380233722</v>
      </c>
      <c r="F88" s="14" t="n">
        <f aca="false">F87*100/shares</f>
        <v>3636.81238456132</v>
      </c>
      <c r="G88" s="14" t="n">
        <f aca="false">G87*100/shares</f>
        <v>2869.79223978132</v>
      </c>
    </row>
    <row r="89" customFormat="false" ht="17.15" hidden="false" customHeight="false" outlineLevel="0" collapsed="false">
      <c r="A89" s="4" t="s">
        <v>500</v>
      </c>
      <c r="B89" s="4" t="s">
        <v>228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13802.285320106</v>
      </c>
      <c r="F89" s="14" t="n">
        <f aca="false">$C79*F70</f>
        <v>15137.6646432677</v>
      </c>
      <c r="G89" s="14" t="n">
        <f aca="false">$C79*G70</f>
        <v>7738.1351498809</v>
      </c>
      <c r="I89" s="4" t="s">
        <v>501</v>
      </c>
    </row>
    <row r="90" customFormat="false" ht="15" hidden="false" customHeight="false" outlineLevel="0" collapsed="false">
      <c r="A90" s="4" t="s">
        <v>502</v>
      </c>
      <c r="B90" s="0" t="s">
        <v>335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971.991923951126</v>
      </c>
      <c r="F90" s="14" t="n">
        <f aca="false">F89/fx*100</f>
        <v>1066.03272135688</v>
      </c>
      <c r="G90" s="14" t="n">
        <f aca="false">G89/fx*100</f>
        <v>544.939095062035</v>
      </c>
    </row>
    <row r="100" customFormat="false" ht="17.15" hidden="false" customHeight="false" outlineLevel="0" collapsed="false">
      <c r="A100" s="1" t="s">
        <v>768</v>
      </c>
    </row>
    <row r="101" customFormat="false" ht="15" hidden="false" customHeight="false" outlineLevel="0" collapsed="false">
      <c r="A101" s="5" t="s">
        <v>16</v>
      </c>
      <c r="B101" s="5" t="s">
        <v>17</v>
      </c>
      <c r="C101" s="13" t="s">
        <v>430</v>
      </c>
      <c r="D101" s="13" t="s">
        <v>431</v>
      </c>
      <c r="E101" s="13" t="s">
        <v>432</v>
      </c>
      <c r="F101" s="13" t="s">
        <v>433</v>
      </c>
      <c r="G101" s="13" t="s">
        <v>434</v>
      </c>
      <c r="H101" s="13" t="s">
        <v>435</v>
      </c>
      <c r="I101" s="5" t="s">
        <v>436</v>
      </c>
    </row>
    <row r="102" customFormat="false" ht="17.15" hidden="false" customHeight="false" outlineLevel="0" collapsed="false">
      <c r="A102" s="6" t="s">
        <v>470</v>
      </c>
    </row>
    <row r="103" customFormat="false" ht="17.15" hidden="false" customHeight="false" outlineLevel="0" collapsed="false">
      <c r="A103" s="0" t="s">
        <v>471</v>
      </c>
      <c r="B103" s="0" t="s">
        <v>27</v>
      </c>
      <c r="C103" s="19" t="n">
        <f aca="false">hsA_25</f>
        <v>2.22511470588235</v>
      </c>
      <c r="D103" s="19" t="n">
        <f aca="false">hsA_26</f>
        <v>3.782695</v>
      </c>
      <c r="E103" s="19" t="n">
        <f aca="false">hsA_27</f>
        <v>5.86317725</v>
      </c>
      <c r="F103" s="19" t="n">
        <f aca="false">hsA_28</f>
        <v>8.5016070125</v>
      </c>
      <c r="G103" s="19" t="n">
        <f aca="false">hsA_29</f>
        <v>11.477169466875</v>
      </c>
      <c r="H103" s="19" t="n">
        <f aca="false">G103*(1+g_tail)</f>
        <v>12.6248864135625</v>
      </c>
      <c r="I103" s="8" t="s">
        <v>472</v>
      </c>
    </row>
    <row r="104" customFormat="false" ht="17.15" hidden="false" customHeight="false" outlineLevel="0" collapsed="false">
      <c r="A104" s="0" t="s">
        <v>473</v>
      </c>
      <c r="B104" s="0" t="s">
        <v>474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475</v>
      </c>
      <c r="B105" s="4" t="s">
        <v>440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476</v>
      </c>
    </row>
    <row r="106" customFormat="false" ht="15" hidden="false" customHeight="false" outlineLevel="0" collapsed="false">
      <c r="A106" s="4" t="s">
        <v>477</v>
      </c>
      <c r="B106" s="4" t="s">
        <v>91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478</v>
      </c>
      <c r="B107" s="0" t="s">
        <v>111</v>
      </c>
      <c r="C107" s="20" t="n">
        <f aca="false">1+beta*(C106-$C106)/4</f>
        <v>1</v>
      </c>
      <c r="D107" s="20" t="n">
        <f aca="false">1+beta*(D106-$C106)/4</f>
        <v>1.05</v>
      </c>
      <c r="E107" s="20" t="n">
        <f aca="false">1+beta*(E106-$C106)/4</f>
        <v>1.0625</v>
      </c>
      <c r="F107" s="20" t="n">
        <f aca="false">1+beta*(F106-$C106)/4</f>
        <v>1.1</v>
      </c>
      <c r="G107" s="20" t="n">
        <f aca="false">1+beta*(G106-$C106)/4</f>
        <v>1.125</v>
      </c>
      <c r="H107" s="20" t="n">
        <f aca="false">1+beta*(H106-$C106)/4</f>
        <v>1.15</v>
      </c>
    </row>
    <row r="108" customFormat="false" ht="17.15" hidden="false" customHeight="false" outlineLevel="0" collapsed="false">
      <c r="A108" s="4" t="s">
        <v>479</v>
      </c>
      <c r="B108" s="0" t="s">
        <v>64</v>
      </c>
      <c r="C108" s="10" t="n">
        <f aca="false">0</f>
        <v>0</v>
      </c>
      <c r="D108" s="10" t="n">
        <f aca="false">0</f>
        <v>0</v>
      </c>
      <c r="E108" s="10" t="n">
        <f aca="false">0</f>
        <v>0</v>
      </c>
      <c r="F108" s="10" t="n">
        <f aca="false">0</f>
        <v>0</v>
      </c>
      <c r="G108" s="10" t="n">
        <f aca="false">0</f>
        <v>0</v>
      </c>
      <c r="H108" s="10" t="n">
        <f aca="false">0</f>
        <v>0</v>
      </c>
      <c r="I108" s="4" t="s">
        <v>480</v>
      </c>
    </row>
    <row r="109" customFormat="false" ht="17.15" hidden="false" customHeight="false" outlineLevel="0" collapsed="false">
      <c r="A109" s="0" t="s">
        <v>481</v>
      </c>
      <c r="B109" s="4" t="s">
        <v>442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2671.9336325</v>
      </c>
      <c r="G109" s="14" t="n">
        <f aca="false">G105*G107*(1-G108)</f>
        <v>3443.1508400625</v>
      </c>
      <c r="H109" s="14" t="n">
        <f aca="false">H105*H107*(1-H108)</f>
        <v>3629.65484389922</v>
      </c>
    </row>
    <row r="110" customFormat="false" ht="17.15" hidden="false" customHeight="false" outlineLevel="0" collapsed="false">
      <c r="A110" s="4" t="s">
        <v>482</v>
      </c>
      <c r="B110" s="4" t="s">
        <v>442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MAX(0,F109-E109)+dlt*E109</f>
        <v>946.806480096154</v>
      </c>
      <c r="F110" s="14" t="n">
        <f aca="false">MAX(0,G109-F109)+dlt*F109</f>
        <v>1038.4105708125</v>
      </c>
      <c r="G110" s="14" t="n">
        <f aca="false">MAX(0,H109-G109)+dlt*G109</f>
        <v>530.819087842968</v>
      </c>
      <c r="I110" s="4" t="s">
        <v>483</v>
      </c>
    </row>
    <row r="111" customFormat="false" ht="17.15" hidden="false" customHeight="false" outlineLevel="0" collapsed="false">
      <c r="A111" s="0" t="s">
        <v>484</v>
      </c>
      <c r="B111" s="0" t="s">
        <v>64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485</v>
      </c>
      <c r="B112" s="0" t="s">
        <v>64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486</v>
      </c>
      <c r="B113" s="0" t="s">
        <v>64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487</v>
      </c>
      <c r="B114" s="0" t="s">
        <v>64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488</v>
      </c>
      <c r="B115" s="4" t="s">
        <v>442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350.318397635577</v>
      </c>
      <c r="F115" s="14" t="n">
        <f aca="false">F110*F114</f>
        <v>384.211911200625</v>
      </c>
      <c r="G115" s="14" t="n">
        <f aca="false">G110*G114</f>
        <v>196.403062501898</v>
      </c>
    </row>
    <row r="116" customFormat="false" ht="17.15" hidden="false" customHeight="false" outlineLevel="0" collapsed="false">
      <c r="A116" s="6" t="s">
        <v>489</v>
      </c>
    </row>
    <row r="117" customFormat="false" ht="17.15" hidden="false" customHeight="false" outlineLevel="0" collapsed="false">
      <c r="A117" s="4" t="s">
        <v>490</v>
      </c>
      <c r="B117" s="4" t="s">
        <v>228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</row>
    <row r="118" customFormat="false" ht="17.15" hidden="false" customHeight="false" outlineLevel="0" collapsed="false">
      <c r="A118" s="0" t="s">
        <v>491</v>
      </c>
      <c r="B118" s="4" t="s">
        <v>228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4537.82870584454</v>
      </c>
      <c r="F118" s="14" t="n">
        <f aca="false">$C119*F115</f>
        <v>4976.86633514257</v>
      </c>
      <c r="G118" s="14" t="n">
        <f aca="false">$C119*G115</f>
        <v>2544.09548842485</v>
      </c>
      <c r="I118" s="8" t="s">
        <v>492</v>
      </c>
    </row>
    <row r="119" customFormat="false" ht="17.15" hidden="false" customHeight="false" outlineLevel="0" collapsed="false">
      <c r="A119" s="4" t="s">
        <v>493</v>
      </c>
      <c r="B119" s="4" t="s">
        <v>494</v>
      </c>
      <c r="C119" s="20" t="n">
        <f aca="false">(C118+D118)/(C115+D115)</f>
        <v>12.9534410309934</v>
      </c>
      <c r="I119" s="4" t="s">
        <v>495</v>
      </c>
    </row>
    <row r="120" customFormat="false" ht="15" hidden="false" customHeight="false" outlineLevel="0" collapsed="false">
      <c r="A120" s="4" t="s">
        <v>396</v>
      </c>
      <c r="B120" s="4" t="s">
        <v>228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8266.63249784454</v>
      </c>
      <c r="F120" s="14" t="n">
        <f aca="false">F117+F118</f>
        <v>9153.12658218257</v>
      </c>
      <c r="G120" s="14" t="n">
        <f aca="false">G117+G118</f>
        <v>7221.50696510965</v>
      </c>
    </row>
    <row r="121" customFormat="false" ht="17.15" hidden="false" customHeight="false" outlineLevel="0" collapsed="false">
      <c r="A121" s="0" t="s">
        <v>496</v>
      </c>
      <c r="B121" s="0" t="s">
        <v>64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0.548933160755331</v>
      </c>
      <c r="F121" s="10" t="n">
        <f aca="false">F118/F120</f>
        <v>0.543734022517564</v>
      </c>
      <c r="G121" s="10" t="n">
        <f aca="false">G118/G120</f>
        <v>0.352294264994345</v>
      </c>
    </row>
    <row r="122" customFormat="false" ht="17.15" hidden="false" customHeight="false" outlineLevel="0" collapsed="false">
      <c r="A122" s="4" t="s">
        <v>497</v>
      </c>
      <c r="B122" s="4" t="s">
        <v>228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981.526906191364</v>
      </c>
      <c r="F122" s="14" t="n">
        <f aca="false">opex_fix+opex_var*F120</f>
        <v>1043.52922783481</v>
      </c>
      <c r="G122" s="14" t="n">
        <f aca="false">opex_fix+opex_var*G120</f>
        <v>908.429735456386</v>
      </c>
      <c r="I122" s="4" t="s">
        <v>498</v>
      </c>
    </row>
    <row r="123" customFormat="false" ht="17.15" hidden="false" customHeight="false" outlineLevel="0" collapsed="false">
      <c r="A123" s="4" t="s">
        <v>465</v>
      </c>
      <c r="B123" s="0" t="s">
        <v>64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499</v>
      </c>
    </row>
    <row r="124" customFormat="false" ht="15" hidden="false" customHeight="false" outlineLevel="0" collapsed="false">
      <c r="A124" s="4" t="s">
        <v>401</v>
      </c>
      <c r="B124" s="4" t="s">
        <v>228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4920.85501378275</v>
      </c>
      <c r="F124" s="14" t="n">
        <f aca="false">F120*F123</f>
        <v>5448.55584731333</v>
      </c>
      <c r="G124" s="14" t="n">
        <f aca="false">G120*G123</f>
        <v>4298.72608533071</v>
      </c>
    </row>
    <row r="125" customFormat="false" ht="15" hidden="false" customHeight="false" outlineLevel="0" collapsed="false">
      <c r="A125" s="4" t="s">
        <v>404</v>
      </c>
      <c r="B125" s="4" t="s">
        <v>228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3939.32810759139</v>
      </c>
      <c r="F125" s="14" t="n">
        <f aca="false">F124-F122</f>
        <v>4405.02661947852</v>
      </c>
      <c r="G125" s="14" t="n">
        <f aca="false">G124-G122</f>
        <v>3390.29634987432</v>
      </c>
    </row>
    <row r="126" customFormat="false" ht="15" hidden="false" customHeight="false" outlineLevel="0" collapsed="false">
      <c r="A126" s="4" t="s">
        <v>407</v>
      </c>
      <c r="B126" s="0" t="s">
        <v>64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0.47653359558666</v>
      </c>
      <c r="F126" s="10" t="n">
        <f aca="false">F125/F120</f>
        <v>0.481259226552523</v>
      </c>
      <c r="G126" s="10" t="n">
        <f aca="false">G125/G120</f>
        <v>0.469472142899587</v>
      </c>
    </row>
    <row r="127" customFormat="false" ht="15" hidden="false" customHeight="false" outlineLevel="0" collapsed="false">
      <c r="A127" s="4" t="s">
        <v>466</v>
      </c>
      <c r="B127" s="4" t="s">
        <v>228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3353.41984575583</v>
      </c>
      <c r="F127" s="14" t="n">
        <f aca="false">F125*nioi</f>
        <v>3749.85360025619</v>
      </c>
      <c r="G127" s="14" t="n">
        <f aca="false">G125*nioi</f>
        <v>2886.04725276704</v>
      </c>
    </row>
    <row r="128" customFormat="false" ht="15" hidden="false" customHeight="false" outlineLevel="0" collapsed="false">
      <c r="A128" s="0" t="s">
        <v>467</v>
      </c>
      <c r="B128" s="0" t="s">
        <v>304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3497.11545316508</v>
      </c>
      <c r="F128" s="14" t="n">
        <f aca="false">F127*100/shares</f>
        <v>3910.53657929521</v>
      </c>
      <c r="G128" s="14" t="n">
        <f aca="false">G127*100/shares</f>
        <v>3009.71572616831</v>
      </c>
    </row>
    <row r="129" customFormat="false" ht="17.15" hidden="false" customHeight="false" outlineLevel="0" collapsed="false">
      <c r="A129" s="4" t="s">
        <v>500</v>
      </c>
      <c r="B129" s="4" t="s">
        <v>228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12264.4019076879</v>
      </c>
      <c r="F129" s="14" t="n">
        <f aca="false">$C119*F110</f>
        <v>13450.9900949799</v>
      </c>
      <c r="G129" s="14" t="n">
        <f aca="false">$C119*G110</f>
        <v>6875.93375249959</v>
      </c>
      <c r="I129" s="4" t="s">
        <v>501</v>
      </c>
    </row>
    <row r="130" customFormat="false" ht="15" hidden="false" customHeight="false" outlineLevel="0" collapsed="false">
      <c r="A130" s="4" t="s">
        <v>502</v>
      </c>
      <c r="B130" s="0" t="s">
        <v>335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863.690275189292</v>
      </c>
      <c r="F130" s="14" t="n">
        <f aca="false">F129/fx*100</f>
        <v>947.252823590135</v>
      </c>
      <c r="G130" s="14" t="n">
        <f aca="false">G129/fx*100</f>
        <v>484.220686795746</v>
      </c>
    </row>
    <row r="140" customFormat="false" ht="17.15" hidden="false" customHeight="false" outlineLevel="0" collapsed="false">
      <c r="A140" s="1" t="s">
        <v>769</v>
      </c>
    </row>
    <row r="141" customFormat="false" ht="15" hidden="false" customHeight="false" outlineLevel="0" collapsed="false">
      <c r="A141" s="5" t="s">
        <v>16</v>
      </c>
      <c r="B141" s="5" t="s">
        <v>17</v>
      </c>
      <c r="C141" s="13" t="s">
        <v>430</v>
      </c>
      <c r="D141" s="13" t="s">
        <v>431</v>
      </c>
      <c r="E141" s="13" t="s">
        <v>432</v>
      </c>
      <c r="F141" s="13" t="s">
        <v>433</v>
      </c>
      <c r="G141" s="13" t="s">
        <v>434</v>
      </c>
      <c r="H141" s="13" t="s">
        <v>435</v>
      </c>
      <c r="I141" s="5" t="s">
        <v>436</v>
      </c>
    </row>
    <row r="142" customFormat="false" ht="17.15" hidden="false" customHeight="false" outlineLevel="0" collapsed="false">
      <c r="A142" s="6" t="s">
        <v>470</v>
      </c>
    </row>
    <row r="143" customFormat="false" ht="17.15" hidden="false" customHeight="false" outlineLevel="0" collapsed="false">
      <c r="A143" s="0" t="s">
        <v>471</v>
      </c>
      <c r="B143" s="0" t="s">
        <v>27</v>
      </c>
      <c r="C143" s="19" t="n">
        <f aca="false">hsA_25</f>
        <v>2.22511470588235</v>
      </c>
      <c r="D143" s="19" t="n">
        <f aca="false">hsA_26</f>
        <v>3.782695</v>
      </c>
      <c r="E143" s="19" t="n">
        <f aca="false">hsA_27</f>
        <v>5.86317725</v>
      </c>
      <c r="F143" s="19" t="n">
        <f aca="false">hsA_28</f>
        <v>8.5016070125</v>
      </c>
      <c r="G143" s="19" t="n">
        <f aca="false">hsA_29</f>
        <v>11.477169466875</v>
      </c>
      <c r="H143" s="19" t="n">
        <f aca="false">G143*(1+g_tail)</f>
        <v>12.6248864135625</v>
      </c>
      <c r="I143" s="8" t="s">
        <v>472</v>
      </c>
    </row>
    <row r="144" customFormat="false" ht="17.15" hidden="false" customHeight="false" outlineLevel="0" collapsed="false">
      <c r="A144" s="0" t="s">
        <v>473</v>
      </c>
      <c r="B144" s="0" t="s">
        <v>474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475</v>
      </c>
      <c r="B145" s="4" t="s">
        <v>440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476</v>
      </c>
    </row>
    <row r="146" customFormat="false" ht="15" hidden="false" customHeight="false" outlineLevel="0" collapsed="false">
      <c r="A146" s="4" t="s">
        <v>477</v>
      </c>
      <c r="B146" s="4" t="s">
        <v>91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478</v>
      </c>
      <c r="B147" s="0" t="s">
        <v>111</v>
      </c>
      <c r="C147" s="20" t="n">
        <f aca="false">1+beta*(C146-$C146)/4</f>
        <v>1</v>
      </c>
      <c r="D147" s="20" t="n">
        <f aca="false">1+beta*(D146-$C146)/4</f>
        <v>1.05</v>
      </c>
      <c r="E147" s="20" t="n">
        <f aca="false">1+beta*(E146-$C146)/4</f>
        <v>1.0625</v>
      </c>
      <c r="F147" s="20" t="n">
        <f aca="false">1+beta*(F146-$C146)/4</f>
        <v>1.1</v>
      </c>
      <c r="G147" s="20" t="n">
        <f aca="false">1+beta*(G146-$C146)/4</f>
        <v>1.125</v>
      </c>
      <c r="H147" s="20" t="n">
        <f aca="false">1+beta*(H146-$C146)/4</f>
        <v>1.15</v>
      </c>
    </row>
    <row r="148" customFormat="false" ht="17.15" hidden="false" customHeight="false" outlineLevel="0" collapsed="false">
      <c r="A148" s="4" t="s">
        <v>479</v>
      </c>
      <c r="B148" s="0" t="s">
        <v>64</v>
      </c>
      <c r="C148" s="10" t="n">
        <f aca="false">0</f>
        <v>0</v>
      </c>
      <c r="D148" s="10" t="n">
        <f aca="false">0</f>
        <v>0</v>
      </c>
      <c r="E148" s="10" t="n">
        <f aca="false">0</f>
        <v>0</v>
      </c>
      <c r="F148" s="10" t="n">
        <f aca="false">0</f>
        <v>0</v>
      </c>
      <c r="G148" s="10" t="n">
        <f aca="false">0</f>
        <v>0</v>
      </c>
      <c r="H148" s="10" t="n">
        <f aca="false">0</f>
        <v>0</v>
      </c>
      <c r="I148" s="4" t="s">
        <v>480</v>
      </c>
    </row>
    <row r="149" customFormat="false" ht="17.15" hidden="false" customHeight="false" outlineLevel="0" collapsed="false">
      <c r="A149" s="0" t="s">
        <v>481</v>
      </c>
      <c r="B149" s="4" t="s">
        <v>442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2671.9336325</v>
      </c>
      <c r="G149" s="14" t="n">
        <f aca="false">G145*G147*(1-G148)</f>
        <v>3443.1508400625</v>
      </c>
      <c r="H149" s="14" t="n">
        <f aca="false">H145*H147*(1-H148)</f>
        <v>3629.65484389922</v>
      </c>
    </row>
    <row r="150" customFormat="false" ht="17.15" hidden="false" customHeight="false" outlineLevel="0" collapsed="false">
      <c r="A150" s="4" t="s">
        <v>482</v>
      </c>
      <c r="B150" s="4" t="s">
        <v>442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MAX(0,F149-E149)+dlt*E149</f>
        <v>946.806480096154</v>
      </c>
      <c r="F150" s="14" t="n">
        <f aca="false">MAX(0,G149-F149)+dlt*F149</f>
        <v>1038.4105708125</v>
      </c>
      <c r="G150" s="14" t="n">
        <f aca="false">MAX(0,H149-G149)+dlt*G149</f>
        <v>530.819087842968</v>
      </c>
      <c r="I150" s="4" t="s">
        <v>483</v>
      </c>
    </row>
    <row r="151" customFormat="false" ht="17.15" hidden="false" customHeight="false" outlineLevel="0" collapsed="false">
      <c r="A151" s="0" t="s">
        <v>484</v>
      </c>
      <c r="B151" s="0" t="s">
        <v>64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485</v>
      </c>
      <c r="B152" s="0" t="s">
        <v>64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486</v>
      </c>
      <c r="B153" s="0" t="s">
        <v>64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487</v>
      </c>
      <c r="B154" s="0" t="s">
        <v>64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488</v>
      </c>
      <c r="B155" s="4" t="s">
        <v>442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293.510008829808</v>
      </c>
      <c r="F155" s="14" t="n">
        <f aca="false">F150*F154</f>
        <v>321.907276951875</v>
      </c>
      <c r="G155" s="14" t="n">
        <f aca="false">G150*G154</f>
        <v>164.55391723132</v>
      </c>
    </row>
    <row r="156" customFormat="false" ht="17.15" hidden="false" customHeight="false" outlineLevel="0" collapsed="false">
      <c r="A156" s="6" t="s">
        <v>489</v>
      </c>
    </row>
    <row r="157" customFormat="false" ht="17.15" hidden="false" customHeight="false" outlineLevel="0" collapsed="false">
      <c r="A157" s="4" t="s">
        <v>490</v>
      </c>
      <c r="B157" s="4" t="s">
        <v>228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</row>
    <row r="158" customFormat="false" ht="17.15" hidden="false" customHeight="false" outlineLevel="0" collapsed="false">
      <c r="A158" s="0" t="s">
        <v>491</v>
      </c>
      <c r="B158" s="4" t="s">
        <v>228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4142.65814117101</v>
      </c>
      <c r="F158" s="14" t="n">
        <f aca="false">$C159*F155</f>
        <v>4543.46278303627</v>
      </c>
      <c r="G158" s="14" t="n">
        <f aca="false">$C159*G155</f>
        <v>2322.54643580209</v>
      </c>
      <c r="I158" s="8" t="s">
        <v>492</v>
      </c>
    </row>
    <row r="159" customFormat="false" ht="17.15" hidden="false" customHeight="false" outlineLevel="0" collapsed="false">
      <c r="A159" s="4" t="s">
        <v>493</v>
      </c>
      <c r="B159" s="4" t="s">
        <v>494</v>
      </c>
      <c r="C159" s="20" t="n">
        <f aca="false">(C158+D158)/(C155+D155)</f>
        <v>14.1141971876439</v>
      </c>
      <c r="I159" s="4" t="s">
        <v>495</v>
      </c>
    </row>
    <row r="160" customFormat="false" ht="15" hidden="false" customHeight="false" outlineLevel="0" collapsed="false">
      <c r="A160" s="4" t="s">
        <v>396</v>
      </c>
      <c r="B160" s="4" t="s">
        <v>228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7871.46193317101</v>
      </c>
      <c r="F160" s="14" t="n">
        <f aca="false">F157+F158</f>
        <v>8719.72303007627</v>
      </c>
      <c r="G160" s="14" t="n">
        <f aca="false">G157+G158</f>
        <v>6999.95791248689</v>
      </c>
    </row>
    <row r="161" customFormat="false" ht="17.15" hidden="false" customHeight="false" outlineLevel="0" collapsed="false">
      <c r="A161" s="0" t="s">
        <v>496</v>
      </c>
      <c r="B161" s="0" t="s">
        <v>64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0.526288277367321</v>
      </c>
      <c r="F161" s="10" t="n">
        <f aca="false">F158/F160</f>
        <v>0.521055860073176</v>
      </c>
      <c r="G161" s="10" t="n">
        <f aca="false">G158/G160</f>
        <v>0.331794342885835</v>
      </c>
    </row>
    <row r="162" customFormat="false" ht="17.15" hidden="false" customHeight="false" outlineLevel="0" collapsed="false">
      <c r="A162" s="4" t="s">
        <v>497</v>
      </c>
      <c r="B162" s="4" t="s">
        <v>228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953.888264391283</v>
      </c>
      <c r="F162" s="14" t="n">
        <f aca="false">opex_fix+opex_var*F160</f>
        <v>1013.2165309834</v>
      </c>
      <c r="G162" s="14" t="n">
        <f aca="false">opex_fix+opex_var*G160</f>
        <v>892.934363447475</v>
      </c>
      <c r="I162" s="4" t="s">
        <v>498</v>
      </c>
    </row>
    <row r="163" customFormat="false" ht="17.15" hidden="false" customHeight="false" outlineLevel="0" collapsed="false">
      <c r="A163" s="4" t="s">
        <v>465</v>
      </c>
      <c r="B163" s="0" t="s">
        <v>64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499</v>
      </c>
    </row>
    <row r="164" customFormat="false" ht="15" hidden="false" customHeight="false" outlineLevel="0" collapsed="false">
      <c r="A164" s="4" t="s">
        <v>401</v>
      </c>
      <c r="B164" s="4" t="s">
        <v>228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4685.62294619294</v>
      </c>
      <c r="F164" s="14" t="n">
        <f aca="false">F160*F163</f>
        <v>5190.56493711747</v>
      </c>
      <c r="G164" s="14" t="n">
        <f aca="false">G160*G163</f>
        <v>4166.84520557928</v>
      </c>
    </row>
    <row r="165" customFormat="false" ht="15" hidden="false" customHeight="false" outlineLevel="0" collapsed="false">
      <c r="A165" s="4" t="s">
        <v>404</v>
      </c>
      <c r="B165" s="4" t="s">
        <v>228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3731.73468180166</v>
      </c>
      <c r="F165" s="14" t="n">
        <f aca="false">F164-F162</f>
        <v>4177.34840613408</v>
      </c>
      <c r="G165" s="14" t="n">
        <f aca="false">G164-G162</f>
        <v>3273.9108421318</v>
      </c>
    </row>
    <row r="166" customFormat="false" ht="15" hidden="false" customHeight="false" outlineLevel="0" collapsed="false">
      <c r="A166" s="4" t="s">
        <v>407</v>
      </c>
      <c r="B166" s="0" t="s">
        <v>64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0.474084066401415</v>
      </c>
      <c r="F166" s="10" t="n">
        <f aca="false">F165/F160</f>
        <v>0.479068932777506</v>
      </c>
      <c r="G166" s="10" t="n">
        <f aca="false">G165/G160</f>
        <v>0.467704360949318</v>
      </c>
    </row>
    <row r="167" customFormat="false" ht="15" hidden="false" customHeight="false" outlineLevel="0" collapsed="false">
      <c r="A167" s="4" t="s">
        <v>466</v>
      </c>
      <c r="B167" s="4" t="s">
        <v>228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3176.70242215504</v>
      </c>
      <c r="F167" s="14" t="n">
        <f aca="false">F165*nioi</f>
        <v>3556.03866069729</v>
      </c>
      <c r="G167" s="14" t="n">
        <f aca="false">G165*nioi</f>
        <v>2786.97211590042</v>
      </c>
    </row>
    <row r="168" customFormat="false" ht="15" hidden="false" customHeight="false" outlineLevel="0" collapsed="false">
      <c r="A168" s="0" t="s">
        <v>467</v>
      </c>
      <c r="B168" s="0" t="s">
        <v>304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3312.82560538476</v>
      </c>
      <c r="F168" s="14" t="n">
        <f aca="false">F167*100/shares</f>
        <v>3708.41657900848</v>
      </c>
      <c r="G168" s="14" t="n">
        <f aca="false">G167*100/shares</f>
        <v>2906.39517339017</v>
      </c>
    </row>
    <row r="169" customFormat="false" ht="17.15" hidden="false" customHeight="false" outlineLevel="0" collapsed="false">
      <c r="A169" s="4" t="s">
        <v>500</v>
      </c>
      <c r="B169" s="4" t="s">
        <v>228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13363.4133586162</v>
      </c>
      <c r="F169" s="14" t="n">
        <f aca="false">$C159*F150</f>
        <v>14656.3315581815</v>
      </c>
      <c r="G169" s="14" t="n">
        <f aca="false">$C159*G150</f>
        <v>7492.08527678093</v>
      </c>
      <c r="I169" s="4" t="s">
        <v>501</v>
      </c>
    </row>
    <row r="170" customFormat="false" ht="15" hidden="false" customHeight="false" outlineLevel="0" collapsed="false">
      <c r="A170" s="4" t="s">
        <v>502</v>
      </c>
      <c r="B170" s="0" t="s">
        <v>335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941.085447789871</v>
      </c>
      <c r="F170" s="14" t="n">
        <f aca="false">F169/fx*100</f>
        <v>1032.13602522405</v>
      </c>
      <c r="G170" s="14" t="n">
        <f aca="false">G169/fx*100</f>
        <v>527.611639209925</v>
      </c>
    </row>
    <row r="180" customFormat="false" ht="17.15" hidden="false" customHeight="false" outlineLevel="0" collapsed="false">
      <c r="A180" s="1" t="s">
        <v>770</v>
      </c>
    </row>
    <row r="181" customFormat="false" ht="15" hidden="false" customHeight="false" outlineLevel="0" collapsed="false">
      <c r="A181" s="5" t="s">
        <v>16</v>
      </c>
      <c r="B181" s="5" t="s">
        <v>17</v>
      </c>
      <c r="C181" s="13" t="s">
        <v>430</v>
      </c>
      <c r="D181" s="13" t="s">
        <v>431</v>
      </c>
      <c r="E181" s="13" t="s">
        <v>432</v>
      </c>
      <c r="F181" s="13" t="s">
        <v>433</v>
      </c>
      <c r="G181" s="13" t="s">
        <v>434</v>
      </c>
      <c r="H181" s="13" t="s">
        <v>435</v>
      </c>
      <c r="I181" s="5" t="s">
        <v>436</v>
      </c>
    </row>
    <row r="182" customFormat="false" ht="17.15" hidden="false" customHeight="false" outlineLevel="0" collapsed="false">
      <c r="A182" s="6" t="s">
        <v>470</v>
      </c>
    </row>
    <row r="183" customFormat="false" ht="17.15" hidden="false" customHeight="false" outlineLevel="0" collapsed="false">
      <c r="A183" s="0" t="s">
        <v>471</v>
      </c>
      <c r="B183" s="0" t="s">
        <v>27</v>
      </c>
      <c r="C183" s="19" t="n">
        <f aca="false">hsA_25</f>
        <v>2.22511470588235</v>
      </c>
      <c r="D183" s="19" t="n">
        <f aca="false">hsA_26</f>
        <v>3.782695</v>
      </c>
      <c r="E183" s="19" t="n">
        <f aca="false">hsA_27</f>
        <v>5.86317725</v>
      </c>
      <c r="F183" s="19" t="n">
        <f aca="false">hsA_28</f>
        <v>8.5016070125</v>
      </c>
      <c r="G183" s="19" t="n">
        <f aca="false">hsA_29</f>
        <v>11.477169466875</v>
      </c>
      <c r="H183" s="19" t="n">
        <f aca="false">G183*(1+g_tail)</f>
        <v>12.6248864135625</v>
      </c>
      <c r="I183" s="8" t="s">
        <v>472</v>
      </c>
    </row>
    <row r="184" customFormat="false" ht="17.15" hidden="false" customHeight="false" outlineLevel="0" collapsed="false">
      <c r="A184" s="0" t="s">
        <v>473</v>
      </c>
      <c r="B184" s="0" t="s">
        <v>474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475</v>
      </c>
      <c r="B185" s="4" t="s">
        <v>440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476</v>
      </c>
    </row>
    <row r="186" customFormat="false" ht="15" hidden="false" customHeight="false" outlineLevel="0" collapsed="false">
      <c r="A186" s="4" t="s">
        <v>477</v>
      </c>
      <c r="B186" s="4" t="s">
        <v>91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478</v>
      </c>
      <c r="B187" s="0" t="s">
        <v>111</v>
      </c>
      <c r="C187" s="20" t="n">
        <f aca="false">1+beta*(C186-$C186)/4</f>
        <v>1</v>
      </c>
      <c r="D187" s="20" t="n">
        <f aca="false">1+beta*(D186-$C186)/4</f>
        <v>1.05</v>
      </c>
      <c r="E187" s="20" t="n">
        <f aca="false">1+beta*(E186-$C186)/4</f>
        <v>1.0625</v>
      </c>
      <c r="F187" s="20" t="n">
        <f aca="false">1+beta*(F186-$C186)/4</f>
        <v>1.1</v>
      </c>
      <c r="G187" s="20" t="n">
        <f aca="false">1+beta*(G186-$C186)/4</f>
        <v>1.125</v>
      </c>
      <c r="H187" s="20" t="n">
        <f aca="false">1+beta*(H186-$C186)/4</f>
        <v>1.15</v>
      </c>
    </row>
    <row r="188" customFormat="false" ht="17.15" hidden="false" customHeight="false" outlineLevel="0" collapsed="false">
      <c r="A188" s="4" t="s">
        <v>479</v>
      </c>
      <c r="B188" s="0" t="s">
        <v>64</v>
      </c>
      <c r="C188" s="10" t="n">
        <f aca="false">0</f>
        <v>0</v>
      </c>
      <c r="D188" s="10" t="n">
        <f aca="false">0</f>
        <v>0</v>
      </c>
      <c r="E188" s="10" t="n">
        <f aca="false">0</f>
        <v>0</v>
      </c>
      <c r="F188" s="10" t="n">
        <f aca="false">0</f>
        <v>0</v>
      </c>
      <c r="G188" s="10" t="n">
        <f aca="false">0</f>
        <v>0</v>
      </c>
      <c r="H188" s="10" t="n">
        <f aca="false">0</f>
        <v>0</v>
      </c>
      <c r="I188" s="4" t="s">
        <v>480</v>
      </c>
    </row>
    <row r="189" customFormat="false" ht="17.15" hidden="false" customHeight="false" outlineLevel="0" collapsed="false">
      <c r="A189" s="0" t="s">
        <v>481</v>
      </c>
      <c r="B189" s="4" t="s">
        <v>442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2671.9336325</v>
      </c>
      <c r="G189" s="14" t="n">
        <f aca="false">G185*G187*(1-G188)</f>
        <v>3443.1508400625</v>
      </c>
      <c r="H189" s="14" t="n">
        <f aca="false">H185*H187*(1-H188)</f>
        <v>3629.65484389922</v>
      </c>
    </row>
    <row r="190" customFormat="false" ht="17.15" hidden="false" customHeight="false" outlineLevel="0" collapsed="false">
      <c r="A190" s="4" t="s">
        <v>482</v>
      </c>
      <c r="B190" s="4" t="s">
        <v>442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MAX(0,F189-E189)+dlt*E189</f>
        <v>946.806480096154</v>
      </c>
      <c r="F190" s="14" t="n">
        <f aca="false">MAX(0,G189-F189)+dlt*F189</f>
        <v>1038.4105708125</v>
      </c>
      <c r="G190" s="14" t="n">
        <f aca="false">MAX(0,H189-G189)+dlt*G189</f>
        <v>530.819087842968</v>
      </c>
      <c r="I190" s="4" t="s">
        <v>483</v>
      </c>
    </row>
    <row r="191" customFormat="false" ht="17.15" hidden="false" customHeight="false" outlineLevel="0" collapsed="false">
      <c r="A191" s="0" t="s">
        <v>484</v>
      </c>
      <c r="B191" s="0" t="s">
        <v>64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485</v>
      </c>
      <c r="B192" s="0" t="s">
        <v>64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486</v>
      </c>
      <c r="B193" s="0" t="s">
        <v>64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487</v>
      </c>
      <c r="B194" s="0" t="s">
        <v>64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488</v>
      </c>
      <c r="B195" s="4" t="s">
        <v>442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331.382268033654</v>
      </c>
      <c r="F195" s="14" t="n">
        <f aca="false">F190*F194</f>
        <v>363.443699784375</v>
      </c>
      <c r="G195" s="14" t="n">
        <f aca="false">G190*G194</f>
        <v>185.786680745039</v>
      </c>
    </row>
    <row r="196" customFormat="false" ht="17.15" hidden="false" customHeight="false" outlineLevel="0" collapsed="false">
      <c r="A196" s="6" t="s">
        <v>489</v>
      </c>
    </row>
    <row r="197" customFormat="false" ht="17.15" hidden="false" customHeight="false" outlineLevel="0" collapsed="false">
      <c r="A197" s="4" t="s">
        <v>490</v>
      </c>
      <c r="B197" s="4" t="s">
        <v>228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</row>
    <row r="198" customFormat="false" ht="17.15" hidden="false" customHeight="false" outlineLevel="0" collapsed="false">
      <c r="A198" s="0" t="s">
        <v>491</v>
      </c>
      <c r="B198" s="4" t="s">
        <v>228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4421.57118176373</v>
      </c>
      <c r="F198" s="14" t="n">
        <f aca="false">$C199*F195</f>
        <v>4849.36082638249</v>
      </c>
      <c r="G198" s="14" t="n">
        <f aca="false">$C199*G195</f>
        <v>2478.91668559157</v>
      </c>
      <c r="I198" s="8" t="s">
        <v>492</v>
      </c>
    </row>
    <row r="199" customFormat="false" ht="17.15" hidden="false" customHeight="false" outlineLevel="0" collapsed="false">
      <c r="A199" s="4" t="s">
        <v>493</v>
      </c>
      <c r="B199" s="4" t="s">
        <v>494</v>
      </c>
      <c r="C199" s="20" t="n">
        <f aca="false">(C198+D198)/(C195+D195)</f>
        <v>13.3428116356386</v>
      </c>
      <c r="I199" s="4" t="s">
        <v>495</v>
      </c>
    </row>
    <row r="200" customFormat="false" ht="15" hidden="false" customHeight="false" outlineLevel="0" collapsed="false">
      <c r="A200" s="4" t="s">
        <v>396</v>
      </c>
      <c r="B200" s="4" t="s">
        <v>228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8150.37497376373</v>
      </c>
      <c r="F200" s="14" t="n">
        <f aca="false">F197+F198</f>
        <v>9025.62107342249</v>
      </c>
      <c r="G200" s="14" t="n">
        <f aca="false">G197+G198</f>
        <v>7156.32816227637</v>
      </c>
    </row>
    <row r="201" customFormat="false" ht="17.15" hidden="false" customHeight="false" outlineLevel="0" collapsed="false">
      <c r="A201" s="0" t="s">
        <v>496</v>
      </c>
      <c r="B201" s="0" t="s">
        <v>64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0.542499111512892</v>
      </c>
      <c r="F201" s="10" t="n">
        <f aca="false">F198/F200</f>
        <v>0.537288324751664</v>
      </c>
      <c r="G201" s="10" t="n">
        <f aca="false">G198/G200</f>
        <v>0.34639505475152</v>
      </c>
    </row>
    <row r="202" customFormat="false" ht="17.15" hidden="false" customHeight="false" outlineLevel="0" collapsed="false">
      <c r="A202" s="4" t="s">
        <v>497</v>
      </c>
      <c r="B202" s="4" t="s">
        <v>228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973.395733599376</v>
      </c>
      <c r="F202" s="14" t="n">
        <f aca="false">opex_fix+opex_var*F200</f>
        <v>1034.61135945291</v>
      </c>
      <c r="G202" s="14" t="n">
        <f aca="false">opex_fix+opex_var*G200</f>
        <v>903.87106194801</v>
      </c>
      <c r="I202" s="4" t="s">
        <v>498</v>
      </c>
    </row>
    <row r="203" customFormat="false" ht="17.15" hidden="false" customHeight="false" outlineLevel="0" collapsed="false">
      <c r="A203" s="4" t="s">
        <v>465</v>
      </c>
      <c r="B203" s="0" t="s">
        <v>64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499</v>
      </c>
    </row>
    <row r="204" customFormat="false" ht="15" hidden="false" customHeight="false" outlineLevel="0" collapsed="false">
      <c r="A204" s="4" t="s">
        <v>401</v>
      </c>
      <c r="B204" s="4" t="s">
        <v>228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4851.65072528775</v>
      </c>
      <c r="F204" s="14" t="n">
        <f aca="false">F200*F203</f>
        <v>5372.65600269939</v>
      </c>
      <c r="G204" s="14" t="n">
        <f aca="false">G200*G203</f>
        <v>4259.92728318266</v>
      </c>
    </row>
    <row r="205" customFormat="false" ht="15" hidden="false" customHeight="false" outlineLevel="0" collapsed="false">
      <c r="A205" s="4" t="s">
        <v>404</v>
      </c>
      <c r="B205" s="4" t="s">
        <v>228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3878.25499168837</v>
      </c>
      <c r="F205" s="14" t="n">
        <f aca="false">F204-F202</f>
        <v>4338.04464324647</v>
      </c>
      <c r="G205" s="14" t="n">
        <f aca="false">G204-G202</f>
        <v>3356.05622123465</v>
      </c>
    </row>
    <row r="206" customFormat="false" ht="15" hidden="false" customHeight="false" outlineLevel="0" collapsed="false">
      <c r="A206" s="4" t="s">
        <v>407</v>
      </c>
      <c r="B206" s="0" t="s">
        <v>64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0.475837615345622</v>
      </c>
      <c r="F206" s="10" t="n">
        <f aca="false">F205/F200</f>
        <v>0.480636690589704</v>
      </c>
      <c r="G206" s="10" t="n">
        <f aca="false">G205/G200</f>
        <v>0.468963432801426</v>
      </c>
    </row>
    <row r="207" customFormat="false" ht="15" hidden="false" customHeight="false" outlineLevel="0" collapsed="false">
      <c r="A207" s="4" t="s">
        <v>466</v>
      </c>
      <c r="B207" s="4" t="s">
        <v>228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3301.43032030435</v>
      </c>
      <c r="F207" s="14" t="n">
        <f aca="false">F205*nioi</f>
        <v>3692.83405726061</v>
      </c>
      <c r="G207" s="14" t="n">
        <f aca="false">G205*nioi</f>
        <v>2856.89976269627</v>
      </c>
    </row>
    <row r="208" customFormat="false" ht="15" hidden="false" customHeight="false" outlineLevel="0" collapsed="false">
      <c r="A208" s="0" t="s">
        <v>467</v>
      </c>
      <c r="B208" s="0" t="s">
        <v>304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3442.89815225384</v>
      </c>
      <c r="F208" s="14" t="n">
        <f aca="false">F207*100/shares</f>
        <v>3851.07372223762</v>
      </c>
      <c r="G208" s="14" t="n">
        <f aca="false">G207*100/shares</f>
        <v>2979.31925252769</v>
      </c>
    </row>
    <row r="209" customFormat="false" ht="17.15" hidden="false" customHeight="false" outlineLevel="0" collapsed="false">
      <c r="A209" s="4" t="s">
        <v>500</v>
      </c>
      <c r="B209" s="4" t="s">
        <v>228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12633.0605193249</v>
      </c>
      <c r="F209" s="14" t="n">
        <f aca="false">$C199*F190</f>
        <v>13855.3166468071</v>
      </c>
      <c r="G209" s="14" t="n">
        <f aca="false">$C199*G190</f>
        <v>7082.6191016902</v>
      </c>
      <c r="I209" s="4" t="s">
        <v>501</v>
      </c>
    </row>
    <row r="210" customFormat="false" ht="15" hidden="false" customHeight="false" outlineLevel="0" collapsed="false">
      <c r="A210" s="4" t="s">
        <v>502</v>
      </c>
      <c r="B210" s="0" t="s">
        <v>335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889.652149248236</v>
      </c>
      <c r="F210" s="14" t="n">
        <f aca="false">F209/fx*100</f>
        <v>975.726524423035</v>
      </c>
      <c r="G210" s="14" t="n">
        <f aca="false">G209/fx*100</f>
        <v>498.775993076775</v>
      </c>
    </row>
    <row r="220" customFormat="false" ht="17.15" hidden="false" customHeight="false" outlineLevel="0" collapsed="false">
      <c r="A220" s="1" t="s">
        <v>771</v>
      </c>
    </row>
    <row r="221" customFormat="false" ht="15" hidden="false" customHeight="false" outlineLevel="0" collapsed="false">
      <c r="A221" s="5" t="s">
        <v>16</v>
      </c>
      <c r="B221" s="5" t="s">
        <v>17</v>
      </c>
      <c r="C221" s="13" t="s">
        <v>430</v>
      </c>
      <c r="D221" s="13" t="s">
        <v>431</v>
      </c>
      <c r="E221" s="13" t="s">
        <v>432</v>
      </c>
      <c r="F221" s="13" t="s">
        <v>433</v>
      </c>
      <c r="G221" s="13" t="s">
        <v>434</v>
      </c>
      <c r="H221" s="13" t="s">
        <v>435</v>
      </c>
      <c r="I221" s="5" t="s">
        <v>436</v>
      </c>
    </row>
    <row r="222" customFormat="false" ht="17.15" hidden="false" customHeight="false" outlineLevel="0" collapsed="false">
      <c r="A222" s="6" t="s">
        <v>470</v>
      </c>
    </row>
    <row r="223" customFormat="false" ht="17.15" hidden="false" customHeight="false" outlineLevel="0" collapsed="false">
      <c r="A223" s="0" t="s">
        <v>471</v>
      </c>
      <c r="B223" s="0" t="s">
        <v>27</v>
      </c>
      <c r="C223" s="19" t="n">
        <f aca="false">hsA_25</f>
        <v>2.22511470588235</v>
      </c>
      <c r="D223" s="19" t="n">
        <f aca="false">hsA_26</f>
        <v>3.782695</v>
      </c>
      <c r="E223" s="19" t="n">
        <f aca="false">hsA_27</f>
        <v>5.86317725</v>
      </c>
      <c r="F223" s="19" t="n">
        <f aca="false">hsA_28</f>
        <v>8.5016070125</v>
      </c>
      <c r="G223" s="19" t="n">
        <f aca="false">hsA_29</f>
        <v>11.477169466875</v>
      </c>
      <c r="H223" s="19" t="n">
        <f aca="false">G223*(1+g_tail)</f>
        <v>12.6248864135625</v>
      </c>
      <c r="I223" s="8" t="s">
        <v>472</v>
      </c>
    </row>
    <row r="224" customFormat="false" ht="17.15" hidden="false" customHeight="false" outlineLevel="0" collapsed="false">
      <c r="A224" s="0" t="s">
        <v>473</v>
      </c>
      <c r="B224" s="0" t="s">
        <v>474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475</v>
      </c>
      <c r="B225" s="4" t="s">
        <v>440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476</v>
      </c>
    </row>
    <row r="226" customFormat="false" ht="15" hidden="false" customHeight="false" outlineLevel="0" collapsed="false">
      <c r="A226" s="4" t="s">
        <v>477</v>
      </c>
      <c r="B226" s="4" t="s">
        <v>91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478</v>
      </c>
      <c r="B227" s="0" t="s">
        <v>111</v>
      </c>
      <c r="C227" s="20" t="n">
        <f aca="false">1+beta*(C226-$C226)/4</f>
        <v>1</v>
      </c>
      <c r="D227" s="20" t="n">
        <f aca="false">1+beta*(D226-$C226)/4</f>
        <v>1.05</v>
      </c>
      <c r="E227" s="20" t="n">
        <f aca="false">1+beta*(E226-$C226)/4</f>
        <v>1.0625</v>
      </c>
      <c r="F227" s="20" t="n">
        <f aca="false">1+beta*(F226-$C226)/4</f>
        <v>1.1</v>
      </c>
      <c r="G227" s="20" t="n">
        <f aca="false">1+beta*(G226-$C226)/4</f>
        <v>1.125</v>
      </c>
      <c r="H227" s="20" t="n">
        <f aca="false">1+beta*(H226-$C226)/4</f>
        <v>1.15</v>
      </c>
    </row>
    <row r="228" customFormat="false" ht="17.15" hidden="false" customHeight="false" outlineLevel="0" collapsed="false">
      <c r="A228" s="4" t="s">
        <v>479</v>
      </c>
      <c r="B228" s="0" t="s">
        <v>64</v>
      </c>
      <c r="C228" s="10" t="n">
        <f aca="false">0</f>
        <v>0</v>
      </c>
      <c r="D228" s="10" t="n">
        <f aca="false">0</f>
        <v>0</v>
      </c>
      <c r="E228" s="10" t="n">
        <f aca="false">0</f>
        <v>0</v>
      </c>
      <c r="F228" s="10" t="n">
        <f aca="false">0</f>
        <v>0</v>
      </c>
      <c r="G228" s="10" t="n">
        <f aca="false">0</f>
        <v>0</v>
      </c>
      <c r="H228" s="10" t="n">
        <f aca="false">0</f>
        <v>0</v>
      </c>
      <c r="I228" s="4" t="s">
        <v>480</v>
      </c>
    </row>
    <row r="229" customFormat="false" ht="17.15" hidden="false" customHeight="false" outlineLevel="0" collapsed="false">
      <c r="A229" s="0" t="s">
        <v>481</v>
      </c>
      <c r="B229" s="4" t="s">
        <v>442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2671.9336325</v>
      </c>
      <c r="G229" s="14" t="n">
        <f aca="false">G225*G227*(1-G228)</f>
        <v>3443.1508400625</v>
      </c>
      <c r="H229" s="14" t="n">
        <f aca="false">H225*H227*(1-H228)</f>
        <v>3629.65484389922</v>
      </c>
    </row>
    <row r="230" customFormat="false" ht="17.15" hidden="false" customHeight="false" outlineLevel="0" collapsed="false">
      <c r="A230" s="4" t="s">
        <v>482</v>
      </c>
      <c r="B230" s="4" t="s">
        <v>442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MAX(0,F229-E229)+dlt*E229</f>
        <v>946.806480096154</v>
      </c>
      <c r="F230" s="14" t="n">
        <f aca="false">MAX(0,G229-F229)+dlt*F229</f>
        <v>1038.4105708125</v>
      </c>
      <c r="G230" s="14" t="n">
        <f aca="false">MAX(0,H229-G229)+dlt*G229</f>
        <v>530.819087842968</v>
      </c>
      <c r="I230" s="4" t="s">
        <v>483</v>
      </c>
    </row>
    <row r="231" customFormat="false" ht="17.15" hidden="false" customHeight="false" outlineLevel="0" collapsed="false">
      <c r="A231" s="0" t="s">
        <v>484</v>
      </c>
      <c r="B231" s="0" t="s">
        <v>64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485</v>
      </c>
      <c r="B232" s="0" t="s">
        <v>64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486</v>
      </c>
      <c r="B233" s="0" t="s">
        <v>64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487</v>
      </c>
      <c r="B234" s="0" t="s">
        <v>64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488</v>
      </c>
      <c r="B235" s="4" t="s">
        <v>442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350.318397635577</v>
      </c>
      <c r="F235" s="14" t="n">
        <f aca="false">F230*F234</f>
        <v>384.211911200625</v>
      </c>
      <c r="G235" s="14" t="n">
        <f aca="false">G230*G234</f>
        <v>196.403062501898</v>
      </c>
    </row>
    <row r="236" customFormat="false" ht="17.15" hidden="false" customHeight="false" outlineLevel="0" collapsed="false">
      <c r="A236" s="6" t="s">
        <v>489</v>
      </c>
    </row>
    <row r="237" customFormat="false" ht="17.15" hidden="false" customHeight="false" outlineLevel="0" collapsed="false">
      <c r="A237" s="4" t="s">
        <v>490</v>
      </c>
      <c r="B237" s="4" t="s">
        <v>228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</row>
    <row r="238" customFormat="false" ht="17.15" hidden="false" customHeight="false" outlineLevel="0" collapsed="false">
      <c r="A238" s="0" t="s">
        <v>491</v>
      </c>
      <c r="B238" s="4" t="s">
        <v>228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4407.7573129422</v>
      </c>
      <c r="F238" s="14" t="n">
        <f aca="false">$C239*F235</f>
        <v>4834.21045752713</v>
      </c>
      <c r="G238" s="14" t="n">
        <f aca="false">$C239*G235</f>
        <v>2471.17205624906</v>
      </c>
      <c r="I238" s="8" t="s">
        <v>492</v>
      </c>
    </row>
    <row r="239" customFormat="false" ht="17.15" hidden="false" customHeight="false" outlineLevel="0" collapsed="false">
      <c r="A239" s="4" t="s">
        <v>493</v>
      </c>
      <c r="B239" s="4" t="s">
        <v>494</v>
      </c>
      <c r="C239" s="20" t="n">
        <f aca="false">(C238+D238)/(C235+D235)</f>
        <v>12.5821462495025</v>
      </c>
      <c r="I239" s="4" t="s">
        <v>495</v>
      </c>
    </row>
    <row r="240" customFormat="false" ht="15" hidden="false" customHeight="false" outlineLevel="0" collapsed="false">
      <c r="A240" s="4" t="s">
        <v>396</v>
      </c>
      <c r="B240" s="4" t="s">
        <v>228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8136.5611049422</v>
      </c>
      <c r="F240" s="14" t="n">
        <f aca="false">F237+F238</f>
        <v>9010.47070456713</v>
      </c>
      <c r="G240" s="14" t="n">
        <f aca="false">G237+G238</f>
        <v>7148.58353293387</v>
      </c>
    </row>
    <row r="241" customFormat="false" ht="17.15" hidden="false" customHeight="false" outlineLevel="0" collapsed="false">
      <c r="A241" s="0" t="s">
        <v>496</v>
      </c>
      <c r="B241" s="0" t="s">
        <v>64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0.54172238813089</v>
      </c>
      <c r="F241" s="10" t="n">
        <f aca="false">F238/F240</f>
        <v>0.536510312949225</v>
      </c>
      <c r="G241" s="10" t="n">
        <f aca="false">G238/G240</f>
        <v>0.34568695250804</v>
      </c>
    </row>
    <row r="242" customFormat="false" ht="17.15" hidden="false" customHeight="false" outlineLevel="0" collapsed="false">
      <c r="A242" s="4" t="s">
        <v>497</v>
      </c>
      <c r="B242" s="4" t="s">
        <v>228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972.42957719411</v>
      </c>
      <c r="F242" s="14" t="n">
        <f aca="false">opex_fix+opex_var*F240</f>
        <v>1033.55172684015</v>
      </c>
      <c r="G242" s="14" t="n">
        <f aca="false">opex_fix+opex_var*G240</f>
        <v>903.329394487407</v>
      </c>
      <c r="I242" s="4" t="s">
        <v>498</v>
      </c>
    </row>
    <row r="243" customFormat="false" ht="17.15" hidden="false" customHeight="false" outlineLevel="0" collapsed="false">
      <c r="A243" s="4" t="s">
        <v>465</v>
      </c>
      <c r="B243" s="0" t="s">
        <v>64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499</v>
      </c>
    </row>
    <row r="244" customFormat="false" ht="15" hidden="false" customHeight="false" outlineLevel="0" collapsed="false">
      <c r="A244" s="4" t="s">
        <v>401</v>
      </c>
      <c r="B244" s="4" t="s">
        <v>228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4843.42778255164</v>
      </c>
      <c r="F244" s="14" t="n">
        <f aca="false">F240*F243</f>
        <v>5363.63748535729</v>
      </c>
      <c r="G244" s="14" t="n">
        <f aca="false">G240*G243</f>
        <v>4255.31715951502</v>
      </c>
    </row>
    <row r="245" customFormat="false" ht="15" hidden="false" customHeight="false" outlineLevel="0" collapsed="false">
      <c r="A245" s="4" t="s">
        <v>404</v>
      </c>
      <c r="B245" s="4" t="s">
        <v>228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3870.99820535753</v>
      </c>
      <c r="F245" s="14" t="n">
        <f aca="false">F244-F242</f>
        <v>4330.08575851714</v>
      </c>
      <c r="G245" s="14" t="n">
        <f aca="false">G244-G242</f>
        <v>3351.98776502762</v>
      </c>
    </row>
    <row r="246" customFormat="false" ht="15" hidden="false" customHeight="false" outlineLevel="0" collapsed="false">
      <c r="A246" s="4" t="s">
        <v>407</v>
      </c>
      <c r="B246" s="0" t="s">
        <v>64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0.475753596074669</v>
      </c>
      <c r="F246" s="10" t="n">
        <f aca="false">F245/F240</f>
        <v>0.480561548945756</v>
      </c>
      <c r="G246" s="10" t="n">
        <f aca="false">G245/G240</f>
        <v>0.468902370600392</v>
      </c>
    </row>
    <row r="247" customFormat="false" ht="15" hidden="false" customHeight="false" outlineLevel="0" collapsed="false">
      <c r="A247" s="4" t="s">
        <v>466</v>
      </c>
      <c r="B247" s="4" t="s">
        <v>228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3295.25285789615</v>
      </c>
      <c r="F247" s="14" t="n">
        <f aca="false">F245*nioi</f>
        <v>3686.0589216861</v>
      </c>
      <c r="G247" s="14" t="n">
        <f aca="false">G245*nioi</f>
        <v>2853.4364203664</v>
      </c>
    </row>
    <row r="248" customFormat="false" ht="15" hidden="false" customHeight="false" outlineLevel="0" collapsed="false">
      <c r="A248" s="0" t="s">
        <v>467</v>
      </c>
      <c r="B248" s="0" t="s">
        <v>304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3436.45598269478</v>
      </c>
      <c r="F248" s="14" t="n">
        <f aca="false">F247*100/shares</f>
        <v>3844.00826893779</v>
      </c>
      <c r="G248" s="14" t="n">
        <f aca="false">G247*100/shares</f>
        <v>2975.70750436061</v>
      </c>
    </row>
    <row r="249" customFormat="false" ht="17.15" hidden="false" customHeight="false" outlineLevel="0" collapsed="false">
      <c r="A249" s="4" t="s">
        <v>500</v>
      </c>
      <c r="B249" s="4" t="s">
        <v>228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11912.8576025465</v>
      </c>
      <c r="F249" s="14" t="n">
        <f aca="false">$C239*F230</f>
        <v>13065.4336689922</v>
      </c>
      <c r="G249" s="14" t="n">
        <f aca="false">$C239*G230</f>
        <v>6678.84339526774</v>
      </c>
      <c r="I249" s="4" t="s">
        <v>501</v>
      </c>
    </row>
    <row r="250" customFormat="false" ht="15" hidden="false" customHeight="false" outlineLevel="0" collapsed="false">
      <c r="A250" s="4" t="s">
        <v>502</v>
      </c>
      <c r="B250" s="0" t="s">
        <v>335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838.933633982147</v>
      </c>
      <c r="F250" s="14" t="n">
        <f aca="false">F249/fx*100</f>
        <v>920.100962605088</v>
      </c>
      <c r="G250" s="14" t="n">
        <f aca="false">G249/fx*100</f>
        <v>470.341084173785</v>
      </c>
    </row>
    <row r="260" customFormat="false" ht="17.15" hidden="false" customHeight="false" outlineLevel="0" collapsed="false">
      <c r="A260" s="1" t="s">
        <v>772</v>
      </c>
    </row>
    <row r="261" customFormat="false" ht="15" hidden="false" customHeight="false" outlineLevel="0" collapsed="false">
      <c r="A261" s="5" t="s">
        <v>16</v>
      </c>
      <c r="B261" s="5" t="s">
        <v>17</v>
      </c>
      <c r="C261" s="13" t="s">
        <v>430</v>
      </c>
      <c r="D261" s="13" t="s">
        <v>431</v>
      </c>
      <c r="E261" s="13" t="s">
        <v>432</v>
      </c>
      <c r="F261" s="13" t="s">
        <v>433</v>
      </c>
      <c r="G261" s="13" t="s">
        <v>434</v>
      </c>
      <c r="H261" s="13" t="s">
        <v>435</v>
      </c>
      <c r="I261" s="5" t="s">
        <v>436</v>
      </c>
    </row>
    <row r="262" customFormat="false" ht="17.15" hidden="false" customHeight="false" outlineLevel="0" collapsed="false">
      <c r="A262" s="6" t="s">
        <v>470</v>
      </c>
    </row>
    <row r="263" customFormat="false" ht="17.15" hidden="false" customHeight="false" outlineLevel="0" collapsed="false">
      <c r="A263" s="0" t="s">
        <v>471</v>
      </c>
      <c r="B263" s="0" t="s">
        <v>27</v>
      </c>
      <c r="C263" s="19" t="n">
        <f aca="false">hsA_25</f>
        <v>2.22511470588235</v>
      </c>
      <c r="D263" s="19" t="n">
        <f aca="false">hsA_26</f>
        <v>3.782695</v>
      </c>
      <c r="E263" s="19" t="n">
        <f aca="false">hsA_27</f>
        <v>5.86317725</v>
      </c>
      <c r="F263" s="19" t="n">
        <f aca="false">hsA_28</f>
        <v>8.5016070125</v>
      </c>
      <c r="G263" s="19" t="n">
        <f aca="false">hsA_29</f>
        <v>11.477169466875</v>
      </c>
      <c r="H263" s="19" t="n">
        <f aca="false">G263*(1+g_tail)</f>
        <v>12.6248864135625</v>
      </c>
      <c r="I263" s="8" t="s">
        <v>472</v>
      </c>
    </row>
    <row r="264" customFormat="false" ht="17.15" hidden="false" customHeight="false" outlineLevel="0" collapsed="false">
      <c r="A264" s="0" t="s">
        <v>473</v>
      </c>
      <c r="B264" s="0" t="s">
        <v>474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475</v>
      </c>
      <c r="B265" s="4" t="s">
        <v>440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476</v>
      </c>
    </row>
    <row r="266" customFormat="false" ht="15" hidden="false" customHeight="false" outlineLevel="0" collapsed="false">
      <c r="A266" s="4" t="s">
        <v>477</v>
      </c>
      <c r="B266" s="4" t="s">
        <v>91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478</v>
      </c>
      <c r="B267" s="0" t="s">
        <v>111</v>
      </c>
      <c r="C267" s="20" t="n">
        <f aca="false">1+beta*(C266-$C266)/4</f>
        <v>1</v>
      </c>
      <c r="D267" s="20" t="n">
        <f aca="false">1+beta*(D266-$C266)/4</f>
        <v>1.05</v>
      </c>
      <c r="E267" s="20" t="n">
        <f aca="false">1+beta*(E266-$C266)/4</f>
        <v>1.0625</v>
      </c>
      <c r="F267" s="20" t="n">
        <f aca="false">1+beta*(F266-$C266)/4</f>
        <v>1.1</v>
      </c>
      <c r="G267" s="20" t="n">
        <f aca="false">1+beta*(G266-$C266)/4</f>
        <v>1.125</v>
      </c>
      <c r="H267" s="20" t="n">
        <f aca="false">1+beta*(H266-$C266)/4</f>
        <v>1.15</v>
      </c>
    </row>
    <row r="268" customFormat="false" ht="15" hidden="false" customHeight="false" outlineLevel="0" collapsed="false">
      <c r="A268" s="4" t="s">
        <v>479</v>
      </c>
      <c r="B268" s="0" t="s">
        <v>64</v>
      </c>
      <c r="C268" s="10" t="n">
        <f aca="false">hbp_25</f>
        <v>0</v>
      </c>
      <c r="D268" s="10" t="n">
        <f aca="false">hbp_26</f>
        <v>0</v>
      </c>
      <c r="E268" s="10" t="n">
        <f aca="false">hbp_27</f>
        <v>0</v>
      </c>
      <c r="F268" s="10" t="n">
        <f aca="false">hbp_28</f>
        <v>0.05</v>
      </c>
      <c r="G268" s="10" t="n">
        <f aca="false">hbp_29</f>
        <v>0.15</v>
      </c>
      <c r="H268" s="10" t="n">
        <f aca="false">hbp_30</f>
        <v>0.25</v>
      </c>
    </row>
    <row r="269" customFormat="false" ht="17.15" hidden="false" customHeight="false" outlineLevel="0" collapsed="false">
      <c r="A269" s="0" t="s">
        <v>481</v>
      </c>
      <c r="B269" s="4" t="s">
        <v>442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2538.336950875</v>
      </c>
      <c r="G269" s="14" t="n">
        <f aca="false">G265*G267*(1-G268)</f>
        <v>2926.67821405313</v>
      </c>
      <c r="H269" s="14" t="n">
        <f aca="false">H265*H267*(1-H268)</f>
        <v>2722.24113292441</v>
      </c>
    </row>
    <row r="270" customFormat="false" ht="17.15" hidden="false" customHeight="false" outlineLevel="0" collapsed="false">
      <c r="A270" s="4" t="s">
        <v>482</v>
      </c>
      <c r="B270" s="4" t="s">
        <v>442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MAX(0,F269-E269)+dlt*E269</f>
        <v>813.209798471154</v>
      </c>
      <c r="F270" s="14" t="n">
        <f aca="false">MAX(0,G269-F269)+dlt*F269</f>
        <v>642.174958265625</v>
      </c>
      <c r="G270" s="14" t="n">
        <f aca="false">MAX(0,H269-G269)+dlt*G269</f>
        <v>292.667821405313</v>
      </c>
      <c r="I270" s="4" t="s">
        <v>483</v>
      </c>
    </row>
    <row r="271" customFormat="false" ht="17.15" hidden="false" customHeight="false" outlineLevel="0" collapsed="false">
      <c r="A271" s="0" t="s">
        <v>484</v>
      </c>
      <c r="B271" s="0" t="s">
        <v>64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485</v>
      </c>
      <c r="B272" s="0" t="s">
        <v>64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486</v>
      </c>
      <c r="B273" s="0" t="s">
        <v>64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487</v>
      </c>
      <c r="B274" s="0" t="s">
        <v>64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488</v>
      </c>
      <c r="B275" s="4" t="s">
        <v>442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268.359233495481</v>
      </c>
      <c r="F275" s="14" t="n">
        <f aca="false">F270*F274</f>
        <v>211.917736227656</v>
      </c>
      <c r="G275" s="14" t="n">
        <f aca="false">G270*G274</f>
        <v>96.5803810637532</v>
      </c>
    </row>
    <row r="276" customFormat="false" ht="17.15" hidden="false" customHeight="false" outlineLevel="0" collapsed="false">
      <c r="A276" s="6" t="s">
        <v>489</v>
      </c>
    </row>
    <row r="277" customFormat="false" ht="17.15" hidden="false" customHeight="false" outlineLevel="0" collapsed="false">
      <c r="A277" s="4" t="s">
        <v>490</v>
      </c>
      <c r="B277" s="4" t="s">
        <v>228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</row>
    <row r="278" customFormat="false" ht="17.15" hidden="false" customHeight="false" outlineLevel="0" collapsed="false">
      <c r="A278" s="0" t="s">
        <v>491</v>
      </c>
      <c r="B278" s="4" t="s">
        <v>228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3681.26304199214</v>
      </c>
      <c r="F278" s="14" t="n">
        <f aca="false">$C279*F275</f>
        <v>2907.01728483901</v>
      </c>
      <c r="G278" s="14" t="n">
        <f aca="false">$C279*G275</f>
        <v>1324.85766470748</v>
      </c>
      <c r="I278" s="8" t="s">
        <v>492</v>
      </c>
    </row>
    <row r="279" customFormat="false" ht="17.15" hidden="false" customHeight="false" outlineLevel="0" collapsed="false">
      <c r="A279" s="4" t="s">
        <v>493</v>
      </c>
      <c r="B279" s="4" t="s">
        <v>494</v>
      </c>
      <c r="C279" s="20" t="n">
        <f aca="false">(C278+D278)/(C275+D275)</f>
        <v>13.7176686415529</v>
      </c>
      <c r="I279" s="4" t="s">
        <v>495</v>
      </c>
    </row>
    <row r="280" customFormat="false" ht="15" hidden="false" customHeight="false" outlineLevel="0" collapsed="false">
      <c r="A280" s="4" t="s">
        <v>396</v>
      </c>
      <c r="B280" s="4" t="s">
        <v>228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7410.06683399214</v>
      </c>
      <c r="F280" s="14" t="n">
        <f aca="false">F277+F278</f>
        <v>7083.27753187901</v>
      </c>
      <c r="G280" s="14" t="n">
        <f aca="false">G277+G278</f>
        <v>6002.26914139228</v>
      </c>
    </row>
    <row r="281" customFormat="false" ht="17.15" hidden="false" customHeight="false" outlineLevel="0" collapsed="false">
      <c r="A281" s="0" t="s">
        <v>496</v>
      </c>
      <c r="B281" s="0" t="s">
        <v>64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0.496792151064699</v>
      </c>
      <c r="F281" s="10" t="n">
        <f aca="false">F278/F280</f>
        <v>0.410405673327874</v>
      </c>
      <c r="G281" s="10" t="n">
        <f aca="false">G278/G280</f>
        <v>0.220726134316624</v>
      </c>
    </row>
    <row r="282" customFormat="false" ht="17.15" hidden="false" customHeight="false" outlineLevel="0" collapsed="false">
      <c r="A282" s="4" t="s">
        <v>497</v>
      </c>
      <c r="B282" s="4" t="s">
        <v>228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921.617809518073</v>
      </c>
      <c r="F282" s="14" t="n">
        <f aca="false">opex_fix+opex_var*F280</f>
        <v>898.761824602635</v>
      </c>
      <c r="G282" s="14" t="n">
        <f aca="false">opex_fix+opex_var*G280</f>
        <v>823.154969339444</v>
      </c>
      <c r="I282" s="4" t="s">
        <v>498</v>
      </c>
    </row>
    <row r="283" customFormat="false" ht="17.15" hidden="false" customHeight="false" outlineLevel="0" collapsed="false">
      <c r="A283" s="4" t="s">
        <v>465</v>
      </c>
      <c r="B283" s="0" t="s">
        <v>64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499</v>
      </c>
    </row>
    <row r="284" customFormat="false" ht="15" hidden="false" customHeight="false" outlineLevel="0" collapsed="false">
      <c r="A284" s="4" t="s">
        <v>401</v>
      </c>
      <c r="B284" s="4" t="s">
        <v>228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4410.96958671178</v>
      </c>
      <c r="F284" s="14" t="n">
        <f aca="false">F280*F283</f>
        <v>4216.44264044034</v>
      </c>
      <c r="G284" s="14" t="n">
        <f aca="false">G280*G283</f>
        <v>3572.95382444968</v>
      </c>
    </row>
    <row r="285" customFormat="false" ht="15" hidden="false" customHeight="false" outlineLevel="0" collapsed="false">
      <c r="A285" s="4" t="s">
        <v>404</v>
      </c>
      <c r="B285" s="4" t="s">
        <v>228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3489.35177719371</v>
      </c>
      <c r="F285" s="14" t="n">
        <f aca="false">F284-F282</f>
        <v>3317.6808158377</v>
      </c>
      <c r="G285" s="14" t="n">
        <f aca="false">G284-G282</f>
        <v>2749.79885511024</v>
      </c>
    </row>
    <row r="286" customFormat="false" ht="15" hidden="false" customHeight="false" outlineLevel="0" collapsed="false">
      <c r="A286" s="4" t="s">
        <v>407</v>
      </c>
      <c r="B286" s="0" t="s">
        <v>64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0.47089342854332</v>
      </c>
      <c r="F286" s="10" t="n">
        <f aca="false">F285/F280</f>
        <v>0.468382157963759</v>
      </c>
      <c r="G286" s="10" t="n">
        <f aca="false">G285/G280</f>
        <v>0.458126550198713</v>
      </c>
    </row>
    <row r="287" customFormat="false" ht="15" hidden="false" customHeight="false" outlineLevel="0" collapsed="false">
      <c r="A287" s="4" t="s">
        <v>466</v>
      </c>
      <c r="B287" s="4" t="s">
        <v>228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2970.36986482936</v>
      </c>
      <c r="F287" s="14" t="n">
        <f aca="false">F285*nioi</f>
        <v>2824.23204816925</v>
      </c>
      <c r="G287" s="14" t="n">
        <f aca="false">G285*nioi</f>
        <v>2340.81290024898</v>
      </c>
    </row>
    <row r="288" customFormat="false" ht="15" hidden="false" customHeight="false" outlineLevel="0" collapsed="false">
      <c r="A288" s="0" t="s">
        <v>467</v>
      </c>
      <c r="B288" s="0" t="s">
        <v>304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3097.6516015606</v>
      </c>
      <c r="F288" s="14" t="n">
        <f aca="false">F287*100/shares</f>
        <v>2945.25171116791</v>
      </c>
      <c r="G288" s="14" t="n">
        <f aca="false">G287*100/shares</f>
        <v>2441.11782686245</v>
      </c>
    </row>
    <row r="289" customFormat="false" ht="17.15" hidden="false" customHeight="false" outlineLevel="0" collapsed="false">
      <c r="A289" s="4" t="s">
        <v>500</v>
      </c>
      <c r="B289" s="4" t="s">
        <v>228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11155.3425514913</v>
      </c>
      <c r="F289" s="14" t="n">
        <f aca="false">$C279*F270</f>
        <v>8809.14328739094</v>
      </c>
      <c r="G289" s="14" t="n">
        <f aca="false">$C279*G270</f>
        <v>4014.72019608327</v>
      </c>
      <c r="I289" s="4" t="s">
        <v>501</v>
      </c>
    </row>
    <row r="290" customFormat="false" ht="15" hidden="false" customHeight="false" outlineLevel="0" collapsed="false">
      <c r="A290" s="4" t="s">
        <v>502</v>
      </c>
      <c r="B290" s="0" t="s">
        <v>335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785.58750362615</v>
      </c>
      <c r="F290" s="14" t="n">
        <f aca="false">F289/fx*100</f>
        <v>620.36220333739</v>
      </c>
      <c r="G290" s="14" t="n">
        <f aca="false">G289/fx*100</f>
        <v>282.726774372061</v>
      </c>
    </row>
    <row r="300" customFormat="false" ht="17.15" hidden="false" customHeight="false" outlineLevel="0" collapsed="false">
      <c r="A300" s="1" t="s">
        <v>773</v>
      </c>
    </row>
    <row r="301" customFormat="false" ht="15" hidden="false" customHeight="false" outlineLevel="0" collapsed="false">
      <c r="A301" s="5" t="s">
        <v>16</v>
      </c>
      <c r="B301" s="5" t="s">
        <v>17</v>
      </c>
      <c r="C301" s="13" t="s">
        <v>430</v>
      </c>
      <c r="D301" s="13" t="s">
        <v>431</v>
      </c>
      <c r="E301" s="13" t="s">
        <v>432</v>
      </c>
      <c r="F301" s="13" t="s">
        <v>433</v>
      </c>
      <c r="G301" s="13" t="s">
        <v>434</v>
      </c>
      <c r="H301" s="13" t="s">
        <v>435</v>
      </c>
      <c r="I301" s="5" t="s">
        <v>436</v>
      </c>
    </row>
    <row r="302" customFormat="false" ht="17.15" hidden="false" customHeight="false" outlineLevel="0" collapsed="false">
      <c r="A302" s="6" t="s">
        <v>470</v>
      </c>
    </row>
    <row r="303" customFormat="false" ht="17.15" hidden="false" customHeight="false" outlineLevel="0" collapsed="false">
      <c r="A303" s="0" t="s">
        <v>471</v>
      </c>
      <c r="B303" s="0" t="s">
        <v>27</v>
      </c>
      <c r="C303" s="19" t="n">
        <f aca="false">hsA_25</f>
        <v>2.22511470588235</v>
      </c>
      <c r="D303" s="19" t="n">
        <f aca="false">hsA_26</f>
        <v>3.782695</v>
      </c>
      <c r="E303" s="19" t="n">
        <f aca="false">hsA_27</f>
        <v>5.86317725</v>
      </c>
      <c r="F303" s="19" t="n">
        <f aca="false">hsA_28</f>
        <v>8.5016070125</v>
      </c>
      <c r="G303" s="19" t="n">
        <f aca="false">hsA_29</f>
        <v>11.477169466875</v>
      </c>
      <c r="H303" s="19" t="n">
        <f aca="false">G303*(1+g_tail)</f>
        <v>12.6248864135625</v>
      </c>
      <c r="I303" s="8" t="s">
        <v>472</v>
      </c>
    </row>
    <row r="304" customFormat="false" ht="17.15" hidden="false" customHeight="false" outlineLevel="0" collapsed="false">
      <c r="A304" s="0" t="s">
        <v>473</v>
      </c>
      <c r="B304" s="0" t="s">
        <v>474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475</v>
      </c>
      <c r="B305" s="4" t="s">
        <v>440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476</v>
      </c>
    </row>
    <row r="306" customFormat="false" ht="15" hidden="false" customHeight="false" outlineLevel="0" collapsed="false">
      <c r="A306" s="4" t="s">
        <v>477</v>
      </c>
      <c r="B306" s="4" t="s">
        <v>91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478</v>
      </c>
      <c r="B307" s="0" t="s">
        <v>111</v>
      </c>
      <c r="C307" s="20" t="n">
        <f aca="false">1+beta*(C306-$C306)/4</f>
        <v>1</v>
      </c>
      <c r="D307" s="20" t="n">
        <f aca="false">1+beta*(D306-$C306)/4</f>
        <v>1.05</v>
      </c>
      <c r="E307" s="20" t="n">
        <f aca="false">1+beta*(E306-$C306)/4</f>
        <v>1.0625</v>
      </c>
      <c r="F307" s="20" t="n">
        <f aca="false">1+beta*(F306-$C306)/4</f>
        <v>1.1</v>
      </c>
      <c r="G307" s="20" t="n">
        <f aca="false">1+beta*(G306-$C306)/4</f>
        <v>1.125</v>
      </c>
      <c r="H307" s="20" t="n">
        <f aca="false">1+beta*(H306-$C306)/4</f>
        <v>1.15</v>
      </c>
    </row>
    <row r="308" customFormat="false" ht="15" hidden="false" customHeight="false" outlineLevel="0" collapsed="false">
      <c r="A308" s="4" t="s">
        <v>479</v>
      </c>
      <c r="B308" s="0" t="s">
        <v>64</v>
      </c>
      <c r="C308" s="10" t="n">
        <f aca="false">hbp_25_hi</f>
        <v>0</v>
      </c>
      <c r="D308" s="10" t="n">
        <f aca="false">hbp_26_hi</f>
        <v>0</v>
      </c>
      <c r="E308" s="10" t="n">
        <f aca="false">hbp_27_hi</f>
        <v>0.05</v>
      </c>
      <c r="F308" s="10" t="n">
        <f aca="false">hbp_28_hi</f>
        <v>0.15</v>
      </c>
      <c r="G308" s="10" t="n">
        <f aca="false">hbp_29_hi</f>
        <v>0.3</v>
      </c>
      <c r="H308" s="10" t="n">
        <f aca="false">hbp_30_hi</f>
        <v>0.4</v>
      </c>
    </row>
    <row r="309" customFormat="false" ht="17.15" hidden="false" customHeight="false" outlineLevel="0" collapsed="false">
      <c r="A309" s="0" t="s">
        <v>481</v>
      </c>
      <c r="B309" s="4" t="s">
        <v>442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1820.96754975962</v>
      </c>
      <c r="F309" s="14" t="n">
        <f aca="false">F305*F307*(1-F308)</f>
        <v>2271.143587625</v>
      </c>
      <c r="G309" s="14" t="n">
        <f aca="false">G305*G307*(1-G308)</f>
        <v>2410.20558804375</v>
      </c>
      <c r="H309" s="14" t="n">
        <f aca="false">H305*H307*(1-H308)</f>
        <v>2177.79290633953</v>
      </c>
    </row>
    <row r="310" customFormat="false" ht="17.15" hidden="false" customHeight="false" outlineLevel="0" collapsed="false">
      <c r="A310" s="4" t="s">
        <v>482</v>
      </c>
      <c r="B310" s="4" t="s">
        <v>442</v>
      </c>
      <c r="C310" s="14" t="n">
        <f aca="false">MAX(0,D309-C309)+dlt*C309</f>
        <v>656.408838235295</v>
      </c>
      <c r="D310" s="14" t="n">
        <f aca="false">MAX(0,E309-D309)+dlt*D309</f>
        <v>629.418624759615</v>
      </c>
      <c r="E310" s="14" t="n">
        <f aca="false">MAX(0,F309-E309)+dlt*E309</f>
        <v>632.272792841346</v>
      </c>
      <c r="F310" s="14" t="n">
        <f aca="false">MAX(0,G309-F309)+dlt*F309</f>
        <v>366.17635918125</v>
      </c>
      <c r="G310" s="14" t="n">
        <f aca="false">MAX(0,H309-G309)+dlt*G309</f>
        <v>241.020558804375</v>
      </c>
      <c r="I310" s="4" t="s">
        <v>483</v>
      </c>
    </row>
    <row r="311" customFormat="false" ht="17.15" hidden="false" customHeight="false" outlineLevel="0" collapsed="false">
      <c r="A311" s="0" t="s">
        <v>484</v>
      </c>
      <c r="B311" s="0" t="s">
        <v>64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485</v>
      </c>
      <c r="B312" s="0" t="s">
        <v>64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486</v>
      </c>
      <c r="B313" s="0" t="s">
        <v>64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487</v>
      </c>
      <c r="B314" s="0" t="s">
        <v>64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488</v>
      </c>
      <c r="B315" s="4" t="s">
        <v>442</v>
      </c>
      <c r="C315" s="14" t="n">
        <f aca="false">C310*C314</f>
        <v>270.440441352942</v>
      </c>
      <c r="D315" s="14" t="n">
        <f aca="false">D310*D314</f>
        <v>213.37291379351</v>
      </c>
      <c r="E315" s="14" t="n">
        <f aca="false">E310*E314</f>
        <v>208.650021637644</v>
      </c>
      <c r="F315" s="14" t="n">
        <f aca="false">F310*F314</f>
        <v>120.838198529813</v>
      </c>
      <c r="G315" s="14" t="n">
        <f aca="false">G310*G314</f>
        <v>79.5367844054438</v>
      </c>
    </row>
    <row r="316" customFormat="false" ht="17.15" hidden="false" customHeight="false" outlineLevel="0" collapsed="false">
      <c r="A316" s="6" t="s">
        <v>489</v>
      </c>
    </row>
    <row r="317" customFormat="false" ht="17.15" hidden="false" customHeight="false" outlineLevel="0" collapsed="false">
      <c r="A317" s="4" t="s">
        <v>490</v>
      </c>
      <c r="B317" s="4" t="s">
        <v>228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</row>
    <row r="318" customFormat="false" ht="17.15" hidden="false" customHeight="false" outlineLevel="0" collapsed="false">
      <c r="A318" s="0" t="s">
        <v>491</v>
      </c>
      <c r="B318" s="4" t="s">
        <v>228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3054.39885590962</v>
      </c>
      <c r="F318" s="14" t="n">
        <f aca="false">$C319*F315</f>
        <v>1768.93370267952</v>
      </c>
      <c r="G318" s="14" t="n">
        <f aca="false">$C319*G315</f>
        <v>1164.32800430099</v>
      </c>
      <c r="I318" s="8" t="s">
        <v>492</v>
      </c>
    </row>
    <row r="319" customFormat="false" ht="17.15" hidden="false" customHeight="false" outlineLevel="0" collapsed="false">
      <c r="A319" s="4" t="s">
        <v>493</v>
      </c>
      <c r="B319" s="4" t="s">
        <v>494</v>
      </c>
      <c r="C319" s="20" t="n">
        <f aca="false">(C318+D318)/(C315+D315)</f>
        <v>14.6388619178487</v>
      </c>
      <c r="I319" s="4" t="s">
        <v>495</v>
      </c>
    </row>
    <row r="320" customFormat="false" ht="15" hidden="false" customHeight="false" outlineLevel="0" collapsed="false">
      <c r="A320" s="4" t="s">
        <v>396</v>
      </c>
      <c r="B320" s="4" t="s">
        <v>228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6783.20264790962</v>
      </c>
      <c r="F320" s="14" t="n">
        <f aca="false">F317+F318</f>
        <v>5945.19394971952</v>
      </c>
      <c r="G320" s="14" t="n">
        <f aca="false">G317+G318</f>
        <v>5841.7394809858</v>
      </c>
    </row>
    <row r="321" customFormat="false" ht="17.15" hidden="false" customHeight="false" outlineLevel="0" collapsed="false">
      <c r="A321" s="0" t="s">
        <v>496</v>
      </c>
      <c r="B321" s="0" t="s">
        <v>64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0.450288604727281</v>
      </c>
      <c r="F321" s="10" t="n">
        <f aca="false">F318/F320</f>
        <v>0.297540116880959</v>
      </c>
      <c r="G321" s="10" t="n">
        <f aca="false">G318/G320</f>
        <v>0.199311867311227</v>
      </c>
    </row>
    <row r="322" customFormat="false" ht="17.15" hidden="false" customHeight="false" outlineLevel="0" collapsed="false">
      <c r="A322" s="4" t="s">
        <v>497</v>
      </c>
      <c r="B322" s="4" t="s">
        <v>228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877.774273978558</v>
      </c>
      <c r="F322" s="14" t="n">
        <f aca="false">opex_fix+opex_var*F320</f>
        <v>819.163070854754</v>
      </c>
      <c r="G322" s="14" t="n">
        <f aca="false">opex_fix+opex_var*G320</f>
        <v>811.927357318471</v>
      </c>
      <c r="I322" s="4" t="s">
        <v>498</v>
      </c>
    </row>
    <row r="323" customFormat="false" ht="17.15" hidden="false" customHeight="false" outlineLevel="0" collapsed="false">
      <c r="A323" s="4" t="s">
        <v>465</v>
      </c>
      <c r="B323" s="0" t="s">
        <v>64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499</v>
      </c>
    </row>
    <row r="324" customFormat="false" ht="15" hidden="false" customHeight="false" outlineLevel="0" collapsed="false">
      <c r="A324" s="4" t="s">
        <v>401</v>
      </c>
      <c r="B324" s="4" t="s">
        <v>228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4037.81791051844</v>
      </c>
      <c r="F324" s="14" t="n">
        <f aca="false">F320*F323</f>
        <v>3538.97883606369</v>
      </c>
      <c r="G324" s="14" t="n">
        <f aca="false">G320*G323</f>
        <v>3477.39578621851</v>
      </c>
    </row>
    <row r="325" customFormat="false" ht="15" hidden="false" customHeight="false" outlineLevel="0" collapsed="false">
      <c r="A325" s="4" t="s">
        <v>404</v>
      </c>
      <c r="B325" s="4" t="s">
        <v>228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3160.04363653988</v>
      </c>
      <c r="F325" s="14" t="n">
        <f aca="false">F324-F322</f>
        <v>2719.81576520894</v>
      </c>
      <c r="G325" s="14" t="n">
        <f aca="false">G324-G322</f>
        <v>2665.46842890004</v>
      </c>
    </row>
    <row r="326" customFormat="false" ht="15" hidden="false" customHeight="false" outlineLevel="0" collapsed="false">
      <c r="A326" s="4" t="s">
        <v>407</v>
      </c>
      <c r="B326" s="0" t="s">
        <v>64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0.46586307391446</v>
      </c>
      <c r="F326" s="10" t="n">
        <f aca="false">F325/F320</f>
        <v>0.457481419144829</v>
      </c>
      <c r="G326" s="10" t="n">
        <f aca="false">G325/G320</f>
        <v>0.45627992100227</v>
      </c>
    </row>
    <row r="327" customFormat="false" ht="15" hidden="false" customHeight="false" outlineLevel="0" collapsed="false">
      <c r="A327" s="4" t="s">
        <v>466</v>
      </c>
      <c r="B327" s="4" t="s">
        <v>228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2690.04072643914</v>
      </c>
      <c r="F327" s="14" t="n">
        <f aca="false">F325*nioi</f>
        <v>2315.28928658544</v>
      </c>
      <c r="G327" s="14" t="n">
        <f aca="false">G325*nioi</f>
        <v>2269.02519505393</v>
      </c>
    </row>
    <row r="328" customFormat="false" ht="15" hidden="false" customHeight="false" outlineLevel="0" collapsed="false">
      <c r="A328" s="0" t="s">
        <v>467</v>
      </c>
      <c r="B328" s="0" t="s">
        <v>304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2805.31022859543</v>
      </c>
      <c r="F328" s="14" t="n">
        <f aca="false">F327*100/shares</f>
        <v>2414.5005144265</v>
      </c>
      <c r="G328" s="14" t="n">
        <f aca="false">G327*100/shares</f>
        <v>2366.25398495414</v>
      </c>
    </row>
    <row r="329" customFormat="false" ht="17.15" hidden="false" customHeight="false" outlineLevel="0" collapsed="false">
      <c r="A329" s="4" t="s">
        <v>500</v>
      </c>
      <c r="B329" s="4" t="s">
        <v>228</v>
      </c>
      <c r="C329" s="14" t="n">
        <f aca="false">$C319*C310</f>
        <v>9609.07834458198</v>
      </c>
      <c r="D329" s="14" t="n">
        <f aca="false">$C319*D310</f>
        <v>9213.97233637824</v>
      </c>
      <c r="E329" s="14" t="n">
        <f aca="false">$C319*E310</f>
        <v>9255.75410881703</v>
      </c>
      <c r="F329" s="14" t="n">
        <f aca="false">$C319*F310</f>
        <v>5360.4051596349</v>
      </c>
      <c r="G329" s="14" t="n">
        <f aca="false">$C319*G310</f>
        <v>3528.26667969998</v>
      </c>
      <c r="I329" s="4" t="s">
        <v>501</v>
      </c>
    </row>
    <row r="330" customFormat="false" ht="15" hidden="false" customHeight="false" outlineLevel="0" collapsed="false">
      <c r="A330" s="4" t="s">
        <v>502</v>
      </c>
      <c r="B330" s="0" t="s">
        <v>335</v>
      </c>
      <c r="C330" s="14" t="n">
        <f aca="false">C329/fx*100</f>
        <v>676.695658069153</v>
      </c>
      <c r="D330" s="14" t="n">
        <f aca="false">D329/fx*100</f>
        <v>648.871291294242</v>
      </c>
      <c r="E330" s="14" t="n">
        <f aca="false">E329/fx*100</f>
        <v>651.813669635002</v>
      </c>
      <c r="F330" s="14" t="n">
        <f aca="false">F329/fx*100</f>
        <v>377.493321101049</v>
      </c>
      <c r="G330" s="14" t="n">
        <f aca="false">G329/fx*100</f>
        <v>248.469484485914</v>
      </c>
    </row>
    <row r="340" customFormat="false" ht="17.15" hidden="false" customHeight="false" outlineLevel="0" collapsed="false">
      <c r="A340" s="1" t="s">
        <v>774</v>
      </c>
    </row>
    <row r="341" customFormat="false" ht="15" hidden="false" customHeight="false" outlineLevel="0" collapsed="false">
      <c r="A341" s="5" t="s">
        <v>16</v>
      </c>
      <c r="B341" s="5" t="s">
        <v>17</v>
      </c>
      <c r="C341" s="13" t="s">
        <v>430</v>
      </c>
      <c r="D341" s="13" t="s">
        <v>431</v>
      </c>
      <c r="E341" s="13" t="s">
        <v>432</v>
      </c>
      <c r="F341" s="13" t="s">
        <v>433</v>
      </c>
      <c r="G341" s="13" t="s">
        <v>434</v>
      </c>
      <c r="H341" s="13" t="s">
        <v>435</v>
      </c>
      <c r="I341" s="5" t="s">
        <v>436</v>
      </c>
    </row>
    <row r="342" customFormat="false" ht="17.15" hidden="false" customHeight="false" outlineLevel="0" collapsed="false">
      <c r="A342" s="6" t="s">
        <v>470</v>
      </c>
    </row>
    <row r="343" customFormat="false" ht="17.15" hidden="false" customHeight="false" outlineLevel="0" collapsed="false">
      <c r="A343" s="0" t="s">
        <v>471</v>
      </c>
      <c r="B343" s="0" t="s">
        <v>27</v>
      </c>
      <c r="C343" s="19" t="n">
        <f aca="false">hsA_25</f>
        <v>2.22511470588235</v>
      </c>
      <c r="D343" s="19" t="n">
        <f aca="false">hsA_26</f>
        <v>3.782695</v>
      </c>
      <c r="E343" s="19" t="n">
        <f aca="false">hsA_27</f>
        <v>5.86317725</v>
      </c>
      <c r="F343" s="19" t="n">
        <f aca="false">hsA_28</f>
        <v>8.5016070125</v>
      </c>
      <c r="G343" s="19" t="n">
        <f aca="false">hsA_29</f>
        <v>11.477169466875</v>
      </c>
      <c r="H343" s="19" t="n">
        <f aca="false">G343*(1+g_tail)</f>
        <v>12.6248864135625</v>
      </c>
      <c r="I343" s="8" t="s">
        <v>472</v>
      </c>
    </row>
    <row r="344" customFormat="false" ht="17.15" hidden="false" customHeight="false" outlineLevel="0" collapsed="false">
      <c r="A344" s="0" t="s">
        <v>473</v>
      </c>
      <c r="B344" s="0" t="s">
        <v>474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475</v>
      </c>
      <c r="B345" s="4" t="s">
        <v>440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476</v>
      </c>
    </row>
    <row r="346" customFormat="false" ht="15" hidden="false" customHeight="false" outlineLevel="0" collapsed="false">
      <c r="A346" s="4" t="s">
        <v>477</v>
      </c>
      <c r="B346" s="4" t="s">
        <v>91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478</v>
      </c>
      <c r="B347" s="0" t="s">
        <v>111</v>
      </c>
      <c r="C347" s="20" t="n">
        <f aca="false">1+beta*(C346-$C346)/4</f>
        <v>1</v>
      </c>
      <c r="D347" s="20" t="n">
        <f aca="false">1+beta*(D346-$C346)/4</f>
        <v>1.05</v>
      </c>
      <c r="E347" s="20" t="n">
        <f aca="false">1+beta*(E346-$C346)/4</f>
        <v>1.0625</v>
      </c>
      <c r="F347" s="20" t="n">
        <f aca="false">1+beta*(F346-$C346)/4</f>
        <v>1.1</v>
      </c>
      <c r="G347" s="20" t="n">
        <f aca="false">1+beta*(G346-$C346)/4</f>
        <v>1.125</v>
      </c>
      <c r="H347" s="20" t="n">
        <f aca="false">1+beta*(H346-$C346)/4</f>
        <v>1.15</v>
      </c>
    </row>
    <row r="348" customFormat="false" ht="17.15" hidden="false" customHeight="false" outlineLevel="0" collapsed="false">
      <c r="A348" s="4" t="s">
        <v>479</v>
      </c>
      <c r="B348" s="0" t="s">
        <v>64</v>
      </c>
      <c r="C348" s="10" t="n">
        <f aca="false">0</f>
        <v>0</v>
      </c>
      <c r="D348" s="10" t="n">
        <f aca="false">0</f>
        <v>0</v>
      </c>
      <c r="E348" s="10" t="n">
        <f aca="false">0</f>
        <v>0</v>
      </c>
      <c r="F348" s="10" t="n">
        <f aca="false">0</f>
        <v>0</v>
      </c>
      <c r="G348" s="10" t="n">
        <f aca="false">0</f>
        <v>0</v>
      </c>
      <c r="H348" s="10" t="n">
        <f aca="false">0</f>
        <v>0</v>
      </c>
      <c r="I348" s="4" t="s">
        <v>480</v>
      </c>
    </row>
    <row r="349" customFormat="false" ht="17.15" hidden="false" customHeight="false" outlineLevel="0" collapsed="false">
      <c r="A349" s="0" t="s">
        <v>481</v>
      </c>
      <c r="B349" s="4" t="s">
        <v>442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3117.25590458333</v>
      </c>
      <c r="G349" s="14" t="n">
        <f aca="false">G345*G347*(1-G348)</f>
        <v>3972.86635391827</v>
      </c>
      <c r="H349" s="14" t="n">
        <f aca="false">H345*H347*(1-H348)</f>
        <v>4148.17696445625</v>
      </c>
    </row>
    <row r="350" customFormat="false" ht="17.15" hidden="false" customHeight="false" outlineLevel="0" collapsed="false">
      <c r="A350" s="4" t="s">
        <v>482</v>
      </c>
      <c r="B350" s="4" t="s">
        <v>442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MAX(0,F349-E349)+dlt*E349</f>
        <v>1248.36815614583</v>
      </c>
      <c r="F350" s="14" t="n">
        <f aca="false">MAX(0,G349-F349)+dlt*F349</f>
        <v>1167.33603979327</v>
      </c>
      <c r="G350" s="14" t="n">
        <f aca="false">MAX(0,H349-G349)+dlt*G349</f>
        <v>572.597245929808</v>
      </c>
      <c r="I350" s="4" t="s">
        <v>483</v>
      </c>
    </row>
    <row r="351" customFormat="false" ht="17.15" hidden="false" customHeight="false" outlineLevel="0" collapsed="false">
      <c r="A351" s="0" t="s">
        <v>484</v>
      </c>
      <c r="B351" s="0" t="s">
        <v>64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485</v>
      </c>
      <c r="B352" s="0" t="s">
        <v>64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486</v>
      </c>
      <c r="B353" s="0" t="s">
        <v>64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487</v>
      </c>
      <c r="B354" s="0" t="s">
        <v>64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488</v>
      </c>
      <c r="B355" s="4" t="s">
        <v>442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411.961491528125</v>
      </c>
      <c r="F355" s="14" t="n">
        <f aca="false">F350*F354</f>
        <v>385.220893131779</v>
      </c>
      <c r="G355" s="14" t="n">
        <f aca="false">G350*G354</f>
        <v>188.957091156837</v>
      </c>
    </row>
    <row r="356" customFormat="false" ht="17.15" hidden="false" customHeight="false" outlineLevel="0" collapsed="false">
      <c r="A356" s="6" t="s">
        <v>489</v>
      </c>
    </row>
    <row r="357" customFormat="false" ht="17.15" hidden="false" customHeight="false" outlineLevel="0" collapsed="false">
      <c r="A357" s="4" t="s">
        <v>490</v>
      </c>
      <c r="B357" s="4" t="s">
        <v>228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</row>
    <row r="358" customFormat="false" ht="17.15" hidden="false" customHeight="false" outlineLevel="0" collapsed="false">
      <c r="A358" s="0" t="s">
        <v>491</v>
      </c>
      <c r="B358" s="4" t="s">
        <v>228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5349.166852124</v>
      </c>
      <c r="F358" s="14" t="n">
        <f aca="false">$C359*F355</f>
        <v>5001.95012073218</v>
      </c>
      <c r="G358" s="14" t="n">
        <f aca="false">$C359*G355</f>
        <v>2453.5375982367</v>
      </c>
      <c r="I358" s="8" t="s">
        <v>492</v>
      </c>
    </row>
    <row r="359" customFormat="false" ht="17.15" hidden="false" customHeight="false" outlineLevel="0" collapsed="false">
      <c r="A359" s="4" t="s">
        <v>493</v>
      </c>
      <c r="B359" s="4" t="s">
        <v>494</v>
      </c>
      <c r="C359" s="20" t="n">
        <f aca="false">(C358+D358)/(C355+D355)</f>
        <v>12.9846283260163</v>
      </c>
      <c r="I359" s="4" t="s">
        <v>495</v>
      </c>
    </row>
    <row r="360" customFormat="false" ht="15" hidden="false" customHeight="false" outlineLevel="0" collapsed="false">
      <c r="A360" s="4" t="s">
        <v>396</v>
      </c>
      <c r="B360" s="4" t="s">
        <v>228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9077.970644124</v>
      </c>
      <c r="F360" s="14" t="n">
        <f aca="false">F357+F358</f>
        <v>9178.21036777218</v>
      </c>
      <c r="G360" s="14" t="n">
        <f aca="false">G357+G358</f>
        <v>7130.9490749215</v>
      </c>
    </row>
    <row r="361" customFormat="false" ht="17.15" hidden="false" customHeight="false" outlineLevel="0" collapsed="false">
      <c r="A361" s="0" t="s">
        <v>496</v>
      </c>
      <c r="B361" s="0" t="s">
        <v>64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0.589246987220257</v>
      </c>
      <c r="F361" s="10" t="n">
        <f aca="false">F358/F360</f>
        <v>0.544980984342626</v>
      </c>
      <c r="G361" s="10" t="n">
        <f aca="false">G358/G360</f>
        <v>0.344068871121998</v>
      </c>
    </row>
    <row r="362" customFormat="false" ht="17.15" hidden="false" customHeight="false" outlineLevel="0" collapsed="false">
      <c r="A362" s="4" t="s">
        <v>497</v>
      </c>
      <c r="B362" s="4" t="s">
        <v>228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1038.27274307394</v>
      </c>
      <c r="F362" s="14" t="n">
        <f aca="false">opex_fix+opex_var*F360</f>
        <v>1045.28361398316</v>
      </c>
      <c r="G362" s="14" t="n">
        <f aca="false">opex_fix+opex_var*G360</f>
        <v>902.096022085935</v>
      </c>
      <c r="I362" s="4" t="s">
        <v>498</v>
      </c>
    </row>
    <row r="363" customFormat="false" ht="17.15" hidden="false" customHeight="false" outlineLevel="0" collapsed="false">
      <c r="A363" s="4" t="s">
        <v>465</v>
      </c>
      <c r="B363" s="0" t="s">
        <v>64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499</v>
      </c>
    </row>
    <row r="364" customFormat="false" ht="15" hidden="false" customHeight="false" outlineLevel="0" collapsed="false">
      <c r="A364" s="4" t="s">
        <v>401</v>
      </c>
      <c r="B364" s="4" t="s">
        <v>228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5403.81798401682</v>
      </c>
      <c r="F364" s="14" t="n">
        <f aca="false">F360*F363</f>
        <v>5463.48740162102</v>
      </c>
      <c r="G364" s="14" t="n">
        <f aca="false">G360*G363</f>
        <v>4244.81994542596</v>
      </c>
    </row>
    <row r="365" customFormat="false" ht="15" hidden="false" customHeight="false" outlineLevel="0" collapsed="false">
      <c r="A365" s="4" t="s">
        <v>404</v>
      </c>
      <c r="B365" s="4" t="s">
        <v>228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4365.54524094288</v>
      </c>
      <c r="F365" s="14" t="n">
        <f aca="false">F364-F362</f>
        <v>4418.20378763786</v>
      </c>
      <c r="G365" s="14" t="n">
        <f aca="false">G364-G362</f>
        <v>3342.72392334003</v>
      </c>
    </row>
    <row r="366" customFormat="false" ht="15" hidden="false" customHeight="false" outlineLevel="0" collapsed="false">
      <c r="A366" s="4" t="s">
        <v>407</v>
      </c>
      <c r="B366" s="0" t="s">
        <v>64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0.480894399429306</v>
      </c>
      <c r="F366" s="10" t="n">
        <f aca="false">F365/F360</f>
        <v>0.481379660151577</v>
      </c>
      <c r="G366" s="10" t="n">
        <f aca="false">G365/G360</f>
        <v>0.468762837627868</v>
      </c>
    </row>
    <row r="367" customFormat="false" ht="15" hidden="false" customHeight="false" outlineLevel="0" collapsed="false">
      <c r="A367" s="4" t="s">
        <v>466</v>
      </c>
      <c r="B367" s="4" t="s">
        <v>228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3716.24440734228</v>
      </c>
      <c r="F367" s="14" t="n">
        <f aca="false">F365*nioi</f>
        <v>3761.07088808028</v>
      </c>
      <c r="G367" s="14" t="n">
        <f aca="false">G365*nioi</f>
        <v>2845.55041805468</v>
      </c>
    </row>
    <row r="368" customFormat="false" ht="15" hidden="false" customHeight="false" outlineLevel="0" collapsed="false">
      <c r="A368" s="0" t="s">
        <v>467</v>
      </c>
      <c r="B368" s="0" t="s">
        <v>304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3875.48721675971</v>
      </c>
      <c r="F368" s="14" t="n">
        <f aca="false">F367*100/shares</f>
        <v>3922.23453314428</v>
      </c>
      <c r="G368" s="14" t="n">
        <f aca="false">G367*100/shares</f>
        <v>2967.48358316478</v>
      </c>
    </row>
    <row r="369" customFormat="false" ht="17.15" hidden="false" customHeight="false" outlineLevel="0" collapsed="false">
      <c r="A369" s="4" t="s">
        <v>500</v>
      </c>
      <c r="B369" s="4" t="s">
        <v>228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16209.5965215879</v>
      </c>
      <c r="F369" s="14" t="n">
        <f aca="false">$C359*F350</f>
        <v>15157.4246082793</v>
      </c>
      <c r="G369" s="14" t="n">
        <f aca="false">$C359*G350</f>
        <v>7434.96241889908</v>
      </c>
      <c r="I369" s="4" t="s">
        <v>501</v>
      </c>
    </row>
    <row r="370" customFormat="false" ht="15" hidden="false" customHeight="false" outlineLevel="0" collapsed="false">
      <c r="A370" s="4" t="s">
        <v>502</v>
      </c>
      <c r="B370" s="0" t="s">
        <v>335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1141.52088180196</v>
      </c>
      <c r="F370" s="14" t="n">
        <f aca="false">F369/fx*100</f>
        <v>1067.42426818869</v>
      </c>
      <c r="G370" s="14" t="n">
        <f aca="false">G369/fx*100</f>
        <v>523.588902739372</v>
      </c>
    </row>
    <row r="380" customFormat="false" ht="17.15" hidden="false" customHeight="false" outlineLevel="0" collapsed="false">
      <c r="A380" s="1" t="s">
        <v>775</v>
      </c>
    </row>
    <row r="381" customFormat="false" ht="15" hidden="false" customHeight="false" outlineLevel="0" collapsed="false">
      <c r="A381" s="5" t="s">
        <v>16</v>
      </c>
      <c r="B381" s="5" t="s">
        <v>17</v>
      </c>
      <c r="C381" s="13" t="s">
        <v>430</v>
      </c>
      <c r="D381" s="13" t="s">
        <v>431</v>
      </c>
      <c r="E381" s="13" t="s">
        <v>432</v>
      </c>
      <c r="F381" s="13" t="s">
        <v>433</v>
      </c>
      <c r="G381" s="13" t="s">
        <v>434</v>
      </c>
      <c r="H381" s="13" t="s">
        <v>435</v>
      </c>
      <c r="I381" s="5" t="s">
        <v>436</v>
      </c>
    </row>
    <row r="382" customFormat="false" ht="17.15" hidden="false" customHeight="false" outlineLevel="0" collapsed="false">
      <c r="A382" s="6" t="s">
        <v>470</v>
      </c>
    </row>
    <row r="383" customFormat="false" ht="17.15" hidden="false" customHeight="false" outlineLevel="0" collapsed="false">
      <c r="A383" s="0" t="s">
        <v>471</v>
      </c>
      <c r="B383" s="0" t="s">
        <v>27</v>
      </c>
      <c r="C383" s="19" t="n">
        <f aca="false">hsA_25</f>
        <v>2.22511470588235</v>
      </c>
      <c r="D383" s="19" t="n">
        <f aca="false">hsA_26</f>
        <v>3.782695</v>
      </c>
      <c r="E383" s="19" t="n">
        <f aca="false">hsA_27</f>
        <v>5.86317725</v>
      </c>
      <c r="F383" s="19" t="n">
        <f aca="false">hsA_28</f>
        <v>8.5016070125</v>
      </c>
      <c r="G383" s="19" t="n">
        <f aca="false">hsA_29</f>
        <v>11.477169466875</v>
      </c>
      <c r="H383" s="19" t="n">
        <f aca="false">G383*(1+g_tail)</f>
        <v>12.6248864135625</v>
      </c>
      <c r="I383" s="8" t="s">
        <v>472</v>
      </c>
    </row>
    <row r="384" customFormat="false" ht="17.15" hidden="false" customHeight="false" outlineLevel="0" collapsed="false">
      <c r="A384" s="0" t="s">
        <v>473</v>
      </c>
      <c r="B384" s="0" t="s">
        <v>474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475</v>
      </c>
      <c r="B385" s="4" t="s">
        <v>440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476</v>
      </c>
    </row>
    <row r="386" customFormat="false" ht="15" hidden="false" customHeight="false" outlineLevel="0" collapsed="false">
      <c r="A386" s="4" t="s">
        <v>477</v>
      </c>
      <c r="B386" s="4" t="s">
        <v>91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478</v>
      </c>
      <c r="B387" s="0" t="s">
        <v>111</v>
      </c>
      <c r="C387" s="20" t="n">
        <f aca="false">1+beta*(C386-$C386)/4</f>
        <v>1</v>
      </c>
      <c r="D387" s="20" t="n">
        <f aca="false">1+beta*(D386-$C386)/4</f>
        <v>1.05</v>
      </c>
      <c r="E387" s="20" t="n">
        <f aca="false">1+beta*(E386-$C386)/4</f>
        <v>1.0625</v>
      </c>
      <c r="F387" s="20" t="n">
        <f aca="false">1+beta*(F386-$C386)/4</f>
        <v>1.1</v>
      </c>
      <c r="G387" s="20" t="n">
        <f aca="false">1+beta*(G386-$C386)/4</f>
        <v>1.125</v>
      </c>
      <c r="H387" s="20" t="n">
        <f aca="false">1+beta*(H386-$C386)/4</f>
        <v>1.15</v>
      </c>
    </row>
    <row r="388" customFormat="false" ht="17.15" hidden="false" customHeight="false" outlineLevel="0" collapsed="false">
      <c r="A388" s="4" t="s">
        <v>479</v>
      </c>
      <c r="B388" s="0" t="s">
        <v>64</v>
      </c>
      <c r="C388" s="10" t="n">
        <f aca="false">0</f>
        <v>0</v>
      </c>
      <c r="D388" s="10" t="n">
        <f aca="false">0</f>
        <v>0</v>
      </c>
      <c r="E388" s="10" t="n">
        <f aca="false">0</f>
        <v>0</v>
      </c>
      <c r="F388" s="10" t="n">
        <f aca="false">0</f>
        <v>0</v>
      </c>
      <c r="G388" s="10" t="n">
        <f aca="false">0</f>
        <v>0</v>
      </c>
      <c r="H388" s="10" t="n">
        <f aca="false">0</f>
        <v>0</v>
      </c>
      <c r="I388" s="4" t="s">
        <v>480</v>
      </c>
    </row>
    <row r="389" customFormat="false" ht="17.15" hidden="false" customHeight="false" outlineLevel="0" collapsed="false">
      <c r="A389" s="0" t="s">
        <v>481</v>
      </c>
      <c r="B389" s="4" t="s">
        <v>442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2337.9419284375</v>
      </c>
      <c r="G389" s="14" t="n">
        <f aca="false">G385*G387*(1-G388)</f>
        <v>3227.95391255859</v>
      </c>
      <c r="H389" s="14" t="n">
        <f aca="false">H385*H387*(1-H388)</f>
        <v>3629.65484389922</v>
      </c>
    </row>
    <row r="390" customFormat="false" ht="17.15" hidden="false" customHeight="false" outlineLevel="0" collapsed="false">
      <c r="A390" s="4" t="s">
        <v>482</v>
      </c>
      <c r="B390" s="4" t="s">
        <v>442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MAX(0,F389-E389)+dlt*E389</f>
        <v>736.0381440625</v>
      </c>
      <c r="F390" s="14" t="n">
        <f aca="false">MAX(0,G389-F389)+dlt*F389</f>
        <v>1123.80617696484</v>
      </c>
      <c r="G390" s="14" t="n">
        <f aca="false">MAX(0,H389-G389)+dlt*G389</f>
        <v>724.496322596484</v>
      </c>
      <c r="I390" s="4" t="s">
        <v>483</v>
      </c>
    </row>
    <row r="391" customFormat="false" ht="17.15" hidden="false" customHeight="false" outlineLevel="0" collapsed="false">
      <c r="A391" s="0" t="s">
        <v>484</v>
      </c>
      <c r="B391" s="0" t="s">
        <v>64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485</v>
      </c>
      <c r="B392" s="0" t="s">
        <v>64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486</v>
      </c>
      <c r="B393" s="0" t="s">
        <v>64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487</v>
      </c>
      <c r="B394" s="0" t="s">
        <v>64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488</v>
      </c>
      <c r="B395" s="4" t="s">
        <v>442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242.892587540625</v>
      </c>
      <c r="F395" s="14" t="n">
        <f aca="false">F390*F394</f>
        <v>370.856038398399</v>
      </c>
      <c r="G395" s="14" t="n">
        <f aca="false">G390*G394</f>
        <v>239.08378645684</v>
      </c>
    </row>
    <row r="396" customFormat="false" ht="17.15" hidden="false" customHeight="false" outlineLevel="0" collapsed="false">
      <c r="A396" s="6" t="s">
        <v>489</v>
      </c>
    </row>
    <row r="397" customFormat="false" ht="17.15" hidden="false" customHeight="false" outlineLevel="0" collapsed="false">
      <c r="A397" s="4" t="s">
        <v>490</v>
      </c>
      <c r="B397" s="4" t="s">
        <v>228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</row>
    <row r="398" customFormat="false" ht="17.15" hidden="false" customHeight="false" outlineLevel="0" collapsed="false">
      <c r="A398" s="0" t="s">
        <v>491</v>
      </c>
      <c r="B398" s="4" t="s">
        <v>228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3747.87100769567</v>
      </c>
      <c r="F398" s="14" t="n">
        <f aca="false">$C399*F395</f>
        <v>5722.36727524573</v>
      </c>
      <c r="G398" s="14" t="n">
        <f aca="false">$C399*G395</f>
        <v>3689.10060510523</v>
      </c>
      <c r="I398" s="8" t="s">
        <v>492</v>
      </c>
    </row>
    <row r="399" customFormat="false" ht="17.15" hidden="false" customHeight="false" outlineLevel="0" collapsed="false">
      <c r="A399" s="4" t="s">
        <v>493</v>
      </c>
      <c r="B399" s="4" t="s">
        <v>494</v>
      </c>
      <c r="C399" s="20" t="n">
        <f aca="false">(C398+D398)/(C395+D395)</f>
        <v>15.4301580202353</v>
      </c>
      <c r="I399" s="4" t="s">
        <v>495</v>
      </c>
    </row>
    <row r="400" customFormat="false" ht="15" hidden="false" customHeight="false" outlineLevel="0" collapsed="false">
      <c r="A400" s="4" t="s">
        <v>396</v>
      </c>
      <c r="B400" s="4" t="s">
        <v>228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7476.67479969568</v>
      </c>
      <c r="F400" s="14" t="n">
        <f aca="false">F397+F398</f>
        <v>9898.62752228573</v>
      </c>
      <c r="G400" s="14" t="n">
        <f aca="false">G397+G398</f>
        <v>8366.51208179003</v>
      </c>
    </row>
    <row r="401" customFormat="false" ht="17.15" hidden="false" customHeight="false" outlineLevel="0" collapsed="false">
      <c r="A401" s="0" t="s">
        <v>496</v>
      </c>
      <c r="B401" s="0" t="s">
        <v>64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0.501275113349617</v>
      </c>
      <c r="F401" s="10" t="n">
        <f aca="false">F398/F400</f>
        <v>0.578097040459641</v>
      </c>
      <c r="G401" s="10" t="n">
        <f aca="false">G398/G400</f>
        <v>0.440936506042305</v>
      </c>
    </row>
    <row r="402" customFormat="false" ht="17.15" hidden="false" customHeight="false" outlineLevel="0" collapsed="false">
      <c r="A402" s="4" t="s">
        <v>497</v>
      </c>
      <c r="B402" s="4" t="s">
        <v>228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926.276440169455</v>
      </c>
      <c r="F402" s="14" t="n">
        <f aca="false">opex_fix+opex_var*F400</f>
        <v>1095.67034179191</v>
      </c>
      <c r="G402" s="14" t="n">
        <f aca="false">opex_fix+opex_var*G400</f>
        <v>988.512588553842</v>
      </c>
      <c r="I402" s="4" t="s">
        <v>498</v>
      </c>
    </row>
    <row r="403" customFormat="false" ht="17.15" hidden="false" customHeight="false" outlineLevel="0" collapsed="false">
      <c r="A403" s="4" t="s">
        <v>465</v>
      </c>
      <c r="B403" s="0" t="s">
        <v>64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499</v>
      </c>
    </row>
    <row r="404" customFormat="false" ht="15" hidden="false" customHeight="false" outlineLevel="0" collapsed="false">
      <c r="A404" s="4" t="s">
        <v>401</v>
      </c>
      <c r="B404" s="4" t="s">
        <v>228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4450.61912261114</v>
      </c>
      <c r="F404" s="14" t="n">
        <f aca="false">F400*F403</f>
        <v>5892.32808949815</v>
      </c>
      <c r="G404" s="14" t="n">
        <f aca="false">G400*G403</f>
        <v>4980.31005204178</v>
      </c>
    </row>
    <row r="405" customFormat="false" ht="15" hidden="false" customHeight="false" outlineLevel="0" collapsed="false">
      <c r="A405" s="4" t="s">
        <v>404</v>
      </c>
      <c r="B405" s="4" t="s">
        <v>228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3524.34268244168</v>
      </c>
      <c r="F405" s="14" t="n">
        <f aca="false">F404-F402</f>
        <v>4796.65774770624</v>
      </c>
      <c r="G405" s="14" t="n">
        <f aca="false">G404-G402</f>
        <v>3991.79746348794</v>
      </c>
    </row>
    <row r="406" customFormat="false" ht="15" hidden="false" customHeight="false" outlineLevel="0" collapsed="false">
      <c r="A406" s="4" t="s">
        <v>407</v>
      </c>
      <c r="B406" s="0" t="s">
        <v>64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0.471378356938185</v>
      </c>
      <c r="F406" s="10" t="n">
        <f aca="false">F405/F400</f>
        <v>0.48457806265637</v>
      </c>
      <c r="G406" s="10" t="n">
        <f aca="false">G405/G400</f>
        <v>0.477116081882701</v>
      </c>
    </row>
    <row r="407" customFormat="false" ht="15" hidden="false" customHeight="false" outlineLevel="0" collapsed="false">
      <c r="A407" s="4" t="s">
        <v>466</v>
      </c>
      <c r="B407" s="4" t="s">
        <v>228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3000.15646621791</v>
      </c>
      <c r="F407" s="14" t="n">
        <f aca="false">F405*nioi</f>
        <v>4083.2362385502</v>
      </c>
      <c r="G407" s="14" t="n">
        <f aca="false">G405*nioi</f>
        <v>3398.08527461879</v>
      </c>
    </row>
    <row r="408" customFormat="false" ht="15" hidden="false" customHeight="false" outlineLevel="0" collapsed="false">
      <c r="A408" s="0" t="s">
        <v>467</v>
      </c>
      <c r="B408" s="0" t="s">
        <v>304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3128.71457273762</v>
      </c>
      <c r="F408" s="14" t="n">
        <f aca="false">F407*100/shares</f>
        <v>4258.2048194264</v>
      </c>
      <c r="G408" s="14" t="n">
        <f aca="false">G407*100/shares</f>
        <v>3543.69481652653</v>
      </c>
    </row>
    <row r="409" customFormat="false" ht="17.15" hidden="false" customHeight="false" outlineLevel="0" collapsed="false">
      <c r="A409" s="4" t="s">
        <v>500</v>
      </c>
      <c r="B409" s="4" t="s">
        <v>228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11357.1848718051</v>
      </c>
      <c r="F409" s="14" t="n">
        <f aca="false">$C399*F390</f>
        <v>17340.506894684</v>
      </c>
      <c r="G409" s="14" t="n">
        <f aca="false">$C399*G390</f>
        <v>11179.0927427431</v>
      </c>
      <c r="I409" s="4" t="s">
        <v>501</v>
      </c>
    </row>
    <row r="410" customFormat="false" ht="15" hidden="false" customHeight="false" outlineLevel="0" collapsed="false">
      <c r="A410" s="4" t="s">
        <v>502</v>
      </c>
      <c r="B410" s="0" t="s">
        <v>335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799.801751535568</v>
      </c>
      <c r="F410" s="14" t="n">
        <f aca="false">F409/fx*100</f>
        <v>1221.16245737211</v>
      </c>
      <c r="G410" s="14" t="n">
        <f aca="false">G409/fx*100</f>
        <v>787.260052305853</v>
      </c>
    </row>
    <row r="420" customFormat="false" ht="17.15" hidden="false" customHeight="false" outlineLevel="0" collapsed="false">
      <c r="A420" s="1" t="s">
        <v>776</v>
      </c>
    </row>
    <row r="421" customFormat="false" ht="15" hidden="false" customHeight="false" outlineLevel="0" collapsed="false">
      <c r="A421" s="5" t="s">
        <v>16</v>
      </c>
      <c r="B421" s="5" t="s">
        <v>17</v>
      </c>
      <c r="C421" s="13" t="s">
        <v>430</v>
      </c>
      <c r="D421" s="13" t="s">
        <v>431</v>
      </c>
      <c r="E421" s="13" t="s">
        <v>432</v>
      </c>
      <c r="F421" s="13" t="s">
        <v>433</v>
      </c>
      <c r="G421" s="13" t="s">
        <v>434</v>
      </c>
      <c r="H421" s="13" t="s">
        <v>435</v>
      </c>
      <c r="I421" s="5" t="s">
        <v>436</v>
      </c>
    </row>
    <row r="422" customFormat="false" ht="17.15" hidden="false" customHeight="false" outlineLevel="0" collapsed="false">
      <c r="A422" s="6" t="s">
        <v>470</v>
      </c>
    </row>
    <row r="423" customFormat="false" ht="17.15" hidden="false" customHeight="false" outlineLevel="0" collapsed="false">
      <c r="A423" s="0" t="s">
        <v>471</v>
      </c>
      <c r="B423" s="0" t="s">
        <v>27</v>
      </c>
      <c r="C423" s="19" t="n">
        <f aca="false">hsA_25</f>
        <v>2.22511470588235</v>
      </c>
      <c r="D423" s="19" t="n">
        <f aca="false">hsA_26</f>
        <v>3.782695</v>
      </c>
      <c r="E423" s="19" t="n">
        <f aca="false">hsA_27</f>
        <v>5.86317725</v>
      </c>
      <c r="F423" s="19" t="n">
        <f aca="false">hsA_28</f>
        <v>8.5016070125</v>
      </c>
      <c r="G423" s="19" t="n">
        <f aca="false">hsA_29</f>
        <v>11.477169466875</v>
      </c>
      <c r="H423" s="19" t="n">
        <f aca="false">G423*(1+g_tail)</f>
        <v>12.6248864135625</v>
      </c>
      <c r="I423" s="8" t="s">
        <v>472</v>
      </c>
    </row>
    <row r="424" customFormat="false" ht="17.15" hidden="false" customHeight="false" outlineLevel="0" collapsed="false">
      <c r="A424" s="0" t="s">
        <v>473</v>
      </c>
      <c r="B424" s="0" t="s">
        <v>474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475</v>
      </c>
      <c r="B425" s="4" t="s">
        <v>440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476</v>
      </c>
    </row>
    <row r="426" customFormat="false" ht="15" hidden="false" customHeight="false" outlineLevel="0" collapsed="false">
      <c r="A426" s="4" t="s">
        <v>477</v>
      </c>
      <c r="B426" s="4" t="s">
        <v>91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478</v>
      </c>
      <c r="B427" s="0" t="s">
        <v>111</v>
      </c>
      <c r="C427" s="20" t="n">
        <f aca="false">1+beta*(C426-$C426)/4</f>
        <v>1</v>
      </c>
      <c r="D427" s="20" t="n">
        <f aca="false">1+beta*(D426-$C426)/4</f>
        <v>1.05</v>
      </c>
      <c r="E427" s="20" t="n">
        <f aca="false">1+beta*(E426-$C426)/4</f>
        <v>1.1</v>
      </c>
      <c r="F427" s="20" t="n">
        <f aca="false">1+beta*(F426-$C426)/4</f>
        <v>1.1</v>
      </c>
      <c r="G427" s="20" t="n">
        <f aca="false">1+beta*(G426-$C426)/4</f>
        <v>1.1</v>
      </c>
      <c r="H427" s="20" t="n">
        <f aca="false">1+beta*(H426-$C426)/4</f>
        <v>1.15</v>
      </c>
    </row>
    <row r="428" customFormat="false" ht="17.15" hidden="false" customHeight="false" outlineLevel="0" collapsed="false">
      <c r="A428" s="4" t="s">
        <v>479</v>
      </c>
      <c r="B428" s="0" t="s">
        <v>64</v>
      </c>
      <c r="C428" s="10" t="n">
        <f aca="false">0</f>
        <v>0</v>
      </c>
      <c r="D428" s="10" t="n">
        <f aca="false">0</f>
        <v>0</v>
      </c>
      <c r="E428" s="10" t="n">
        <f aca="false">0</f>
        <v>0</v>
      </c>
      <c r="F428" s="10" t="n">
        <f aca="false">0</f>
        <v>0</v>
      </c>
      <c r="G428" s="10" t="n">
        <f aca="false">0</f>
        <v>0</v>
      </c>
      <c r="H428" s="10" t="n">
        <f aca="false">0</f>
        <v>0</v>
      </c>
      <c r="I428" s="4" t="s">
        <v>480</v>
      </c>
    </row>
    <row r="429" customFormat="false" ht="17.15" hidden="false" customHeight="false" outlineLevel="0" collapsed="false">
      <c r="A429" s="0" t="s">
        <v>481</v>
      </c>
      <c r="B429" s="4" t="s">
        <v>442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2671.9336325</v>
      </c>
      <c r="G429" s="14" t="n">
        <f aca="false">G425*G427*(1-G428)</f>
        <v>3366.63637695</v>
      </c>
      <c r="H429" s="14" t="n">
        <f aca="false">H425*H427*(1-H428)</f>
        <v>3629.65484389922</v>
      </c>
    </row>
    <row r="430" customFormat="false" ht="17.15" hidden="false" customHeight="false" outlineLevel="0" collapsed="false">
      <c r="A430" s="4" t="s">
        <v>482</v>
      </c>
      <c r="B430" s="4" t="s">
        <v>442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MAX(0,F429-E429)+dlt*E429</f>
        <v>885.919639423077</v>
      </c>
      <c r="F430" s="14" t="n">
        <f aca="false">MAX(0,G429-F429)+dlt*F429</f>
        <v>961.8961077</v>
      </c>
      <c r="G430" s="14" t="n">
        <f aca="false">MAX(0,H429-G429)+dlt*G429</f>
        <v>599.682104644218</v>
      </c>
      <c r="I430" s="4" t="s">
        <v>483</v>
      </c>
    </row>
    <row r="431" customFormat="false" ht="17.15" hidden="false" customHeight="false" outlineLevel="0" collapsed="false">
      <c r="A431" s="0" t="s">
        <v>484</v>
      </c>
      <c r="B431" s="0" t="s">
        <v>64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485</v>
      </c>
      <c r="B432" s="0" t="s">
        <v>64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486</v>
      </c>
      <c r="B433" s="0" t="s">
        <v>64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487</v>
      </c>
      <c r="B434" s="0" t="s">
        <v>64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488</v>
      </c>
      <c r="B435" s="4" t="s">
        <v>442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292.353481009615</v>
      </c>
      <c r="F435" s="14" t="n">
        <f aca="false">F430*F434</f>
        <v>317.425715541</v>
      </c>
      <c r="G435" s="14" t="n">
        <f aca="false">G430*G434</f>
        <v>197.895094532592</v>
      </c>
    </row>
    <row r="436" customFormat="false" ht="17.15" hidden="false" customHeight="false" outlineLevel="0" collapsed="false">
      <c r="A436" s="6" t="s">
        <v>489</v>
      </c>
    </row>
    <row r="437" customFormat="false" ht="17.15" hidden="false" customHeight="false" outlineLevel="0" collapsed="false">
      <c r="A437" s="4" t="s">
        <v>490</v>
      </c>
      <c r="B437" s="4" t="s">
        <v>228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</row>
    <row r="438" customFormat="false" ht="17.15" hidden="false" customHeight="false" outlineLevel="0" collapsed="false">
      <c r="A438" s="0" t="s">
        <v>491</v>
      </c>
      <c r="B438" s="4" t="s">
        <v>228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3839.84342720795</v>
      </c>
      <c r="F438" s="14" t="n">
        <f aca="false">$C439*F435</f>
        <v>4169.14839952531</v>
      </c>
      <c r="G438" s="14" t="n">
        <f aca="false">$C439*G435</f>
        <v>2599.20345532906</v>
      </c>
      <c r="I438" s="8" t="s">
        <v>492</v>
      </c>
    </row>
    <row r="439" customFormat="false" ht="17.15" hidden="false" customHeight="false" outlineLevel="0" collapsed="false">
      <c r="A439" s="4" t="s">
        <v>493</v>
      </c>
      <c r="B439" s="4" t="s">
        <v>494</v>
      </c>
      <c r="C439" s="20" t="n">
        <f aca="false">(C438+D438)/(C435+D435)</f>
        <v>13.1342490397153</v>
      </c>
      <c r="I439" s="4" t="s">
        <v>495</v>
      </c>
    </row>
    <row r="440" customFormat="false" ht="15" hidden="false" customHeight="false" outlineLevel="0" collapsed="false">
      <c r="A440" s="4" t="s">
        <v>396</v>
      </c>
      <c r="B440" s="4" t="s">
        <v>228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7568.64721920796</v>
      </c>
      <c r="F440" s="14" t="n">
        <f aca="false">F437+F438</f>
        <v>8345.40864656531</v>
      </c>
      <c r="G440" s="14" t="n">
        <f aca="false">G437+G438</f>
        <v>7276.61493201386</v>
      </c>
    </row>
    <row r="441" customFormat="false" ht="17.15" hidden="false" customHeight="false" outlineLevel="0" collapsed="false">
      <c r="A441" s="0" t="s">
        <v>496</v>
      </c>
      <c r="B441" s="0" t="s">
        <v>64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0.507335500783162</v>
      </c>
      <c r="F441" s="10" t="n">
        <f aca="false">F438/F440</f>
        <v>0.499573906574508</v>
      </c>
      <c r="G441" s="10" t="n">
        <f aca="false">G438/G440</f>
        <v>0.357199532971536</v>
      </c>
    </row>
    <row r="442" customFormat="false" ht="17.15" hidden="false" customHeight="false" outlineLevel="0" collapsed="false">
      <c r="A442" s="4" t="s">
        <v>497</v>
      </c>
      <c r="B442" s="4" t="s">
        <v>228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932.709087197421</v>
      </c>
      <c r="F442" s="14" t="n">
        <f aca="false">opex_fix+opex_var*F440</f>
        <v>987.036592264976</v>
      </c>
      <c r="G442" s="14" t="n">
        <f aca="false">opex_fix+opex_var*G440</f>
        <v>912.284044187236</v>
      </c>
      <c r="I442" s="4" t="s">
        <v>498</v>
      </c>
    </row>
    <row r="443" customFormat="false" ht="17.15" hidden="false" customHeight="false" outlineLevel="0" collapsed="false">
      <c r="A443" s="4" t="s">
        <v>465</v>
      </c>
      <c r="B443" s="0" t="s">
        <v>64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499</v>
      </c>
    </row>
    <row r="444" customFormat="false" ht="15" hidden="false" customHeight="false" outlineLevel="0" collapsed="false">
      <c r="A444" s="4" t="s">
        <v>401</v>
      </c>
      <c r="B444" s="4" t="s">
        <v>228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4505.36728539747</v>
      </c>
      <c r="F444" s="14" t="n">
        <f aca="false">F440*F443</f>
        <v>4967.74786967058</v>
      </c>
      <c r="G444" s="14" t="n">
        <f aca="false">G440*G443</f>
        <v>4331.53004937661</v>
      </c>
    </row>
    <row r="445" customFormat="false" ht="15" hidden="false" customHeight="false" outlineLevel="0" collapsed="false">
      <c r="A445" s="4" t="s">
        <v>404</v>
      </c>
      <c r="B445" s="4" t="s">
        <v>228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3572.65819820005</v>
      </c>
      <c r="F445" s="14" t="n">
        <f aca="false">F444-F442</f>
        <v>3980.71127740561</v>
      </c>
      <c r="G445" s="14" t="n">
        <f aca="false">G444-G442</f>
        <v>3419.24600518937</v>
      </c>
    </row>
    <row r="446" customFormat="false" ht="15" hidden="false" customHeight="false" outlineLevel="0" collapsed="false">
      <c r="A446" s="4" t="s">
        <v>407</v>
      </c>
      <c r="B446" s="0" t="s">
        <v>64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0.472033917650864</v>
      </c>
      <c r="F446" s="10" t="n">
        <f aca="false">F445/F440</f>
        <v>0.476994170805996</v>
      </c>
      <c r="G446" s="10" t="n">
        <f aca="false">G445/G440</f>
        <v>0.469895141784433</v>
      </c>
    </row>
    <row r="447" customFormat="false" ht="15" hidden="false" customHeight="false" outlineLevel="0" collapsed="false">
      <c r="A447" s="4" t="s">
        <v>466</v>
      </c>
      <c r="B447" s="4" t="s">
        <v>228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3041.28586823187</v>
      </c>
      <c r="F447" s="14" t="n">
        <f aca="false">F445*nioi</f>
        <v>3388.64797074187</v>
      </c>
      <c r="G447" s="14" t="n">
        <f aca="false">G445*nioi</f>
        <v>2910.6911377164</v>
      </c>
    </row>
    <row r="448" customFormat="false" ht="15" hidden="false" customHeight="false" outlineLevel="0" collapsed="false">
      <c r="A448" s="0" t="s">
        <v>467</v>
      </c>
      <c r="B448" s="0" t="s">
        <v>304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3171.60638884723</v>
      </c>
      <c r="F448" s="14" t="n">
        <f aca="false">F447*100/shares</f>
        <v>3533.85311976852</v>
      </c>
      <c r="G448" s="14" t="n">
        <f aca="false">G447*100/shares</f>
        <v>3035.41561310359</v>
      </c>
    </row>
    <row r="449" customFormat="false" ht="17.15" hidden="false" customHeight="false" outlineLevel="0" collapsed="false">
      <c r="A449" s="4" t="s">
        <v>500</v>
      </c>
      <c r="B449" s="4" t="s">
        <v>228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11635.8891733574</v>
      </c>
      <c r="F449" s="14" t="n">
        <f aca="false">$C439*F430</f>
        <v>12633.7830288646</v>
      </c>
      <c r="G449" s="14" t="n">
        <f aca="false">$C439*G430</f>
        <v>7876.37410705775</v>
      </c>
      <c r="I449" s="4" t="s">
        <v>501</v>
      </c>
    </row>
    <row r="450" customFormat="false" ht="15" hidden="false" customHeight="false" outlineLevel="0" collapsed="false">
      <c r="A450" s="4" t="s">
        <v>502</v>
      </c>
      <c r="B450" s="0" t="s">
        <v>335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819.428815025171</v>
      </c>
      <c r="F450" s="14" t="n">
        <f aca="false">F449/fx*100</f>
        <v>889.70303020173</v>
      </c>
      <c r="G450" s="14" t="n">
        <f aca="false">G449/fx*100</f>
        <v>554.674232891391</v>
      </c>
    </row>
    <row r="460" customFormat="false" ht="17.15" hidden="false" customHeight="false" outlineLevel="0" collapsed="false">
      <c r="A460" s="1" t="s">
        <v>777</v>
      </c>
    </row>
    <row r="461" customFormat="false" ht="15" hidden="false" customHeight="false" outlineLevel="0" collapsed="false">
      <c r="A461" s="5" t="s">
        <v>16</v>
      </c>
      <c r="B461" s="5" t="s">
        <v>17</v>
      </c>
      <c r="C461" s="13" t="s">
        <v>430</v>
      </c>
      <c r="D461" s="13" t="s">
        <v>431</v>
      </c>
      <c r="E461" s="13" t="s">
        <v>432</v>
      </c>
      <c r="F461" s="13" t="s">
        <v>433</v>
      </c>
      <c r="G461" s="13" t="s">
        <v>434</v>
      </c>
      <c r="H461" s="13" t="s">
        <v>435</v>
      </c>
      <c r="I461" s="5" t="s">
        <v>436</v>
      </c>
    </row>
    <row r="462" customFormat="false" ht="17.15" hidden="false" customHeight="false" outlineLevel="0" collapsed="false">
      <c r="A462" s="6" t="s">
        <v>470</v>
      </c>
    </row>
    <row r="463" customFormat="false" ht="17.15" hidden="false" customHeight="false" outlineLevel="0" collapsed="false">
      <c r="A463" s="0" t="s">
        <v>471</v>
      </c>
      <c r="B463" s="0" t="s">
        <v>27</v>
      </c>
      <c r="C463" s="19" t="n">
        <f aca="false">hsA_25</f>
        <v>2.22511470588235</v>
      </c>
      <c r="D463" s="19" t="n">
        <f aca="false">hsA_26</f>
        <v>3.782695</v>
      </c>
      <c r="E463" s="19" t="n">
        <f aca="false">hsA_27</f>
        <v>5.86317725</v>
      </c>
      <c r="F463" s="19" t="n">
        <f aca="false">hsA_28</f>
        <v>8.5016070125</v>
      </c>
      <c r="G463" s="19" t="n">
        <f aca="false">hsA_29</f>
        <v>11.477169466875</v>
      </c>
      <c r="H463" s="19" t="n">
        <f aca="false">G463*(1+g_tail)</f>
        <v>12.6248864135625</v>
      </c>
      <c r="I463" s="8" t="s">
        <v>472</v>
      </c>
    </row>
    <row r="464" customFormat="false" ht="17.15" hidden="false" customHeight="false" outlineLevel="0" collapsed="false">
      <c r="A464" s="0" t="s">
        <v>473</v>
      </c>
      <c r="B464" s="0" t="s">
        <v>474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475</v>
      </c>
      <c r="B465" s="4" t="s">
        <v>440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476</v>
      </c>
    </row>
    <row r="466" customFormat="false" ht="15" hidden="false" customHeight="false" outlineLevel="0" collapsed="false">
      <c r="A466" s="4" t="s">
        <v>477</v>
      </c>
      <c r="B466" s="4" t="s">
        <v>91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478</v>
      </c>
      <c r="B467" s="0" t="s">
        <v>111</v>
      </c>
      <c r="C467" s="20" t="n">
        <f aca="false">1+beta*(C466-$C466)/4</f>
        <v>1</v>
      </c>
      <c r="D467" s="20" t="n">
        <f aca="false">1+beta*(D466-$C466)/4</f>
        <v>1</v>
      </c>
      <c r="E467" s="20" t="n">
        <f aca="false">1+beta*(E466-$C466)/4</f>
        <v>1.05</v>
      </c>
      <c r="F467" s="20" t="n">
        <f aca="false">1+beta*(F466-$C466)/4</f>
        <v>1.1</v>
      </c>
      <c r="G467" s="20" t="n">
        <f aca="false">1+beta*(G466-$C466)/4</f>
        <v>1.1</v>
      </c>
      <c r="H467" s="20" t="n">
        <f aca="false">1+beta*(H466-$C466)/4</f>
        <v>1.1</v>
      </c>
    </row>
    <row r="468" customFormat="false" ht="17.15" hidden="false" customHeight="false" outlineLevel="0" collapsed="false">
      <c r="A468" s="4" t="s">
        <v>479</v>
      </c>
      <c r="B468" s="0" t="s">
        <v>64</v>
      </c>
      <c r="C468" s="10" t="n">
        <f aca="false">0</f>
        <v>0</v>
      </c>
      <c r="D468" s="10" t="n">
        <f aca="false">0</f>
        <v>0</v>
      </c>
      <c r="E468" s="10" t="n">
        <f aca="false">0</f>
        <v>0</v>
      </c>
      <c r="F468" s="10" t="n">
        <f aca="false">0</f>
        <v>0</v>
      </c>
      <c r="G468" s="10" t="n">
        <f aca="false">0</f>
        <v>0</v>
      </c>
      <c r="H468" s="10" t="n">
        <f aca="false">0</f>
        <v>0</v>
      </c>
      <c r="I468" s="4" t="s">
        <v>480</v>
      </c>
    </row>
    <row r="469" customFormat="false" ht="17.15" hidden="false" customHeight="false" outlineLevel="0" collapsed="false">
      <c r="A469" s="0" t="s">
        <v>481</v>
      </c>
      <c r="B469" s="4" t="s">
        <v>442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2671.9336325</v>
      </c>
      <c r="G469" s="14" t="n">
        <f aca="false">G465*G467*(1-G468)</f>
        <v>3366.63637695</v>
      </c>
      <c r="H469" s="14" t="n">
        <f aca="false">H465*H467*(1-H468)</f>
        <v>3471.84376372969</v>
      </c>
    </row>
    <row r="470" customFormat="false" ht="17.15" hidden="false" customHeight="false" outlineLevel="0" collapsed="false">
      <c r="A470" s="4" t="s">
        <v>482</v>
      </c>
      <c r="B470" s="4" t="s">
        <v>442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MAX(0,F469-E469)+dlt*E469</f>
        <v>967.102093653846</v>
      </c>
      <c r="F470" s="14" t="n">
        <f aca="false">MAX(0,G469-F469)+dlt*F469</f>
        <v>961.8961077</v>
      </c>
      <c r="G470" s="14" t="n">
        <f aca="false">MAX(0,H469-G469)+dlt*G469</f>
        <v>441.871024474688</v>
      </c>
      <c r="I470" s="4" t="s">
        <v>483</v>
      </c>
    </row>
    <row r="471" customFormat="false" ht="17.15" hidden="false" customHeight="false" outlineLevel="0" collapsed="false">
      <c r="A471" s="0" t="s">
        <v>484</v>
      </c>
      <c r="B471" s="0" t="s">
        <v>64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485</v>
      </c>
      <c r="B472" s="0" t="s">
        <v>64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486</v>
      </c>
      <c r="B473" s="0" t="s">
        <v>64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487</v>
      </c>
      <c r="B474" s="0" t="s">
        <v>64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488</v>
      </c>
      <c r="B475" s="4" t="s">
        <v>442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319.143690905769</v>
      </c>
      <c r="F475" s="14" t="n">
        <f aca="false">F470*F474</f>
        <v>317.425715541</v>
      </c>
      <c r="G475" s="14" t="n">
        <f aca="false">G470*G474</f>
        <v>145.817438076647</v>
      </c>
    </row>
    <row r="476" customFormat="false" ht="17.15" hidden="false" customHeight="false" outlineLevel="0" collapsed="false">
      <c r="A476" s="6" t="s">
        <v>489</v>
      </c>
    </row>
    <row r="477" customFormat="false" ht="17.15" hidden="false" customHeight="false" outlineLevel="0" collapsed="false">
      <c r="A477" s="4" t="s">
        <v>490</v>
      </c>
      <c r="B477" s="4" t="s">
        <v>228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</row>
    <row r="478" customFormat="false" ht="17.15" hidden="false" customHeight="false" outlineLevel="0" collapsed="false">
      <c r="A478" s="0" t="s">
        <v>491</v>
      </c>
      <c r="B478" s="4" t="s">
        <v>228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4503.37109416461</v>
      </c>
      <c r="F478" s="14" t="n">
        <f aca="false">$C479*F475</f>
        <v>4479.1290965358</v>
      </c>
      <c r="G478" s="14" t="n">
        <f aca="false">$C479*G475</f>
        <v>2057.59992872113</v>
      </c>
      <c r="I478" s="8" t="s">
        <v>492</v>
      </c>
    </row>
    <row r="479" customFormat="false" ht="17.15" hidden="false" customHeight="false" outlineLevel="0" collapsed="false">
      <c r="A479" s="4" t="s">
        <v>493</v>
      </c>
      <c r="B479" s="4" t="s">
        <v>494</v>
      </c>
      <c r="C479" s="20" t="n">
        <f aca="false">(C478+D478)/(C475+D475)</f>
        <v>14.1107946749111</v>
      </c>
      <c r="I479" s="4" t="s">
        <v>495</v>
      </c>
    </row>
    <row r="480" customFormat="false" ht="15" hidden="false" customHeight="false" outlineLevel="0" collapsed="false">
      <c r="A480" s="4" t="s">
        <v>396</v>
      </c>
      <c r="B480" s="4" t="s">
        <v>228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8232.17488616461</v>
      </c>
      <c r="F480" s="14" t="n">
        <f aca="false">F477+F478</f>
        <v>8655.3893435758</v>
      </c>
      <c r="G480" s="14" t="n">
        <f aca="false">G477+G478</f>
        <v>6735.01140540594</v>
      </c>
    </row>
    <row r="481" customFormat="false" ht="17.15" hidden="false" customHeight="false" outlineLevel="0" collapsed="false">
      <c r="A481" s="0" t="s">
        <v>496</v>
      </c>
      <c r="B481" s="0" t="s">
        <v>64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0.547045119477867</v>
      </c>
      <c r="F481" s="10" t="n">
        <f aca="false">F478/F480</f>
        <v>0.517495969128217</v>
      </c>
      <c r="G481" s="10" t="n">
        <f aca="false">G478/G480</f>
        <v>0.305508009543915</v>
      </c>
    </row>
    <row r="482" customFormat="false" ht="17.15" hidden="false" customHeight="false" outlineLevel="0" collapsed="false">
      <c r="A482" s="4" t="s">
        <v>497</v>
      </c>
      <c r="B482" s="4" t="s">
        <v>228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979.116904861192</v>
      </c>
      <c r="F482" s="14" t="n">
        <f aca="false">opex_fix+opex_var*F480</f>
        <v>1008.71696579353</v>
      </c>
      <c r="G482" s="14" t="n">
        <f aca="false">opex_fix+opex_var*G480</f>
        <v>874.403728172444</v>
      </c>
      <c r="I482" s="4" t="s">
        <v>498</v>
      </c>
    </row>
    <row r="483" customFormat="false" ht="17.15" hidden="false" customHeight="false" outlineLevel="0" collapsed="false">
      <c r="A483" s="4" t="s">
        <v>465</v>
      </c>
      <c r="B483" s="0" t="s">
        <v>64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499</v>
      </c>
    </row>
    <row r="484" customFormat="false" ht="15" hidden="false" customHeight="false" outlineLevel="0" collapsed="false">
      <c r="A484" s="4" t="s">
        <v>401</v>
      </c>
      <c r="B484" s="4" t="s">
        <v>228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4900.34352845395</v>
      </c>
      <c r="F484" s="14" t="n">
        <f aca="false">F480*F483</f>
        <v>5152.2692049855</v>
      </c>
      <c r="G484" s="14" t="n">
        <f aca="false">G480*G483</f>
        <v>4009.13124550019</v>
      </c>
    </row>
    <row r="485" customFormat="false" ht="15" hidden="false" customHeight="false" outlineLevel="0" collapsed="false">
      <c r="A485" s="4" t="s">
        <v>404</v>
      </c>
      <c r="B485" s="4" t="s">
        <v>228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3921.22662359275</v>
      </c>
      <c r="F485" s="14" t="n">
        <f aca="false">F484-F482</f>
        <v>4143.55223919197</v>
      </c>
      <c r="G485" s="14" t="n">
        <f aca="false">G484-G482</f>
        <v>3134.72751732774</v>
      </c>
    </row>
    <row r="486" customFormat="false" ht="15" hidden="false" customHeight="false" outlineLevel="0" collapsed="false">
      <c r="A486" s="4" t="s">
        <v>407</v>
      </c>
      <c r="B486" s="0" t="s">
        <v>64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0.476329363481205</v>
      </c>
      <c r="F486" s="10" t="n">
        <f aca="false">F485/F480</f>
        <v>0.478725112726141</v>
      </c>
      <c r="G486" s="10" t="n">
        <f aca="false">G485/G480</f>
        <v>0.465437595964814</v>
      </c>
    </row>
    <row r="487" customFormat="false" ht="15" hidden="false" customHeight="false" outlineLevel="0" collapsed="false">
      <c r="A487" s="4" t="s">
        <v>466</v>
      </c>
      <c r="B487" s="4" t="s">
        <v>228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3338.01065057818</v>
      </c>
      <c r="F487" s="14" t="n">
        <f aca="false">F485*nioi</f>
        <v>3527.26910054927</v>
      </c>
      <c r="G487" s="14" t="n">
        <f aca="false">G485*nioi</f>
        <v>2668.48995070662</v>
      </c>
    </row>
    <row r="488" customFormat="false" ht="15" hidden="false" customHeight="false" outlineLevel="0" collapsed="false">
      <c r="A488" s="0" t="s">
        <v>467</v>
      </c>
      <c r="B488" s="0" t="s">
        <v>304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3481.04596677352</v>
      </c>
      <c r="F488" s="14" t="n">
        <f aca="false">F487*100/shares</f>
        <v>3678.41422976439</v>
      </c>
      <c r="G488" s="14" t="n">
        <f aca="false">G487*100/shares</f>
        <v>2782.83599205232</v>
      </c>
    </row>
    <row r="489" customFormat="false" ht="17.15" hidden="false" customHeight="false" outlineLevel="0" collapsed="false">
      <c r="A489" s="4" t="s">
        <v>500</v>
      </c>
      <c r="B489" s="4" t="s">
        <v>228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13646.5790732261</v>
      </c>
      <c r="F489" s="14" t="n">
        <f aca="false">$C479*F470</f>
        <v>13573.1184743509</v>
      </c>
      <c r="G489" s="14" t="n">
        <f aca="false">$C479*G470</f>
        <v>6235.15129915495</v>
      </c>
      <c r="I489" s="4" t="s">
        <v>501</v>
      </c>
    </row>
    <row r="490" customFormat="false" ht="15" hidden="false" customHeight="false" outlineLevel="0" collapsed="false">
      <c r="A490" s="4" t="s">
        <v>502</v>
      </c>
      <c r="B490" s="0" t="s">
        <v>335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961.026695297612</v>
      </c>
      <c r="F490" s="14" t="n">
        <f aca="false">F489/fx*100</f>
        <v>955.853413686684</v>
      </c>
      <c r="G490" s="14" t="n">
        <f aca="false">G489/fx*100</f>
        <v>439.09516191232</v>
      </c>
    </row>
    <row r="500" customFormat="false" ht="17.15" hidden="false" customHeight="false" outlineLevel="0" collapsed="false">
      <c r="A500" s="1" t="s">
        <v>778</v>
      </c>
    </row>
    <row r="501" customFormat="false" ht="15" hidden="false" customHeight="false" outlineLevel="0" collapsed="false">
      <c r="A501" s="5" t="s">
        <v>16</v>
      </c>
      <c r="B501" s="5" t="s">
        <v>17</v>
      </c>
      <c r="C501" s="13" t="s">
        <v>430</v>
      </c>
      <c r="D501" s="13" t="s">
        <v>431</v>
      </c>
      <c r="E501" s="13" t="s">
        <v>432</v>
      </c>
      <c r="F501" s="13" t="s">
        <v>433</v>
      </c>
      <c r="G501" s="13" t="s">
        <v>434</v>
      </c>
      <c r="H501" s="13" t="s">
        <v>435</v>
      </c>
      <c r="I501" s="5" t="s">
        <v>436</v>
      </c>
    </row>
    <row r="502" customFormat="false" ht="17.15" hidden="false" customHeight="false" outlineLevel="0" collapsed="false">
      <c r="A502" s="6" t="s">
        <v>470</v>
      </c>
    </row>
    <row r="503" customFormat="false" ht="17.15" hidden="false" customHeight="false" outlineLevel="0" collapsed="false">
      <c r="A503" s="0" t="s">
        <v>471</v>
      </c>
      <c r="B503" s="0" t="s">
        <v>27</v>
      </c>
      <c r="C503" s="19" t="n">
        <f aca="false">hsA_25</f>
        <v>2.22511470588235</v>
      </c>
      <c r="D503" s="19" t="n">
        <f aca="false">hsA_26</f>
        <v>3.782695</v>
      </c>
      <c r="E503" s="19" t="n">
        <f aca="false">hsA_27</f>
        <v>5.86317725</v>
      </c>
      <c r="F503" s="19" t="n">
        <f aca="false">hsA_28</f>
        <v>8.5016070125</v>
      </c>
      <c r="G503" s="19" t="n">
        <f aca="false">hsA_29</f>
        <v>11.477169466875</v>
      </c>
      <c r="H503" s="19" t="n">
        <f aca="false">G503*(1+g_tail)</f>
        <v>12.6248864135625</v>
      </c>
      <c r="I503" s="8" t="s">
        <v>472</v>
      </c>
    </row>
    <row r="504" customFormat="false" ht="17.15" hidden="false" customHeight="false" outlineLevel="0" collapsed="false">
      <c r="A504" s="0" t="s">
        <v>473</v>
      </c>
      <c r="B504" s="0" t="s">
        <v>474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475</v>
      </c>
      <c r="B505" s="4" t="s">
        <v>440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476</v>
      </c>
    </row>
    <row r="506" customFormat="false" ht="15" hidden="false" customHeight="false" outlineLevel="0" collapsed="false">
      <c r="A506" s="4" t="s">
        <v>477</v>
      </c>
      <c r="B506" s="4" t="s">
        <v>91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478</v>
      </c>
      <c r="B507" s="0" t="s">
        <v>111</v>
      </c>
      <c r="C507" s="20" t="n">
        <f aca="false">1+beta_lo*(C506-$C506)/4</f>
        <v>1</v>
      </c>
      <c r="D507" s="20" t="n">
        <f aca="false">1+beta_lo*(D506-$C506)/4</f>
        <v>1</v>
      </c>
      <c r="E507" s="20" t="n">
        <f aca="false">1+beta_lo*(E506-$C506)/4</f>
        <v>1</v>
      </c>
      <c r="F507" s="20" t="n">
        <f aca="false">1+beta_lo*(F506-$C506)/4</f>
        <v>1</v>
      </c>
      <c r="G507" s="20" t="n">
        <f aca="false">1+beta_lo*(G506-$C506)/4</f>
        <v>1</v>
      </c>
      <c r="H507" s="20" t="n">
        <f aca="false">1+beta_lo*(H506-$C506)/4</f>
        <v>1</v>
      </c>
    </row>
    <row r="508" customFormat="false" ht="17.15" hidden="false" customHeight="false" outlineLevel="0" collapsed="false">
      <c r="A508" s="4" t="s">
        <v>479</v>
      </c>
      <c r="B508" s="0" t="s">
        <v>64</v>
      </c>
      <c r="C508" s="10" t="n">
        <f aca="false">0</f>
        <v>0</v>
      </c>
      <c r="D508" s="10" t="n">
        <f aca="false">0</f>
        <v>0</v>
      </c>
      <c r="E508" s="10" t="n">
        <f aca="false">0</f>
        <v>0</v>
      </c>
      <c r="F508" s="10" t="n">
        <f aca="false">0</f>
        <v>0</v>
      </c>
      <c r="G508" s="10" t="n">
        <f aca="false">0</f>
        <v>0</v>
      </c>
      <c r="H508" s="10" t="n">
        <f aca="false">0</f>
        <v>0</v>
      </c>
      <c r="I508" s="4" t="s">
        <v>480</v>
      </c>
    </row>
    <row r="509" customFormat="false" ht="17.15" hidden="false" customHeight="false" outlineLevel="0" collapsed="false">
      <c r="A509" s="0" t="s">
        <v>481</v>
      </c>
      <c r="B509" s="4" t="s">
        <v>442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2429.030575</v>
      </c>
      <c r="G509" s="14" t="n">
        <f aca="false">G505*G507*(1-G508)</f>
        <v>3060.5785245</v>
      </c>
      <c r="H509" s="14" t="n">
        <f aca="false">H505*H507*(1-H508)</f>
        <v>3156.22160339063</v>
      </c>
    </row>
    <row r="510" customFormat="false" ht="17.15" hidden="false" customHeight="false" outlineLevel="0" collapsed="false">
      <c r="A510" s="4" t="s">
        <v>482</v>
      </c>
      <c r="B510" s="4" t="s">
        <v>442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MAX(0,F509-E509)+dlt*E509</f>
        <v>805.381490384615</v>
      </c>
      <c r="F510" s="14" t="n">
        <f aca="false">MAX(0,G509-F509)+dlt*F509</f>
        <v>874.451007</v>
      </c>
      <c r="G510" s="14" t="n">
        <f aca="false">MAX(0,H509-G509)+dlt*G509</f>
        <v>401.700931340625</v>
      </c>
      <c r="I510" s="4" t="s">
        <v>483</v>
      </c>
    </row>
    <row r="511" customFormat="false" ht="17.15" hidden="false" customHeight="false" outlineLevel="0" collapsed="false">
      <c r="A511" s="0" t="s">
        <v>484</v>
      </c>
      <c r="B511" s="0" t="s">
        <v>64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485</v>
      </c>
      <c r="B512" s="0" t="s">
        <v>64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486</v>
      </c>
      <c r="B513" s="0" t="s">
        <v>64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487</v>
      </c>
      <c r="B514" s="0" t="s">
        <v>64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488</v>
      </c>
      <c r="B515" s="4" t="s">
        <v>442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265.775891826923</v>
      </c>
      <c r="F515" s="14" t="n">
        <f aca="false">F510*F514</f>
        <v>288.56883231</v>
      </c>
      <c r="G515" s="14" t="n">
        <f aca="false">G510*G514</f>
        <v>132.561307342406</v>
      </c>
    </row>
    <row r="516" customFormat="false" ht="17.15" hidden="false" customHeight="false" outlineLevel="0" collapsed="false">
      <c r="A516" s="6" t="s">
        <v>489</v>
      </c>
    </row>
    <row r="517" customFormat="false" ht="17.15" hidden="false" customHeight="false" outlineLevel="0" collapsed="false">
      <c r="A517" s="4" t="s">
        <v>490</v>
      </c>
      <c r="B517" s="4" t="s">
        <v>228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</row>
    <row r="518" customFormat="false" ht="17.15" hidden="false" customHeight="false" outlineLevel="0" collapsed="false">
      <c r="A518" s="0" t="s">
        <v>491</v>
      </c>
      <c r="B518" s="4" t="s">
        <v>228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3993.61447305685</v>
      </c>
      <c r="F518" s="14" t="n">
        <f aca="false">$C519*F515</f>
        <v>4336.1068502662</v>
      </c>
      <c r="G518" s="14" t="n">
        <f aca="false">$C519*G515</f>
        <v>1991.89908434104</v>
      </c>
      <c r="I518" s="8" t="s">
        <v>492</v>
      </c>
    </row>
    <row r="519" customFormat="false" ht="17.15" hidden="false" customHeight="false" outlineLevel="0" collapsed="false">
      <c r="A519" s="4" t="s">
        <v>493</v>
      </c>
      <c r="B519" s="4" t="s">
        <v>494</v>
      </c>
      <c r="C519" s="20" t="n">
        <f aca="false">(C518+D518)/(C515+D515)</f>
        <v>15.0262480377925</v>
      </c>
      <c r="I519" s="4" t="s">
        <v>495</v>
      </c>
    </row>
    <row r="520" customFormat="false" ht="15" hidden="false" customHeight="false" outlineLevel="0" collapsed="false">
      <c r="A520" s="4" t="s">
        <v>396</v>
      </c>
      <c r="B520" s="4" t="s">
        <v>228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7722.41826505685</v>
      </c>
      <c r="F520" s="14" t="n">
        <f aca="false">F517+F518</f>
        <v>8512.3670973062</v>
      </c>
      <c r="G520" s="14" t="n">
        <f aca="false">G517+G518</f>
        <v>6669.31056102584</v>
      </c>
    </row>
    <row r="521" customFormat="false" ht="17.15" hidden="false" customHeight="false" outlineLevel="0" collapsed="false">
      <c r="A521" s="0" t="s">
        <v>496</v>
      </c>
      <c r="B521" s="0" t="s">
        <v>64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0.517145580048098</v>
      </c>
      <c r="F521" s="10" t="n">
        <f aca="false">F518/F520</f>
        <v>0.509389080698645</v>
      </c>
      <c r="G521" s="10" t="n">
        <f aca="false">G518/G520</f>
        <v>0.298666416283163</v>
      </c>
    </row>
    <row r="522" customFormat="false" ht="17.15" hidden="false" customHeight="false" outlineLevel="0" collapsed="false">
      <c r="A522" s="4" t="s">
        <v>497</v>
      </c>
      <c r="B522" s="4" t="s">
        <v>228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943.46399466112</v>
      </c>
      <c r="F522" s="14" t="n">
        <f aca="false">opex_fix+opex_var*F520</f>
        <v>998.713840592762</v>
      </c>
      <c r="G522" s="14" t="n">
        <f aca="false">opex_fix+opex_var*G520</f>
        <v>869.80854253334</v>
      </c>
      <c r="I522" s="4" t="s">
        <v>498</v>
      </c>
    </row>
    <row r="523" customFormat="false" ht="17.15" hidden="false" customHeight="false" outlineLevel="0" collapsed="false">
      <c r="A523" s="4" t="s">
        <v>465</v>
      </c>
      <c r="B523" s="0" t="s">
        <v>64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499</v>
      </c>
    </row>
    <row r="524" customFormat="false" ht="15" hidden="false" customHeight="false" outlineLevel="0" collapsed="false">
      <c r="A524" s="4" t="s">
        <v>401</v>
      </c>
      <c r="B524" s="4" t="s">
        <v>228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4596.9021422013</v>
      </c>
      <c r="F524" s="14" t="n">
        <f aca="false">F520*F523</f>
        <v>5067.13275579392</v>
      </c>
      <c r="G524" s="14" t="n">
        <f aca="false">G520*G523</f>
        <v>3970.0216891528</v>
      </c>
    </row>
    <row r="525" customFormat="false" ht="15" hidden="false" customHeight="false" outlineLevel="0" collapsed="false">
      <c r="A525" s="4" t="s">
        <v>404</v>
      </c>
      <c r="B525" s="4" t="s">
        <v>228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3653.43814754018</v>
      </c>
      <c r="F525" s="14" t="n">
        <f aca="false">F524-F522</f>
        <v>4068.41891520115</v>
      </c>
      <c r="G525" s="14" t="n">
        <f aca="false">G524-G522</f>
        <v>3100.21314661946</v>
      </c>
    </row>
    <row r="526" customFormat="false" ht="15" hidden="false" customHeight="false" outlineLevel="0" collapsed="false">
      <c r="A526" s="4" t="s">
        <v>407</v>
      </c>
      <c r="B526" s="0" t="s">
        <v>64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0.473095087852418</v>
      </c>
      <c r="F526" s="10" t="n">
        <f aca="false">F525/F520</f>
        <v>0.47794213627002</v>
      </c>
      <c r="G526" s="10" t="n">
        <f aca="false">G525/G520</f>
        <v>0.464847620792547</v>
      </c>
    </row>
    <row r="527" customFormat="false" ht="15" hidden="false" customHeight="false" outlineLevel="0" collapsed="false">
      <c r="A527" s="4" t="s">
        <v>466</v>
      </c>
      <c r="B527" s="4" t="s">
        <v>228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3110.05116979036</v>
      </c>
      <c r="F527" s="14" t="n">
        <f aca="false">F525*nioi</f>
        <v>3463.31058456202</v>
      </c>
      <c r="G527" s="14" t="n">
        <f aca="false">G525*nioi</f>
        <v>2639.10900742498</v>
      </c>
    </row>
    <row r="528" customFormat="false" ht="15" hidden="false" customHeight="false" outlineLevel="0" collapsed="false">
      <c r="A528" s="0" t="s">
        <v>467</v>
      </c>
      <c r="B528" s="0" t="s">
        <v>304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3243.31831571082</v>
      </c>
      <c r="F528" s="14" t="n">
        <f aca="false">F527*100/shares</f>
        <v>3611.71506147994</v>
      </c>
      <c r="G528" s="14" t="n">
        <f aca="false">G527*100/shares</f>
        <v>2752.19606162165</v>
      </c>
    </row>
    <row r="529" customFormat="false" ht="17.15" hidden="false" customHeight="false" outlineLevel="0" collapsed="false">
      <c r="A529" s="4" t="s">
        <v>500</v>
      </c>
      <c r="B529" s="4" t="s">
        <v>228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12101.8620395662</v>
      </c>
      <c r="F529" s="14" t="n">
        <f aca="false">$C519*F510</f>
        <v>13139.7177280794</v>
      </c>
      <c r="G529" s="14" t="n">
        <f aca="false">$C519*G510</f>
        <v>6036.05783133647</v>
      </c>
      <c r="I529" s="4" t="s">
        <v>501</v>
      </c>
    </row>
    <row r="530" customFormat="false" ht="15" hidden="false" customHeight="false" outlineLevel="0" collapsed="false">
      <c r="A530" s="4" t="s">
        <v>502</v>
      </c>
      <c r="B530" s="0" t="s">
        <v>335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852.243805603254</v>
      </c>
      <c r="F530" s="14" t="n">
        <f aca="false">F529/fx*100</f>
        <v>925.332234371789</v>
      </c>
      <c r="G530" s="14" t="n">
        <f aca="false">G529/fx*100</f>
        <v>425.07449516454</v>
      </c>
    </row>
    <row r="540" customFormat="false" ht="17.15" hidden="false" customHeight="false" outlineLevel="0" collapsed="false">
      <c r="A540" s="1" t="s">
        <v>779</v>
      </c>
    </row>
    <row r="541" customFormat="false" ht="15" hidden="false" customHeight="false" outlineLevel="0" collapsed="false">
      <c r="A541" s="5" t="s">
        <v>16</v>
      </c>
      <c r="B541" s="5" t="s">
        <v>17</v>
      </c>
      <c r="C541" s="13" t="s">
        <v>430</v>
      </c>
      <c r="D541" s="13" t="s">
        <v>431</v>
      </c>
      <c r="E541" s="13" t="s">
        <v>432</v>
      </c>
      <c r="F541" s="13" t="s">
        <v>433</v>
      </c>
      <c r="G541" s="13" t="s">
        <v>434</v>
      </c>
      <c r="H541" s="13" t="s">
        <v>435</v>
      </c>
      <c r="I541" s="5" t="s">
        <v>436</v>
      </c>
    </row>
    <row r="542" customFormat="false" ht="17.15" hidden="false" customHeight="false" outlineLevel="0" collapsed="false">
      <c r="A542" s="6" t="s">
        <v>470</v>
      </c>
    </row>
    <row r="543" customFormat="false" ht="17.15" hidden="false" customHeight="false" outlineLevel="0" collapsed="false">
      <c r="A543" s="0" t="s">
        <v>471</v>
      </c>
      <c r="B543" s="0" t="s">
        <v>27</v>
      </c>
      <c r="C543" s="19" t="n">
        <f aca="false">hsA_25</f>
        <v>2.22511470588235</v>
      </c>
      <c r="D543" s="19" t="n">
        <f aca="false">hsA_26</f>
        <v>3.782695</v>
      </c>
      <c r="E543" s="19" t="n">
        <f aca="false">hsA_27</f>
        <v>5.86317725</v>
      </c>
      <c r="F543" s="19" t="n">
        <f aca="false">hsA_28</f>
        <v>8.5016070125</v>
      </c>
      <c r="G543" s="19" t="n">
        <f aca="false">hsA_29</f>
        <v>11.477169466875</v>
      </c>
      <c r="H543" s="19" t="n">
        <f aca="false">G543*(1+g_tail)</f>
        <v>12.6248864135625</v>
      </c>
      <c r="I543" s="8" t="s">
        <v>472</v>
      </c>
    </row>
    <row r="544" customFormat="false" ht="17.15" hidden="false" customHeight="false" outlineLevel="0" collapsed="false">
      <c r="A544" s="0" t="s">
        <v>473</v>
      </c>
      <c r="B544" s="0" t="s">
        <v>474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475</v>
      </c>
      <c r="B545" s="4" t="s">
        <v>440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476</v>
      </c>
    </row>
    <row r="546" customFormat="false" ht="15" hidden="false" customHeight="false" outlineLevel="0" collapsed="false">
      <c r="A546" s="4" t="s">
        <v>477</v>
      </c>
      <c r="B546" s="4" t="s">
        <v>91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478</v>
      </c>
      <c r="B547" s="0" t="s">
        <v>111</v>
      </c>
      <c r="C547" s="20" t="n">
        <f aca="false">1+beta_hi*(C546-$C546)/4</f>
        <v>1</v>
      </c>
      <c r="D547" s="20" t="n">
        <f aca="false">1+beta_hi*(D546-$C546)/4</f>
        <v>1.125</v>
      </c>
      <c r="E547" s="20" t="n">
        <f aca="false">1+beta_hi*(E546-$C546)/4</f>
        <v>1.15625</v>
      </c>
      <c r="F547" s="20" t="n">
        <f aca="false">1+beta_hi*(F546-$C546)/4</f>
        <v>1.25</v>
      </c>
      <c r="G547" s="20" t="n">
        <f aca="false">1+beta_hi*(G546-$C546)/4</f>
        <v>1.3125</v>
      </c>
      <c r="H547" s="20" t="n">
        <f aca="false">1+beta_hi*(H546-$C546)/4</f>
        <v>1.375</v>
      </c>
    </row>
    <row r="548" customFormat="false" ht="17.15" hidden="false" customHeight="false" outlineLevel="0" collapsed="false">
      <c r="A548" s="4" t="s">
        <v>479</v>
      </c>
      <c r="B548" s="0" t="s">
        <v>64</v>
      </c>
      <c r="C548" s="10" t="n">
        <f aca="false">0</f>
        <v>0</v>
      </c>
      <c r="D548" s="10" t="n">
        <f aca="false">0</f>
        <v>0</v>
      </c>
      <c r="E548" s="10" t="n">
        <f aca="false">0</f>
        <v>0</v>
      </c>
      <c r="F548" s="10" t="n">
        <f aca="false">0</f>
        <v>0</v>
      </c>
      <c r="G548" s="10" t="n">
        <f aca="false">0</f>
        <v>0</v>
      </c>
      <c r="H548" s="10" t="n">
        <f aca="false">0</f>
        <v>0</v>
      </c>
      <c r="I548" s="4" t="s">
        <v>480</v>
      </c>
    </row>
    <row r="549" customFormat="false" ht="17.15" hidden="false" customHeight="false" outlineLevel="0" collapsed="false">
      <c r="A549" s="0" t="s">
        <v>481</v>
      </c>
      <c r="B549" s="4" t="s">
        <v>442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3036.28821875</v>
      </c>
      <c r="G549" s="14" t="n">
        <f aca="false">G545*G547*(1-G548)</f>
        <v>4017.00931340625</v>
      </c>
      <c r="H549" s="14" t="n">
        <f aca="false">H545*H547*(1-H548)</f>
        <v>4339.80470466211</v>
      </c>
    </row>
    <row r="550" customFormat="false" ht="17.15" hidden="false" customHeight="false" outlineLevel="0" collapsed="false">
      <c r="A550" s="4" t="s">
        <v>482</v>
      </c>
      <c r="B550" s="4" t="s">
        <v>442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MAX(0,F549-E549)+dlt*E549</f>
        <v>1158.94396466346</v>
      </c>
      <c r="F550" s="14" t="n">
        <f aca="false">MAX(0,G549-F549)+dlt*F549</f>
        <v>1284.34991653125</v>
      </c>
      <c r="G550" s="14" t="n">
        <f aca="false">MAX(0,H549-G549)+dlt*G549</f>
        <v>724.496322596484</v>
      </c>
      <c r="I550" s="4" t="s">
        <v>483</v>
      </c>
    </row>
    <row r="551" customFormat="false" ht="17.15" hidden="false" customHeight="false" outlineLevel="0" collapsed="false">
      <c r="A551" s="0" t="s">
        <v>484</v>
      </c>
      <c r="B551" s="0" t="s">
        <v>64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485</v>
      </c>
      <c r="B552" s="0" t="s">
        <v>64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486</v>
      </c>
      <c r="B553" s="0" t="s">
        <v>64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487</v>
      </c>
      <c r="B554" s="0" t="s">
        <v>64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488</v>
      </c>
      <c r="B555" s="4" t="s">
        <v>442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382.451508338942</v>
      </c>
      <c r="F555" s="14" t="n">
        <f aca="false">F550*F554</f>
        <v>423.835472455313</v>
      </c>
      <c r="G555" s="14" t="n">
        <f aca="false">G550*G554</f>
        <v>239.08378645684</v>
      </c>
    </row>
    <row r="556" customFormat="false" ht="17.15" hidden="false" customHeight="false" outlineLevel="0" collapsed="false">
      <c r="A556" s="6" t="s">
        <v>489</v>
      </c>
    </row>
    <row r="557" customFormat="false" ht="17.15" hidden="false" customHeight="false" outlineLevel="0" collapsed="false">
      <c r="A557" s="4" t="s">
        <v>490</v>
      </c>
      <c r="B557" s="4" t="s">
        <v>228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</row>
    <row r="558" customFormat="false" ht="17.15" hidden="false" customHeight="false" outlineLevel="0" collapsed="false">
      <c r="A558" s="0" t="s">
        <v>491</v>
      </c>
      <c r="B558" s="4" t="s">
        <v>228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4640.19710621876</v>
      </c>
      <c r="F558" s="14" t="n">
        <f aca="false">$C559*F555</f>
        <v>5142.29932401537</v>
      </c>
      <c r="G558" s="14" t="n">
        <f aca="false">$C559*G555</f>
        <v>2900.74916655229</v>
      </c>
      <c r="I558" s="8" t="s">
        <v>492</v>
      </c>
    </row>
    <row r="559" customFormat="false" ht="17.15" hidden="false" customHeight="false" outlineLevel="0" collapsed="false">
      <c r="A559" s="4" t="s">
        <v>493</v>
      </c>
      <c r="B559" s="4" t="s">
        <v>494</v>
      </c>
      <c r="C559" s="20" t="n">
        <f aca="false">(C558+D558)/(C555+D555)</f>
        <v>12.1327724039369</v>
      </c>
      <c r="I559" s="4" t="s">
        <v>495</v>
      </c>
    </row>
    <row r="560" customFormat="false" ht="15" hidden="false" customHeight="false" outlineLevel="0" collapsed="false">
      <c r="A560" s="4" t="s">
        <v>396</v>
      </c>
      <c r="B560" s="4" t="s">
        <v>228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8369.00089821876</v>
      </c>
      <c r="F560" s="14" t="n">
        <f aca="false">F557+F558</f>
        <v>9318.55957105537</v>
      </c>
      <c r="G560" s="14" t="n">
        <f aca="false">G557+G558</f>
        <v>7578.16064323709</v>
      </c>
    </row>
    <row r="561" customFormat="false" ht="17.15" hidden="false" customHeight="false" outlineLevel="0" collapsed="false">
      <c r="A561" s="0" t="s">
        <v>496</v>
      </c>
      <c r="B561" s="0" t="s">
        <v>64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0.554450544652991</v>
      </c>
      <c r="F561" s="10" t="n">
        <f aca="false">F558/F560</f>
        <v>0.551834141833251</v>
      </c>
      <c r="G561" s="10" t="n">
        <f aca="false">G558/G560</f>
        <v>0.382777471092669</v>
      </c>
    </row>
    <row r="562" customFormat="false" ht="17.15" hidden="false" customHeight="false" outlineLevel="0" collapsed="false">
      <c r="A562" s="4" t="s">
        <v>497</v>
      </c>
      <c r="B562" s="4" t="s">
        <v>228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988.686658972869</v>
      </c>
      <c r="F562" s="14" t="n">
        <f aca="false">opex_fix+opex_var*F560</f>
        <v>1055.09978376715</v>
      </c>
      <c r="G562" s="14" t="n">
        <f aca="false">opex_fix+opex_var*G560</f>
        <v>933.374466004799</v>
      </c>
      <c r="I562" s="4" t="s">
        <v>498</v>
      </c>
    </row>
    <row r="563" customFormat="false" ht="17.15" hidden="false" customHeight="false" outlineLevel="0" collapsed="false">
      <c r="A563" s="4" t="s">
        <v>465</v>
      </c>
      <c r="B563" s="0" t="s">
        <v>64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499</v>
      </c>
    </row>
    <row r="564" customFormat="false" ht="15" hidden="false" customHeight="false" outlineLevel="0" collapsed="false">
      <c r="A564" s="4" t="s">
        <v>401</v>
      </c>
      <c r="B564" s="4" t="s">
        <v>228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4981.79156277845</v>
      </c>
      <c r="F564" s="14" t="n">
        <f aca="false">F560*F563</f>
        <v>5547.03267605249</v>
      </c>
      <c r="G564" s="14" t="n">
        <f aca="false">G560*G563</f>
        <v>4511.03031448993</v>
      </c>
    </row>
    <row r="565" customFormat="false" ht="15" hidden="false" customHeight="false" outlineLevel="0" collapsed="false">
      <c r="A565" s="4" t="s">
        <v>404</v>
      </c>
      <c r="B565" s="4" t="s">
        <v>228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3993.10490380558</v>
      </c>
      <c r="F565" s="14" t="n">
        <f aca="false">F564-F562</f>
        <v>4491.93289228533</v>
      </c>
      <c r="G565" s="14" t="n">
        <f aca="false">G564-G562</f>
        <v>3577.65584848513</v>
      </c>
    </row>
    <row r="566" customFormat="false" ht="15" hidden="false" customHeight="false" outlineLevel="0" collapsed="false">
      <c r="A566" s="4" t="s">
        <v>407</v>
      </c>
      <c r="B566" s="0" t="s">
        <v>64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0.477130418835953</v>
      </c>
      <c r="F566" s="10" t="n">
        <f aca="false">F565/F560</f>
        <v>0.482041549236627</v>
      </c>
      <c r="G566" s="10" t="n">
        <f aca="false">G565/G560</f>
        <v>0.472100819303416</v>
      </c>
    </row>
    <row r="567" customFormat="false" ht="15" hidden="false" customHeight="false" outlineLevel="0" collapsed="false">
      <c r="A567" s="4" t="s">
        <v>466</v>
      </c>
      <c r="B567" s="4" t="s">
        <v>228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3399.19825535779</v>
      </c>
      <c r="F567" s="14" t="n">
        <f aca="false">F565*nioi</f>
        <v>3823.83403854195</v>
      </c>
      <c r="G567" s="14" t="n">
        <f aca="false">G565*nioi</f>
        <v>3045.54020277584</v>
      </c>
    </row>
    <row r="568" customFormat="false" ht="15" hidden="false" customHeight="false" outlineLevel="0" collapsed="false">
      <c r="A568" s="0" t="s">
        <v>467</v>
      </c>
      <c r="B568" s="0" t="s">
        <v>304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3544.85548901027</v>
      </c>
      <c r="F568" s="14" t="n">
        <f aca="false">F567*100/shares</f>
        <v>3987.68711393181</v>
      </c>
      <c r="G568" s="14" t="n">
        <f aca="false">G567*100/shares</f>
        <v>3176.04302361441</v>
      </c>
    </row>
    <row r="569" customFormat="false" ht="17.15" hidden="false" customHeight="false" outlineLevel="0" collapsed="false">
      <c r="A569" s="4" t="s">
        <v>500</v>
      </c>
      <c r="B569" s="4" t="s">
        <v>228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14061.203352178</v>
      </c>
      <c r="F569" s="14" t="n">
        <f aca="false">$C559*F550</f>
        <v>15582.725224289</v>
      </c>
      <c r="G569" s="14" t="n">
        <f aca="false">$C559*G550</f>
        <v>8790.14898955238</v>
      </c>
      <c r="I569" s="4" t="s">
        <v>501</v>
      </c>
    </row>
    <row r="570" customFormat="false" ht="15" hidden="false" customHeight="false" outlineLevel="0" collapsed="false">
      <c r="A570" s="4" t="s">
        <v>502</v>
      </c>
      <c r="B570" s="0" t="s">
        <v>335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990.225588181552</v>
      </c>
      <c r="F570" s="14" t="n">
        <f aca="false">F569/fx*100</f>
        <v>1097.375015795</v>
      </c>
      <c r="G570" s="14" t="n">
        <f aca="false">G569/fx*100</f>
        <v>619.024576729041</v>
      </c>
    </row>
    <row r="580" customFormat="false" ht="17.15" hidden="false" customHeight="false" outlineLevel="0" collapsed="false">
      <c r="A580" s="1" t="s">
        <v>780</v>
      </c>
    </row>
    <row r="581" customFormat="false" ht="15" hidden="false" customHeight="false" outlineLevel="0" collapsed="false">
      <c r="A581" s="5" t="s">
        <v>16</v>
      </c>
      <c r="B581" s="5" t="s">
        <v>17</v>
      </c>
      <c r="C581" s="13" t="s">
        <v>430</v>
      </c>
      <c r="D581" s="13" t="s">
        <v>431</v>
      </c>
      <c r="E581" s="13" t="s">
        <v>432</v>
      </c>
      <c r="F581" s="13" t="s">
        <v>433</v>
      </c>
      <c r="G581" s="13" t="s">
        <v>434</v>
      </c>
      <c r="H581" s="13" t="s">
        <v>435</v>
      </c>
      <c r="I581" s="5" t="s">
        <v>436</v>
      </c>
    </row>
    <row r="582" customFormat="false" ht="17.15" hidden="false" customHeight="false" outlineLevel="0" collapsed="false">
      <c r="A582" s="6" t="s">
        <v>470</v>
      </c>
    </row>
    <row r="583" customFormat="false" ht="17.15" hidden="false" customHeight="false" outlineLevel="0" collapsed="false">
      <c r="A583" s="0" t="s">
        <v>471</v>
      </c>
      <c r="B583" s="0" t="s">
        <v>27</v>
      </c>
      <c r="C583" s="19" t="n">
        <f aca="false">hsA_25</f>
        <v>2.22511470588235</v>
      </c>
      <c r="D583" s="19" t="n">
        <f aca="false">hsA_26</f>
        <v>3.782695</v>
      </c>
      <c r="E583" s="19" t="n">
        <f aca="false">hsA_27</f>
        <v>5.86317725</v>
      </c>
      <c r="F583" s="19" t="n">
        <f aca="false">hsA_28</f>
        <v>8.5016070125</v>
      </c>
      <c r="G583" s="19" t="n">
        <f aca="false">hsA_29</f>
        <v>11.477169466875</v>
      </c>
      <c r="H583" s="19" t="n">
        <f aca="false">G583*(1+g_tail)</f>
        <v>12.6248864135625</v>
      </c>
      <c r="I583" s="8" t="s">
        <v>472</v>
      </c>
    </row>
    <row r="584" customFormat="false" ht="17.15" hidden="false" customHeight="false" outlineLevel="0" collapsed="false">
      <c r="A584" s="0" t="s">
        <v>473</v>
      </c>
      <c r="B584" s="0" t="s">
        <v>474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475</v>
      </c>
      <c r="B585" s="4" t="s">
        <v>440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476</v>
      </c>
    </row>
    <row r="586" customFormat="false" ht="15" hidden="false" customHeight="false" outlineLevel="0" collapsed="false">
      <c r="A586" s="4" t="s">
        <v>477</v>
      </c>
      <c r="B586" s="4" t="s">
        <v>91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478</v>
      </c>
      <c r="B587" s="0" t="s">
        <v>111</v>
      </c>
      <c r="C587" s="20" t="n">
        <f aca="false">1+beta*(C586-$C586)/4</f>
        <v>1</v>
      </c>
      <c r="D587" s="20" t="n">
        <f aca="false">1+beta*(D586-$C586)/4</f>
        <v>1.05</v>
      </c>
      <c r="E587" s="20" t="n">
        <f aca="false">1+beta*(E586-$C586)/4</f>
        <v>1.0625</v>
      </c>
      <c r="F587" s="20" t="n">
        <f aca="false">1+beta*(F586-$C586)/4</f>
        <v>1.1</v>
      </c>
      <c r="G587" s="20" t="n">
        <f aca="false">1+beta*(G586-$C586)/4</f>
        <v>1.125</v>
      </c>
      <c r="H587" s="20" t="n">
        <f aca="false">1+beta*(H586-$C586)/4</f>
        <v>1.15</v>
      </c>
    </row>
    <row r="588" customFormat="false" ht="17.15" hidden="false" customHeight="false" outlineLevel="0" collapsed="false">
      <c r="A588" s="4" t="s">
        <v>479</v>
      </c>
      <c r="B588" s="0" t="s">
        <v>64</v>
      </c>
      <c r="C588" s="10" t="n">
        <f aca="false">0</f>
        <v>0</v>
      </c>
      <c r="D588" s="10" t="n">
        <f aca="false">0</f>
        <v>0</v>
      </c>
      <c r="E588" s="10" t="n">
        <f aca="false">0</f>
        <v>0</v>
      </c>
      <c r="F588" s="10" t="n">
        <f aca="false">0</f>
        <v>0</v>
      </c>
      <c r="G588" s="10" t="n">
        <f aca="false">0</f>
        <v>0</v>
      </c>
      <c r="H588" s="10" t="n">
        <f aca="false">0</f>
        <v>0</v>
      </c>
      <c r="I588" s="4" t="s">
        <v>480</v>
      </c>
    </row>
    <row r="589" customFormat="false" ht="17.15" hidden="false" customHeight="false" outlineLevel="0" collapsed="false">
      <c r="A589" s="0" t="s">
        <v>481</v>
      </c>
      <c r="B589" s="4" t="s">
        <v>442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2671.9336325</v>
      </c>
      <c r="G589" s="14" t="n">
        <f aca="false">G585*G587*(1-G588)</f>
        <v>3443.1508400625</v>
      </c>
      <c r="H589" s="14" t="n">
        <f aca="false">H585*H587*(1-H588)</f>
        <v>3629.65484389922</v>
      </c>
    </row>
    <row r="590" customFormat="false" ht="17.15" hidden="false" customHeight="false" outlineLevel="0" collapsed="false">
      <c r="A590" s="4" t="s">
        <v>482</v>
      </c>
      <c r="B590" s="4" t="s">
        <v>442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MAX(0,F589-E589)+dlt_lo*E589</f>
        <v>850.966082740385</v>
      </c>
      <c r="F590" s="14" t="n">
        <f aca="false">MAX(0,G589-F589)+dlt_lo*F589</f>
        <v>904.8138891875</v>
      </c>
      <c r="G590" s="14" t="n">
        <f aca="false">MAX(0,H589-G589)+dlt_lo*G589</f>
        <v>358.661545839843</v>
      </c>
      <c r="I590" s="4" t="s">
        <v>483</v>
      </c>
    </row>
    <row r="591" customFormat="false" ht="17.15" hidden="false" customHeight="false" outlineLevel="0" collapsed="false">
      <c r="A591" s="0" t="s">
        <v>484</v>
      </c>
      <c r="B591" s="0" t="s">
        <v>64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485</v>
      </c>
      <c r="B592" s="0" t="s">
        <v>64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486</v>
      </c>
      <c r="B593" s="0" t="s">
        <v>64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487</v>
      </c>
      <c r="B594" s="0" t="s">
        <v>64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488</v>
      </c>
      <c r="B595" s="4" t="s">
        <v>442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280.818807304327</v>
      </c>
      <c r="F595" s="14" t="n">
        <f aca="false">F590*F594</f>
        <v>298.588583431875</v>
      </c>
      <c r="G595" s="14" t="n">
        <f aca="false">G590*G594</f>
        <v>118.358310127148</v>
      </c>
    </row>
    <row r="596" customFormat="false" ht="17.15" hidden="false" customHeight="false" outlineLevel="0" collapsed="false">
      <c r="A596" s="6" t="s">
        <v>489</v>
      </c>
    </row>
    <row r="597" customFormat="false" ht="17.15" hidden="false" customHeight="false" outlineLevel="0" collapsed="false">
      <c r="A597" s="4" t="s">
        <v>490</v>
      </c>
      <c r="B597" s="4" t="s">
        <v>228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</row>
    <row r="598" customFormat="false" ht="17.15" hidden="false" customHeight="false" outlineLevel="0" collapsed="false">
      <c r="A598" s="0" t="s">
        <v>491</v>
      </c>
      <c r="B598" s="4" t="s">
        <v>228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4155.79221867093</v>
      </c>
      <c r="F598" s="14" t="n">
        <f aca="false">$C599*F595</f>
        <v>4418.76426839679</v>
      </c>
      <c r="G598" s="14" t="n">
        <f aca="false">$C599*G595</f>
        <v>1751.56553424285</v>
      </c>
      <c r="I598" s="8" t="s">
        <v>492</v>
      </c>
    </row>
    <row r="599" customFormat="false" ht="17.15" hidden="false" customHeight="false" outlineLevel="0" collapsed="false">
      <c r="A599" s="4" t="s">
        <v>493</v>
      </c>
      <c r="B599" s="4" t="s">
        <v>494</v>
      </c>
      <c r="C599" s="20" t="n">
        <f aca="false">(C598+D598)/(C595+D595)</f>
        <v>14.7988386481794</v>
      </c>
      <c r="I599" s="4" t="s">
        <v>495</v>
      </c>
    </row>
    <row r="600" customFormat="false" ht="15" hidden="false" customHeight="false" outlineLevel="0" collapsed="false">
      <c r="A600" s="4" t="s">
        <v>396</v>
      </c>
      <c r="B600" s="4" t="s">
        <v>228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7884.59601067093</v>
      </c>
      <c r="F600" s="14" t="n">
        <f aca="false">F597+F598</f>
        <v>8595.02451543679</v>
      </c>
      <c r="G600" s="14" t="n">
        <f aca="false">G597+G598</f>
        <v>6428.97701092765</v>
      </c>
    </row>
    <row r="601" customFormat="false" ht="17.15" hidden="false" customHeight="false" outlineLevel="0" collapsed="false">
      <c r="A601" s="0" t="s">
        <v>496</v>
      </c>
      <c r="B601" s="0" t="s">
        <v>64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0.527077381396146</v>
      </c>
      <c r="F601" s="10" t="n">
        <f aca="false">F598/F600</f>
        <v>0.514107232674046</v>
      </c>
      <c r="G601" s="10" t="n">
        <f aca="false">G598/G600</f>
        <v>0.272448560831004</v>
      </c>
    </row>
    <row r="602" customFormat="false" ht="17.15" hidden="false" customHeight="false" outlineLevel="0" collapsed="false">
      <c r="A602" s="4" t="s">
        <v>497</v>
      </c>
      <c r="B602" s="4" t="s">
        <v>228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954.8068754819</v>
      </c>
      <c r="F602" s="14" t="n">
        <f aca="false">opex_fix+opex_var*F600</f>
        <v>1004.49498670044</v>
      </c>
      <c r="G602" s="14" t="n">
        <f aca="false">opex_fix+opex_var*G600</f>
        <v>852.999363162419</v>
      </c>
      <c r="I602" s="4" t="s">
        <v>498</v>
      </c>
    </row>
    <row r="603" customFormat="false" ht="17.15" hidden="false" customHeight="false" outlineLevel="0" collapsed="false">
      <c r="A603" s="4" t="s">
        <v>465</v>
      </c>
      <c r="B603" s="0" t="s">
        <v>64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499</v>
      </c>
    </row>
    <row r="604" customFormat="false" ht="15" hidden="false" customHeight="false" outlineLevel="0" collapsed="false">
      <c r="A604" s="4" t="s">
        <v>401</v>
      </c>
      <c r="B604" s="4" t="s">
        <v>228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4693.44123146614</v>
      </c>
      <c r="F604" s="14" t="n">
        <f aca="false">F600*F603</f>
        <v>5116.33600397753</v>
      </c>
      <c r="G604" s="14" t="n">
        <f aca="false">G600*G603</f>
        <v>3826.95901456442</v>
      </c>
    </row>
    <row r="605" customFormat="false" ht="15" hidden="false" customHeight="false" outlineLevel="0" collapsed="false">
      <c r="A605" s="4" t="s">
        <v>404</v>
      </c>
      <c r="B605" s="4" t="s">
        <v>228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3738.63435598424</v>
      </c>
      <c r="F605" s="14" t="n">
        <f aca="false">F604-F602</f>
        <v>4111.8410172771</v>
      </c>
      <c r="G605" s="14" t="n">
        <f aca="false">G604-G602</f>
        <v>2973.959651402</v>
      </c>
    </row>
    <row r="606" customFormat="false" ht="15" hidden="false" customHeight="false" outlineLevel="0" collapsed="false">
      <c r="A606" s="4" t="s">
        <v>407</v>
      </c>
      <c r="B606" s="0" t="s">
        <v>64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0.474169424904512</v>
      </c>
      <c r="F606" s="10" t="n">
        <f aca="false">F605/F600</f>
        <v>0.478397823053579</v>
      </c>
      <c r="G606" s="10" t="n">
        <f aca="false">G605/G600</f>
        <v>0.462586760902554</v>
      </c>
    </row>
    <row r="607" customFormat="false" ht="15" hidden="false" customHeight="false" outlineLevel="0" collapsed="false">
      <c r="A607" s="4" t="s">
        <v>466</v>
      </c>
      <c r="B607" s="4" t="s">
        <v>228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3182.57588679195</v>
      </c>
      <c r="F607" s="14" t="n">
        <f aca="false">F605*nioi</f>
        <v>3500.27438520744</v>
      </c>
      <c r="G607" s="14" t="n">
        <f aca="false">G605*nioi</f>
        <v>2531.63357890142</v>
      </c>
    </row>
    <row r="608" customFormat="false" ht="15" hidden="false" customHeight="false" outlineLevel="0" collapsed="false">
      <c r="A608" s="0" t="s">
        <v>467</v>
      </c>
      <c r="B608" s="0" t="s">
        <v>304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3318.95075072598</v>
      </c>
      <c r="F608" s="14" t="n">
        <f aca="false">F607*100/shares</f>
        <v>3650.26277825582</v>
      </c>
      <c r="G608" s="14" t="n">
        <f aca="false">G607*100/shares</f>
        <v>2640.1152607637</v>
      </c>
    </row>
    <row r="609" customFormat="false" ht="17.15" hidden="false" customHeight="false" outlineLevel="0" collapsed="false">
      <c r="A609" s="4" t="s">
        <v>500</v>
      </c>
      <c r="B609" s="4" t="s">
        <v>228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12593.3097535483</v>
      </c>
      <c r="F609" s="14" t="n">
        <f aca="false">$C599*F590</f>
        <v>13390.1947527175</v>
      </c>
      <c r="G609" s="14" t="n">
        <f aca="false">$C599*G590</f>
        <v>5307.77434619046</v>
      </c>
      <c r="I609" s="4" t="s">
        <v>501</v>
      </c>
    </row>
    <row r="610" customFormat="false" ht="15" hidden="false" customHeight="false" outlineLevel="0" collapsed="false">
      <c r="A610" s="4" t="s">
        <v>502</v>
      </c>
      <c r="B610" s="0" t="s">
        <v>335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886.852799545653</v>
      </c>
      <c r="F610" s="14" t="n">
        <f aca="false">F609/fx*100</f>
        <v>942.971461458981</v>
      </c>
      <c r="G610" s="14" t="n">
        <f aca="false">G609/fx*100</f>
        <v>373.78692578806</v>
      </c>
    </row>
    <row r="620" customFormat="false" ht="17.15" hidden="false" customHeight="false" outlineLevel="0" collapsed="false">
      <c r="A620" s="1" t="s">
        <v>781</v>
      </c>
    </row>
    <row r="621" customFormat="false" ht="15" hidden="false" customHeight="false" outlineLevel="0" collapsed="false">
      <c r="A621" s="5" t="s">
        <v>16</v>
      </c>
      <c r="B621" s="5" t="s">
        <v>17</v>
      </c>
      <c r="C621" s="13" t="s">
        <v>430</v>
      </c>
      <c r="D621" s="13" t="s">
        <v>431</v>
      </c>
      <c r="E621" s="13" t="s">
        <v>432</v>
      </c>
      <c r="F621" s="13" t="s">
        <v>433</v>
      </c>
      <c r="G621" s="13" t="s">
        <v>434</v>
      </c>
      <c r="H621" s="13" t="s">
        <v>435</v>
      </c>
      <c r="I621" s="5" t="s">
        <v>436</v>
      </c>
    </row>
    <row r="622" customFormat="false" ht="17.15" hidden="false" customHeight="false" outlineLevel="0" collapsed="false">
      <c r="A622" s="6" t="s">
        <v>470</v>
      </c>
    </row>
    <row r="623" customFormat="false" ht="17.15" hidden="false" customHeight="false" outlineLevel="0" collapsed="false">
      <c r="A623" s="0" t="s">
        <v>471</v>
      </c>
      <c r="B623" s="0" t="s">
        <v>27</v>
      </c>
      <c r="C623" s="19" t="n">
        <f aca="false">hsA_25</f>
        <v>2.22511470588235</v>
      </c>
      <c r="D623" s="19" t="n">
        <f aca="false">hsA_26</f>
        <v>3.782695</v>
      </c>
      <c r="E623" s="19" t="n">
        <f aca="false">hsA_27</f>
        <v>5.86317725</v>
      </c>
      <c r="F623" s="19" t="n">
        <f aca="false">hsA_28</f>
        <v>8.5016070125</v>
      </c>
      <c r="G623" s="19" t="n">
        <f aca="false">hsA_29</f>
        <v>11.477169466875</v>
      </c>
      <c r="H623" s="19" t="n">
        <f aca="false">G623*(1+g_tail)</f>
        <v>12.6248864135625</v>
      </c>
      <c r="I623" s="8" t="s">
        <v>472</v>
      </c>
    </row>
    <row r="624" customFormat="false" ht="17.15" hidden="false" customHeight="false" outlineLevel="0" collapsed="false">
      <c r="A624" s="0" t="s">
        <v>473</v>
      </c>
      <c r="B624" s="0" t="s">
        <v>474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475</v>
      </c>
      <c r="B625" s="4" t="s">
        <v>440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476</v>
      </c>
    </row>
    <row r="626" customFormat="false" ht="15" hidden="false" customHeight="false" outlineLevel="0" collapsed="false">
      <c r="A626" s="4" t="s">
        <v>477</v>
      </c>
      <c r="B626" s="4" t="s">
        <v>91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478</v>
      </c>
      <c r="B627" s="0" t="s">
        <v>111</v>
      </c>
      <c r="C627" s="20" t="n">
        <f aca="false">1+beta*(C626-$C626)/4</f>
        <v>1</v>
      </c>
      <c r="D627" s="20" t="n">
        <f aca="false">1+beta*(D626-$C626)/4</f>
        <v>1.05</v>
      </c>
      <c r="E627" s="20" t="n">
        <f aca="false">1+beta*(E626-$C626)/4</f>
        <v>1.0625</v>
      </c>
      <c r="F627" s="20" t="n">
        <f aca="false">1+beta*(F626-$C626)/4</f>
        <v>1.1</v>
      </c>
      <c r="G627" s="20" t="n">
        <f aca="false">1+beta*(G626-$C626)/4</f>
        <v>1.125</v>
      </c>
      <c r="H627" s="20" t="n">
        <f aca="false">1+beta*(H626-$C626)/4</f>
        <v>1.15</v>
      </c>
    </row>
    <row r="628" customFormat="false" ht="17.15" hidden="false" customHeight="false" outlineLevel="0" collapsed="false">
      <c r="A628" s="4" t="s">
        <v>479</v>
      </c>
      <c r="B628" s="0" t="s">
        <v>64</v>
      </c>
      <c r="C628" s="10" t="n">
        <f aca="false">0</f>
        <v>0</v>
      </c>
      <c r="D628" s="10" t="n">
        <f aca="false">0</f>
        <v>0</v>
      </c>
      <c r="E628" s="10" t="n">
        <f aca="false">0</f>
        <v>0</v>
      </c>
      <c r="F628" s="10" t="n">
        <f aca="false">0</f>
        <v>0</v>
      </c>
      <c r="G628" s="10" t="n">
        <f aca="false">0</f>
        <v>0</v>
      </c>
      <c r="H628" s="10" t="n">
        <f aca="false">0</f>
        <v>0</v>
      </c>
      <c r="I628" s="4" t="s">
        <v>480</v>
      </c>
    </row>
    <row r="629" customFormat="false" ht="17.15" hidden="false" customHeight="false" outlineLevel="0" collapsed="false">
      <c r="A629" s="0" t="s">
        <v>481</v>
      </c>
      <c r="B629" s="4" t="s">
        <v>442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2671.9336325</v>
      </c>
      <c r="G629" s="14" t="n">
        <f aca="false">G625*G627*(1-G628)</f>
        <v>3443.1508400625</v>
      </c>
      <c r="H629" s="14" t="n">
        <f aca="false">H625*H627*(1-H628)</f>
        <v>3629.65484389922</v>
      </c>
    </row>
    <row r="630" customFormat="false" ht="17.15" hidden="false" customHeight="false" outlineLevel="0" collapsed="false">
      <c r="A630" s="4" t="s">
        <v>482</v>
      </c>
      <c r="B630" s="4" t="s">
        <v>442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MAX(0,F629-E629)+dlt_hi*E629</f>
        <v>1042.64687745192</v>
      </c>
      <c r="F630" s="14" t="n">
        <f aca="false">MAX(0,G629-F629)+dlt_hi*F629</f>
        <v>1172.0072524375</v>
      </c>
      <c r="G630" s="14" t="n">
        <f aca="false">MAX(0,H629-G629)+dlt_hi*G629</f>
        <v>702.976629846093</v>
      </c>
      <c r="I630" s="4" t="s">
        <v>483</v>
      </c>
    </row>
    <row r="631" customFormat="false" ht="17.15" hidden="false" customHeight="false" outlineLevel="0" collapsed="false">
      <c r="A631" s="0" t="s">
        <v>484</v>
      </c>
      <c r="B631" s="0" t="s">
        <v>64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485</v>
      </c>
      <c r="B632" s="0" t="s">
        <v>64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486</v>
      </c>
      <c r="B633" s="0" t="s">
        <v>64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487</v>
      </c>
      <c r="B634" s="0" t="s">
        <v>64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488</v>
      </c>
      <c r="B635" s="4" t="s">
        <v>442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344.073469559135</v>
      </c>
      <c r="F635" s="14" t="n">
        <f aca="false">F630*F634</f>
        <v>386.762393304375</v>
      </c>
      <c r="G635" s="14" t="n">
        <f aca="false">G630*G634</f>
        <v>231.982287849211</v>
      </c>
    </row>
    <row r="636" customFormat="false" ht="17.15" hidden="false" customHeight="false" outlineLevel="0" collapsed="false">
      <c r="A636" s="6" t="s">
        <v>489</v>
      </c>
    </row>
    <row r="637" customFormat="false" ht="17.15" hidden="false" customHeight="false" outlineLevel="0" collapsed="false">
      <c r="A637" s="4" t="s">
        <v>490</v>
      </c>
      <c r="B637" s="4" t="s">
        <v>228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</row>
    <row r="638" customFormat="false" ht="17.15" hidden="false" customHeight="false" outlineLevel="0" collapsed="false">
      <c r="A638" s="0" t="s">
        <v>491</v>
      </c>
      <c r="B638" s="4" t="s">
        <v>228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4398.5384742543</v>
      </c>
      <c r="F638" s="14" t="n">
        <f aca="false">$C639*F635</f>
        <v>4944.26167040347</v>
      </c>
      <c r="G638" s="14" t="n">
        <f aca="false">$C639*G635</f>
        <v>2965.59632963773</v>
      </c>
      <c r="I638" s="8" t="s">
        <v>492</v>
      </c>
    </row>
    <row r="639" customFormat="false" ht="17.15" hidden="false" customHeight="false" outlineLevel="0" collapsed="false">
      <c r="A639" s="4" t="s">
        <v>493</v>
      </c>
      <c r="B639" s="4" t="s">
        <v>494</v>
      </c>
      <c r="C639" s="20" t="n">
        <f aca="false">(C638+D638)/(C635+D635)</f>
        <v>12.7837187792776</v>
      </c>
      <c r="I639" s="4" t="s">
        <v>495</v>
      </c>
    </row>
    <row r="640" customFormat="false" ht="15" hidden="false" customHeight="false" outlineLevel="0" collapsed="false">
      <c r="A640" s="4" t="s">
        <v>396</v>
      </c>
      <c r="B640" s="4" t="s">
        <v>228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8127.34226625429</v>
      </c>
      <c r="F640" s="14" t="n">
        <f aca="false">F637+F638</f>
        <v>9120.52191744347</v>
      </c>
      <c r="G640" s="14" t="n">
        <f aca="false">G637+G638</f>
        <v>7643.00780632253</v>
      </c>
    </row>
    <row r="641" customFormat="false" ht="17.15" hidden="false" customHeight="false" outlineLevel="0" collapsed="false">
      <c r="A641" s="0" t="s">
        <v>496</v>
      </c>
      <c r="B641" s="0" t="s">
        <v>64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0.541202564154036</v>
      </c>
      <c r="F641" s="10" t="n">
        <f aca="false">F638/F640</f>
        <v>0.542102931735443</v>
      </c>
      <c r="G641" s="10" t="n">
        <f aca="false">G638/G640</f>
        <v>0.388014300755325</v>
      </c>
    </row>
    <row r="642" customFormat="false" ht="17.15" hidden="false" customHeight="false" outlineLevel="0" collapsed="false">
      <c r="A642" s="4" t="s">
        <v>497</v>
      </c>
      <c r="B642" s="4" t="s">
        <v>228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971.784801993007</v>
      </c>
      <c r="F642" s="14" t="n">
        <f aca="false">opex_fix+opex_var*F640</f>
        <v>1041.24882354791</v>
      </c>
      <c r="G642" s="14" t="n">
        <f aca="false">opex_fix+opex_var*G640</f>
        <v>937.909944283023</v>
      </c>
      <c r="I642" s="4" t="s">
        <v>498</v>
      </c>
    </row>
    <row r="643" customFormat="false" ht="17.15" hidden="false" customHeight="false" outlineLevel="0" collapsed="false">
      <c r="A643" s="4" t="s">
        <v>465</v>
      </c>
      <c r="B643" s="0" t="s">
        <v>64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499</v>
      </c>
    </row>
    <row r="644" customFormat="false" ht="15" hidden="false" customHeight="false" outlineLevel="0" collapsed="false">
      <c r="A644" s="4" t="s">
        <v>401</v>
      </c>
      <c r="B644" s="4" t="s">
        <v>228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4837.94011044448</v>
      </c>
      <c r="F644" s="14" t="n">
        <f aca="false">F640*F643</f>
        <v>5429.14736048439</v>
      </c>
      <c r="G644" s="14" t="n">
        <f aca="false">G640*G643</f>
        <v>4549.63170238056</v>
      </c>
    </row>
    <row r="645" customFormat="false" ht="15" hidden="false" customHeight="false" outlineLevel="0" collapsed="false">
      <c r="A645" s="4" t="s">
        <v>404</v>
      </c>
      <c r="B645" s="4" t="s">
        <v>228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3866.15530845147</v>
      </c>
      <c r="F645" s="14" t="n">
        <f aca="false">F644-F642</f>
        <v>4387.89853693648</v>
      </c>
      <c r="G645" s="14" t="n">
        <f aca="false">G644-G642</f>
        <v>3611.72175809754</v>
      </c>
    </row>
    <row r="646" customFormat="false" ht="15" hidden="false" customHeight="false" outlineLevel="0" collapsed="false">
      <c r="A646" s="4" t="s">
        <v>407</v>
      </c>
      <c r="B646" s="0" t="s">
        <v>64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0.475697365977093</v>
      </c>
      <c r="F646" s="10" t="n">
        <f aca="false">F645/F640</f>
        <v>0.481101693154686</v>
      </c>
      <c r="G646" s="10" t="n">
        <f aca="false">G645/G640</f>
        <v>0.472552409943872</v>
      </c>
    </row>
    <row r="647" customFormat="false" ht="15" hidden="false" customHeight="false" outlineLevel="0" collapsed="false">
      <c r="A647" s="4" t="s">
        <v>466</v>
      </c>
      <c r="B647" s="4" t="s">
        <v>228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3291.13025979002</v>
      </c>
      <c r="F647" s="14" t="n">
        <f aca="false">F645*nioi</f>
        <v>3735.2730295732</v>
      </c>
      <c r="G647" s="14" t="n">
        <f aca="false">G645*nioi</f>
        <v>3074.53938594564</v>
      </c>
    </row>
    <row r="648" customFormat="false" ht="15" hidden="false" customHeight="false" outlineLevel="0" collapsed="false">
      <c r="A648" s="0" t="s">
        <v>467</v>
      </c>
      <c r="B648" s="0" t="s">
        <v>304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3432.15672933336</v>
      </c>
      <c r="F648" s="14" t="n">
        <f aca="false">F647*100/shares</f>
        <v>3895.33122434509</v>
      </c>
      <c r="G648" s="14" t="n">
        <f aca="false">G647*100/shares</f>
        <v>3206.28483533405</v>
      </c>
    </row>
    <row r="649" customFormat="false" ht="17.15" hidden="false" customHeight="false" outlineLevel="0" collapsed="false">
      <c r="A649" s="4" t="s">
        <v>500</v>
      </c>
      <c r="B649" s="4" t="s">
        <v>228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13328.9044674373</v>
      </c>
      <c r="F649" s="14" t="n">
        <f aca="false">$C639*F630</f>
        <v>14982.6111224348</v>
      </c>
      <c r="G649" s="14" t="n">
        <f aca="false">$C639*G630</f>
        <v>8986.65554435675</v>
      </c>
      <c r="I649" s="4" t="s">
        <v>501</v>
      </c>
    </row>
    <row r="650" customFormat="false" ht="15" hidden="false" customHeight="false" outlineLevel="0" collapsed="false">
      <c r="A650" s="4" t="s">
        <v>502</v>
      </c>
      <c r="B650" s="0" t="s">
        <v>335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938.655244185722</v>
      </c>
      <c r="F650" s="14" t="n">
        <f aca="false">F649/fx*100</f>
        <v>1055.11345932639</v>
      </c>
      <c r="G650" s="14" t="n">
        <f aca="false">G649/fx*100</f>
        <v>632.863066503997</v>
      </c>
    </row>
    <row r="660" customFormat="false" ht="17.15" hidden="false" customHeight="false" outlineLevel="0" collapsed="false">
      <c r="A660" s="1" t="s">
        <v>782</v>
      </c>
    </row>
    <row r="661" customFormat="false" ht="15" hidden="false" customHeight="false" outlineLevel="0" collapsed="false">
      <c r="A661" s="5" t="s">
        <v>16</v>
      </c>
      <c r="B661" s="5" t="s">
        <v>17</v>
      </c>
      <c r="C661" s="13" t="s">
        <v>430</v>
      </c>
      <c r="D661" s="13" t="s">
        <v>431</v>
      </c>
      <c r="E661" s="13" t="s">
        <v>432</v>
      </c>
      <c r="F661" s="13" t="s">
        <v>433</v>
      </c>
      <c r="G661" s="13" t="s">
        <v>434</v>
      </c>
      <c r="H661" s="13" t="s">
        <v>435</v>
      </c>
      <c r="I661" s="5" t="s">
        <v>436</v>
      </c>
    </row>
    <row r="662" customFormat="false" ht="17.15" hidden="false" customHeight="false" outlineLevel="0" collapsed="false">
      <c r="A662" s="6" t="s">
        <v>470</v>
      </c>
    </row>
    <row r="663" customFormat="false" ht="17.15" hidden="false" customHeight="false" outlineLevel="0" collapsed="false">
      <c r="A663" s="0" t="s">
        <v>471</v>
      </c>
      <c r="B663" s="0" t="s">
        <v>27</v>
      </c>
      <c r="C663" s="19" t="n">
        <f aca="false">hsA_25</f>
        <v>2.22511470588235</v>
      </c>
      <c r="D663" s="19" t="n">
        <f aca="false">hsA_26</f>
        <v>3.782695</v>
      </c>
      <c r="E663" s="19" t="n">
        <f aca="false">hsA_27</f>
        <v>5.86317725</v>
      </c>
      <c r="F663" s="19" t="n">
        <f aca="false">hsA_28</f>
        <v>8.5016070125</v>
      </c>
      <c r="G663" s="19" t="n">
        <f aca="false">hsA_29</f>
        <v>11.477169466875</v>
      </c>
      <c r="H663" s="19" t="n">
        <f aca="false">G663*(1+g_tail)</f>
        <v>12.6248864135625</v>
      </c>
      <c r="I663" s="8" t="s">
        <v>472</v>
      </c>
    </row>
    <row r="664" customFormat="false" ht="17.15" hidden="false" customHeight="false" outlineLevel="0" collapsed="false">
      <c r="A664" s="0" t="s">
        <v>473</v>
      </c>
      <c r="B664" s="0" t="s">
        <v>474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475</v>
      </c>
      <c r="B665" s="4" t="s">
        <v>440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476</v>
      </c>
    </row>
    <row r="666" customFormat="false" ht="15" hidden="false" customHeight="false" outlineLevel="0" collapsed="false">
      <c r="A666" s="4" t="s">
        <v>477</v>
      </c>
      <c r="B666" s="4" t="s">
        <v>91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478</v>
      </c>
      <c r="B667" s="0" t="s">
        <v>111</v>
      </c>
      <c r="C667" s="20" t="n">
        <f aca="false">1+beta*(C666-$C666)/4</f>
        <v>1</v>
      </c>
      <c r="D667" s="20" t="n">
        <f aca="false">1+beta*(D666-$C666)/4</f>
        <v>1.05</v>
      </c>
      <c r="E667" s="20" t="n">
        <f aca="false">1+beta*(E666-$C666)/4</f>
        <v>1.0625</v>
      </c>
      <c r="F667" s="20" t="n">
        <f aca="false">1+beta*(F666-$C666)/4</f>
        <v>1.1</v>
      </c>
      <c r="G667" s="20" t="n">
        <f aca="false">1+beta*(G666-$C666)/4</f>
        <v>1.125</v>
      </c>
      <c r="H667" s="20" t="n">
        <f aca="false">1+beta*(H666-$C666)/4</f>
        <v>1.15</v>
      </c>
    </row>
    <row r="668" customFormat="false" ht="17.15" hidden="false" customHeight="false" outlineLevel="0" collapsed="false">
      <c r="A668" s="4" t="s">
        <v>479</v>
      </c>
      <c r="B668" s="0" t="s">
        <v>64</v>
      </c>
      <c r="C668" s="10" t="n">
        <f aca="false">0</f>
        <v>0</v>
      </c>
      <c r="D668" s="10" t="n">
        <f aca="false">0</f>
        <v>0</v>
      </c>
      <c r="E668" s="10" t="n">
        <f aca="false">0</f>
        <v>0</v>
      </c>
      <c r="F668" s="10" t="n">
        <f aca="false">0</f>
        <v>0</v>
      </c>
      <c r="G668" s="10" t="n">
        <f aca="false">0</f>
        <v>0</v>
      </c>
      <c r="H668" s="10" t="n">
        <f aca="false">0</f>
        <v>0</v>
      </c>
      <c r="I668" s="4" t="s">
        <v>480</v>
      </c>
    </row>
    <row r="669" customFormat="false" ht="17.15" hidden="false" customHeight="false" outlineLevel="0" collapsed="false">
      <c r="A669" s="0" t="s">
        <v>481</v>
      </c>
      <c r="B669" s="4" t="s">
        <v>442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2671.9336325</v>
      </c>
      <c r="G669" s="14" t="n">
        <f aca="false">G665*G667*(1-G668)</f>
        <v>3443.1508400625</v>
      </c>
      <c r="H669" s="14" t="n">
        <f aca="false">H665*H667*(1-H668)</f>
        <v>3629.65484389922</v>
      </c>
    </row>
    <row r="670" customFormat="false" ht="17.15" hidden="false" customHeight="false" outlineLevel="0" collapsed="false">
      <c r="A670" s="4" t="s">
        <v>482</v>
      </c>
      <c r="B670" s="4" t="s">
        <v>442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MAX(0,F669-E669)+dlt*E669</f>
        <v>946.806480096154</v>
      </c>
      <c r="F670" s="14" t="n">
        <f aca="false">MAX(0,G669-F669)+dlt*F669</f>
        <v>1038.4105708125</v>
      </c>
      <c r="G670" s="14" t="n">
        <f aca="false">MAX(0,H669-G669)+dlt*G669</f>
        <v>530.819087842968</v>
      </c>
      <c r="I670" s="4" t="s">
        <v>483</v>
      </c>
    </row>
    <row r="671" customFormat="false" ht="17.15" hidden="false" customHeight="false" outlineLevel="0" collapsed="false">
      <c r="A671" s="0" t="s">
        <v>484</v>
      </c>
      <c r="B671" s="0" t="s">
        <v>64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485</v>
      </c>
      <c r="B672" s="0" t="s">
        <v>64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486</v>
      </c>
      <c r="B673" s="0" t="s">
        <v>64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487</v>
      </c>
      <c r="B674" s="0" t="s">
        <v>64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488</v>
      </c>
      <c r="B675" s="4" t="s">
        <v>442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312.446138431731</v>
      </c>
      <c r="F675" s="14" t="n">
        <f aca="false">F670*F674</f>
        <v>342.675488368125</v>
      </c>
      <c r="G675" s="14" t="n">
        <f aca="false">G670*G674</f>
        <v>175.17029898818</v>
      </c>
    </row>
    <row r="676" customFormat="false" ht="17.15" hidden="false" customHeight="false" outlineLevel="0" collapsed="false">
      <c r="A676" s="6" t="s">
        <v>489</v>
      </c>
    </row>
    <row r="677" customFormat="false" ht="17.15" hidden="false" customHeight="false" outlineLevel="0" collapsed="false">
      <c r="A677" s="4" t="s">
        <v>490</v>
      </c>
      <c r="B677" s="4" t="s">
        <v>228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</row>
    <row r="678" customFormat="false" ht="17.15" hidden="false" customHeight="false" outlineLevel="0" collapsed="false">
      <c r="A678" s="0" t="s">
        <v>491</v>
      </c>
      <c r="B678" s="4" t="s">
        <v>228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3678.20976731723</v>
      </c>
      <c r="F678" s="14" t="n">
        <f aca="false">$C679*F675</f>
        <v>4034.0787524607</v>
      </c>
      <c r="G678" s="14" t="n">
        <f aca="false">$C679*G675</f>
        <v>2062.1573622776</v>
      </c>
      <c r="I678" s="8" t="s">
        <v>492</v>
      </c>
    </row>
    <row r="679" customFormat="false" ht="17.15" hidden="false" customHeight="false" outlineLevel="0" collapsed="false">
      <c r="A679" s="4" t="s">
        <v>493</v>
      </c>
      <c r="B679" s="4" t="s">
        <v>494</v>
      </c>
      <c r="C679" s="20" t="n">
        <f aca="false">(C678+D678)/(C675+D675)</f>
        <v>11.7723002939942</v>
      </c>
      <c r="I679" s="4" t="s">
        <v>495</v>
      </c>
    </row>
    <row r="680" customFormat="false" ht="15" hidden="false" customHeight="false" outlineLevel="0" collapsed="false">
      <c r="A680" s="4" t="s">
        <v>396</v>
      </c>
      <c r="B680" s="4" t="s">
        <v>228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7407.01355931723</v>
      </c>
      <c r="F680" s="14" t="n">
        <f aca="false">F677+F678</f>
        <v>8210.3389995007</v>
      </c>
      <c r="G680" s="14" t="n">
        <f aca="false">G677+G678</f>
        <v>6739.56883896241</v>
      </c>
    </row>
    <row r="681" customFormat="false" ht="17.15" hidden="false" customHeight="false" outlineLevel="0" collapsed="false">
      <c r="A681" s="0" t="s">
        <v>496</v>
      </c>
      <c r="B681" s="0" t="s">
        <v>64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0.496584721745302</v>
      </c>
      <c r="F681" s="10" t="n">
        <f aca="false">F678/F680</f>
        <v>0.491341314007378</v>
      </c>
      <c r="G681" s="10" t="n">
        <f aca="false">G678/G680</f>
        <v>0.305977639156377</v>
      </c>
    </row>
    <row r="682" customFormat="false" ht="17.15" hidden="false" customHeight="false" outlineLevel="0" collapsed="false">
      <c r="A682" s="4" t="s">
        <v>497</v>
      </c>
      <c r="B682" s="4" t="s">
        <v>228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921.404260300087</v>
      </c>
      <c r="F682" s="14" t="n">
        <f aca="false">opex_fix+opex_var*F680</f>
        <v>977.589680154084</v>
      </c>
      <c r="G682" s="14" t="n">
        <f aca="false">opex_fix+opex_var*G680</f>
        <v>874.722479832753</v>
      </c>
      <c r="I682" s="4" t="s">
        <v>498</v>
      </c>
    </row>
    <row r="683" customFormat="false" ht="17.15" hidden="false" customHeight="false" outlineLevel="0" collapsed="false">
      <c r="A683" s="4" t="s">
        <v>465</v>
      </c>
      <c r="B683" s="0" t="s">
        <v>64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499</v>
      </c>
    </row>
    <row r="684" customFormat="false" ht="15" hidden="false" customHeight="false" outlineLevel="0" collapsed="false">
      <c r="A684" s="4" t="s">
        <v>401</v>
      </c>
      <c r="B684" s="4" t="s">
        <v>228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4460.74930013947</v>
      </c>
      <c r="F684" s="14" t="n">
        <f aca="false">F680*F683</f>
        <v>4944.53853130337</v>
      </c>
      <c r="G684" s="14" t="n">
        <f aca="false">G680*G683</f>
        <v>4058.79194642849</v>
      </c>
    </row>
    <row r="685" customFormat="false" ht="15" hidden="false" customHeight="false" outlineLevel="0" collapsed="false">
      <c r="A685" s="4" t="s">
        <v>404</v>
      </c>
      <c r="B685" s="4" t="s">
        <v>228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3539.34503983939</v>
      </c>
      <c r="F685" s="14" t="n">
        <f aca="false">F684-F682</f>
        <v>3966.94885114929</v>
      </c>
      <c r="G685" s="14" t="n">
        <f aca="false">G684-G682</f>
        <v>3184.06946659573</v>
      </c>
    </row>
    <row r="686" customFormat="false" ht="15" hidden="false" customHeight="false" outlineLevel="0" collapsed="false">
      <c r="A686" s="4" t="s">
        <v>407</v>
      </c>
      <c r="B686" s="0" t="s">
        <v>64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0.477836986728244</v>
      </c>
      <c r="F686" s="10" t="n">
        <f aca="false">F685/F680</f>
        <v>0.483165049748924</v>
      </c>
      <c r="G686" s="10" t="n">
        <f aca="false">G685/G680</f>
        <v>0.472444089922812</v>
      </c>
    </row>
    <row r="687" customFormat="false" ht="15" hidden="false" customHeight="false" outlineLevel="0" collapsed="false">
      <c r="A687" s="4" t="s">
        <v>466</v>
      </c>
      <c r="B687" s="4" t="s">
        <v>228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3012.92747732857</v>
      </c>
      <c r="F687" s="14" t="n">
        <f aca="false">F685*nioi</f>
        <v>3376.93247203925</v>
      </c>
      <c r="G687" s="14" t="n">
        <f aca="false">G685*nioi</f>
        <v>2710.49312164958</v>
      </c>
    </row>
    <row r="688" customFormat="false" ht="15" hidden="false" customHeight="false" outlineLevel="0" collapsed="false">
      <c r="A688" s="0" t="s">
        <v>467</v>
      </c>
      <c r="B688" s="0" t="s">
        <v>304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3142.03282764213</v>
      </c>
      <c r="F688" s="14" t="n">
        <f aca="false">F687*100/shares</f>
        <v>3521.63560647196</v>
      </c>
      <c r="G688" s="14" t="n">
        <f aca="false">G687*100/shares</f>
        <v>2826.63901849783</v>
      </c>
    </row>
    <row r="689" customFormat="false" ht="17.15" hidden="false" customHeight="false" outlineLevel="0" collapsed="false">
      <c r="A689" s="4" t="s">
        <v>500</v>
      </c>
      <c r="B689" s="4" t="s">
        <v>228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11146.0902039916</v>
      </c>
      <c r="F689" s="14" t="n">
        <f aca="false">$C679*F670</f>
        <v>12224.4810680627</v>
      </c>
      <c r="G689" s="14" t="n">
        <f aca="false">$C679*G670</f>
        <v>6248.96170387152</v>
      </c>
      <c r="I689" s="4" t="s">
        <v>501</v>
      </c>
    </row>
    <row r="690" customFormat="false" ht="15" hidden="false" customHeight="false" outlineLevel="0" collapsed="false">
      <c r="A690" s="4" t="s">
        <v>502</v>
      </c>
      <c r="B690" s="0" t="s">
        <v>335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784.935929858563</v>
      </c>
      <c r="F690" s="14" t="n">
        <f aca="false">F689/fx*100</f>
        <v>860.87894845512</v>
      </c>
      <c r="G690" s="14" t="n">
        <f aca="false">G689/fx*100</f>
        <v>440.067725624755</v>
      </c>
    </row>
    <row r="700" customFormat="false" ht="17.15" hidden="false" customHeight="false" outlineLevel="0" collapsed="false">
      <c r="A700" s="1" t="s">
        <v>783</v>
      </c>
    </row>
    <row r="701" customFormat="false" ht="15" hidden="false" customHeight="false" outlineLevel="0" collapsed="false">
      <c r="A701" s="5" t="s">
        <v>16</v>
      </c>
      <c r="B701" s="5" t="s">
        <v>17</v>
      </c>
      <c r="C701" s="13" t="s">
        <v>430</v>
      </c>
      <c r="D701" s="13" t="s">
        <v>431</v>
      </c>
      <c r="E701" s="13" t="s">
        <v>432</v>
      </c>
      <c r="F701" s="13" t="s">
        <v>433</v>
      </c>
      <c r="G701" s="13" t="s">
        <v>434</v>
      </c>
      <c r="H701" s="13" t="s">
        <v>435</v>
      </c>
      <c r="I701" s="5" t="s">
        <v>436</v>
      </c>
    </row>
    <row r="702" customFormat="false" ht="17.15" hidden="false" customHeight="false" outlineLevel="0" collapsed="false">
      <c r="A702" s="6" t="s">
        <v>470</v>
      </c>
    </row>
    <row r="703" customFormat="false" ht="17.15" hidden="false" customHeight="false" outlineLevel="0" collapsed="false">
      <c r="A703" s="0" t="s">
        <v>471</v>
      </c>
      <c r="B703" s="0" t="s">
        <v>27</v>
      </c>
      <c r="C703" s="19" t="n">
        <f aca="false">hsA_25</f>
        <v>2.22511470588235</v>
      </c>
      <c r="D703" s="19" t="n">
        <f aca="false">hsA_26</f>
        <v>3.782695</v>
      </c>
      <c r="E703" s="19" t="n">
        <f aca="false">hsA_27</f>
        <v>5.86317725</v>
      </c>
      <c r="F703" s="19" t="n">
        <f aca="false">hsA_28</f>
        <v>8.5016070125</v>
      </c>
      <c r="G703" s="19" t="n">
        <f aca="false">hsA_29</f>
        <v>11.477169466875</v>
      </c>
      <c r="H703" s="19" t="n">
        <f aca="false">G703*(1+g_tail)</f>
        <v>12.6248864135625</v>
      </c>
      <c r="I703" s="8" t="s">
        <v>472</v>
      </c>
    </row>
    <row r="704" customFormat="false" ht="17.15" hidden="false" customHeight="false" outlineLevel="0" collapsed="false">
      <c r="A704" s="0" t="s">
        <v>473</v>
      </c>
      <c r="B704" s="0" t="s">
        <v>474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475</v>
      </c>
      <c r="B705" s="4" t="s">
        <v>440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476</v>
      </c>
    </row>
    <row r="706" customFormat="false" ht="15" hidden="false" customHeight="false" outlineLevel="0" collapsed="false">
      <c r="A706" s="4" t="s">
        <v>477</v>
      </c>
      <c r="B706" s="4" t="s">
        <v>91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478</v>
      </c>
      <c r="B707" s="0" t="s">
        <v>111</v>
      </c>
      <c r="C707" s="20" t="n">
        <f aca="false">1+beta*(C706-$C706)/4</f>
        <v>1</v>
      </c>
      <c r="D707" s="20" t="n">
        <f aca="false">1+beta*(D706-$C706)/4</f>
        <v>1.05</v>
      </c>
      <c r="E707" s="20" t="n">
        <f aca="false">1+beta*(E706-$C706)/4</f>
        <v>1.0625</v>
      </c>
      <c r="F707" s="20" t="n">
        <f aca="false">1+beta*(F706-$C706)/4</f>
        <v>1.1</v>
      </c>
      <c r="G707" s="20" t="n">
        <f aca="false">1+beta*(G706-$C706)/4</f>
        <v>1.125</v>
      </c>
      <c r="H707" s="20" t="n">
        <f aca="false">1+beta*(H706-$C706)/4</f>
        <v>1.15</v>
      </c>
    </row>
    <row r="708" customFormat="false" ht="17.15" hidden="false" customHeight="false" outlineLevel="0" collapsed="false">
      <c r="A708" s="4" t="s">
        <v>479</v>
      </c>
      <c r="B708" s="0" t="s">
        <v>64</v>
      </c>
      <c r="C708" s="10" t="n">
        <f aca="false">0</f>
        <v>0</v>
      </c>
      <c r="D708" s="10" t="n">
        <f aca="false">0</f>
        <v>0</v>
      </c>
      <c r="E708" s="10" t="n">
        <f aca="false">0</f>
        <v>0</v>
      </c>
      <c r="F708" s="10" t="n">
        <f aca="false">0</f>
        <v>0</v>
      </c>
      <c r="G708" s="10" t="n">
        <f aca="false">0</f>
        <v>0</v>
      </c>
      <c r="H708" s="10" t="n">
        <f aca="false">0</f>
        <v>0</v>
      </c>
      <c r="I708" s="4" t="s">
        <v>480</v>
      </c>
    </row>
    <row r="709" customFormat="false" ht="17.15" hidden="false" customHeight="false" outlineLevel="0" collapsed="false">
      <c r="A709" s="0" t="s">
        <v>481</v>
      </c>
      <c r="B709" s="4" t="s">
        <v>442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2671.9336325</v>
      </c>
      <c r="G709" s="14" t="n">
        <f aca="false">G705*G707*(1-G708)</f>
        <v>3443.1508400625</v>
      </c>
      <c r="H709" s="14" t="n">
        <f aca="false">H705*H707*(1-H708)</f>
        <v>3629.65484389922</v>
      </c>
    </row>
    <row r="710" customFormat="false" ht="17.15" hidden="false" customHeight="false" outlineLevel="0" collapsed="false">
      <c r="A710" s="4" t="s">
        <v>482</v>
      </c>
      <c r="B710" s="4" t="s">
        <v>442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MAX(0,F709-E709)+dlt*E709</f>
        <v>946.806480096154</v>
      </c>
      <c r="F710" s="14" t="n">
        <f aca="false">MAX(0,G709-F709)+dlt*F709</f>
        <v>1038.4105708125</v>
      </c>
      <c r="G710" s="14" t="n">
        <f aca="false">MAX(0,H709-G709)+dlt*G709</f>
        <v>530.819087842968</v>
      </c>
      <c r="I710" s="4" t="s">
        <v>483</v>
      </c>
    </row>
    <row r="711" customFormat="false" ht="17.15" hidden="false" customHeight="false" outlineLevel="0" collapsed="false">
      <c r="A711" s="0" t="s">
        <v>484</v>
      </c>
      <c r="B711" s="0" t="s">
        <v>64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485</v>
      </c>
      <c r="B712" s="0" t="s">
        <v>64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486</v>
      </c>
      <c r="B713" s="0" t="s">
        <v>64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487</v>
      </c>
      <c r="B714" s="0" t="s">
        <v>64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488</v>
      </c>
      <c r="B715" s="4" t="s">
        <v>442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312.446138431731</v>
      </c>
      <c r="F715" s="14" t="n">
        <f aca="false">F710*F714</f>
        <v>342.675488368125</v>
      </c>
      <c r="G715" s="14" t="n">
        <f aca="false">G710*G714</f>
        <v>175.17029898818</v>
      </c>
    </row>
    <row r="716" customFormat="false" ht="17.15" hidden="false" customHeight="false" outlineLevel="0" collapsed="false">
      <c r="A716" s="6" t="s">
        <v>489</v>
      </c>
    </row>
    <row r="717" customFormat="false" ht="17.15" hidden="false" customHeight="false" outlineLevel="0" collapsed="false">
      <c r="A717" s="4" t="s">
        <v>490</v>
      </c>
      <c r="B717" s="4" t="s">
        <v>228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</row>
    <row r="718" customFormat="false" ht="17.15" hidden="false" customHeight="false" outlineLevel="0" collapsed="false">
      <c r="A718" s="0" t="s">
        <v>491</v>
      </c>
      <c r="B718" s="4" t="s">
        <v>228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4893.8554233613</v>
      </c>
      <c r="F718" s="14" t="n">
        <f aca="false">$C719*F715</f>
        <v>5367.33884957185</v>
      </c>
      <c r="G718" s="14" t="n">
        <f aca="false">$C719*G715</f>
        <v>2743.69887244561</v>
      </c>
      <c r="I718" s="8" t="s">
        <v>492</v>
      </c>
    </row>
    <row r="719" customFormat="false" ht="17.15" hidden="false" customHeight="false" outlineLevel="0" collapsed="false">
      <c r="A719" s="4" t="s">
        <v>493</v>
      </c>
      <c r="B719" s="4" t="s">
        <v>494</v>
      </c>
      <c r="C719" s="20" t="n">
        <f aca="false">(C718+D718)/(C715+D715)</f>
        <v>15.6630369891117</v>
      </c>
      <c r="I719" s="4" t="s">
        <v>495</v>
      </c>
    </row>
    <row r="720" customFormat="false" ht="15" hidden="false" customHeight="false" outlineLevel="0" collapsed="false">
      <c r="A720" s="4" t="s">
        <v>396</v>
      </c>
      <c r="B720" s="4" t="s">
        <v>228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8622.6592153613</v>
      </c>
      <c r="F720" s="14" t="n">
        <f aca="false">F717+F718</f>
        <v>9543.59909661185</v>
      </c>
      <c r="G720" s="14" t="n">
        <f aca="false">G717+G718</f>
        <v>7421.11034913041</v>
      </c>
    </row>
    <row r="721" customFormat="false" ht="17.15" hidden="false" customHeight="false" outlineLevel="0" collapsed="false">
      <c r="A721" s="0" t="s">
        <v>496</v>
      </c>
      <c r="B721" s="0" t="s">
        <v>64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0.567557559812045</v>
      </c>
      <c r="F721" s="10" t="n">
        <f aca="false">F718/F720</f>
        <v>0.562401961276574</v>
      </c>
      <c r="G721" s="10" t="n">
        <f aca="false">G718/G720</f>
        <v>0.369715412299065</v>
      </c>
    </row>
    <row r="722" customFormat="false" ht="17.15" hidden="false" customHeight="false" outlineLevel="0" collapsed="false">
      <c r="A722" s="4" t="s">
        <v>497</v>
      </c>
      <c r="B722" s="4" t="s">
        <v>228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1006.4277864602</v>
      </c>
      <c r="F722" s="14" t="n">
        <f aca="false">opex_fix+opex_var*F720</f>
        <v>1070.83928309665</v>
      </c>
      <c r="G722" s="14" t="n">
        <f aca="false">opex_fix+opex_var*G720</f>
        <v>922.390204494841</v>
      </c>
      <c r="I722" s="4" t="s">
        <v>498</v>
      </c>
    </row>
    <row r="723" customFormat="false" ht="17.15" hidden="false" customHeight="false" outlineLevel="0" collapsed="false">
      <c r="A723" s="4" t="s">
        <v>465</v>
      </c>
      <c r="B723" s="0" t="s">
        <v>64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499</v>
      </c>
    </row>
    <row r="724" customFormat="false" ht="15" hidden="false" customHeight="false" outlineLevel="0" collapsed="false">
      <c r="A724" s="4" t="s">
        <v>401</v>
      </c>
      <c r="B724" s="4" t="s">
        <v>228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5086.84241315866</v>
      </c>
      <c r="F724" s="14" t="n">
        <f aca="false">F720*F723</f>
        <v>5630.14070790847</v>
      </c>
      <c r="G724" s="14" t="n">
        <f aca="false">G720*G723</f>
        <v>4378.00195204693</v>
      </c>
    </row>
    <row r="725" customFormat="false" ht="15" hidden="false" customHeight="false" outlineLevel="0" collapsed="false">
      <c r="A725" s="4" t="s">
        <v>404</v>
      </c>
      <c r="B725" s="4" t="s">
        <v>228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4080.41462669846</v>
      </c>
      <c r="F725" s="14" t="n">
        <f aca="false">F724-F722</f>
        <v>4559.30142481182</v>
      </c>
      <c r="G725" s="14" t="n">
        <f aca="false">G724-G722</f>
        <v>3455.61174755209</v>
      </c>
    </row>
    <row r="726" customFormat="false" ht="15" hidden="false" customHeight="false" outlineLevel="0" collapsed="false">
      <c r="A726" s="4" t="s">
        <v>407</v>
      </c>
      <c r="B726" s="0" t="s">
        <v>64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0.473219980609831</v>
      </c>
      <c r="F726" s="10" t="n">
        <f aca="false">F725/F720</f>
        <v>0.477733963744397</v>
      </c>
      <c r="G726" s="10" t="n">
        <f aca="false">G725/G720</f>
        <v>0.465646188370856</v>
      </c>
    </row>
    <row r="727" customFormat="false" ht="15" hidden="false" customHeight="false" outlineLevel="0" collapsed="false">
      <c r="A727" s="4" t="s">
        <v>466</v>
      </c>
      <c r="B727" s="4" t="s">
        <v>228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3473.5221373701</v>
      </c>
      <c r="F727" s="14" t="n">
        <f aca="false">F725*nioi</f>
        <v>3881.18264413751</v>
      </c>
      <c r="G727" s="14" t="n">
        <f aca="false">G725*nioi</f>
        <v>2941.64809251023</v>
      </c>
    </row>
    <row r="728" customFormat="false" ht="15" hidden="false" customHeight="false" outlineLevel="0" collapsed="false">
      <c r="A728" s="0" t="s">
        <v>467</v>
      </c>
      <c r="B728" s="0" t="s">
        <v>304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3622.3641840976</v>
      </c>
      <c r="F728" s="14" t="n">
        <f aca="false">F727*100/shares</f>
        <v>4047.49313407556</v>
      </c>
      <c r="G728" s="14" t="n">
        <f aca="false">G727*100/shares</f>
        <v>3067.6990878762</v>
      </c>
    </row>
    <row r="729" customFormat="false" ht="17.15" hidden="false" customHeight="false" outlineLevel="0" collapsed="false">
      <c r="A729" s="4" t="s">
        <v>500</v>
      </c>
      <c r="B729" s="4" t="s">
        <v>228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14829.8649192767</v>
      </c>
      <c r="F729" s="14" t="n">
        <f aca="false">$C719*F710</f>
        <v>16264.6631805207</v>
      </c>
      <c r="G729" s="14" t="n">
        <f aca="false">$C719*G710</f>
        <v>8314.23900741092</v>
      </c>
      <c r="I729" s="4" t="s">
        <v>501</v>
      </c>
    </row>
    <row r="730" customFormat="false" ht="15" hidden="false" customHeight="false" outlineLevel="0" collapsed="false">
      <c r="A730" s="4" t="s">
        <v>502</v>
      </c>
      <c r="B730" s="0" t="s">
        <v>335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1044.3566844561</v>
      </c>
      <c r="F730" s="14" t="n">
        <f aca="false">F729/fx*100</f>
        <v>1145.39881552963</v>
      </c>
      <c r="G730" s="14" t="n">
        <f aca="false">G729/fx*100</f>
        <v>585.509789254291</v>
      </c>
    </row>
    <row r="740" customFormat="false" ht="17.15" hidden="false" customHeight="false" outlineLevel="0" collapsed="false">
      <c r="A740" s="1" t="s">
        <v>784</v>
      </c>
    </row>
    <row r="741" customFormat="false" ht="15" hidden="false" customHeight="false" outlineLevel="0" collapsed="false">
      <c r="A741" s="5" t="s">
        <v>16</v>
      </c>
      <c r="B741" s="5" t="s">
        <v>17</v>
      </c>
      <c r="C741" s="13" t="s">
        <v>430</v>
      </c>
      <c r="D741" s="13" t="s">
        <v>431</v>
      </c>
      <c r="E741" s="13" t="s">
        <v>432</v>
      </c>
      <c r="F741" s="13" t="s">
        <v>433</v>
      </c>
      <c r="G741" s="13" t="s">
        <v>434</v>
      </c>
      <c r="H741" s="13" t="s">
        <v>435</v>
      </c>
      <c r="I741" s="5" t="s">
        <v>436</v>
      </c>
    </row>
    <row r="742" customFormat="false" ht="17.15" hidden="false" customHeight="false" outlineLevel="0" collapsed="false">
      <c r="A742" s="6" t="s">
        <v>470</v>
      </c>
    </row>
    <row r="743" customFormat="false" ht="17.15" hidden="false" customHeight="false" outlineLevel="0" collapsed="false">
      <c r="A743" s="0" t="s">
        <v>471</v>
      </c>
      <c r="B743" s="0" t="s">
        <v>27</v>
      </c>
      <c r="C743" s="19" t="n">
        <f aca="false">hsA_25</f>
        <v>2.22511470588235</v>
      </c>
      <c r="D743" s="19" t="n">
        <f aca="false">hsA_26</f>
        <v>3.782695</v>
      </c>
      <c r="E743" s="19" t="n">
        <f aca="false">hsA_27</f>
        <v>5.86317725</v>
      </c>
      <c r="F743" s="19" t="n">
        <f aca="false">hsA_28</f>
        <v>8.5016070125</v>
      </c>
      <c r="G743" s="19" t="n">
        <f aca="false">hsA_29</f>
        <v>11.477169466875</v>
      </c>
      <c r="H743" s="19" t="n">
        <f aca="false">G743*(1+g_tail)</f>
        <v>12.6248864135625</v>
      </c>
      <c r="I743" s="8" t="s">
        <v>472</v>
      </c>
    </row>
    <row r="744" customFormat="false" ht="17.15" hidden="false" customHeight="false" outlineLevel="0" collapsed="false">
      <c r="A744" s="0" t="s">
        <v>473</v>
      </c>
      <c r="B744" s="0" t="s">
        <v>474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475</v>
      </c>
      <c r="B745" s="4" t="s">
        <v>440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476</v>
      </c>
    </row>
    <row r="746" customFormat="false" ht="15" hidden="false" customHeight="false" outlineLevel="0" collapsed="false">
      <c r="A746" s="4" t="s">
        <v>477</v>
      </c>
      <c r="B746" s="4" t="s">
        <v>91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478</v>
      </c>
      <c r="B747" s="0" t="s">
        <v>111</v>
      </c>
      <c r="C747" s="20" t="n">
        <f aca="false">1+beta*(C746-$C746)/4</f>
        <v>1</v>
      </c>
      <c r="D747" s="20" t="n">
        <f aca="false">1+beta*(D746-$C746)/4</f>
        <v>1.05</v>
      </c>
      <c r="E747" s="20" t="n">
        <f aca="false">1+beta*(E746-$C746)/4</f>
        <v>1.0625</v>
      </c>
      <c r="F747" s="20" t="n">
        <f aca="false">1+beta*(F746-$C746)/4</f>
        <v>1.1</v>
      </c>
      <c r="G747" s="20" t="n">
        <f aca="false">1+beta*(G746-$C746)/4</f>
        <v>1.125</v>
      </c>
      <c r="H747" s="20" t="n">
        <f aca="false">1+beta*(H746-$C746)/4</f>
        <v>1.15</v>
      </c>
    </row>
    <row r="748" customFormat="false" ht="17.15" hidden="false" customHeight="false" outlineLevel="0" collapsed="false">
      <c r="A748" s="4" t="s">
        <v>479</v>
      </c>
      <c r="B748" s="0" t="s">
        <v>64</v>
      </c>
      <c r="C748" s="10" t="n">
        <f aca="false">0</f>
        <v>0</v>
      </c>
      <c r="D748" s="10" t="n">
        <f aca="false">0</f>
        <v>0</v>
      </c>
      <c r="E748" s="10" t="n">
        <f aca="false">0</f>
        <v>0</v>
      </c>
      <c r="F748" s="10" t="n">
        <f aca="false">0</f>
        <v>0</v>
      </c>
      <c r="G748" s="10" t="n">
        <f aca="false">0</f>
        <v>0</v>
      </c>
      <c r="H748" s="10" t="n">
        <f aca="false">0</f>
        <v>0</v>
      </c>
      <c r="I748" s="4" t="s">
        <v>480</v>
      </c>
    </row>
    <row r="749" customFormat="false" ht="17.15" hidden="false" customHeight="false" outlineLevel="0" collapsed="false">
      <c r="A749" s="0" t="s">
        <v>481</v>
      </c>
      <c r="B749" s="4" t="s">
        <v>442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2671.9336325</v>
      </c>
      <c r="G749" s="14" t="n">
        <f aca="false">G745*G747*(1-G748)</f>
        <v>3443.1508400625</v>
      </c>
      <c r="H749" s="14" t="n">
        <f aca="false">H745*H747*(1-H748)</f>
        <v>3629.65484389922</v>
      </c>
    </row>
    <row r="750" customFormat="false" ht="17.15" hidden="false" customHeight="false" outlineLevel="0" collapsed="false">
      <c r="A750" s="4" t="s">
        <v>482</v>
      </c>
      <c r="B750" s="4" t="s">
        <v>442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MAX(0,F749-E749)+dlt*E749</f>
        <v>946.806480096154</v>
      </c>
      <c r="F750" s="14" t="n">
        <f aca="false">MAX(0,G749-F749)+dlt*F749</f>
        <v>1038.4105708125</v>
      </c>
      <c r="G750" s="14" t="n">
        <f aca="false">MAX(0,H749-G749)+dlt*G749</f>
        <v>530.819087842968</v>
      </c>
      <c r="I750" s="4" t="s">
        <v>483</v>
      </c>
    </row>
    <row r="751" customFormat="false" ht="17.15" hidden="false" customHeight="false" outlineLevel="0" collapsed="false">
      <c r="A751" s="0" t="s">
        <v>484</v>
      </c>
      <c r="B751" s="0" t="s">
        <v>64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485</v>
      </c>
      <c r="B752" s="0" t="s">
        <v>64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486</v>
      </c>
      <c r="B753" s="0" t="s">
        <v>64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487</v>
      </c>
      <c r="B754" s="0" t="s">
        <v>64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488</v>
      </c>
      <c r="B755" s="4" t="s">
        <v>442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312.446138431731</v>
      </c>
      <c r="F755" s="14" t="n">
        <f aca="false">F750*F754</f>
        <v>342.675488368125</v>
      </c>
      <c r="G755" s="14" t="n">
        <f aca="false">G750*G754</f>
        <v>175.17029898818</v>
      </c>
    </row>
    <row r="756" customFormat="false" ht="17.15" hidden="false" customHeight="false" outlineLevel="0" collapsed="false">
      <c r="A756" s="6" t="s">
        <v>489</v>
      </c>
    </row>
    <row r="757" customFormat="false" ht="17.15" hidden="false" customHeight="false" outlineLevel="0" collapsed="false">
      <c r="A757" s="4" t="s">
        <v>490</v>
      </c>
      <c r="B757" s="4" t="s">
        <v>228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</row>
    <row r="758" customFormat="false" ht="17.15" hidden="false" customHeight="false" outlineLevel="0" collapsed="false">
      <c r="A758" s="0" t="s">
        <v>491</v>
      </c>
      <c r="B758" s="4" t="s">
        <v>228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4286.03259533926</v>
      </c>
      <c r="F758" s="14" t="n">
        <f aca="false">$C759*F755</f>
        <v>4700.70880101627</v>
      </c>
      <c r="G758" s="14" t="n">
        <f aca="false">$C759*G755</f>
        <v>2402.9281173616</v>
      </c>
      <c r="I758" s="8" t="s">
        <v>492</v>
      </c>
    </row>
    <row r="759" customFormat="false" ht="17.15" hidden="false" customHeight="false" outlineLevel="0" collapsed="false">
      <c r="A759" s="4" t="s">
        <v>493</v>
      </c>
      <c r="B759" s="4" t="s">
        <v>494</v>
      </c>
      <c r="C759" s="20" t="n">
        <f aca="false">(C758+D758)/(C755+D755)</f>
        <v>13.7176686415529</v>
      </c>
      <c r="I759" s="4" t="s">
        <v>495</v>
      </c>
    </row>
    <row r="760" customFormat="false" ht="15" hidden="false" customHeight="false" outlineLevel="0" collapsed="false">
      <c r="A760" s="4" t="s">
        <v>396</v>
      </c>
      <c r="B760" s="4" t="s">
        <v>228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8014.83638733926</v>
      </c>
      <c r="F760" s="14" t="n">
        <f aca="false">F757+F758</f>
        <v>8876.96904805627</v>
      </c>
      <c r="G760" s="14" t="n">
        <f aca="false">G757+G758</f>
        <v>7080.33959404641</v>
      </c>
    </row>
    <row r="761" customFormat="false" ht="17.15" hidden="false" customHeight="false" outlineLevel="0" collapsed="false">
      <c r="A761" s="0" t="s">
        <v>496</v>
      </c>
      <c r="B761" s="0" t="s">
        <v>64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0.534762331781314</v>
      </c>
      <c r="F761" s="10" t="n">
        <f aca="false">F758/F760</f>
        <v>0.529539843562432</v>
      </c>
      <c r="G761" s="10" t="n">
        <f aca="false">G758/G760</f>
        <v>0.339380348279077</v>
      </c>
    </row>
    <row r="762" customFormat="false" ht="17.15" hidden="false" customHeight="false" outlineLevel="0" collapsed="false">
      <c r="A762" s="4" t="s">
        <v>497</v>
      </c>
      <c r="B762" s="4" t="s">
        <v>228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963.916023380144</v>
      </c>
      <c r="F762" s="14" t="n">
        <f aca="false">opex_fix+opex_var*F760</f>
        <v>1024.21448162537</v>
      </c>
      <c r="G762" s="14" t="n">
        <f aca="false">opex_fix+opex_var*G760</f>
        <v>898.556342163797</v>
      </c>
      <c r="I762" s="4" t="s">
        <v>498</v>
      </c>
    </row>
    <row r="763" customFormat="false" ht="17.15" hidden="false" customHeight="false" outlineLevel="0" collapsed="false">
      <c r="A763" s="4" t="s">
        <v>465</v>
      </c>
      <c r="B763" s="0" t="s">
        <v>64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499</v>
      </c>
    </row>
    <row r="764" customFormat="false" ht="15" hidden="false" customHeight="false" outlineLevel="0" collapsed="false">
      <c r="A764" s="4" t="s">
        <v>401</v>
      </c>
      <c r="B764" s="4" t="s">
        <v>228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4482.69516658401</v>
      </c>
      <c r="F764" s="14" t="n">
        <f aca="false">F760*F763</f>
        <v>4964.88565986161</v>
      </c>
      <c r="G764" s="14" t="n">
        <f aca="false">G760*G763</f>
        <v>3960.03143946171</v>
      </c>
    </row>
    <row r="765" customFormat="false" ht="15" hidden="false" customHeight="false" outlineLevel="0" collapsed="false">
      <c r="A765" s="4" t="s">
        <v>404</v>
      </c>
      <c r="B765" s="4" t="s">
        <v>228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3518.77914320387</v>
      </c>
      <c r="F765" s="14" t="n">
        <f aca="false">F764-F762</f>
        <v>3940.67117823624</v>
      </c>
      <c r="G765" s="14" t="n">
        <f aca="false">G764-G762</f>
        <v>3061.47509729792</v>
      </c>
    </row>
    <row r="766" customFormat="false" ht="15" hidden="false" customHeight="false" outlineLevel="0" collapsed="false">
      <c r="A766" s="4" t="s">
        <v>407</v>
      </c>
      <c r="B766" s="0" t="s">
        <v>64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0.439033184602789</v>
      </c>
      <c r="F766" s="10" t="n">
        <f aca="false">F765/F760</f>
        <v>0.443920797391887</v>
      </c>
      <c r="G766" s="10" t="n">
        <f aca="false">G765/G760</f>
        <v>0.432390997159543</v>
      </c>
    </row>
    <row r="767" customFormat="false" ht="15" hidden="false" customHeight="false" outlineLevel="0" collapsed="false">
      <c r="A767" s="4" t="s">
        <v>466</v>
      </c>
      <c r="B767" s="4" t="s">
        <v>228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2995.42040910787</v>
      </c>
      <c r="F767" s="14" t="n">
        <f aca="false">F765*nioi</f>
        <v>3354.56315741499</v>
      </c>
      <c r="G767" s="14" t="n">
        <f aca="false">G765*nioi</f>
        <v>2606.13258610825</v>
      </c>
    </row>
    <row r="768" customFormat="false" ht="15" hidden="false" customHeight="false" outlineLevel="0" collapsed="false">
      <c r="A768" s="0" t="s">
        <v>467</v>
      </c>
      <c r="B768" s="0" t="s">
        <v>304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3123.7755733673</v>
      </c>
      <c r="F768" s="14" t="n">
        <f aca="false">F767*100/shares</f>
        <v>3498.3077562631</v>
      </c>
      <c r="G768" s="14" t="n">
        <f aca="false">G767*100/shares</f>
        <v>2717.80658524196</v>
      </c>
    </row>
    <row r="769" customFormat="false" ht="17.15" hidden="false" customHeight="false" outlineLevel="0" collapsed="false">
      <c r="A769" s="4" t="s">
        <v>500</v>
      </c>
      <c r="B769" s="4" t="s">
        <v>228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12987.9775616341</v>
      </c>
      <c r="F769" s="14" t="n">
        <f aca="false">$C759*F750</f>
        <v>14244.5721242917</v>
      </c>
      <c r="G769" s="14" t="n">
        <f aca="false">$C759*G750</f>
        <v>7281.60035564122</v>
      </c>
      <c r="I769" s="4" t="s">
        <v>501</v>
      </c>
    </row>
    <row r="770" customFormat="false" ht="15" hidden="false" customHeight="false" outlineLevel="0" collapsed="false">
      <c r="A770" s="4" t="s">
        <v>502</v>
      </c>
      <c r="B770" s="0" t="s">
        <v>335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914.646307157333</v>
      </c>
      <c r="F770" s="14" t="n">
        <f aca="false">F769/fx*100</f>
        <v>1003.13888199238</v>
      </c>
      <c r="G770" s="14" t="n">
        <f aca="false">G769/fx*100</f>
        <v>512.788757439523</v>
      </c>
    </row>
    <row r="780" customFormat="false" ht="17.15" hidden="false" customHeight="false" outlineLevel="0" collapsed="false">
      <c r="A780" s="1" t="s">
        <v>785</v>
      </c>
    </row>
    <row r="781" customFormat="false" ht="15" hidden="false" customHeight="false" outlineLevel="0" collapsed="false">
      <c r="A781" s="5" t="s">
        <v>16</v>
      </c>
      <c r="B781" s="5" t="s">
        <v>17</v>
      </c>
      <c r="C781" s="13" t="s">
        <v>430</v>
      </c>
      <c r="D781" s="13" t="s">
        <v>431</v>
      </c>
      <c r="E781" s="13" t="s">
        <v>432</v>
      </c>
      <c r="F781" s="13" t="s">
        <v>433</v>
      </c>
      <c r="G781" s="13" t="s">
        <v>434</v>
      </c>
      <c r="H781" s="13" t="s">
        <v>435</v>
      </c>
      <c r="I781" s="5" t="s">
        <v>436</v>
      </c>
    </row>
    <row r="782" customFormat="false" ht="17.15" hidden="false" customHeight="false" outlineLevel="0" collapsed="false">
      <c r="A782" s="6" t="s">
        <v>470</v>
      </c>
    </row>
    <row r="783" customFormat="false" ht="17.15" hidden="false" customHeight="false" outlineLevel="0" collapsed="false">
      <c r="A783" s="0" t="s">
        <v>471</v>
      </c>
      <c r="B783" s="0" t="s">
        <v>27</v>
      </c>
      <c r="C783" s="19" t="n">
        <f aca="false">hsA_25</f>
        <v>2.22511470588235</v>
      </c>
      <c r="D783" s="19" t="n">
        <f aca="false">hsA_26</f>
        <v>3.782695</v>
      </c>
      <c r="E783" s="19" t="n">
        <f aca="false">hsA_27</f>
        <v>5.86317725</v>
      </c>
      <c r="F783" s="19" t="n">
        <f aca="false">hsA_28</f>
        <v>8.5016070125</v>
      </c>
      <c r="G783" s="19" t="n">
        <f aca="false">hsA_29</f>
        <v>11.477169466875</v>
      </c>
      <c r="H783" s="19" t="n">
        <f aca="false">G783*(1+g_tail)</f>
        <v>12.6248864135625</v>
      </c>
      <c r="I783" s="8" t="s">
        <v>472</v>
      </c>
    </row>
    <row r="784" customFormat="false" ht="17.15" hidden="false" customHeight="false" outlineLevel="0" collapsed="false">
      <c r="A784" s="0" t="s">
        <v>473</v>
      </c>
      <c r="B784" s="0" t="s">
        <v>474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475</v>
      </c>
      <c r="B785" s="4" t="s">
        <v>440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476</v>
      </c>
    </row>
    <row r="786" customFormat="false" ht="15" hidden="false" customHeight="false" outlineLevel="0" collapsed="false">
      <c r="A786" s="4" t="s">
        <v>477</v>
      </c>
      <c r="B786" s="4" t="s">
        <v>91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478</v>
      </c>
      <c r="B787" s="0" t="s">
        <v>111</v>
      </c>
      <c r="C787" s="20" t="n">
        <f aca="false">1+beta*(C786-$C786)/4</f>
        <v>1</v>
      </c>
      <c r="D787" s="20" t="n">
        <f aca="false">1+beta*(D786-$C786)/4</f>
        <v>1.05</v>
      </c>
      <c r="E787" s="20" t="n">
        <f aca="false">1+beta*(E786-$C786)/4</f>
        <v>1.0625</v>
      </c>
      <c r="F787" s="20" t="n">
        <f aca="false">1+beta*(F786-$C786)/4</f>
        <v>1.1</v>
      </c>
      <c r="G787" s="20" t="n">
        <f aca="false">1+beta*(G786-$C786)/4</f>
        <v>1.125</v>
      </c>
      <c r="H787" s="20" t="n">
        <f aca="false">1+beta*(H786-$C786)/4</f>
        <v>1.15</v>
      </c>
    </row>
    <row r="788" customFormat="false" ht="17.15" hidden="false" customHeight="false" outlineLevel="0" collapsed="false">
      <c r="A788" s="4" t="s">
        <v>479</v>
      </c>
      <c r="B788" s="0" t="s">
        <v>64</v>
      </c>
      <c r="C788" s="10" t="n">
        <f aca="false">0</f>
        <v>0</v>
      </c>
      <c r="D788" s="10" t="n">
        <f aca="false">0</f>
        <v>0</v>
      </c>
      <c r="E788" s="10" t="n">
        <f aca="false">0</f>
        <v>0</v>
      </c>
      <c r="F788" s="10" t="n">
        <f aca="false">0</f>
        <v>0</v>
      </c>
      <c r="G788" s="10" t="n">
        <f aca="false">0</f>
        <v>0</v>
      </c>
      <c r="H788" s="10" t="n">
        <f aca="false">0</f>
        <v>0</v>
      </c>
      <c r="I788" s="4" t="s">
        <v>480</v>
      </c>
    </row>
    <row r="789" customFormat="false" ht="17.15" hidden="false" customHeight="false" outlineLevel="0" collapsed="false">
      <c r="A789" s="0" t="s">
        <v>481</v>
      </c>
      <c r="B789" s="4" t="s">
        <v>442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2671.9336325</v>
      </c>
      <c r="G789" s="14" t="n">
        <f aca="false">G785*G787*(1-G788)</f>
        <v>3443.1508400625</v>
      </c>
      <c r="H789" s="14" t="n">
        <f aca="false">H785*H787*(1-H788)</f>
        <v>3629.65484389922</v>
      </c>
    </row>
    <row r="790" customFormat="false" ht="17.15" hidden="false" customHeight="false" outlineLevel="0" collapsed="false">
      <c r="A790" s="4" t="s">
        <v>482</v>
      </c>
      <c r="B790" s="4" t="s">
        <v>442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MAX(0,F789-E789)+dlt*E789</f>
        <v>946.806480096154</v>
      </c>
      <c r="F790" s="14" t="n">
        <f aca="false">MAX(0,G789-F789)+dlt*F789</f>
        <v>1038.4105708125</v>
      </c>
      <c r="G790" s="14" t="n">
        <f aca="false">MAX(0,H789-G789)+dlt*G789</f>
        <v>530.819087842968</v>
      </c>
      <c r="I790" s="4" t="s">
        <v>483</v>
      </c>
    </row>
    <row r="791" customFormat="false" ht="17.15" hidden="false" customHeight="false" outlineLevel="0" collapsed="false">
      <c r="A791" s="0" t="s">
        <v>484</v>
      </c>
      <c r="B791" s="0" t="s">
        <v>64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485</v>
      </c>
      <c r="B792" s="0" t="s">
        <v>64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486</v>
      </c>
      <c r="B793" s="0" t="s">
        <v>64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487</v>
      </c>
      <c r="B794" s="0" t="s">
        <v>64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488</v>
      </c>
      <c r="B795" s="4" t="s">
        <v>442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312.446138431731</v>
      </c>
      <c r="F795" s="14" t="n">
        <f aca="false">F790*F794</f>
        <v>342.675488368125</v>
      </c>
      <c r="G795" s="14" t="n">
        <f aca="false">G790*G794</f>
        <v>175.17029898818</v>
      </c>
    </row>
    <row r="796" customFormat="false" ht="17.15" hidden="false" customHeight="false" outlineLevel="0" collapsed="false">
      <c r="A796" s="6" t="s">
        <v>489</v>
      </c>
    </row>
    <row r="797" customFormat="false" ht="17.15" hidden="false" customHeight="false" outlineLevel="0" collapsed="false">
      <c r="A797" s="4" t="s">
        <v>490</v>
      </c>
      <c r="B797" s="4" t="s">
        <v>228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</row>
    <row r="798" customFormat="false" ht="17.15" hidden="false" customHeight="false" outlineLevel="0" collapsed="false">
      <c r="A798" s="0" t="s">
        <v>491</v>
      </c>
      <c r="B798" s="4" t="s">
        <v>228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4286.03259533926</v>
      </c>
      <c r="F798" s="14" t="n">
        <f aca="false">$C799*F795</f>
        <v>4700.70880101627</v>
      </c>
      <c r="G798" s="14" t="n">
        <f aca="false">$C799*G795</f>
        <v>2402.9281173616</v>
      </c>
      <c r="I798" s="8" t="s">
        <v>492</v>
      </c>
    </row>
    <row r="799" customFormat="false" ht="17.15" hidden="false" customHeight="false" outlineLevel="0" collapsed="false">
      <c r="A799" s="4" t="s">
        <v>493</v>
      </c>
      <c r="B799" s="4" t="s">
        <v>494</v>
      </c>
      <c r="C799" s="20" t="n">
        <f aca="false">(C798+D798)/(C795+D795)</f>
        <v>13.7176686415529</v>
      </c>
      <c r="I799" s="4" t="s">
        <v>495</v>
      </c>
    </row>
    <row r="800" customFormat="false" ht="15" hidden="false" customHeight="false" outlineLevel="0" collapsed="false">
      <c r="A800" s="4" t="s">
        <v>396</v>
      </c>
      <c r="B800" s="4" t="s">
        <v>228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8014.83638733926</v>
      </c>
      <c r="F800" s="14" t="n">
        <f aca="false">F797+F798</f>
        <v>8876.96904805627</v>
      </c>
      <c r="G800" s="14" t="n">
        <f aca="false">G797+G798</f>
        <v>7080.33959404641</v>
      </c>
    </row>
    <row r="801" customFormat="false" ht="17.15" hidden="false" customHeight="false" outlineLevel="0" collapsed="false">
      <c r="A801" s="0" t="s">
        <v>496</v>
      </c>
      <c r="B801" s="0" t="s">
        <v>64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0.534762331781314</v>
      </c>
      <c r="F801" s="10" t="n">
        <f aca="false">F798/F800</f>
        <v>0.529539843562432</v>
      </c>
      <c r="G801" s="10" t="n">
        <f aca="false">G798/G800</f>
        <v>0.339380348279077</v>
      </c>
    </row>
    <row r="802" customFormat="false" ht="17.15" hidden="false" customHeight="false" outlineLevel="0" collapsed="false">
      <c r="A802" s="4" t="s">
        <v>497</v>
      </c>
      <c r="B802" s="4" t="s">
        <v>228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963.916023380144</v>
      </c>
      <c r="F802" s="14" t="n">
        <f aca="false">opex_fix+opex_var*F800</f>
        <v>1024.21448162537</v>
      </c>
      <c r="G802" s="14" t="n">
        <f aca="false">opex_fix+opex_var*G800</f>
        <v>898.556342163797</v>
      </c>
      <c r="I802" s="4" t="s">
        <v>498</v>
      </c>
    </row>
    <row r="803" customFormat="false" ht="17.15" hidden="false" customHeight="false" outlineLevel="0" collapsed="false">
      <c r="A803" s="4" t="s">
        <v>465</v>
      </c>
      <c r="B803" s="0" t="s">
        <v>64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499</v>
      </c>
    </row>
    <row r="804" customFormat="false" ht="15" hidden="false" customHeight="false" outlineLevel="0" collapsed="false">
      <c r="A804" s="4" t="s">
        <v>401</v>
      </c>
      <c r="B804" s="4" t="s">
        <v>228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4963.15164425578</v>
      </c>
      <c r="F804" s="14" t="n">
        <f aca="false">F800*F803</f>
        <v>5497.02344472864</v>
      </c>
      <c r="G804" s="14" t="n">
        <f aca="false">G800*G803</f>
        <v>4384.46867781248</v>
      </c>
    </row>
    <row r="805" customFormat="false" ht="15" hidden="false" customHeight="false" outlineLevel="0" collapsed="false">
      <c r="A805" s="4" t="s">
        <v>404</v>
      </c>
      <c r="B805" s="4" t="s">
        <v>228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3999.23562087563</v>
      </c>
      <c r="F805" s="14" t="n">
        <f aca="false">F804-F802</f>
        <v>4472.80896310327</v>
      </c>
      <c r="G805" s="14" t="n">
        <f aca="false">G804-G802</f>
        <v>3485.91233564868</v>
      </c>
    </row>
    <row r="806" customFormat="false" ht="15" hidden="false" customHeight="false" outlineLevel="0" collapsed="false">
      <c r="A806" s="4" t="s">
        <v>407</v>
      </c>
      <c r="B806" s="0" t="s">
        <v>64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0.498979071761599</v>
      </c>
      <c r="F806" s="10" t="n">
        <f aca="false">F805/F800</f>
        <v>0.503866684550698</v>
      </c>
      <c r="G806" s="10" t="n">
        <f aca="false">G805/G800</f>
        <v>0.492336884318353</v>
      </c>
    </row>
    <row r="807" customFormat="false" ht="15" hidden="false" customHeight="false" outlineLevel="0" collapsed="false">
      <c r="A807" s="4" t="s">
        <v>466</v>
      </c>
      <c r="B807" s="4" t="s">
        <v>228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3404.41713221443</v>
      </c>
      <c r="F807" s="14" t="n">
        <f aca="false">F805*nioi</f>
        <v>3807.55446956562</v>
      </c>
      <c r="G807" s="14" t="n">
        <f aca="false">G805*nioi</f>
        <v>2967.44198189593</v>
      </c>
    </row>
    <row r="808" customFormat="false" ht="15" hidden="false" customHeight="false" outlineLevel="0" collapsed="false">
      <c r="A808" s="0" t="s">
        <v>467</v>
      </c>
      <c r="B808" s="0" t="s">
        <v>304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3550.29799717895</v>
      </c>
      <c r="F808" s="14" t="n">
        <f aca="false">F807*100/shares</f>
        <v>3970.70995781757</v>
      </c>
      <c r="G808" s="14" t="n">
        <f aca="false">G807*100/shares</f>
        <v>3094.5982574753</v>
      </c>
    </row>
    <row r="809" customFormat="false" ht="17.15" hidden="false" customHeight="false" outlineLevel="0" collapsed="false">
      <c r="A809" s="4" t="s">
        <v>500</v>
      </c>
      <c r="B809" s="4" t="s">
        <v>228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12987.9775616341</v>
      </c>
      <c r="F809" s="14" t="n">
        <f aca="false">$C799*F790</f>
        <v>14244.5721242917</v>
      </c>
      <c r="G809" s="14" t="n">
        <f aca="false">$C799*G790</f>
        <v>7281.60035564122</v>
      </c>
      <c r="I809" s="4" t="s">
        <v>501</v>
      </c>
    </row>
    <row r="810" customFormat="false" ht="15" hidden="false" customHeight="false" outlineLevel="0" collapsed="false">
      <c r="A810" s="4" t="s">
        <v>502</v>
      </c>
      <c r="B810" s="0" t="s">
        <v>335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914.646307157333</v>
      </c>
      <c r="F810" s="14" t="n">
        <f aca="false">F809/fx*100</f>
        <v>1003.13888199238</v>
      </c>
      <c r="G810" s="14" t="n">
        <f aca="false">G809/fx*100</f>
        <v>512.788757439523</v>
      </c>
    </row>
    <row r="820" customFormat="false" ht="17.15" hidden="false" customHeight="false" outlineLevel="0" collapsed="false">
      <c r="A820" s="1" t="s">
        <v>786</v>
      </c>
    </row>
    <row r="821" customFormat="false" ht="15" hidden="false" customHeight="false" outlineLevel="0" collapsed="false">
      <c r="A821" s="5" t="s">
        <v>16</v>
      </c>
      <c r="B821" s="5" t="s">
        <v>17</v>
      </c>
      <c r="C821" s="13" t="s">
        <v>430</v>
      </c>
      <c r="D821" s="13" t="s">
        <v>431</v>
      </c>
      <c r="E821" s="13" t="s">
        <v>432</v>
      </c>
      <c r="F821" s="13" t="s">
        <v>433</v>
      </c>
      <c r="G821" s="13" t="s">
        <v>434</v>
      </c>
      <c r="H821" s="13" t="s">
        <v>435</v>
      </c>
      <c r="I821" s="5" t="s">
        <v>436</v>
      </c>
    </row>
    <row r="822" customFormat="false" ht="17.15" hidden="false" customHeight="false" outlineLevel="0" collapsed="false">
      <c r="A822" s="6" t="s">
        <v>470</v>
      </c>
    </row>
    <row r="823" customFormat="false" ht="17.15" hidden="false" customHeight="false" outlineLevel="0" collapsed="false">
      <c r="A823" s="0" t="s">
        <v>471</v>
      </c>
      <c r="B823" s="0" t="s">
        <v>27</v>
      </c>
      <c r="C823" s="19" t="n">
        <f aca="false">hsA_25</f>
        <v>2.22511470588235</v>
      </c>
      <c r="D823" s="19" t="n">
        <f aca="false">hsA_26</f>
        <v>3.782695</v>
      </c>
      <c r="E823" s="19" t="n">
        <f aca="false">hsA_27</f>
        <v>5.86317725</v>
      </c>
      <c r="F823" s="19" t="n">
        <f aca="false">hsA_28</f>
        <v>8.5016070125</v>
      </c>
      <c r="G823" s="19" t="n">
        <f aca="false">hsA_29</f>
        <v>11.477169466875</v>
      </c>
      <c r="H823" s="19" t="n">
        <f aca="false">G823*(1+g_tail)</f>
        <v>12.6248864135625</v>
      </c>
      <c r="I823" s="8" t="s">
        <v>472</v>
      </c>
    </row>
    <row r="824" customFormat="false" ht="17.15" hidden="false" customHeight="false" outlineLevel="0" collapsed="false">
      <c r="A824" s="0" t="s">
        <v>473</v>
      </c>
      <c r="B824" s="0" t="s">
        <v>474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475</v>
      </c>
      <c r="B825" s="4" t="s">
        <v>440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476</v>
      </c>
    </row>
    <row r="826" customFormat="false" ht="15" hidden="false" customHeight="false" outlineLevel="0" collapsed="false">
      <c r="A826" s="4" t="s">
        <v>477</v>
      </c>
      <c r="B826" s="4" t="s">
        <v>91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478</v>
      </c>
      <c r="B827" s="0" t="s">
        <v>111</v>
      </c>
      <c r="C827" s="20" t="n">
        <f aca="false">1+beta*(C826-$C826)/4</f>
        <v>1</v>
      </c>
      <c r="D827" s="20" t="n">
        <f aca="false">1+beta*(D826-$C826)/4</f>
        <v>1.05</v>
      </c>
      <c r="E827" s="20" t="n">
        <f aca="false">1+beta*(E826-$C826)/4</f>
        <v>1.0625</v>
      </c>
      <c r="F827" s="20" t="n">
        <f aca="false">1+beta*(F826-$C826)/4</f>
        <v>1.1</v>
      </c>
      <c r="G827" s="20" t="n">
        <f aca="false">1+beta*(G826-$C826)/4</f>
        <v>1.125</v>
      </c>
      <c r="H827" s="20" t="n">
        <f aca="false">1+beta*(H826-$C826)/4</f>
        <v>1.15</v>
      </c>
    </row>
    <row r="828" customFormat="false" ht="17.15" hidden="false" customHeight="false" outlineLevel="0" collapsed="false">
      <c r="A828" s="4" t="s">
        <v>479</v>
      </c>
      <c r="B828" s="0" t="s">
        <v>64</v>
      </c>
      <c r="C828" s="10" t="n">
        <f aca="false">0</f>
        <v>0</v>
      </c>
      <c r="D828" s="10" t="n">
        <f aca="false">0</f>
        <v>0</v>
      </c>
      <c r="E828" s="10" t="n">
        <f aca="false">0</f>
        <v>0</v>
      </c>
      <c r="F828" s="10" t="n">
        <f aca="false">0</f>
        <v>0</v>
      </c>
      <c r="G828" s="10" t="n">
        <f aca="false">0</f>
        <v>0</v>
      </c>
      <c r="H828" s="10" t="n">
        <f aca="false">0</f>
        <v>0</v>
      </c>
      <c r="I828" s="4" t="s">
        <v>480</v>
      </c>
    </row>
    <row r="829" customFormat="false" ht="17.15" hidden="false" customHeight="false" outlineLevel="0" collapsed="false">
      <c r="A829" s="0" t="s">
        <v>481</v>
      </c>
      <c r="B829" s="4" t="s">
        <v>442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2671.9336325</v>
      </c>
      <c r="G829" s="14" t="n">
        <f aca="false">G825*G827*(1-G828)</f>
        <v>3443.1508400625</v>
      </c>
      <c r="H829" s="14" t="n">
        <f aca="false">H825*H827*(1-H828)</f>
        <v>3629.65484389922</v>
      </c>
    </row>
    <row r="830" customFormat="false" ht="17.15" hidden="false" customHeight="false" outlineLevel="0" collapsed="false">
      <c r="A830" s="4" t="s">
        <v>482</v>
      </c>
      <c r="B830" s="4" t="s">
        <v>442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MAX(0,F829-E829)+dlt*E829</f>
        <v>946.806480096154</v>
      </c>
      <c r="F830" s="14" t="n">
        <f aca="false">MAX(0,G829-F829)+dlt*F829</f>
        <v>1038.4105708125</v>
      </c>
      <c r="G830" s="14" t="n">
        <f aca="false">MAX(0,H829-G829)+dlt*G829</f>
        <v>530.819087842968</v>
      </c>
      <c r="I830" s="4" t="s">
        <v>483</v>
      </c>
    </row>
    <row r="831" customFormat="false" ht="17.15" hidden="false" customHeight="false" outlineLevel="0" collapsed="false">
      <c r="A831" s="0" t="s">
        <v>484</v>
      </c>
      <c r="B831" s="0" t="s">
        <v>64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485</v>
      </c>
      <c r="B832" s="0" t="s">
        <v>64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486</v>
      </c>
      <c r="B833" s="0" t="s">
        <v>64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487</v>
      </c>
      <c r="B834" s="0" t="s">
        <v>64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488</v>
      </c>
      <c r="B835" s="4" t="s">
        <v>442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312.446138431731</v>
      </c>
      <c r="F835" s="14" t="n">
        <f aca="false">F830*F834</f>
        <v>342.675488368125</v>
      </c>
      <c r="G835" s="14" t="n">
        <f aca="false">G830*G834</f>
        <v>175.17029898818</v>
      </c>
    </row>
    <row r="836" customFormat="false" ht="17.15" hidden="false" customHeight="false" outlineLevel="0" collapsed="false">
      <c r="A836" s="6" t="s">
        <v>489</v>
      </c>
    </row>
    <row r="837" customFormat="false" ht="17.15" hidden="false" customHeight="false" outlineLevel="0" collapsed="false">
      <c r="A837" s="4" t="s">
        <v>490</v>
      </c>
      <c r="B837" s="4" t="s">
        <v>228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</row>
    <row r="838" customFormat="false" ht="17.15" hidden="false" customHeight="false" outlineLevel="0" collapsed="false">
      <c r="A838" s="0" t="s">
        <v>491</v>
      </c>
      <c r="B838" s="4" t="s">
        <v>228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3663.24951313069</v>
      </c>
      <c r="F838" s="14" t="n">
        <f aca="false">$C839*F835</f>
        <v>4017.67108477367</v>
      </c>
      <c r="G838" s="14" t="n">
        <f aca="false">$C839*G835</f>
        <v>2053.77002162443</v>
      </c>
      <c r="I838" s="8" t="s">
        <v>492</v>
      </c>
    </row>
    <row r="839" customFormat="false" ht="17.15" hidden="false" customHeight="false" outlineLevel="0" collapsed="false">
      <c r="A839" s="4" t="s">
        <v>493</v>
      </c>
      <c r="B839" s="4" t="s">
        <v>494</v>
      </c>
      <c r="C839" s="20" t="n">
        <f aca="false">(C838+D838)/(C835+D835)</f>
        <v>11.7244192279595</v>
      </c>
      <c r="I839" s="4" t="s">
        <v>495</v>
      </c>
    </row>
    <row r="840" customFormat="false" ht="15" hidden="false" customHeight="false" outlineLevel="0" collapsed="false">
      <c r="A840" s="4" t="s">
        <v>396</v>
      </c>
      <c r="B840" s="4" t="s">
        <v>228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8008.56867313069</v>
      </c>
      <c r="F840" s="14" t="n">
        <f aca="false">F837+F838</f>
        <v>8884.42854397367</v>
      </c>
      <c r="G840" s="14" t="n">
        <f aca="false">G837+G838</f>
        <v>7504.53837592843</v>
      </c>
    </row>
    <row r="841" customFormat="false" ht="17.15" hidden="false" customHeight="false" outlineLevel="0" collapsed="false">
      <c r="A841" s="0" t="s">
        <v>496</v>
      </c>
      <c r="B841" s="0" t="s">
        <v>64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0.457416257841573</v>
      </c>
      <c r="F841" s="10" t="n">
        <f aca="false">F838/F840</f>
        <v>0.452214913417123</v>
      </c>
      <c r="G841" s="10" t="n">
        <f aca="false">G838/G840</f>
        <v>0.273670400328967</v>
      </c>
    </row>
    <row r="842" customFormat="false" ht="17.15" hidden="false" customHeight="false" outlineLevel="0" collapsed="false">
      <c r="A842" s="4" t="s">
        <v>497</v>
      </c>
      <c r="B842" s="4" t="s">
        <v>228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963.477652905716</v>
      </c>
      <c r="F842" s="14" t="n">
        <f aca="false">opex_fix+opex_var*F840</f>
        <v>1024.73620655658</v>
      </c>
      <c r="G842" s="14" t="n">
        <f aca="false">opex_fix+opex_var*G840</f>
        <v>928.225247777134</v>
      </c>
      <c r="I842" s="4" t="s">
        <v>498</v>
      </c>
    </row>
    <row r="843" customFormat="false" ht="17.15" hidden="false" customHeight="false" outlineLevel="0" collapsed="false">
      <c r="A843" s="4" t="s">
        <v>465</v>
      </c>
      <c r="B843" s="0" t="s">
        <v>64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499</v>
      </c>
    </row>
    <row r="844" customFormat="false" ht="15" hidden="false" customHeight="false" outlineLevel="0" collapsed="false">
      <c r="A844" s="4" t="s">
        <v>401</v>
      </c>
      <c r="B844" s="4" t="s">
        <v>228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4767.23808862608</v>
      </c>
      <c r="F844" s="14" t="n">
        <f aca="false">F840*F843</f>
        <v>5288.60872387962</v>
      </c>
      <c r="G844" s="14" t="n">
        <f aca="false">G840*G843</f>
        <v>4467.20539505553</v>
      </c>
    </row>
    <row r="845" customFormat="false" ht="15" hidden="false" customHeight="false" outlineLevel="0" collapsed="false">
      <c r="A845" s="4" t="s">
        <v>404</v>
      </c>
      <c r="B845" s="4" t="s">
        <v>228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3803.76043572036</v>
      </c>
      <c r="F845" s="14" t="n">
        <f aca="false">F844-F842</f>
        <v>4263.87251732304</v>
      </c>
      <c r="G845" s="14" t="n">
        <f aca="false">G844-G842</f>
        <v>3538.98014727839</v>
      </c>
    </row>
    <row r="846" customFormat="false" ht="15" hidden="false" customHeight="false" outlineLevel="0" collapsed="false">
      <c r="A846" s="4" t="s">
        <v>407</v>
      </c>
      <c r="B846" s="0" t="s">
        <v>64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0.474961330915753</v>
      </c>
      <c r="F846" s="10" t="n">
        <f aca="false">F845/F840</f>
        <v>0.479926479932718</v>
      </c>
      <c r="G846" s="10" t="n">
        <f aca="false">G845/G840</f>
        <v>0.471578659472251</v>
      </c>
    </row>
    <row r="847" customFormat="false" ht="15" hidden="false" customHeight="false" outlineLevel="0" collapsed="false">
      <c r="A847" s="4" t="s">
        <v>466</v>
      </c>
      <c r="B847" s="4" t="s">
        <v>228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3238.01556642729</v>
      </c>
      <c r="F847" s="14" t="n">
        <f aca="false">F845*nioi</f>
        <v>3629.69377742604</v>
      </c>
      <c r="G847" s="14" t="n">
        <f aca="false">G845*nioi</f>
        <v>3012.616856349</v>
      </c>
    </row>
    <row r="848" customFormat="false" ht="15" hidden="false" customHeight="false" outlineLevel="0" collapsed="false">
      <c r="A848" s="0" t="s">
        <v>467</v>
      </c>
      <c r="B848" s="0" t="s">
        <v>304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3376.76604654009</v>
      </c>
      <c r="F848" s="14" t="n">
        <f aca="false">F847*100/shares</f>
        <v>3785.22785190733</v>
      </c>
      <c r="G848" s="14" t="n">
        <f aca="false">G847*100/shares</f>
        <v>3141.70889640844</v>
      </c>
    </row>
    <row r="849" customFormat="false" ht="17.15" hidden="false" customHeight="false" outlineLevel="0" collapsed="false">
      <c r="A849" s="4" t="s">
        <v>500</v>
      </c>
      <c r="B849" s="4" t="s">
        <v>228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11100.756100396</v>
      </c>
      <c r="F849" s="14" t="n">
        <f aca="false">$C839*F830</f>
        <v>12174.7608629505</v>
      </c>
      <c r="G849" s="14" t="n">
        <f aca="false">$C839*G830</f>
        <v>6223.54552007404</v>
      </c>
      <c r="I849" s="4" t="s">
        <v>501</v>
      </c>
    </row>
    <row r="850" customFormat="false" ht="15" hidden="false" customHeight="false" outlineLevel="0" collapsed="false">
      <c r="A850" s="4" t="s">
        <v>502</v>
      </c>
      <c r="B850" s="0" t="s">
        <v>335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781.743387351833</v>
      </c>
      <c r="F850" s="14" t="n">
        <f aca="false">F849/fx*100</f>
        <v>857.377525559895</v>
      </c>
      <c r="G850" s="14" t="n">
        <f aca="false">G849/fx*100</f>
        <v>438.277853526341</v>
      </c>
    </row>
    <row r="860" customFormat="false" ht="17.15" hidden="false" customHeight="false" outlineLevel="0" collapsed="false">
      <c r="A860" s="1" t="s">
        <v>787</v>
      </c>
    </row>
    <row r="861" customFormat="false" ht="15" hidden="false" customHeight="false" outlineLevel="0" collapsed="false">
      <c r="A861" s="5" t="s">
        <v>16</v>
      </c>
      <c r="B861" s="5" t="s">
        <v>17</v>
      </c>
      <c r="C861" s="13" t="s">
        <v>430</v>
      </c>
      <c r="D861" s="13" t="s">
        <v>431</v>
      </c>
      <c r="E861" s="13" t="s">
        <v>432</v>
      </c>
      <c r="F861" s="13" t="s">
        <v>433</v>
      </c>
      <c r="G861" s="13" t="s">
        <v>434</v>
      </c>
      <c r="H861" s="13" t="s">
        <v>435</v>
      </c>
      <c r="I861" s="5" t="s">
        <v>436</v>
      </c>
    </row>
    <row r="862" customFormat="false" ht="17.15" hidden="false" customHeight="false" outlineLevel="0" collapsed="false">
      <c r="A862" s="6" t="s">
        <v>470</v>
      </c>
    </row>
    <row r="863" customFormat="false" ht="17.15" hidden="false" customHeight="false" outlineLevel="0" collapsed="false">
      <c r="A863" s="0" t="s">
        <v>471</v>
      </c>
      <c r="B863" s="0" t="s">
        <v>27</v>
      </c>
      <c r="C863" s="19" t="n">
        <f aca="false">hsA_25</f>
        <v>2.22511470588235</v>
      </c>
      <c r="D863" s="19" t="n">
        <f aca="false">hsA_26</f>
        <v>3.782695</v>
      </c>
      <c r="E863" s="19" t="n">
        <f aca="false">hsA_27</f>
        <v>5.86317725</v>
      </c>
      <c r="F863" s="19" t="n">
        <f aca="false">hsA_28</f>
        <v>8.5016070125</v>
      </c>
      <c r="G863" s="19" t="n">
        <f aca="false">hsA_29</f>
        <v>11.477169466875</v>
      </c>
      <c r="H863" s="19" t="n">
        <f aca="false">G863*(1+g_tail)</f>
        <v>12.6248864135625</v>
      </c>
      <c r="I863" s="8" t="s">
        <v>472</v>
      </c>
    </row>
    <row r="864" customFormat="false" ht="17.15" hidden="false" customHeight="false" outlineLevel="0" collapsed="false">
      <c r="A864" s="0" t="s">
        <v>473</v>
      </c>
      <c r="B864" s="0" t="s">
        <v>474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475</v>
      </c>
      <c r="B865" s="4" t="s">
        <v>440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476</v>
      </c>
    </row>
    <row r="866" customFormat="false" ht="15" hidden="false" customHeight="false" outlineLevel="0" collapsed="false">
      <c r="A866" s="4" t="s">
        <v>477</v>
      </c>
      <c r="B866" s="4" t="s">
        <v>91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478</v>
      </c>
      <c r="B867" s="0" t="s">
        <v>111</v>
      </c>
      <c r="C867" s="20" t="n">
        <f aca="false">1+beta*(C866-$C866)/4</f>
        <v>1</v>
      </c>
      <c r="D867" s="20" t="n">
        <f aca="false">1+beta*(D866-$C866)/4</f>
        <v>1.05</v>
      </c>
      <c r="E867" s="20" t="n">
        <f aca="false">1+beta*(E866-$C866)/4</f>
        <v>1.0625</v>
      </c>
      <c r="F867" s="20" t="n">
        <f aca="false">1+beta*(F866-$C866)/4</f>
        <v>1.1</v>
      </c>
      <c r="G867" s="20" t="n">
        <f aca="false">1+beta*(G866-$C866)/4</f>
        <v>1.125</v>
      </c>
      <c r="H867" s="20" t="n">
        <f aca="false">1+beta*(H866-$C866)/4</f>
        <v>1.15</v>
      </c>
    </row>
    <row r="868" customFormat="false" ht="17.15" hidden="false" customHeight="false" outlineLevel="0" collapsed="false">
      <c r="A868" s="4" t="s">
        <v>479</v>
      </c>
      <c r="B868" s="0" t="s">
        <v>64</v>
      </c>
      <c r="C868" s="10" t="n">
        <f aca="false">0</f>
        <v>0</v>
      </c>
      <c r="D868" s="10" t="n">
        <f aca="false">0</f>
        <v>0</v>
      </c>
      <c r="E868" s="10" t="n">
        <f aca="false">0</f>
        <v>0</v>
      </c>
      <c r="F868" s="10" t="n">
        <f aca="false">0</f>
        <v>0</v>
      </c>
      <c r="G868" s="10" t="n">
        <f aca="false">0</f>
        <v>0</v>
      </c>
      <c r="H868" s="10" t="n">
        <f aca="false">0</f>
        <v>0</v>
      </c>
      <c r="I868" s="4" t="s">
        <v>480</v>
      </c>
    </row>
    <row r="869" customFormat="false" ht="17.15" hidden="false" customHeight="false" outlineLevel="0" collapsed="false">
      <c r="A869" s="0" t="s">
        <v>481</v>
      </c>
      <c r="B869" s="4" t="s">
        <v>442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2671.9336325</v>
      </c>
      <c r="G869" s="14" t="n">
        <f aca="false">G865*G867*(1-G868)</f>
        <v>3443.1508400625</v>
      </c>
      <c r="H869" s="14" t="n">
        <f aca="false">H865*H867*(1-H868)</f>
        <v>3629.65484389922</v>
      </c>
    </row>
    <row r="870" customFormat="false" ht="17.15" hidden="false" customHeight="false" outlineLevel="0" collapsed="false">
      <c r="A870" s="4" t="s">
        <v>482</v>
      </c>
      <c r="B870" s="4" t="s">
        <v>442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MAX(0,F869-E869)+dlt*E869</f>
        <v>946.806480096154</v>
      </c>
      <c r="F870" s="14" t="n">
        <f aca="false">MAX(0,G869-F869)+dlt*F869</f>
        <v>1038.4105708125</v>
      </c>
      <c r="G870" s="14" t="n">
        <f aca="false">MAX(0,H869-G869)+dlt*G869</f>
        <v>530.819087842968</v>
      </c>
      <c r="I870" s="4" t="s">
        <v>483</v>
      </c>
    </row>
    <row r="871" customFormat="false" ht="17.15" hidden="false" customHeight="false" outlineLevel="0" collapsed="false">
      <c r="A871" s="0" t="s">
        <v>484</v>
      </c>
      <c r="B871" s="0" t="s">
        <v>64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485</v>
      </c>
      <c r="B872" s="0" t="s">
        <v>64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486</v>
      </c>
      <c r="B873" s="0" t="s">
        <v>64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487</v>
      </c>
      <c r="B874" s="0" t="s">
        <v>64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488</v>
      </c>
      <c r="B875" s="4" t="s">
        <v>442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312.446138431731</v>
      </c>
      <c r="F875" s="14" t="n">
        <f aca="false">F870*F874</f>
        <v>342.675488368125</v>
      </c>
      <c r="G875" s="14" t="n">
        <f aca="false">G870*G874</f>
        <v>175.17029898818</v>
      </c>
    </row>
    <row r="876" customFormat="false" ht="17.15" hidden="false" customHeight="false" outlineLevel="0" collapsed="false">
      <c r="A876" s="6" t="s">
        <v>489</v>
      </c>
    </row>
    <row r="877" customFormat="false" ht="17.15" hidden="false" customHeight="false" outlineLevel="0" collapsed="false">
      <c r="A877" s="4" t="s">
        <v>490</v>
      </c>
      <c r="B877" s="4" t="s">
        <v>228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</row>
    <row r="878" customFormat="false" ht="17.15" hidden="false" customHeight="false" outlineLevel="0" collapsed="false">
      <c r="A878" s="0" t="s">
        <v>491</v>
      </c>
      <c r="B878" s="4" t="s">
        <v>228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4908.81567754784</v>
      </c>
      <c r="F878" s="14" t="n">
        <f aca="false">$C879*F875</f>
        <v>5383.74651725887</v>
      </c>
      <c r="G878" s="14" t="n">
        <f aca="false">$C879*G875</f>
        <v>2752.08621309878</v>
      </c>
      <c r="I878" s="8" t="s">
        <v>492</v>
      </c>
    </row>
    <row r="879" customFormat="false" ht="17.15" hidden="false" customHeight="false" outlineLevel="0" collapsed="false">
      <c r="A879" s="4" t="s">
        <v>493</v>
      </c>
      <c r="B879" s="4" t="s">
        <v>494</v>
      </c>
      <c r="C879" s="20" t="n">
        <f aca="false">(C878+D878)/(C875+D875)</f>
        <v>15.7109180551464</v>
      </c>
      <c r="I879" s="4" t="s">
        <v>495</v>
      </c>
    </row>
    <row r="880" customFormat="false" ht="15" hidden="false" customHeight="false" outlineLevel="0" collapsed="false">
      <c r="A880" s="4" t="s">
        <v>396</v>
      </c>
      <c r="B880" s="4" t="s">
        <v>228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8021.10410154784</v>
      </c>
      <c r="F880" s="14" t="n">
        <f aca="false">F877+F878</f>
        <v>8869.50955213887</v>
      </c>
      <c r="G880" s="14" t="n">
        <f aca="false">G877+G878</f>
        <v>6656.14081216438</v>
      </c>
    </row>
    <row r="881" customFormat="false" ht="17.15" hidden="false" customHeight="false" outlineLevel="0" collapsed="false">
      <c r="A881" s="0" t="s">
        <v>496</v>
      </c>
      <c r="B881" s="0" t="s">
        <v>64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0.61198752882419</v>
      </c>
      <c r="F881" s="10" t="n">
        <f aca="false">F878/F880</f>
        <v>0.606994838396739</v>
      </c>
      <c r="G881" s="10" t="n">
        <f aca="false">G878/G880</f>
        <v>0.413465744004277</v>
      </c>
    </row>
    <row r="882" customFormat="false" ht="17.15" hidden="false" customHeight="false" outlineLevel="0" collapsed="false">
      <c r="A882" s="4" t="s">
        <v>497</v>
      </c>
      <c r="B882" s="4" t="s">
        <v>228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964.354393854572</v>
      </c>
      <c r="F882" s="14" t="n">
        <f aca="false">opex_fix+opex_var*F880</f>
        <v>1023.69275669416</v>
      </c>
      <c r="G882" s="14" t="n">
        <f aca="false">opex_fix+opex_var*G880</f>
        <v>868.88743655046</v>
      </c>
      <c r="I882" s="4" t="s">
        <v>498</v>
      </c>
    </row>
    <row r="883" customFormat="false" ht="17.15" hidden="false" customHeight="false" outlineLevel="0" collapsed="false">
      <c r="A883" s="4" t="s">
        <v>465</v>
      </c>
      <c r="B883" s="0" t="s">
        <v>64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499</v>
      </c>
    </row>
    <row r="884" customFormat="false" ht="15" hidden="false" customHeight="false" outlineLevel="0" collapsed="false">
      <c r="A884" s="4" t="s">
        <v>401</v>
      </c>
      <c r="B884" s="4" t="s">
        <v>228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4774.70001774807</v>
      </c>
      <c r="F884" s="14" t="n">
        <f aca="false">F880*F883</f>
        <v>5279.72793768403</v>
      </c>
      <c r="G884" s="14" t="n">
        <f aca="false">G880*G883</f>
        <v>3962.18216988881</v>
      </c>
    </row>
    <row r="885" customFormat="false" ht="15" hidden="false" customHeight="false" outlineLevel="0" collapsed="false">
      <c r="A885" s="4" t="s">
        <v>404</v>
      </c>
      <c r="B885" s="4" t="s">
        <v>228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3810.34562389349</v>
      </c>
      <c r="F885" s="14" t="n">
        <f aca="false">F884-F882</f>
        <v>4256.03518098988</v>
      </c>
      <c r="G885" s="14" t="n">
        <f aca="false">G884-G882</f>
        <v>3093.29473333835</v>
      </c>
    </row>
    <row r="886" customFormat="false" ht="15" hidden="false" customHeight="false" outlineLevel="0" collapsed="false">
      <c r="A886" s="4" t="s">
        <v>407</v>
      </c>
      <c r="B886" s="0" t="s">
        <v>64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0.475040041327753</v>
      </c>
      <c r="F886" s="10" t="n">
        <f aca="false">F885/F880</f>
        <v>0.479850115270865</v>
      </c>
      <c r="G886" s="10" t="n">
        <f aca="false">G885/G880</f>
        <v>0.464727958832425</v>
      </c>
    </row>
    <row r="887" customFormat="false" ht="15" hidden="false" customHeight="false" outlineLevel="0" collapsed="false">
      <c r="A887" s="4" t="s">
        <v>466</v>
      </c>
      <c r="B887" s="4" t="s">
        <v>228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3243.62131951632</v>
      </c>
      <c r="F887" s="14" t="n">
        <f aca="false">F885*nioi</f>
        <v>3623.0221119847</v>
      </c>
      <c r="G887" s="14" t="n">
        <f aca="false">G885*nioi</f>
        <v>2633.21959081271</v>
      </c>
    </row>
    <row r="888" customFormat="false" ht="15" hidden="false" customHeight="false" outlineLevel="0" collapsed="false">
      <c r="A888" s="0" t="s">
        <v>467</v>
      </c>
      <c r="B888" s="0" t="s">
        <v>304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3382.61200876849</v>
      </c>
      <c r="F888" s="14" t="n">
        <f aca="false">F887*100/shares</f>
        <v>3778.27030248423</v>
      </c>
      <c r="G888" s="14" t="n">
        <f aca="false">G887*100/shares</f>
        <v>2746.05428075548</v>
      </c>
    </row>
    <row r="889" customFormat="false" ht="17.15" hidden="false" customHeight="false" outlineLevel="0" collapsed="false">
      <c r="A889" s="4" t="s">
        <v>500</v>
      </c>
      <c r="B889" s="4" t="s">
        <v>228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14875.1990228722</v>
      </c>
      <c r="F889" s="14" t="n">
        <f aca="false">$C879*F870</f>
        <v>16314.3833856329</v>
      </c>
      <c r="G889" s="14" t="n">
        <f aca="false">$C879*G870</f>
        <v>8339.65519120841</v>
      </c>
      <c r="I889" s="4" t="s">
        <v>501</v>
      </c>
    </row>
    <row r="890" customFormat="false" ht="15" hidden="false" customHeight="false" outlineLevel="0" collapsed="false">
      <c r="A890" s="4" t="s">
        <v>502</v>
      </c>
      <c r="B890" s="0" t="s">
        <v>335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1047.54922696283</v>
      </c>
      <c r="F890" s="14" t="n">
        <f aca="false">F889/fx*100</f>
        <v>1148.90023842486</v>
      </c>
      <c r="G890" s="14" t="n">
        <f aca="false">G889/fx*100</f>
        <v>587.299661352705</v>
      </c>
    </row>
    <row r="900" customFormat="false" ht="17.15" hidden="false" customHeight="false" outlineLevel="0" collapsed="false">
      <c r="A900" s="1" t="s">
        <v>788</v>
      </c>
    </row>
    <row r="901" customFormat="false" ht="15" hidden="false" customHeight="false" outlineLevel="0" collapsed="false">
      <c r="A901" s="5" t="s">
        <v>16</v>
      </c>
      <c r="B901" s="5" t="s">
        <v>17</v>
      </c>
      <c r="C901" s="13" t="s">
        <v>430</v>
      </c>
      <c r="D901" s="13" t="s">
        <v>431</v>
      </c>
      <c r="E901" s="13" t="s">
        <v>432</v>
      </c>
      <c r="F901" s="13" t="s">
        <v>433</v>
      </c>
      <c r="G901" s="13" t="s">
        <v>434</v>
      </c>
      <c r="H901" s="13" t="s">
        <v>435</v>
      </c>
      <c r="I901" s="5" t="s">
        <v>436</v>
      </c>
    </row>
    <row r="902" customFormat="false" ht="17.15" hidden="false" customHeight="false" outlineLevel="0" collapsed="false">
      <c r="A902" s="6" t="s">
        <v>470</v>
      </c>
    </row>
    <row r="903" customFormat="false" ht="17.15" hidden="false" customHeight="false" outlineLevel="0" collapsed="false">
      <c r="A903" s="0" t="s">
        <v>471</v>
      </c>
      <c r="B903" s="0" t="s">
        <v>27</v>
      </c>
      <c r="C903" s="19" t="n">
        <f aca="false">hsA_25</f>
        <v>2.22511470588235</v>
      </c>
      <c r="D903" s="19" t="n">
        <f aca="false">hsA_26</f>
        <v>3.782695</v>
      </c>
      <c r="E903" s="19" t="n">
        <f aca="false">hsA_27</f>
        <v>5.86317725</v>
      </c>
      <c r="F903" s="19" t="n">
        <f aca="false">hsA_28</f>
        <v>8.5016070125</v>
      </c>
      <c r="G903" s="19" t="n">
        <f aca="false">hsA_29</f>
        <v>11.477169466875</v>
      </c>
      <c r="H903" s="19" t="n">
        <f aca="false">G903*(1+g_tail)</f>
        <v>12.6248864135625</v>
      </c>
      <c r="I903" s="8" t="s">
        <v>472</v>
      </c>
    </row>
    <row r="904" customFormat="false" ht="17.15" hidden="false" customHeight="false" outlineLevel="0" collapsed="false">
      <c r="A904" s="0" t="s">
        <v>473</v>
      </c>
      <c r="B904" s="0" t="s">
        <v>474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475</v>
      </c>
      <c r="B905" s="4" t="s">
        <v>440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476</v>
      </c>
    </row>
    <row r="906" customFormat="false" ht="15" hidden="false" customHeight="false" outlineLevel="0" collapsed="false">
      <c r="A906" s="4" t="s">
        <v>477</v>
      </c>
      <c r="B906" s="4" t="s">
        <v>91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478</v>
      </c>
      <c r="B907" s="0" t="s">
        <v>111</v>
      </c>
      <c r="C907" s="20" t="n">
        <f aca="false">1+beta*(C906-$C906)/4</f>
        <v>1</v>
      </c>
      <c r="D907" s="20" t="n">
        <f aca="false">1+beta*(D906-$C906)/4</f>
        <v>1.05</v>
      </c>
      <c r="E907" s="20" t="n">
        <f aca="false">1+beta*(E906-$C906)/4</f>
        <v>1.0625</v>
      </c>
      <c r="F907" s="20" t="n">
        <f aca="false">1+beta*(F906-$C906)/4</f>
        <v>1.1</v>
      </c>
      <c r="G907" s="20" t="n">
        <f aca="false">1+beta*(G906-$C906)/4</f>
        <v>1.125</v>
      </c>
      <c r="H907" s="20" t="n">
        <f aca="false">1+beta*(H906-$C906)/4</f>
        <v>1.15</v>
      </c>
    </row>
    <row r="908" customFormat="false" ht="17.15" hidden="false" customHeight="false" outlineLevel="0" collapsed="false">
      <c r="A908" s="4" t="s">
        <v>479</v>
      </c>
      <c r="B908" s="0" t="s">
        <v>64</v>
      </c>
      <c r="C908" s="10" t="n">
        <f aca="false">0</f>
        <v>0</v>
      </c>
      <c r="D908" s="10" t="n">
        <f aca="false">0</f>
        <v>0</v>
      </c>
      <c r="E908" s="10" t="n">
        <f aca="false">0</f>
        <v>0</v>
      </c>
      <c r="F908" s="10" t="n">
        <f aca="false">0</f>
        <v>0</v>
      </c>
      <c r="G908" s="10" t="n">
        <f aca="false">0</f>
        <v>0</v>
      </c>
      <c r="H908" s="10" t="n">
        <f aca="false">0</f>
        <v>0</v>
      </c>
      <c r="I908" s="4" t="s">
        <v>480</v>
      </c>
    </row>
    <row r="909" customFormat="false" ht="17.15" hidden="false" customHeight="false" outlineLevel="0" collapsed="false">
      <c r="A909" s="0" t="s">
        <v>481</v>
      </c>
      <c r="B909" s="4" t="s">
        <v>442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2671.9336325</v>
      </c>
      <c r="G909" s="14" t="n">
        <f aca="false">G905*G907*(1-G908)</f>
        <v>3443.1508400625</v>
      </c>
      <c r="H909" s="14" t="n">
        <f aca="false">H905*H907*(1-H908)</f>
        <v>3629.65484389922</v>
      </c>
    </row>
    <row r="910" customFormat="false" ht="17.15" hidden="false" customHeight="false" outlineLevel="0" collapsed="false">
      <c r="A910" s="4" t="s">
        <v>482</v>
      </c>
      <c r="B910" s="4" t="s">
        <v>442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MAX(0,F909-E909)+dlt*E909</f>
        <v>946.806480096154</v>
      </c>
      <c r="F910" s="14" t="n">
        <f aca="false">MAX(0,G909-F909)+dlt*F909</f>
        <v>1038.4105708125</v>
      </c>
      <c r="G910" s="14" t="n">
        <f aca="false">MAX(0,H909-G909)+dlt*G909</f>
        <v>530.819087842968</v>
      </c>
      <c r="I910" s="4" t="s">
        <v>483</v>
      </c>
    </row>
    <row r="911" customFormat="false" ht="17.15" hidden="false" customHeight="false" outlineLevel="0" collapsed="false">
      <c r="A911" s="0" t="s">
        <v>484</v>
      </c>
      <c r="B911" s="0" t="s">
        <v>64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485</v>
      </c>
      <c r="B912" s="0" t="s">
        <v>64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486</v>
      </c>
      <c r="B913" s="0" t="s">
        <v>64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487</v>
      </c>
      <c r="B914" s="0" t="s">
        <v>64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488</v>
      </c>
      <c r="B915" s="4" t="s">
        <v>442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312.446138431731</v>
      </c>
      <c r="F915" s="14" t="n">
        <f aca="false">F910*F914</f>
        <v>342.675488368125</v>
      </c>
      <c r="G915" s="14" t="n">
        <f aca="false">G910*G914</f>
        <v>175.17029898818</v>
      </c>
    </row>
    <row r="916" customFormat="false" ht="17.15" hidden="false" customHeight="false" outlineLevel="0" collapsed="false">
      <c r="A916" s="6" t="s">
        <v>489</v>
      </c>
    </row>
    <row r="917" customFormat="false" ht="17.15" hidden="false" customHeight="false" outlineLevel="0" collapsed="false">
      <c r="A917" s="4" t="s">
        <v>490</v>
      </c>
      <c r="B917" s="4" t="s">
        <v>228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</row>
    <row r="918" customFormat="false" ht="17.15" hidden="false" customHeight="false" outlineLevel="0" collapsed="false">
      <c r="A918" s="0" t="s">
        <v>491</v>
      </c>
      <c r="B918" s="4" t="s">
        <v>228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4286.03259533926</v>
      </c>
      <c r="F918" s="14" t="n">
        <f aca="false">$C919*F915</f>
        <v>4700.70880101627</v>
      </c>
      <c r="G918" s="14" t="n">
        <f aca="false">$C919*G915</f>
        <v>2402.9281173616</v>
      </c>
      <c r="I918" s="8" t="s">
        <v>492</v>
      </c>
    </row>
    <row r="919" customFormat="false" ht="17.15" hidden="false" customHeight="false" outlineLevel="0" collapsed="false">
      <c r="A919" s="4" t="s">
        <v>493</v>
      </c>
      <c r="B919" s="4" t="s">
        <v>494</v>
      </c>
      <c r="C919" s="20" t="n">
        <f aca="false">(C918+D918)/(C915+D915)</f>
        <v>13.7176686415529</v>
      </c>
      <c r="I919" s="4" t="s">
        <v>495</v>
      </c>
    </row>
    <row r="920" customFormat="false" ht="15" hidden="false" customHeight="false" outlineLevel="0" collapsed="false">
      <c r="A920" s="4" t="s">
        <v>396</v>
      </c>
      <c r="B920" s="4" t="s">
        <v>228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7848.37193233926</v>
      </c>
      <c r="F920" s="14" t="n">
        <f aca="false">F917+F918</f>
        <v>8512.41189160627</v>
      </c>
      <c r="G920" s="14" t="n">
        <f aca="false">G917+G918</f>
        <v>6481.45042429291</v>
      </c>
    </row>
    <row r="921" customFormat="false" ht="17.15" hidden="false" customHeight="false" outlineLevel="0" collapsed="false">
      <c r="A921" s="0" t="s">
        <v>496</v>
      </c>
      <c r="B921" s="0" t="s">
        <v>64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0.546104673974311</v>
      </c>
      <c r="F921" s="10" t="n">
        <f aca="false">F918/F920</f>
        <v>0.552218203356847</v>
      </c>
      <c r="G921" s="10" t="n">
        <f aca="false">G918/G920</f>
        <v>0.370739257428441</v>
      </c>
    </row>
    <row r="922" customFormat="false" ht="17.15" hidden="false" customHeight="false" outlineLevel="0" collapsed="false">
      <c r="A922" s="4" t="s">
        <v>497</v>
      </c>
      <c r="B922" s="4" t="s">
        <v>228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952.273325630144</v>
      </c>
      <c r="F922" s="14" t="n">
        <f aca="false">opex_fix+opex_var*F920</f>
        <v>998.716973552868</v>
      </c>
      <c r="G922" s="14" t="n">
        <f aca="false">opex_fix+opex_var*G920</f>
        <v>856.669408468622</v>
      </c>
      <c r="I922" s="4" t="s">
        <v>498</v>
      </c>
    </row>
    <row r="923" customFormat="false" ht="17.15" hidden="false" customHeight="false" outlineLevel="0" collapsed="false">
      <c r="A923" s="4" t="s">
        <v>465</v>
      </c>
      <c r="B923" s="0" t="s">
        <v>64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499</v>
      </c>
    </row>
    <row r="924" customFormat="false" ht="15" hidden="false" customHeight="false" outlineLevel="0" collapsed="false">
      <c r="A924" s="4" t="s">
        <v>401</v>
      </c>
      <c r="B924" s="4" t="s">
        <v>228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4671.87822651527</v>
      </c>
      <c r="F924" s="14" t="n">
        <f aca="false">F920*F923</f>
        <v>5067.15942037059</v>
      </c>
      <c r="G924" s="14" t="n">
        <f aca="false">G920*G923</f>
        <v>3858.19471535504</v>
      </c>
    </row>
    <row r="925" customFormat="false" ht="15" hidden="false" customHeight="false" outlineLevel="0" collapsed="false">
      <c r="A925" s="4" t="s">
        <v>404</v>
      </c>
      <c r="B925" s="4" t="s">
        <v>228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3719.60490088513</v>
      </c>
      <c r="F925" s="14" t="n">
        <f aca="false">F924-F922</f>
        <v>4068.44244681772</v>
      </c>
      <c r="G925" s="14" t="n">
        <f aca="false">G924-G922</f>
        <v>3001.52530688642</v>
      </c>
    </row>
    <row r="926" customFormat="false" ht="15" hidden="false" customHeight="false" outlineLevel="0" collapsed="false">
      <c r="A926" s="4" t="s">
        <v>407</v>
      </c>
      <c r="B926" s="0" t="s">
        <v>64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0.473933311641167</v>
      </c>
      <c r="F926" s="10" t="n">
        <f aca="false">F925/F920</f>
        <v>0.477942385615696</v>
      </c>
      <c r="G926" s="10" t="n">
        <f aca="false">G925/G920</f>
        <v>0.46309469492145</v>
      </c>
    </row>
    <row r="927" customFormat="false" ht="15" hidden="false" customHeight="false" outlineLevel="0" collapsed="false">
      <c r="A927" s="4" t="s">
        <v>466</v>
      </c>
      <c r="B927" s="4" t="s">
        <v>228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3166.3767404806</v>
      </c>
      <c r="F927" s="14" t="n">
        <f aca="false">F925*nioi</f>
        <v>3463.33061624962</v>
      </c>
      <c r="G927" s="14" t="n">
        <f aca="false">G925*nioi</f>
        <v>2555.09931052824</v>
      </c>
    </row>
    <row r="928" customFormat="false" ht="15" hidden="false" customHeight="false" outlineLevel="0" collapsed="false">
      <c r="A928" s="0" t="s">
        <v>467</v>
      </c>
      <c r="B928" s="0" t="s">
        <v>304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3302.05746342549</v>
      </c>
      <c r="F928" s="14" t="n">
        <f aca="false">F927*100/shares</f>
        <v>3611.73595153471</v>
      </c>
      <c r="G928" s="14" t="n">
        <f aca="false">G927*100/shares</f>
        <v>2664.58650995602</v>
      </c>
    </row>
    <row r="929" customFormat="false" ht="17.15" hidden="false" customHeight="false" outlineLevel="0" collapsed="false">
      <c r="A929" s="4" t="s">
        <v>500</v>
      </c>
      <c r="B929" s="4" t="s">
        <v>228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12987.9775616341</v>
      </c>
      <c r="F929" s="14" t="n">
        <f aca="false">$C919*F910</f>
        <v>14244.5721242917</v>
      </c>
      <c r="G929" s="14" t="n">
        <f aca="false">$C919*G910</f>
        <v>7281.60035564122</v>
      </c>
      <c r="I929" s="4" t="s">
        <v>501</v>
      </c>
    </row>
    <row r="930" customFormat="false" ht="15" hidden="false" customHeight="false" outlineLevel="0" collapsed="false">
      <c r="A930" s="4" t="s">
        <v>502</v>
      </c>
      <c r="B930" s="0" t="s">
        <v>335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914.646307157333</v>
      </c>
      <c r="F930" s="14" t="n">
        <f aca="false">F929/fx*100</f>
        <v>1003.13888199238</v>
      </c>
      <c r="G930" s="14" t="n">
        <f aca="false">G929/fx*100</f>
        <v>512.788757439523</v>
      </c>
    </row>
    <row r="940" customFormat="false" ht="17.15" hidden="false" customHeight="false" outlineLevel="0" collapsed="false">
      <c r="A940" s="1" t="s">
        <v>789</v>
      </c>
    </row>
    <row r="941" customFormat="false" ht="15" hidden="false" customHeight="false" outlineLevel="0" collapsed="false">
      <c r="A941" s="5" t="s">
        <v>16</v>
      </c>
      <c r="B941" s="5" t="s">
        <v>17</v>
      </c>
      <c r="C941" s="13" t="s">
        <v>430</v>
      </c>
      <c r="D941" s="13" t="s">
        <v>431</v>
      </c>
      <c r="E941" s="13" t="s">
        <v>432</v>
      </c>
      <c r="F941" s="13" t="s">
        <v>433</v>
      </c>
      <c r="G941" s="13" t="s">
        <v>434</v>
      </c>
      <c r="H941" s="13" t="s">
        <v>435</v>
      </c>
      <c r="I941" s="5" t="s">
        <v>436</v>
      </c>
    </row>
    <row r="942" customFormat="false" ht="17.15" hidden="false" customHeight="false" outlineLevel="0" collapsed="false">
      <c r="A942" s="6" t="s">
        <v>470</v>
      </c>
    </row>
    <row r="943" customFormat="false" ht="17.15" hidden="false" customHeight="false" outlineLevel="0" collapsed="false">
      <c r="A943" s="0" t="s">
        <v>471</v>
      </c>
      <c r="B943" s="0" t="s">
        <v>27</v>
      </c>
      <c r="C943" s="19" t="n">
        <f aca="false">hsA_25</f>
        <v>2.22511470588235</v>
      </c>
      <c r="D943" s="19" t="n">
        <f aca="false">hsA_26</f>
        <v>3.782695</v>
      </c>
      <c r="E943" s="19" t="n">
        <f aca="false">hsA_27</f>
        <v>5.86317725</v>
      </c>
      <c r="F943" s="19" t="n">
        <f aca="false">hsA_28</f>
        <v>8.5016070125</v>
      </c>
      <c r="G943" s="19" t="n">
        <f aca="false">hsA_29</f>
        <v>11.477169466875</v>
      </c>
      <c r="H943" s="19" t="n">
        <f aca="false">G943*(1+g_tail)</f>
        <v>12.6248864135625</v>
      </c>
      <c r="I943" s="8" t="s">
        <v>472</v>
      </c>
    </row>
    <row r="944" customFormat="false" ht="17.15" hidden="false" customHeight="false" outlineLevel="0" collapsed="false">
      <c r="A944" s="0" t="s">
        <v>473</v>
      </c>
      <c r="B944" s="0" t="s">
        <v>474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475</v>
      </c>
      <c r="B945" s="4" t="s">
        <v>440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476</v>
      </c>
    </row>
    <row r="946" customFormat="false" ht="15" hidden="false" customHeight="false" outlineLevel="0" collapsed="false">
      <c r="A946" s="4" t="s">
        <v>477</v>
      </c>
      <c r="B946" s="4" t="s">
        <v>91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478</v>
      </c>
      <c r="B947" s="0" t="s">
        <v>111</v>
      </c>
      <c r="C947" s="20" t="n">
        <f aca="false">1+beta*(C946-$C946)/4</f>
        <v>1</v>
      </c>
      <c r="D947" s="20" t="n">
        <f aca="false">1+beta*(D946-$C946)/4</f>
        <v>1.05</v>
      </c>
      <c r="E947" s="20" t="n">
        <f aca="false">1+beta*(E946-$C946)/4</f>
        <v>1.0625</v>
      </c>
      <c r="F947" s="20" t="n">
        <f aca="false">1+beta*(F946-$C946)/4</f>
        <v>1.1</v>
      </c>
      <c r="G947" s="20" t="n">
        <f aca="false">1+beta*(G946-$C946)/4</f>
        <v>1.125</v>
      </c>
      <c r="H947" s="20" t="n">
        <f aca="false">1+beta*(H946-$C946)/4</f>
        <v>1.15</v>
      </c>
    </row>
    <row r="948" customFormat="false" ht="17.15" hidden="false" customHeight="false" outlineLevel="0" collapsed="false">
      <c r="A948" s="4" t="s">
        <v>479</v>
      </c>
      <c r="B948" s="0" t="s">
        <v>64</v>
      </c>
      <c r="C948" s="10" t="n">
        <f aca="false">0</f>
        <v>0</v>
      </c>
      <c r="D948" s="10" t="n">
        <f aca="false">0</f>
        <v>0</v>
      </c>
      <c r="E948" s="10" t="n">
        <f aca="false">0</f>
        <v>0</v>
      </c>
      <c r="F948" s="10" t="n">
        <f aca="false">0</f>
        <v>0</v>
      </c>
      <c r="G948" s="10" t="n">
        <f aca="false">0</f>
        <v>0</v>
      </c>
      <c r="H948" s="10" t="n">
        <f aca="false">0</f>
        <v>0</v>
      </c>
      <c r="I948" s="4" t="s">
        <v>480</v>
      </c>
    </row>
    <row r="949" customFormat="false" ht="17.15" hidden="false" customHeight="false" outlineLevel="0" collapsed="false">
      <c r="A949" s="0" t="s">
        <v>481</v>
      </c>
      <c r="B949" s="4" t="s">
        <v>442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2671.9336325</v>
      </c>
      <c r="G949" s="14" t="n">
        <f aca="false">G945*G947*(1-G948)</f>
        <v>3443.1508400625</v>
      </c>
      <c r="H949" s="14" t="n">
        <f aca="false">H945*H947*(1-H948)</f>
        <v>3629.65484389922</v>
      </c>
    </row>
    <row r="950" customFormat="false" ht="17.15" hidden="false" customHeight="false" outlineLevel="0" collapsed="false">
      <c r="A950" s="4" t="s">
        <v>482</v>
      </c>
      <c r="B950" s="4" t="s">
        <v>442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MAX(0,F949-E949)+dlt*E949</f>
        <v>946.806480096154</v>
      </c>
      <c r="F950" s="14" t="n">
        <f aca="false">MAX(0,G949-F949)+dlt*F949</f>
        <v>1038.4105708125</v>
      </c>
      <c r="G950" s="14" t="n">
        <f aca="false">MAX(0,H949-G949)+dlt*G949</f>
        <v>530.819087842968</v>
      </c>
      <c r="I950" s="4" t="s">
        <v>483</v>
      </c>
    </row>
    <row r="951" customFormat="false" ht="17.15" hidden="false" customHeight="false" outlineLevel="0" collapsed="false">
      <c r="A951" s="0" t="s">
        <v>484</v>
      </c>
      <c r="B951" s="0" t="s">
        <v>64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485</v>
      </c>
      <c r="B952" s="0" t="s">
        <v>64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486</v>
      </c>
      <c r="B953" s="0" t="s">
        <v>64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487</v>
      </c>
      <c r="B954" s="0" t="s">
        <v>64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488</v>
      </c>
      <c r="B955" s="4" t="s">
        <v>442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312.446138431731</v>
      </c>
      <c r="F955" s="14" t="n">
        <f aca="false">F950*F954</f>
        <v>342.675488368125</v>
      </c>
      <c r="G955" s="14" t="n">
        <f aca="false">G950*G954</f>
        <v>175.17029898818</v>
      </c>
    </row>
    <row r="956" customFormat="false" ht="17.15" hidden="false" customHeight="false" outlineLevel="0" collapsed="false">
      <c r="A956" s="6" t="s">
        <v>489</v>
      </c>
    </row>
    <row r="957" customFormat="false" ht="17.15" hidden="false" customHeight="false" outlineLevel="0" collapsed="false">
      <c r="A957" s="4" t="s">
        <v>490</v>
      </c>
      <c r="B957" s="4" t="s">
        <v>228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</row>
    <row r="958" customFormat="false" ht="17.15" hidden="false" customHeight="false" outlineLevel="0" collapsed="false">
      <c r="A958" s="0" t="s">
        <v>491</v>
      </c>
      <c r="B958" s="4" t="s">
        <v>228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4286.03259533926</v>
      </c>
      <c r="F958" s="14" t="n">
        <f aca="false">$C959*F955</f>
        <v>4700.70880101627</v>
      </c>
      <c r="G958" s="14" t="n">
        <f aca="false">$C959*G955</f>
        <v>2402.9281173616</v>
      </c>
      <c r="I958" s="8" t="s">
        <v>492</v>
      </c>
    </row>
    <row r="959" customFormat="false" ht="17.15" hidden="false" customHeight="false" outlineLevel="0" collapsed="false">
      <c r="A959" s="4" t="s">
        <v>493</v>
      </c>
      <c r="B959" s="4" t="s">
        <v>494</v>
      </c>
      <c r="C959" s="20" t="n">
        <f aca="false">(C958+D958)/(C955+D955)</f>
        <v>13.7176686415529</v>
      </c>
      <c r="I959" s="4" t="s">
        <v>495</v>
      </c>
    </row>
    <row r="960" customFormat="false" ht="15" hidden="false" customHeight="false" outlineLevel="0" collapsed="false">
      <c r="A960" s="4" t="s">
        <v>396</v>
      </c>
      <c r="B960" s="4" t="s">
        <v>228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8181.30084233926</v>
      </c>
      <c r="F960" s="14" t="n">
        <f aca="false">F957+F958</f>
        <v>9258.17265000627</v>
      </c>
      <c r="G960" s="14" t="n">
        <f aca="false">G957+G958</f>
        <v>7735.1608206799</v>
      </c>
    </row>
    <row r="961" customFormat="false" ht="17.15" hidden="false" customHeight="false" outlineLevel="0" collapsed="false">
      <c r="A961" s="0" t="s">
        <v>496</v>
      </c>
      <c r="B961" s="0" t="s">
        <v>64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0.523881553549346</v>
      </c>
      <c r="F961" s="10" t="n">
        <f aca="false">F958/F960</f>
        <v>0.507736135274285</v>
      </c>
      <c r="G961" s="10" t="n">
        <f aca="false">G958/G960</f>
        <v>0.310650052800117</v>
      </c>
    </row>
    <row r="962" customFormat="false" ht="17.15" hidden="false" customHeight="false" outlineLevel="0" collapsed="false">
      <c r="A962" s="4" t="s">
        <v>497</v>
      </c>
      <c r="B962" s="4" t="s">
        <v>228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975.558721130144</v>
      </c>
      <c r="F962" s="14" t="n">
        <f aca="false">opex_fix+opex_var*F960</f>
        <v>1050.87625947287</v>
      </c>
      <c r="G962" s="14" t="n">
        <f aca="false">opex_fix+opex_var*G960</f>
        <v>944.355222302972</v>
      </c>
      <c r="I962" s="4" t="s">
        <v>498</v>
      </c>
    </row>
    <row r="963" customFormat="false" ht="17.15" hidden="false" customHeight="false" outlineLevel="0" collapsed="false">
      <c r="A963" s="4" t="s">
        <v>465</v>
      </c>
      <c r="B963" s="0" t="s">
        <v>64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499</v>
      </c>
    </row>
    <row r="964" customFormat="false" ht="15" hidden="false" customHeight="false" outlineLevel="0" collapsed="false">
      <c r="A964" s="4" t="s">
        <v>401</v>
      </c>
      <c r="B964" s="4" t="s">
        <v>228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4870.05987985887</v>
      </c>
      <c r="F964" s="14" t="n">
        <f aca="false">F960*F963</f>
        <v>5511.08632386024</v>
      </c>
      <c r="G964" s="14" t="n">
        <f aca="false">G960*G963</f>
        <v>4604.48736735102</v>
      </c>
    </row>
    <row r="965" customFormat="false" ht="15" hidden="false" customHeight="false" outlineLevel="0" collapsed="false">
      <c r="A965" s="4" t="s">
        <v>404</v>
      </c>
      <c r="B965" s="4" t="s">
        <v>228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3894.50115872872</v>
      </c>
      <c r="F965" s="14" t="n">
        <f aca="false">F964-F962</f>
        <v>4460.21006438738</v>
      </c>
      <c r="G965" s="14" t="n">
        <f aca="false">G964-G962</f>
        <v>3660.13214504805</v>
      </c>
    </row>
    <row r="966" customFormat="false" ht="15" hidden="false" customHeight="false" outlineLevel="0" collapsed="false">
      <c r="A966" s="4" t="s">
        <v>407</v>
      </c>
      <c r="B966" s="0" t="s">
        <v>64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0.476024685288945</v>
      </c>
      <c r="F966" s="10" t="n">
        <f aca="false">F965/F960</f>
        <v>0.481759223229041</v>
      </c>
      <c r="G966" s="10" t="n">
        <f aca="false">G965/G960</f>
        <v>0.473181130929135</v>
      </c>
    </row>
    <row r="967" customFormat="false" ht="15" hidden="false" customHeight="false" outlineLevel="0" collapsed="false">
      <c r="A967" s="4" t="s">
        <v>466</v>
      </c>
      <c r="B967" s="4" t="s">
        <v>228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3315.26014546301</v>
      </c>
      <c r="F967" s="14" t="n">
        <f aca="false">F965*nioi</f>
        <v>3796.82944341023</v>
      </c>
      <c r="G967" s="14" t="n">
        <f aca="false">G965*nioi</f>
        <v>3115.74954867052</v>
      </c>
    </row>
    <row r="968" customFormat="false" ht="15" hidden="false" customHeight="false" outlineLevel="0" collapsed="false">
      <c r="A968" s="0" t="s">
        <v>467</v>
      </c>
      <c r="B968" s="0" t="s">
        <v>304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3457.32059188309</v>
      </c>
      <c r="F968" s="14" t="n">
        <f aca="false">F967*100/shares</f>
        <v>3959.52535927973</v>
      </c>
      <c r="G968" s="14" t="n">
        <f aca="false">G967*100/shares</f>
        <v>3249.26087278879</v>
      </c>
    </row>
    <row r="969" customFormat="false" ht="17.15" hidden="false" customHeight="false" outlineLevel="0" collapsed="false">
      <c r="A969" s="4" t="s">
        <v>500</v>
      </c>
      <c r="B969" s="4" t="s">
        <v>228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12987.9775616341</v>
      </c>
      <c r="F969" s="14" t="n">
        <f aca="false">$C959*F950</f>
        <v>14244.5721242917</v>
      </c>
      <c r="G969" s="14" t="n">
        <f aca="false">$C959*G950</f>
        <v>7281.60035564122</v>
      </c>
      <c r="I969" s="4" t="s">
        <v>501</v>
      </c>
    </row>
    <row r="970" customFormat="false" ht="15" hidden="false" customHeight="false" outlineLevel="0" collapsed="false">
      <c r="A970" s="4" t="s">
        <v>502</v>
      </c>
      <c r="B970" s="0" t="s">
        <v>335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914.646307157333</v>
      </c>
      <c r="F970" s="14" t="n">
        <f aca="false">F969/fx*100</f>
        <v>1003.13888199238</v>
      </c>
      <c r="G970" s="14" t="n">
        <f aca="false">G969/fx*100</f>
        <v>512.788757439523</v>
      </c>
    </row>
    <row r="980" customFormat="false" ht="17.15" hidden="false" customHeight="false" outlineLevel="0" collapsed="false">
      <c r="A980" s="1" t="s">
        <v>790</v>
      </c>
    </row>
    <row r="981" customFormat="false" ht="15" hidden="false" customHeight="false" outlineLevel="0" collapsed="false">
      <c r="A981" s="5" t="s">
        <v>16</v>
      </c>
      <c r="B981" s="5" t="s">
        <v>17</v>
      </c>
      <c r="C981" s="13" t="s">
        <v>430</v>
      </c>
      <c r="D981" s="13" t="s">
        <v>431</v>
      </c>
      <c r="E981" s="13" t="s">
        <v>432</v>
      </c>
      <c r="F981" s="13" t="s">
        <v>433</v>
      </c>
      <c r="G981" s="13" t="s">
        <v>434</v>
      </c>
      <c r="H981" s="13" t="s">
        <v>435</v>
      </c>
      <c r="I981" s="5" t="s">
        <v>436</v>
      </c>
    </row>
    <row r="982" customFormat="false" ht="17.15" hidden="false" customHeight="false" outlineLevel="0" collapsed="false">
      <c r="A982" s="6" t="s">
        <v>470</v>
      </c>
    </row>
    <row r="983" customFormat="false" ht="17.15" hidden="false" customHeight="false" outlineLevel="0" collapsed="false">
      <c r="A983" s="0" t="s">
        <v>471</v>
      </c>
      <c r="B983" s="0" t="s">
        <v>27</v>
      </c>
      <c r="C983" s="19" t="n">
        <f aca="false">hsA_25</f>
        <v>2.22511470588235</v>
      </c>
      <c r="D983" s="19" t="n">
        <f aca="false">hsA_26</f>
        <v>3.782695</v>
      </c>
      <c r="E983" s="19" t="n">
        <f aca="false">hsA_27</f>
        <v>5.86317725</v>
      </c>
      <c r="F983" s="19" t="n">
        <f aca="false">hsA_28</f>
        <v>8.5016070125</v>
      </c>
      <c r="G983" s="19" t="n">
        <f aca="false">hsA_29</f>
        <v>11.477169466875</v>
      </c>
      <c r="H983" s="19" t="n">
        <f aca="false">G983*(1+g_tail)</f>
        <v>12.6248864135625</v>
      </c>
      <c r="I983" s="8" t="s">
        <v>472</v>
      </c>
    </row>
    <row r="984" customFormat="false" ht="17.15" hidden="false" customHeight="false" outlineLevel="0" collapsed="false">
      <c r="A984" s="0" t="s">
        <v>473</v>
      </c>
      <c r="B984" s="0" t="s">
        <v>474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475</v>
      </c>
      <c r="B985" s="4" t="s">
        <v>440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476</v>
      </c>
    </row>
    <row r="986" customFormat="false" ht="15" hidden="false" customHeight="false" outlineLevel="0" collapsed="false">
      <c r="A986" s="4" t="s">
        <v>477</v>
      </c>
      <c r="B986" s="4" t="s">
        <v>91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478</v>
      </c>
      <c r="B987" s="0" t="s">
        <v>111</v>
      </c>
      <c r="C987" s="20" t="n">
        <f aca="false">1+beta*(C986-$C986)/4</f>
        <v>1</v>
      </c>
      <c r="D987" s="20" t="n">
        <f aca="false">1+beta*(D986-$C986)/4</f>
        <v>1.05</v>
      </c>
      <c r="E987" s="20" t="n">
        <f aca="false">1+beta*(E986-$C986)/4</f>
        <v>1.0625</v>
      </c>
      <c r="F987" s="20" t="n">
        <f aca="false">1+beta*(F986-$C986)/4</f>
        <v>1.1</v>
      </c>
      <c r="G987" s="20" t="n">
        <f aca="false">1+beta*(G986-$C986)/4</f>
        <v>1.125</v>
      </c>
      <c r="H987" s="20" t="n">
        <f aca="false">1+beta*(H986-$C986)/4</f>
        <v>1.15</v>
      </c>
    </row>
    <row r="988" customFormat="false" ht="17.15" hidden="false" customHeight="false" outlineLevel="0" collapsed="false">
      <c r="A988" s="4" t="s">
        <v>479</v>
      </c>
      <c r="B988" s="0" t="s">
        <v>64</v>
      </c>
      <c r="C988" s="10" t="n">
        <f aca="false">0</f>
        <v>0</v>
      </c>
      <c r="D988" s="10" t="n">
        <f aca="false">0</f>
        <v>0</v>
      </c>
      <c r="E988" s="10" t="n">
        <f aca="false">0</f>
        <v>0</v>
      </c>
      <c r="F988" s="10" t="n">
        <f aca="false">0</f>
        <v>0</v>
      </c>
      <c r="G988" s="10" t="n">
        <f aca="false">0</f>
        <v>0</v>
      </c>
      <c r="H988" s="10" t="n">
        <f aca="false">0</f>
        <v>0</v>
      </c>
      <c r="I988" s="4" t="s">
        <v>480</v>
      </c>
    </row>
    <row r="989" customFormat="false" ht="17.15" hidden="false" customHeight="false" outlineLevel="0" collapsed="false">
      <c r="A989" s="0" t="s">
        <v>481</v>
      </c>
      <c r="B989" s="4" t="s">
        <v>442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2671.9336325</v>
      </c>
      <c r="G989" s="14" t="n">
        <f aca="false">G985*G987*(1-G988)</f>
        <v>3443.1508400625</v>
      </c>
      <c r="H989" s="14" t="n">
        <f aca="false">H985*H987*(1-H988)</f>
        <v>3629.65484389922</v>
      </c>
    </row>
    <row r="990" customFormat="false" ht="17.15" hidden="false" customHeight="false" outlineLevel="0" collapsed="false">
      <c r="A990" s="4" t="s">
        <v>482</v>
      </c>
      <c r="B990" s="4" t="s">
        <v>442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MAX(0,F989-E989)+dlt*E989</f>
        <v>946.806480096154</v>
      </c>
      <c r="F990" s="14" t="n">
        <f aca="false">MAX(0,G989-F989)+dlt*F989</f>
        <v>1038.4105708125</v>
      </c>
      <c r="G990" s="14" t="n">
        <f aca="false">MAX(0,H989-G989)+dlt*G989</f>
        <v>530.819087842968</v>
      </c>
      <c r="I990" s="4" t="s">
        <v>483</v>
      </c>
    </row>
    <row r="991" customFormat="false" ht="17.15" hidden="false" customHeight="false" outlineLevel="0" collapsed="false">
      <c r="A991" s="0" t="s">
        <v>484</v>
      </c>
      <c r="B991" s="0" t="s">
        <v>64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485</v>
      </c>
      <c r="B992" s="0" t="s">
        <v>64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486</v>
      </c>
      <c r="B993" s="0" t="s">
        <v>64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487</v>
      </c>
      <c r="B994" s="0" t="s">
        <v>64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488</v>
      </c>
      <c r="B995" s="4" t="s">
        <v>442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312.446138431731</v>
      </c>
      <c r="F995" s="14" t="n">
        <f aca="false">F990*F994</f>
        <v>342.675488368125</v>
      </c>
      <c r="G995" s="14" t="n">
        <f aca="false">G990*G994</f>
        <v>175.17029898818</v>
      </c>
    </row>
    <row r="996" customFormat="false" ht="17.15" hidden="false" customHeight="false" outlineLevel="0" collapsed="false">
      <c r="A996" s="6" t="s">
        <v>489</v>
      </c>
    </row>
    <row r="997" customFormat="false" ht="17.15" hidden="false" customHeight="false" outlineLevel="0" collapsed="false">
      <c r="A997" s="4" t="s">
        <v>490</v>
      </c>
      <c r="B997" s="4" t="s">
        <v>228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</row>
    <row r="998" customFormat="false" ht="17.15" hidden="false" customHeight="false" outlineLevel="0" collapsed="false">
      <c r="A998" s="0" t="s">
        <v>491</v>
      </c>
      <c r="B998" s="4" t="s">
        <v>228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4286.03259533926</v>
      </c>
      <c r="F998" s="14" t="n">
        <f aca="false">$C999*F995</f>
        <v>4700.70880101627</v>
      </c>
      <c r="G998" s="14" t="n">
        <f aca="false">$C999*G995</f>
        <v>2402.9281173616</v>
      </c>
      <c r="I998" s="8" t="s">
        <v>492</v>
      </c>
    </row>
    <row r="999" customFormat="false" ht="17.15" hidden="false" customHeight="false" outlineLevel="0" collapsed="false">
      <c r="A999" s="4" t="s">
        <v>493</v>
      </c>
      <c r="B999" s="4" t="s">
        <v>494</v>
      </c>
      <c r="C999" s="20" t="n">
        <f aca="false">(C998+D998)/(C995+D995)</f>
        <v>13.7176686415529</v>
      </c>
      <c r="I999" s="4" t="s">
        <v>495</v>
      </c>
    </row>
    <row r="1000" customFormat="false" ht="15" hidden="false" customHeight="false" outlineLevel="0" collapsed="false">
      <c r="A1000" s="4" t="s">
        <v>396</v>
      </c>
      <c r="B1000" s="4" t="s">
        <v>228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8014.83638733926</v>
      </c>
      <c r="F1000" s="14" t="n">
        <f aca="false">F997+F998</f>
        <v>8876.96904805627</v>
      </c>
      <c r="G1000" s="14" t="n">
        <f aca="false">G997+G998</f>
        <v>7080.33959404641</v>
      </c>
    </row>
    <row r="1001" customFormat="false" ht="17.15" hidden="false" customHeight="false" outlineLevel="0" collapsed="false">
      <c r="A1001" s="0" t="s">
        <v>496</v>
      </c>
      <c r="B1001" s="0" t="s">
        <v>64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0.534762331781314</v>
      </c>
      <c r="F1001" s="10" t="n">
        <f aca="false">F998/F1000</f>
        <v>0.529539843562432</v>
      </c>
      <c r="G1001" s="10" t="n">
        <f aca="false">G998/G1000</f>
        <v>0.339380348279077</v>
      </c>
    </row>
    <row r="1002" customFormat="false" ht="17.15" hidden="false" customHeight="false" outlineLevel="0" collapsed="false">
      <c r="A1002" s="4" t="s">
        <v>497</v>
      </c>
      <c r="B1002" s="4" t="s">
        <v>228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901.029614028086</v>
      </c>
      <c r="F1002" s="14" t="n">
        <f aca="false">(1-phi_lo)*opex25+phi_lo*opex25/a25_rev*F1000</f>
        <v>937.208688975221</v>
      </c>
      <c r="G1002" s="14" t="n">
        <f aca="false">(1-phi_lo)*opex25+phi_lo*opex25/a25_rev*G1000</f>
        <v>861.813805298278</v>
      </c>
      <c r="I1002" s="4" t="s">
        <v>498</v>
      </c>
    </row>
    <row r="1003" customFormat="false" ht="17.15" hidden="false" customHeight="false" outlineLevel="0" collapsed="false">
      <c r="A1003" s="4" t="s">
        <v>465</v>
      </c>
      <c r="B1003" s="0" t="s">
        <v>64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499</v>
      </c>
    </row>
    <row r="1004" customFormat="false" ht="15" hidden="false" customHeight="false" outlineLevel="0" collapsed="false">
      <c r="A1004" s="4" t="s">
        <v>401</v>
      </c>
      <c r="B1004" s="4" t="s">
        <v>228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4718.24768411902</v>
      </c>
      <c r="F1004" s="14" t="n">
        <f aca="false">F1000*F1003</f>
        <v>5225.7758772406</v>
      </c>
      <c r="G1004" s="14" t="n">
        <f aca="false">G1000*G1003</f>
        <v>4168.11950711272</v>
      </c>
    </row>
    <row r="1005" customFormat="false" ht="15" hidden="false" customHeight="false" outlineLevel="0" collapsed="false">
      <c r="A1005" s="4" t="s">
        <v>404</v>
      </c>
      <c r="B1005" s="4" t="s">
        <v>228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3817.21807009093</v>
      </c>
      <c r="F1005" s="14" t="n">
        <f aca="false">F1004-F1002</f>
        <v>4288.56718826538</v>
      </c>
      <c r="G1005" s="14" t="n">
        <f aca="false">G1004-G1002</f>
        <v>3306.30570181444</v>
      </c>
    </row>
    <row r="1006" customFormat="false" ht="15" hidden="false" customHeight="false" outlineLevel="0" collapsed="false">
      <c r="A1006" s="4" t="s">
        <v>407</v>
      </c>
      <c r="B1006" s="0" t="s">
        <v>64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0.476268994850705</v>
      </c>
      <c r="F1006" s="10" t="n">
        <f aca="false">F1005/F1000</f>
        <v>0.483111652755443</v>
      </c>
      <c r="G1006" s="10" t="n">
        <f aca="false">G1005/G1000</f>
        <v>0.466969932430161</v>
      </c>
    </row>
    <row r="1007" customFormat="false" ht="15" hidden="false" customHeight="false" outlineLevel="0" collapsed="false">
      <c r="A1007" s="4" t="s">
        <v>466</v>
      </c>
      <c r="B1007" s="4" t="s">
        <v>228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3249.4716058692</v>
      </c>
      <c r="F1007" s="14" t="n">
        <f aca="false">F1005*nioi</f>
        <v>3650.71553478177</v>
      </c>
      <c r="G1007" s="14" t="n">
        <f aca="false">G1005*nioi</f>
        <v>2814.54878948363</v>
      </c>
    </row>
    <row r="1008" customFormat="false" ht="15" hidden="false" customHeight="false" outlineLevel="0" collapsed="false">
      <c r="A1008" s="0" t="s">
        <v>467</v>
      </c>
      <c r="B1008" s="0" t="s">
        <v>304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3388.71298262537</v>
      </c>
      <c r="F1008" s="14" t="n">
        <f aca="false">F1007*100/shares</f>
        <v>3807.15040138901</v>
      </c>
      <c r="G1008" s="14" t="n">
        <f aca="false">G1007*100/shares</f>
        <v>2935.15352032272</v>
      </c>
    </row>
    <row r="1009" customFormat="false" ht="17.15" hidden="false" customHeight="false" outlineLevel="0" collapsed="false">
      <c r="A1009" s="4" t="s">
        <v>500</v>
      </c>
      <c r="B1009" s="4" t="s">
        <v>228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12987.9775616341</v>
      </c>
      <c r="F1009" s="14" t="n">
        <f aca="false">$C999*F990</f>
        <v>14244.5721242917</v>
      </c>
      <c r="G1009" s="14" t="n">
        <f aca="false">$C999*G990</f>
        <v>7281.60035564122</v>
      </c>
      <c r="I1009" s="4" t="s">
        <v>501</v>
      </c>
    </row>
    <row r="1010" customFormat="false" ht="15" hidden="false" customHeight="false" outlineLevel="0" collapsed="false">
      <c r="A1010" s="4" t="s">
        <v>502</v>
      </c>
      <c r="B1010" s="0" t="s">
        <v>335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914.646307157333</v>
      </c>
      <c r="F1010" s="14" t="n">
        <f aca="false">F1009/fx*100</f>
        <v>1003.13888199238</v>
      </c>
      <c r="G1010" s="14" t="n">
        <f aca="false">G1009/fx*100</f>
        <v>512.788757439523</v>
      </c>
    </row>
    <row r="1020" customFormat="false" ht="17.15" hidden="false" customHeight="false" outlineLevel="0" collapsed="false">
      <c r="A1020" s="1" t="s">
        <v>791</v>
      </c>
    </row>
    <row r="1021" customFormat="false" ht="15" hidden="false" customHeight="false" outlineLevel="0" collapsed="false">
      <c r="A1021" s="5" t="s">
        <v>16</v>
      </c>
      <c r="B1021" s="5" t="s">
        <v>17</v>
      </c>
      <c r="C1021" s="13" t="s">
        <v>430</v>
      </c>
      <c r="D1021" s="13" t="s">
        <v>431</v>
      </c>
      <c r="E1021" s="13" t="s">
        <v>432</v>
      </c>
      <c r="F1021" s="13" t="s">
        <v>433</v>
      </c>
      <c r="G1021" s="13" t="s">
        <v>434</v>
      </c>
      <c r="H1021" s="13" t="s">
        <v>435</v>
      </c>
      <c r="I1021" s="5" t="s">
        <v>436</v>
      </c>
    </row>
    <row r="1022" customFormat="false" ht="17.15" hidden="false" customHeight="false" outlineLevel="0" collapsed="false">
      <c r="A1022" s="6" t="s">
        <v>470</v>
      </c>
    </row>
    <row r="1023" customFormat="false" ht="17.15" hidden="false" customHeight="false" outlineLevel="0" collapsed="false">
      <c r="A1023" s="0" t="s">
        <v>471</v>
      </c>
      <c r="B1023" s="0" t="s">
        <v>27</v>
      </c>
      <c r="C1023" s="19" t="n">
        <f aca="false">hsA_25</f>
        <v>2.22511470588235</v>
      </c>
      <c r="D1023" s="19" t="n">
        <f aca="false">hsA_26</f>
        <v>3.782695</v>
      </c>
      <c r="E1023" s="19" t="n">
        <f aca="false">hsA_27</f>
        <v>5.86317725</v>
      </c>
      <c r="F1023" s="19" t="n">
        <f aca="false">hsA_28</f>
        <v>8.5016070125</v>
      </c>
      <c r="G1023" s="19" t="n">
        <f aca="false">hsA_29</f>
        <v>11.477169466875</v>
      </c>
      <c r="H1023" s="19" t="n">
        <f aca="false">G1023*(1+g_tail)</f>
        <v>12.6248864135625</v>
      </c>
      <c r="I1023" s="8" t="s">
        <v>472</v>
      </c>
    </row>
    <row r="1024" customFormat="false" ht="17.15" hidden="false" customHeight="false" outlineLevel="0" collapsed="false">
      <c r="A1024" s="0" t="s">
        <v>473</v>
      </c>
      <c r="B1024" s="0" t="s">
        <v>474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475</v>
      </c>
      <c r="B1025" s="4" t="s">
        <v>440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476</v>
      </c>
    </row>
    <row r="1026" customFormat="false" ht="15" hidden="false" customHeight="false" outlineLevel="0" collapsed="false">
      <c r="A1026" s="4" t="s">
        <v>477</v>
      </c>
      <c r="B1026" s="4" t="s">
        <v>91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478</v>
      </c>
      <c r="B1027" s="0" t="s">
        <v>111</v>
      </c>
      <c r="C1027" s="20" t="n">
        <f aca="false">1+beta*(C1026-$C1026)/4</f>
        <v>1</v>
      </c>
      <c r="D1027" s="20" t="n">
        <f aca="false">1+beta*(D1026-$C1026)/4</f>
        <v>1.05</v>
      </c>
      <c r="E1027" s="20" t="n">
        <f aca="false">1+beta*(E1026-$C1026)/4</f>
        <v>1.0625</v>
      </c>
      <c r="F1027" s="20" t="n">
        <f aca="false">1+beta*(F1026-$C1026)/4</f>
        <v>1.1</v>
      </c>
      <c r="G1027" s="20" t="n">
        <f aca="false">1+beta*(G1026-$C1026)/4</f>
        <v>1.125</v>
      </c>
      <c r="H1027" s="20" t="n">
        <f aca="false">1+beta*(H1026-$C1026)/4</f>
        <v>1.15</v>
      </c>
    </row>
    <row r="1028" customFormat="false" ht="17.15" hidden="false" customHeight="false" outlineLevel="0" collapsed="false">
      <c r="A1028" s="4" t="s">
        <v>479</v>
      </c>
      <c r="B1028" s="0" t="s">
        <v>64</v>
      </c>
      <c r="C1028" s="10" t="n">
        <f aca="false">0</f>
        <v>0</v>
      </c>
      <c r="D1028" s="10" t="n">
        <f aca="false">0</f>
        <v>0</v>
      </c>
      <c r="E1028" s="10" t="n">
        <f aca="false">0</f>
        <v>0</v>
      </c>
      <c r="F1028" s="10" t="n">
        <f aca="false">0</f>
        <v>0</v>
      </c>
      <c r="G1028" s="10" t="n">
        <f aca="false">0</f>
        <v>0</v>
      </c>
      <c r="H1028" s="10" t="n">
        <f aca="false">0</f>
        <v>0</v>
      </c>
      <c r="I1028" s="4" t="s">
        <v>480</v>
      </c>
    </row>
    <row r="1029" customFormat="false" ht="17.15" hidden="false" customHeight="false" outlineLevel="0" collapsed="false">
      <c r="A1029" s="0" t="s">
        <v>481</v>
      </c>
      <c r="B1029" s="4" t="s">
        <v>442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2671.9336325</v>
      </c>
      <c r="G1029" s="14" t="n">
        <f aca="false">G1025*G1027*(1-G1028)</f>
        <v>3443.1508400625</v>
      </c>
      <c r="H1029" s="14" t="n">
        <f aca="false">H1025*H1027*(1-H1028)</f>
        <v>3629.65484389922</v>
      </c>
    </row>
    <row r="1030" customFormat="false" ht="17.15" hidden="false" customHeight="false" outlineLevel="0" collapsed="false">
      <c r="A1030" s="4" t="s">
        <v>482</v>
      </c>
      <c r="B1030" s="4" t="s">
        <v>442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MAX(0,F1029-E1029)+dlt*E1029</f>
        <v>946.806480096154</v>
      </c>
      <c r="F1030" s="14" t="n">
        <f aca="false">MAX(0,G1029-F1029)+dlt*F1029</f>
        <v>1038.4105708125</v>
      </c>
      <c r="G1030" s="14" t="n">
        <f aca="false">MAX(0,H1029-G1029)+dlt*G1029</f>
        <v>530.819087842968</v>
      </c>
      <c r="I1030" s="4" t="s">
        <v>483</v>
      </c>
    </row>
    <row r="1031" customFormat="false" ht="17.15" hidden="false" customHeight="false" outlineLevel="0" collapsed="false">
      <c r="A1031" s="0" t="s">
        <v>484</v>
      </c>
      <c r="B1031" s="0" t="s">
        <v>64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485</v>
      </c>
      <c r="B1032" s="0" t="s">
        <v>64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486</v>
      </c>
      <c r="B1033" s="0" t="s">
        <v>64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487</v>
      </c>
      <c r="B1034" s="0" t="s">
        <v>64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488</v>
      </c>
      <c r="B1035" s="4" t="s">
        <v>442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312.446138431731</v>
      </c>
      <c r="F1035" s="14" t="n">
        <f aca="false">F1030*F1034</f>
        <v>342.675488368125</v>
      </c>
      <c r="G1035" s="14" t="n">
        <f aca="false">G1030*G1034</f>
        <v>175.17029898818</v>
      </c>
    </row>
    <row r="1036" customFormat="false" ht="17.15" hidden="false" customHeight="false" outlineLevel="0" collapsed="false">
      <c r="A1036" s="6" t="s">
        <v>489</v>
      </c>
    </row>
    <row r="1037" customFormat="false" ht="17.15" hidden="false" customHeight="false" outlineLevel="0" collapsed="false">
      <c r="A1037" s="4" t="s">
        <v>490</v>
      </c>
      <c r="B1037" s="4" t="s">
        <v>228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</row>
    <row r="1038" customFormat="false" ht="17.15" hidden="false" customHeight="false" outlineLevel="0" collapsed="false">
      <c r="A1038" s="0" t="s">
        <v>491</v>
      </c>
      <c r="B1038" s="4" t="s">
        <v>228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4286.03259533926</v>
      </c>
      <c r="F1038" s="14" t="n">
        <f aca="false">$C1039*F1035</f>
        <v>4700.70880101627</v>
      </c>
      <c r="G1038" s="14" t="n">
        <f aca="false">$C1039*G1035</f>
        <v>2402.9281173616</v>
      </c>
      <c r="I1038" s="8" t="s">
        <v>492</v>
      </c>
    </row>
    <row r="1039" customFormat="false" ht="17.15" hidden="false" customHeight="false" outlineLevel="0" collapsed="false">
      <c r="A1039" s="4" t="s">
        <v>493</v>
      </c>
      <c r="B1039" s="4" t="s">
        <v>494</v>
      </c>
      <c r="C1039" s="20" t="n">
        <f aca="false">(C1038+D1038)/(C1035+D1035)</f>
        <v>13.7176686415529</v>
      </c>
      <c r="I1039" s="4" t="s">
        <v>495</v>
      </c>
    </row>
    <row r="1040" customFormat="false" ht="15" hidden="false" customHeight="false" outlineLevel="0" collapsed="false">
      <c r="A1040" s="4" t="s">
        <v>396</v>
      </c>
      <c r="B1040" s="4" t="s">
        <v>228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8014.83638733926</v>
      </c>
      <c r="F1040" s="14" t="n">
        <f aca="false">F1037+F1038</f>
        <v>8876.96904805627</v>
      </c>
      <c r="G1040" s="14" t="n">
        <f aca="false">G1037+G1038</f>
        <v>7080.33959404641</v>
      </c>
    </row>
    <row r="1041" customFormat="false" ht="17.15" hidden="false" customHeight="false" outlineLevel="0" collapsed="false">
      <c r="A1041" s="0" t="s">
        <v>496</v>
      </c>
      <c r="B1041" s="0" t="s">
        <v>64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0.534762331781314</v>
      </c>
      <c r="F1041" s="10" t="n">
        <f aca="false">F1038/F1040</f>
        <v>0.529539843562432</v>
      </c>
      <c r="G1041" s="10" t="n">
        <f aca="false">G1038/G1040</f>
        <v>0.339380348279077</v>
      </c>
    </row>
    <row r="1042" customFormat="false" ht="17.15" hidden="false" customHeight="false" outlineLevel="0" collapsed="false">
      <c r="A1042" s="4" t="s">
        <v>497</v>
      </c>
      <c r="B1042" s="4" t="s">
        <v>228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1026.8024327322</v>
      </c>
      <c r="F1042" s="14" t="n">
        <f aca="false">(1-phi_hi)*opex25+phi_hi*opex25/a25_rev*F1040</f>
        <v>1111.22027427551</v>
      </c>
      <c r="G1042" s="14" t="n">
        <f aca="false">(1-phi_hi)*opex25+phi_hi*opex25/a25_rev*G1040</f>
        <v>935.298879029316</v>
      </c>
      <c r="I1042" s="4" t="s">
        <v>498</v>
      </c>
    </row>
    <row r="1043" customFormat="false" ht="17.15" hidden="false" customHeight="false" outlineLevel="0" collapsed="false">
      <c r="A1043" s="4" t="s">
        <v>465</v>
      </c>
      <c r="B1043" s="0" t="s">
        <v>64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499</v>
      </c>
    </row>
    <row r="1044" customFormat="false" ht="15" hidden="false" customHeight="false" outlineLevel="0" collapsed="false">
      <c r="A1044" s="4" t="s">
        <v>401</v>
      </c>
      <c r="B1044" s="4" t="s">
        <v>228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4823.69042225513</v>
      </c>
      <c r="F1044" s="14" t="n">
        <f aca="false">F1040*F1043</f>
        <v>5342.56078432306</v>
      </c>
      <c r="G1044" s="14" t="n">
        <f aca="false">G1040*G1043</f>
        <v>4261.26805783162</v>
      </c>
    </row>
    <row r="1045" customFormat="false" ht="15" hidden="false" customHeight="false" outlineLevel="0" collapsed="false">
      <c r="A1045" s="4" t="s">
        <v>404</v>
      </c>
      <c r="B1045" s="4" t="s">
        <v>228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3796.88798952293</v>
      </c>
      <c r="F1045" s="14" t="n">
        <f aca="false">F1044-F1042</f>
        <v>4231.34051004755</v>
      </c>
      <c r="G1045" s="14" t="n">
        <f aca="false">G1044-G1042</f>
        <v>3325.96917880231</v>
      </c>
    </row>
    <row r="1046" customFormat="false" ht="15" hidden="false" customHeight="false" outlineLevel="0" collapsed="false">
      <c r="A1046" s="4" t="s">
        <v>407</v>
      </c>
      <c r="B1046" s="0" t="s">
        <v>64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0.473732438945445</v>
      </c>
      <c r="F1046" s="10" t="n">
        <f aca="false">F1045/F1040</f>
        <v>0.476665006618904</v>
      </c>
      <c r="G1046" s="10" t="n">
        <f aca="false">G1045/G1040</f>
        <v>0.469747126479497</v>
      </c>
    </row>
    <row r="1047" customFormat="false" ht="15" hidden="false" customHeight="false" outlineLevel="0" collapsed="false">
      <c r="A1047" s="4" t="s">
        <v>466</v>
      </c>
      <c r="B1047" s="4" t="s">
        <v>228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3232.16528007441</v>
      </c>
      <c r="F1047" s="14" t="n">
        <f aca="false">F1045*nioi</f>
        <v>3602.00035462896</v>
      </c>
      <c r="G1047" s="14" t="n">
        <f aca="false">G1045*nioi</f>
        <v>2831.28765767809</v>
      </c>
    </row>
    <row r="1048" customFormat="false" ht="15" hidden="false" customHeight="false" outlineLevel="0" collapsed="false">
      <c r="A1048" s="0" t="s">
        <v>467</v>
      </c>
      <c r="B1048" s="0" t="s">
        <v>304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3370.66507268321</v>
      </c>
      <c r="F1048" s="14" t="n">
        <f aca="false">F1047*100/shares</f>
        <v>3756.34775300255</v>
      </c>
      <c r="G1048" s="14" t="n">
        <f aca="false">G1047*100/shares</f>
        <v>2952.60965684121</v>
      </c>
    </row>
    <row r="1049" customFormat="false" ht="17.15" hidden="false" customHeight="false" outlineLevel="0" collapsed="false">
      <c r="A1049" s="4" t="s">
        <v>500</v>
      </c>
      <c r="B1049" s="4" t="s">
        <v>228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12987.9775616341</v>
      </c>
      <c r="F1049" s="14" t="n">
        <f aca="false">$C1039*F1030</f>
        <v>14244.5721242917</v>
      </c>
      <c r="G1049" s="14" t="n">
        <f aca="false">$C1039*G1030</f>
        <v>7281.60035564122</v>
      </c>
      <c r="I1049" s="4" t="s">
        <v>501</v>
      </c>
    </row>
    <row r="1050" customFormat="false" ht="15" hidden="false" customHeight="false" outlineLevel="0" collapsed="false">
      <c r="A1050" s="4" t="s">
        <v>502</v>
      </c>
      <c r="B1050" s="0" t="s">
        <v>335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914.646307157333</v>
      </c>
      <c r="F1050" s="14" t="n">
        <f aca="false">F1049/fx*100</f>
        <v>1003.13888199238</v>
      </c>
      <c r="G1050" s="14" t="n">
        <f aca="false">G1049/fx*100</f>
        <v>512.788757439523</v>
      </c>
    </row>
    <row r="1060" customFormat="false" ht="17.15" hidden="false" customHeight="false" outlineLevel="0" collapsed="false">
      <c r="A1060" s="1" t="s">
        <v>792</v>
      </c>
    </row>
    <row r="1061" customFormat="false" ht="15" hidden="false" customHeight="false" outlineLevel="0" collapsed="false">
      <c r="A1061" s="5" t="s">
        <v>16</v>
      </c>
      <c r="B1061" s="5" t="s">
        <v>17</v>
      </c>
      <c r="C1061" s="13" t="s">
        <v>430</v>
      </c>
      <c r="D1061" s="13" t="s">
        <v>431</v>
      </c>
      <c r="E1061" s="13" t="s">
        <v>432</v>
      </c>
      <c r="F1061" s="13" t="s">
        <v>433</v>
      </c>
      <c r="G1061" s="13" t="s">
        <v>434</v>
      </c>
      <c r="H1061" s="13" t="s">
        <v>435</v>
      </c>
      <c r="I1061" s="5" t="s">
        <v>436</v>
      </c>
    </row>
    <row r="1062" customFormat="false" ht="17.15" hidden="false" customHeight="false" outlineLevel="0" collapsed="false">
      <c r="A1062" s="6" t="s">
        <v>470</v>
      </c>
    </row>
    <row r="1063" customFormat="false" ht="17.15" hidden="false" customHeight="false" outlineLevel="0" collapsed="false">
      <c r="A1063" s="0" t="s">
        <v>471</v>
      </c>
      <c r="B1063" s="0" t="s">
        <v>27</v>
      </c>
      <c r="C1063" s="19" t="n">
        <f aca="false">hsA_25</f>
        <v>2.22511470588235</v>
      </c>
      <c r="D1063" s="19" t="n">
        <f aca="false">hsA_26</f>
        <v>3.782695</v>
      </c>
      <c r="E1063" s="19" t="n">
        <f aca="false">hsA_27</f>
        <v>5.86317725</v>
      </c>
      <c r="F1063" s="19" t="n">
        <f aca="false">hsA_28</f>
        <v>8.5016070125</v>
      </c>
      <c r="G1063" s="19" t="n">
        <f aca="false">hsA_29</f>
        <v>11.477169466875</v>
      </c>
      <c r="H1063" s="19" t="n">
        <f aca="false">G1063*(1+g_tail)</f>
        <v>12.6248864135625</v>
      </c>
      <c r="I1063" s="8" t="s">
        <v>472</v>
      </c>
    </row>
    <row r="1064" customFormat="false" ht="17.15" hidden="false" customHeight="false" outlineLevel="0" collapsed="false">
      <c r="A1064" s="0" t="s">
        <v>473</v>
      </c>
      <c r="B1064" s="0" t="s">
        <v>474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475</v>
      </c>
      <c r="B1065" s="4" t="s">
        <v>440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476</v>
      </c>
    </row>
    <row r="1066" customFormat="false" ht="15" hidden="false" customHeight="false" outlineLevel="0" collapsed="false">
      <c r="A1066" s="4" t="s">
        <v>477</v>
      </c>
      <c r="B1066" s="4" t="s">
        <v>91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478</v>
      </c>
      <c r="B1067" s="0" t="s">
        <v>111</v>
      </c>
      <c r="C1067" s="20" t="n">
        <f aca="false">1+beta*(C1066-$C1066)/4</f>
        <v>1</v>
      </c>
      <c r="D1067" s="20" t="n">
        <f aca="false">1+beta*(D1066-$C1066)/4</f>
        <v>1.05</v>
      </c>
      <c r="E1067" s="20" t="n">
        <f aca="false">1+beta*(E1066-$C1066)/4</f>
        <v>1.0625</v>
      </c>
      <c r="F1067" s="20" t="n">
        <f aca="false">1+beta*(F1066-$C1066)/4</f>
        <v>1.1</v>
      </c>
      <c r="G1067" s="20" t="n">
        <f aca="false">1+beta*(G1066-$C1066)/4</f>
        <v>1.125</v>
      </c>
      <c r="H1067" s="20" t="n">
        <f aca="false">1+beta*(H1066-$C1066)/4</f>
        <v>1.15</v>
      </c>
    </row>
    <row r="1068" customFormat="false" ht="17.15" hidden="false" customHeight="false" outlineLevel="0" collapsed="false">
      <c r="A1068" s="4" t="s">
        <v>479</v>
      </c>
      <c r="B1068" s="0" t="s">
        <v>64</v>
      </c>
      <c r="C1068" s="10" t="n">
        <f aca="false">0</f>
        <v>0</v>
      </c>
      <c r="D1068" s="10" t="n">
        <f aca="false">0</f>
        <v>0</v>
      </c>
      <c r="E1068" s="10" t="n">
        <f aca="false">0</f>
        <v>0</v>
      </c>
      <c r="F1068" s="10" t="n">
        <f aca="false">0</f>
        <v>0</v>
      </c>
      <c r="G1068" s="10" t="n">
        <f aca="false">0</f>
        <v>0</v>
      </c>
      <c r="H1068" s="10" t="n">
        <f aca="false">0</f>
        <v>0</v>
      </c>
      <c r="I1068" s="4" t="s">
        <v>480</v>
      </c>
    </row>
    <row r="1069" customFormat="false" ht="17.15" hidden="false" customHeight="false" outlineLevel="0" collapsed="false">
      <c r="A1069" s="0" t="s">
        <v>481</v>
      </c>
      <c r="B1069" s="4" t="s">
        <v>442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2671.9336325</v>
      </c>
      <c r="G1069" s="14" t="n">
        <f aca="false">G1065*G1067*(1-G1068)</f>
        <v>3443.1508400625</v>
      </c>
      <c r="H1069" s="14" t="n">
        <f aca="false">H1065*H1067*(1-H1068)</f>
        <v>3629.65484389922</v>
      </c>
    </row>
    <row r="1070" customFormat="false" ht="17.15" hidden="false" customHeight="false" outlineLevel="0" collapsed="false">
      <c r="A1070" s="4" t="s">
        <v>482</v>
      </c>
      <c r="B1070" s="4" t="s">
        <v>442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MAX(0,F1069-E1069)+dlt*E1069</f>
        <v>946.806480096154</v>
      </c>
      <c r="F1070" s="14" t="n">
        <f aca="false">MAX(0,G1069-F1069)+dlt*F1069</f>
        <v>1038.4105708125</v>
      </c>
      <c r="G1070" s="14" t="n">
        <f aca="false">MAX(0,H1069-G1069)+dlt*G1069</f>
        <v>530.819087842968</v>
      </c>
      <c r="I1070" s="4" t="s">
        <v>483</v>
      </c>
    </row>
    <row r="1071" customFormat="false" ht="17.15" hidden="false" customHeight="false" outlineLevel="0" collapsed="false">
      <c r="A1071" s="0" t="s">
        <v>484</v>
      </c>
      <c r="B1071" s="0" t="s">
        <v>64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485</v>
      </c>
      <c r="B1072" s="0" t="s">
        <v>64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486</v>
      </c>
      <c r="B1073" s="0" t="s">
        <v>64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487</v>
      </c>
      <c r="B1074" s="0" t="s">
        <v>64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488</v>
      </c>
      <c r="B1075" s="4" t="s">
        <v>442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312.446138431731</v>
      </c>
      <c r="F1075" s="14" t="n">
        <f aca="false">F1070*F1074</f>
        <v>342.675488368125</v>
      </c>
      <c r="G1075" s="14" t="n">
        <f aca="false">G1070*G1074</f>
        <v>175.17029898818</v>
      </c>
    </row>
    <row r="1076" customFormat="false" ht="17.15" hidden="false" customHeight="false" outlineLevel="0" collapsed="false">
      <c r="A1076" s="6" t="s">
        <v>489</v>
      </c>
    </row>
    <row r="1077" customFormat="false" ht="17.15" hidden="false" customHeight="false" outlineLevel="0" collapsed="false">
      <c r="A1077" s="4" t="s">
        <v>490</v>
      </c>
      <c r="B1077" s="4" t="s">
        <v>228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</row>
    <row r="1078" customFormat="false" ht="17.15" hidden="false" customHeight="false" outlineLevel="0" collapsed="false">
      <c r="A1078" s="0" t="s">
        <v>491</v>
      </c>
      <c r="B1078" s="4" t="s">
        <v>228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4286.03259533926</v>
      </c>
      <c r="F1078" s="14" t="n">
        <f aca="false">$C1079*F1075</f>
        <v>4700.70880101627</v>
      </c>
      <c r="G1078" s="14" t="n">
        <f aca="false">$C1079*G1075</f>
        <v>2402.9281173616</v>
      </c>
      <c r="I1078" s="8" t="s">
        <v>492</v>
      </c>
    </row>
    <row r="1079" customFormat="false" ht="17.15" hidden="false" customHeight="false" outlineLevel="0" collapsed="false">
      <c r="A1079" s="4" t="s">
        <v>493</v>
      </c>
      <c r="B1079" s="4" t="s">
        <v>494</v>
      </c>
      <c r="C1079" s="20" t="n">
        <f aca="false">(C1078+D1078)/(C1075+D1075)</f>
        <v>13.7176686415529</v>
      </c>
      <c r="I1079" s="4" t="s">
        <v>495</v>
      </c>
    </row>
    <row r="1080" customFormat="false" ht="15" hidden="false" customHeight="false" outlineLevel="0" collapsed="false">
      <c r="A1080" s="4" t="s">
        <v>396</v>
      </c>
      <c r="B1080" s="4" t="s">
        <v>228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8014.83638733926</v>
      </c>
      <c r="F1080" s="14" t="n">
        <f aca="false">F1077+F1078</f>
        <v>8876.96904805627</v>
      </c>
      <c r="G1080" s="14" t="n">
        <f aca="false">G1077+G1078</f>
        <v>7080.33959404641</v>
      </c>
    </row>
    <row r="1081" customFormat="false" ht="17.15" hidden="false" customHeight="false" outlineLevel="0" collapsed="false">
      <c r="A1081" s="0" t="s">
        <v>496</v>
      </c>
      <c r="B1081" s="0" t="s">
        <v>64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0.534762331781314</v>
      </c>
      <c r="F1081" s="10" t="n">
        <f aca="false">F1078/F1080</f>
        <v>0.529539843562432</v>
      </c>
      <c r="G1081" s="10" t="n">
        <f aca="false">G1078/G1080</f>
        <v>0.339380348279077</v>
      </c>
    </row>
    <row r="1082" customFormat="false" ht="17.15" hidden="false" customHeight="false" outlineLevel="0" collapsed="false">
      <c r="A1082" s="4" t="s">
        <v>497</v>
      </c>
      <c r="B1082" s="4" t="s">
        <v>228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963.916023380144</v>
      </c>
      <c r="F1082" s="14" t="n">
        <f aca="false">opex_fix+opex_var*F1080</f>
        <v>1024.21448162537</v>
      </c>
      <c r="G1082" s="14" t="n">
        <f aca="false">opex_fix+opex_var*G1080</f>
        <v>898.556342163797</v>
      </c>
      <c r="I1082" s="4" t="s">
        <v>498</v>
      </c>
    </row>
    <row r="1083" customFormat="false" ht="17.15" hidden="false" customHeight="false" outlineLevel="0" collapsed="false">
      <c r="A1083" s="4" t="s">
        <v>465</v>
      </c>
      <c r="B1083" s="0" t="s">
        <v>64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499</v>
      </c>
    </row>
    <row r="1084" customFormat="false" ht="15" hidden="false" customHeight="false" outlineLevel="0" collapsed="false">
      <c r="A1084" s="4" t="s">
        <v>401</v>
      </c>
      <c r="B1084" s="4" t="s">
        <v>228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4770.96905318707</v>
      </c>
      <c r="F1084" s="14" t="n">
        <f aca="false">F1080*F1083</f>
        <v>5284.16833078183</v>
      </c>
      <c r="G1084" s="14" t="n">
        <f aca="false">G1080*G1083</f>
        <v>4214.69378247217</v>
      </c>
    </row>
    <row r="1085" customFormat="false" ht="15" hidden="false" customHeight="false" outlineLevel="0" collapsed="false">
      <c r="A1085" s="4" t="s">
        <v>404</v>
      </c>
      <c r="B1085" s="4" t="s">
        <v>228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3807.05302980693</v>
      </c>
      <c r="F1085" s="14" t="n">
        <f aca="false">F1084-F1082</f>
        <v>4259.95384915646</v>
      </c>
      <c r="G1085" s="14" t="n">
        <f aca="false">G1084-G1082</f>
        <v>3316.13744030837</v>
      </c>
    </row>
    <row r="1086" customFormat="false" ht="15" hidden="false" customHeight="false" outlineLevel="0" collapsed="false">
      <c r="A1086" s="4" t="s">
        <v>407</v>
      </c>
      <c r="B1086" s="0" t="s">
        <v>64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0.475000716898075</v>
      </c>
      <c r="F1086" s="10" t="n">
        <f aca="false">F1085/F1080</f>
        <v>0.479888329687173</v>
      </c>
      <c r="G1086" s="10" t="n">
        <f aca="false">G1085/G1080</f>
        <v>0.468358529454829</v>
      </c>
    </row>
    <row r="1087" customFormat="false" ht="15" hidden="false" customHeight="false" outlineLevel="0" collapsed="false">
      <c r="A1087" s="4" t="s">
        <v>466</v>
      </c>
      <c r="B1087" s="4" t="s">
        <v>228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2741.07818146099</v>
      </c>
      <c r="F1087" s="14" t="n">
        <f aca="false">F1085*nioi_lo</f>
        <v>3067.16677139265</v>
      </c>
      <c r="G1087" s="14" t="n">
        <f aca="false">G1085*nioi_lo</f>
        <v>2387.61895702203</v>
      </c>
    </row>
    <row r="1088" customFormat="false" ht="15" hidden="false" customHeight="false" outlineLevel="0" collapsed="false">
      <c r="A1088" s="0" t="s">
        <v>467</v>
      </c>
      <c r="B1088" s="0" t="s">
        <v>304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2858.53466241425</v>
      </c>
      <c r="F1088" s="14" t="n">
        <f aca="false">F1087*100/shares</f>
        <v>3198.59630080233</v>
      </c>
      <c r="G1088" s="14" t="n">
        <f aca="false">G1087*100/shares</f>
        <v>2489.92954504022</v>
      </c>
    </row>
    <row r="1089" customFormat="false" ht="17.15" hidden="false" customHeight="false" outlineLevel="0" collapsed="false">
      <c r="A1089" s="4" t="s">
        <v>500</v>
      </c>
      <c r="B1089" s="4" t="s">
        <v>228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12987.9775616341</v>
      </c>
      <c r="F1089" s="14" t="n">
        <f aca="false">$C1079*F1070</f>
        <v>14244.5721242917</v>
      </c>
      <c r="G1089" s="14" t="n">
        <f aca="false">$C1079*G1070</f>
        <v>7281.60035564122</v>
      </c>
      <c r="I1089" s="4" t="s">
        <v>501</v>
      </c>
    </row>
    <row r="1090" customFormat="false" ht="15" hidden="false" customHeight="false" outlineLevel="0" collapsed="false">
      <c r="A1090" s="4" t="s">
        <v>502</v>
      </c>
      <c r="B1090" s="0" t="s">
        <v>335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914.646307157333</v>
      </c>
      <c r="F1090" s="14" t="n">
        <f aca="false">F1089/fx*100</f>
        <v>1003.13888199238</v>
      </c>
      <c r="G1090" s="14" t="n">
        <f aca="false">G1089/fx*100</f>
        <v>512.788757439523</v>
      </c>
    </row>
    <row r="1100" customFormat="false" ht="17.15" hidden="false" customHeight="false" outlineLevel="0" collapsed="false">
      <c r="A1100" s="1" t="s">
        <v>793</v>
      </c>
    </row>
    <row r="1101" customFormat="false" ht="15" hidden="false" customHeight="false" outlineLevel="0" collapsed="false">
      <c r="A1101" s="5" t="s">
        <v>16</v>
      </c>
      <c r="B1101" s="5" t="s">
        <v>17</v>
      </c>
      <c r="C1101" s="13" t="s">
        <v>430</v>
      </c>
      <c r="D1101" s="13" t="s">
        <v>431</v>
      </c>
      <c r="E1101" s="13" t="s">
        <v>432</v>
      </c>
      <c r="F1101" s="13" t="s">
        <v>433</v>
      </c>
      <c r="G1101" s="13" t="s">
        <v>434</v>
      </c>
      <c r="H1101" s="13" t="s">
        <v>435</v>
      </c>
      <c r="I1101" s="5" t="s">
        <v>436</v>
      </c>
    </row>
    <row r="1102" customFormat="false" ht="17.15" hidden="false" customHeight="false" outlineLevel="0" collapsed="false">
      <c r="A1102" s="6" t="s">
        <v>470</v>
      </c>
    </row>
    <row r="1103" customFormat="false" ht="17.15" hidden="false" customHeight="false" outlineLevel="0" collapsed="false">
      <c r="A1103" s="0" t="s">
        <v>471</v>
      </c>
      <c r="B1103" s="0" t="s">
        <v>27</v>
      </c>
      <c r="C1103" s="19" t="n">
        <f aca="false">hsA_25</f>
        <v>2.22511470588235</v>
      </c>
      <c r="D1103" s="19" t="n">
        <f aca="false">hsA_26</f>
        <v>3.782695</v>
      </c>
      <c r="E1103" s="19" t="n">
        <f aca="false">hsA_27</f>
        <v>5.86317725</v>
      </c>
      <c r="F1103" s="19" t="n">
        <f aca="false">hsA_28</f>
        <v>8.5016070125</v>
      </c>
      <c r="G1103" s="19" t="n">
        <f aca="false">hsA_29</f>
        <v>11.477169466875</v>
      </c>
      <c r="H1103" s="19" t="n">
        <f aca="false">G1103*(1+g_tail)</f>
        <v>12.6248864135625</v>
      </c>
      <c r="I1103" s="8" t="s">
        <v>472</v>
      </c>
    </row>
    <row r="1104" customFormat="false" ht="17.15" hidden="false" customHeight="false" outlineLevel="0" collapsed="false">
      <c r="A1104" s="0" t="s">
        <v>473</v>
      </c>
      <c r="B1104" s="0" t="s">
        <v>474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475</v>
      </c>
      <c r="B1105" s="4" t="s">
        <v>440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476</v>
      </c>
    </row>
    <row r="1106" customFormat="false" ht="15" hidden="false" customHeight="false" outlineLevel="0" collapsed="false">
      <c r="A1106" s="4" t="s">
        <v>477</v>
      </c>
      <c r="B1106" s="4" t="s">
        <v>91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478</v>
      </c>
      <c r="B1107" s="0" t="s">
        <v>111</v>
      </c>
      <c r="C1107" s="20" t="n">
        <f aca="false">1+beta*(C1106-$C1106)/4</f>
        <v>1</v>
      </c>
      <c r="D1107" s="20" t="n">
        <f aca="false">1+beta*(D1106-$C1106)/4</f>
        <v>1.05</v>
      </c>
      <c r="E1107" s="20" t="n">
        <f aca="false">1+beta*(E1106-$C1106)/4</f>
        <v>1.0625</v>
      </c>
      <c r="F1107" s="20" t="n">
        <f aca="false">1+beta*(F1106-$C1106)/4</f>
        <v>1.1</v>
      </c>
      <c r="G1107" s="20" t="n">
        <f aca="false">1+beta*(G1106-$C1106)/4</f>
        <v>1.125</v>
      </c>
      <c r="H1107" s="20" t="n">
        <f aca="false">1+beta*(H1106-$C1106)/4</f>
        <v>1.15</v>
      </c>
    </row>
    <row r="1108" customFormat="false" ht="17.15" hidden="false" customHeight="false" outlineLevel="0" collapsed="false">
      <c r="A1108" s="4" t="s">
        <v>479</v>
      </c>
      <c r="B1108" s="0" t="s">
        <v>64</v>
      </c>
      <c r="C1108" s="10" t="n">
        <f aca="false">0</f>
        <v>0</v>
      </c>
      <c r="D1108" s="10" t="n">
        <f aca="false">0</f>
        <v>0</v>
      </c>
      <c r="E1108" s="10" t="n">
        <f aca="false">0</f>
        <v>0</v>
      </c>
      <c r="F1108" s="10" t="n">
        <f aca="false">0</f>
        <v>0</v>
      </c>
      <c r="G1108" s="10" t="n">
        <f aca="false">0</f>
        <v>0</v>
      </c>
      <c r="H1108" s="10" t="n">
        <f aca="false">0</f>
        <v>0</v>
      </c>
      <c r="I1108" s="4" t="s">
        <v>480</v>
      </c>
    </row>
    <row r="1109" customFormat="false" ht="17.15" hidden="false" customHeight="false" outlineLevel="0" collapsed="false">
      <c r="A1109" s="0" t="s">
        <v>481</v>
      </c>
      <c r="B1109" s="4" t="s">
        <v>442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2671.9336325</v>
      </c>
      <c r="G1109" s="14" t="n">
        <f aca="false">G1105*G1107*(1-G1108)</f>
        <v>3443.1508400625</v>
      </c>
      <c r="H1109" s="14" t="n">
        <f aca="false">H1105*H1107*(1-H1108)</f>
        <v>3629.65484389922</v>
      </c>
    </row>
    <row r="1110" customFormat="false" ht="17.15" hidden="false" customHeight="false" outlineLevel="0" collapsed="false">
      <c r="A1110" s="4" t="s">
        <v>482</v>
      </c>
      <c r="B1110" s="4" t="s">
        <v>442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MAX(0,F1109-E1109)+dlt*E1109</f>
        <v>946.806480096154</v>
      </c>
      <c r="F1110" s="14" t="n">
        <f aca="false">MAX(0,G1109-F1109)+dlt*F1109</f>
        <v>1038.4105708125</v>
      </c>
      <c r="G1110" s="14" t="n">
        <f aca="false">MAX(0,H1109-G1109)+dlt*G1109</f>
        <v>530.819087842968</v>
      </c>
      <c r="I1110" s="4" t="s">
        <v>483</v>
      </c>
    </row>
    <row r="1111" customFormat="false" ht="17.15" hidden="false" customHeight="false" outlineLevel="0" collapsed="false">
      <c r="A1111" s="0" t="s">
        <v>484</v>
      </c>
      <c r="B1111" s="0" t="s">
        <v>64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485</v>
      </c>
      <c r="B1112" s="0" t="s">
        <v>64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486</v>
      </c>
      <c r="B1113" s="0" t="s">
        <v>64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487</v>
      </c>
      <c r="B1114" s="0" t="s">
        <v>64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488</v>
      </c>
      <c r="B1115" s="4" t="s">
        <v>442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312.446138431731</v>
      </c>
      <c r="F1115" s="14" t="n">
        <f aca="false">F1110*F1114</f>
        <v>342.675488368125</v>
      </c>
      <c r="G1115" s="14" t="n">
        <f aca="false">G1110*G1114</f>
        <v>175.17029898818</v>
      </c>
    </row>
    <row r="1116" customFormat="false" ht="17.15" hidden="false" customHeight="false" outlineLevel="0" collapsed="false">
      <c r="A1116" s="6" t="s">
        <v>489</v>
      </c>
    </row>
    <row r="1117" customFormat="false" ht="17.15" hidden="false" customHeight="false" outlineLevel="0" collapsed="false">
      <c r="A1117" s="4" t="s">
        <v>490</v>
      </c>
      <c r="B1117" s="4" t="s">
        <v>228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</row>
    <row r="1118" customFormat="false" ht="17.15" hidden="false" customHeight="false" outlineLevel="0" collapsed="false">
      <c r="A1118" s="0" t="s">
        <v>491</v>
      </c>
      <c r="B1118" s="4" t="s">
        <v>228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4286.03259533926</v>
      </c>
      <c r="F1118" s="14" t="n">
        <f aca="false">$C1119*F1115</f>
        <v>4700.70880101627</v>
      </c>
      <c r="G1118" s="14" t="n">
        <f aca="false">$C1119*G1115</f>
        <v>2402.9281173616</v>
      </c>
      <c r="I1118" s="8" t="s">
        <v>492</v>
      </c>
    </row>
    <row r="1119" customFormat="false" ht="17.15" hidden="false" customHeight="false" outlineLevel="0" collapsed="false">
      <c r="A1119" s="4" t="s">
        <v>493</v>
      </c>
      <c r="B1119" s="4" t="s">
        <v>494</v>
      </c>
      <c r="C1119" s="20" t="n">
        <f aca="false">(C1118+D1118)/(C1115+D1115)</f>
        <v>13.7176686415529</v>
      </c>
      <c r="I1119" s="4" t="s">
        <v>495</v>
      </c>
    </row>
    <row r="1120" customFormat="false" ht="15" hidden="false" customHeight="false" outlineLevel="0" collapsed="false">
      <c r="A1120" s="4" t="s">
        <v>396</v>
      </c>
      <c r="B1120" s="4" t="s">
        <v>228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8014.83638733926</v>
      </c>
      <c r="F1120" s="14" t="n">
        <f aca="false">F1117+F1118</f>
        <v>8876.96904805627</v>
      </c>
      <c r="G1120" s="14" t="n">
        <f aca="false">G1117+G1118</f>
        <v>7080.33959404641</v>
      </c>
    </row>
    <row r="1121" customFormat="false" ht="17.15" hidden="false" customHeight="false" outlineLevel="0" collapsed="false">
      <c r="A1121" s="0" t="s">
        <v>496</v>
      </c>
      <c r="B1121" s="0" t="s">
        <v>64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0.534762331781314</v>
      </c>
      <c r="F1121" s="10" t="n">
        <f aca="false">F1118/F1120</f>
        <v>0.529539843562432</v>
      </c>
      <c r="G1121" s="10" t="n">
        <f aca="false">G1118/G1120</f>
        <v>0.339380348279077</v>
      </c>
    </row>
    <row r="1122" customFormat="false" ht="17.15" hidden="false" customHeight="false" outlineLevel="0" collapsed="false">
      <c r="A1122" s="4" t="s">
        <v>497</v>
      </c>
      <c r="B1122" s="4" t="s">
        <v>228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963.916023380144</v>
      </c>
      <c r="F1122" s="14" t="n">
        <f aca="false">opex_fix+opex_var*F1120</f>
        <v>1024.21448162537</v>
      </c>
      <c r="G1122" s="14" t="n">
        <f aca="false">opex_fix+opex_var*G1120</f>
        <v>898.556342163797</v>
      </c>
      <c r="I1122" s="4" t="s">
        <v>498</v>
      </c>
    </row>
    <row r="1123" customFormat="false" ht="17.15" hidden="false" customHeight="false" outlineLevel="0" collapsed="false">
      <c r="A1123" s="4" t="s">
        <v>465</v>
      </c>
      <c r="B1123" s="0" t="s">
        <v>64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499</v>
      </c>
    </row>
    <row r="1124" customFormat="false" ht="15" hidden="false" customHeight="false" outlineLevel="0" collapsed="false">
      <c r="A1124" s="4" t="s">
        <v>401</v>
      </c>
      <c r="B1124" s="4" t="s">
        <v>228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4770.96905318707</v>
      </c>
      <c r="F1124" s="14" t="n">
        <f aca="false">F1120*F1123</f>
        <v>5284.16833078183</v>
      </c>
      <c r="G1124" s="14" t="n">
        <f aca="false">G1120*G1123</f>
        <v>4214.69378247217</v>
      </c>
    </row>
    <row r="1125" customFormat="false" ht="15" hidden="false" customHeight="false" outlineLevel="0" collapsed="false">
      <c r="A1125" s="4" t="s">
        <v>404</v>
      </c>
      <c r="B1125" s="4" t="s">
        <v>228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3807.05302980693</v>
      </c>
      <c r="F1125" s="14" t="n">
        <f aca="false">F1124-F1122</f>
        <v>4259.95384915646</v>
      </c>
      <c r="G1125" s="14" t="n">
        <f aca="false">G1124-G1122</f>
        <v>3316.13744030837</v>
      </c>
    </row>
    <row r="1126" customFormat="false" ht="15" hidden="false" customHeight="false" outlineLevel="0" collapsed="false">
      <c r="A1126" s="4" t="s">
        <v>407</v>
      </c>
      <c r="B1126" s="0" t="s">
        <v>64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0.475000716898075</v>
      </c>
      <c r="F1126" s="10" t="n">
        <f aca="false">F1125/F1120</f>
        <v>0.479888329687173</v>
      </c>
      <c r="G1126" s="10" t="n">
        <f aca="false">G1125/G1120</f>
        <v>0.468358529454829</v>
      </c>
    </row>
    <row r="1127" customFormat="false" ht="15" hidden="false" customHeight="false" outlineLevel="0" collapsed="false">
      <c r="A1127" s="4" t="s">
        <v>466</v>
      </c>
      <c r="B1127" s="4" t="s">
        <v>228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3616.70037831658</v>
      </c>
      <c r="F1127" s="14" t="n">
        <f aca="false">F1125*nioi_hi</f>
        <v>4046.95615669864</v>
      </c>
      <c r="G1127" s="14" t="n">
        <f aca="false">G1125*nioi_hi</f>
        <v>3150.33056829296</v>
      </c>
    </row>
    <row r="1128" customFormat="false" ht="15" hidden="false" customHeight="false" outlineLevel="0" collapsed="false">
      <c r="A1128" s="0" t="s">
        <v>467</v>
      </c>
      <c r="B1128" s="0" t="s">
        <v>304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3771.67767957435</v>
      </c>
      <c r="F1128" s="14" t="n">
        <f aca="false">F1127*100/shares</f>
        <v>4220.37011911418</v>
      </c>
      <c r="G1128" s="14" t="n">
        <f aca="false">G1127*100/shares</f>
        <v>3285.3237052614</v>
      </c>
    </row>
    <row r="1129" customFormat="false" ht="17.15" hidden="false" customHeight="false" outlineLevel="0" collapsed="false">
      <c r="A1129" s="4" t="s">
        <v>500</v>
      </c>
      <c r="B1129" s="4" t="s">
        <v>228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12987.9775616341</v>
      </c>
      <c r="F1129" s="14" t="n">
        <f aca="false">$C1119*F1110</f>
        <v>14244.5721242917</v>
      </c>
      <c r="G1129" s="14" t="n">
        <f aca="false">$C1119*G1110</f>
        <v>7281.60035564122</v>
      </c>
      <c r="I1129" s="4" t="s">
        <v>501</v>
      </c>
    </row>
    <row r="1130" customFormat="false" ht="15" hidden="false" customHeight="false" outlineLevel="0" collapsed="false">
      <c r="A1130" s="4" t="s">
        <v>502</v>
      </c>
      <c r="B1130" s="0" t="s">
        <v>335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914.646307157333</v>
      </c>
      <c r="F1130" s="14" t="n">
        <f aca="false">F1129/fx*100</f>
        <v>1003.13888199238</v>
      </c>
      <c r="G1130" s="14" t="n">
        <f aca="false">G1129/fx*100</f>
        <v>512.788757439523</v>
      </c>
    </row>
    <row r="1133" customFormat="false" ht="17.15" hidden="false" customHeight="false" outlineLevel="0" collapsed="false">
      <c r="A1133" s="1" t="s">
        <v>794</v>
      </c>
    </row>
    <row r="1134" customFormat="false" ht="17.15" hidden="false" customHeight="false" outlineLevel="0" collapsed="false">
      <c r="A1134" s="5" t="s">
        <v>708</v>
      </c>
      <c r="B1134" s="5" t="s">
        <v>709</v>
      </c>
      <c r="C1134" s="13" t="s">
        <v>795</v>
      </c>
      <c r="D1134" s="13" t="s">
        <v>796</v>
      </c>
      <c r="E1134" s="5" t="s">
        <v>797</v>
      </c>
      <c r="F1134" s="5" t="s">
        <v>712</v>
      </c>
    </row>
    <row r="1135" customFormat="false" ht="17.15" hidden="false" customHeight="false" outlineLevel="0" collapsed="false">
      <c r="A1135" s="4" t="s">
        <v>19</v>
      </c>
      <c r="B1135" s="0" t="s">
        <v>798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27628.0128145558</v>
      </c>
      <c r="D1135" s="14" t="n">
        <f aca="false">Val!B107</f>
        <v>73073.0277472345</v>
      </c>
      <c r="E1135" s="14" t="n">
        <f aca="false">tp_w_dcf*C1135+(1-tp_w_dcf)*D1135</f>
        <v>50350.5202808951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799</v>
      </c>
      <c r="B1136" s="0" t="s">
        <v>800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24240.7213324511</v>
      </c>
      <c r="D1136" s="14" t="n">
        <f aca="false">Val!B107</f>
        <v>73073.0277472345</v>
      </c>
      <c r="E1136" s="14" t="n">
        <f aca="false">tp_w_dcf*C1136+(1-tp_w_dcf)*D1136</f>
        <v>48656.8745398428</v>
      </c>
      <c r="F1136" s="10" t="n">
        <f aca="false">E1136/E$1135-1</f>
        <v>-0.0336371050706891</v>
      </c>
    </row>
    <row r="1137" customFormat="false" ht="17.15" hidden="false" customHeight="false" outlineLevel="0" collapsed="false">
      <c r="A1137" s="4" t="s">
        <v>801</v>
      </c>
      <c r="B1137" s="0" t="s">
        <v>802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32362.1873557759</v>
      </c>
      <c r="D1137" s="14" t="n">
        <f aca="false">Val!B107</f>
        <v>73073.0277472345</v>
      </c>
      <c r="E1137" s="14" t="n">
        <f aca="false">tp_w_dcf*C1137+(1-tp_w_dcf)*D1137</f>
        <v>52717.6075515052</v>
      </c>
      <c r="F1137" s="10" t="n">
        <f aca="false">E1137/E$1135-1</f>
        <v>0.0470121710243421</v>
      </c>
    </row>
    <row r="1138" customFormat="false" ht="17.15" hidden="false" customHeight="false" outlineLevel="0" collapsed="false">
      <c r="A1138" s="4" t="s">
        <v>803</v>
      </c>
      <c r="B1138" s="0" t="s">
        <v>804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30502.3970039793</v>
      </c>
      <c r="D1138" s="14" t="n">
        <f aca="false">Val!B107</f>
        <v>73073.0277472345</v>
      </c>
      <c r="E1138" s="14" t="n">
        <f aca="false">tp_w_dcf*C1138+(1-tp_w_dcf)*D1138</f>
        <v>51787.7123756069</v>
      </c>
      <c r="F1138" s="10" t="n">
        <f aca="false">E1138/E$1135-1</f>
        <v>0.0285437387080405</v>
      </c>
    </row>
    <row r="1139" customFormat="false" ht="17.15" hidden="false" customHeight="false" outlineLevel="0" collapsed="false">
      <c r="A1139" s="4" t="s">
        <v>805</v>
      </c>
      <c r="B1139" s="0" t="s">
        <v>806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25646.2408076219</v>
      </c>
      <c r="D1139" s="14" t="n">
        <f aca="false">Val!B107</f>
        <v>73073.0277472345</v>
      </c>
      <c r="E1139" s="14" t="n">
        <f aca="false">tp_w_dcf*C1139+(1-tp_w_dcf)*D1139</f>
        <v>49359.6342774282</v>
      </c>
      <c r="F1139" s="10" t="n">
        <f aca="false">E1139/E$1135-1</f>
        <v>-0.0196797569903749</v>
      </c>
    </row>
    <row r="1140" customFormat="false" ht="17.15" hidden="false" customHeight="false" outlineLevel="0" collapsed="false">
      <c r="A1140" s="0" t="s">
        <v>807</v>
      </c>
      <c r="B1140" s="0" t="s">
        <v>808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27628.0128145558</v>
      </c>
      <c r="D1140" s="14" t="n">
        <f aca="false">Val!B107</f>
        <v>73073.0277472345</v>
      </c>
      <c r="E1140" s="14" t="n">
        <f aca="false">0.4*C1140+(1-0.4)*D1140</f>
        <v>54895.021774163</v>
      </c>
      <c r="F1140" s="10" t="n">
        <f aca="false">E1140/E$1135-1</f>
        <v>0.0902572896549039</v>
      </c>
    </row>
    <row r="1141" customFormat="false" ht="17.15" hidden="false" customHeight="false" outlineLevel="0" collapsed="false">
      <c r="A1141" s="0" t="s">
        <v>809</v>
      </c>
      <c r="B1141" s="0" t="s">
        <v>810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27628.0128145558</v>
      </c>
      <c r="D1141" s="14" t="n">
        <f aca="false">Val!B107</f>
        <v>73073.0277472345</v>
      </c>
      <c r="E1141" s="14" t="n">
        <f aca="false">0.8*C1141+(1-0.8)*D1141</f>
        <v>36717.0158010915</v>
      </c>
      <c r="F1141" s="10" t="n">
        <f aca="false">E1141/E$1135-1</f>
        <v>-0.270771868964712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811</v>
      </c>
    </row>
    <row r="2" customFormat="false" ht="17.15" hidden="false" customHeight="false" outlineLevel="0" collapsed="false">
      <c r="A2" s="4" t="s">
        <v>812</v>
      </c>
      <c r="B2" s="0" t="s">
        <v>813</v>
      </c>
    </row>
    <row r="3" customFormat="false" ht="17.15" hidden="false" customHeight="false" outlineLevel="0" collapsed="false">
      <c r="A3" s="0" t="s">
        <v>814</v>
      </c>
      <c r="B3" s="0" t="s">
        <v>815</v>
      </c>
    </row>
    <row r="4" customFormat="false" ht="17.15" hidden="false" customHeight="false" outlineLevel="0" collapsed="false">
      <c r="A4" s="0" t="s">
        <v>816</v>
      </c>
      <c r="B4" s="0" t="s">
        <v>817</v>
      </c>
    </row>
    <row r="5" customFormat="false" ht="17.15" hidden="false" customHeight="false" outlineLevel="0" collapsed="false">
      <c r="A5" s="0" t="s">
        <v>818</v>
      </c>
      <c r="B5" s="0" t="s">
        <v>819</v>
      </c>
    </row>
    <row r="6" customFormat="false" ht="17.15" hidden="false" customHeight="false" outlineLevel="0" collapsed="false">
      <c r="A6" s="0" t="s">
        <v>820</v>
      </c>
      <c r="B6" s="0" t="s">
        <v>821</v>
      </c>
    </row>
    <row r="7" customFormat="false" ht="17.15" hidden="false" customHeight="false" outlineLevel="0" collapsed="false">
      <c r="A7" s="0" t="s">
        <v>822</v>
      </c>
      <c r="B7" s="0" t="s">
        <v>823</v>
      </c>
    </row>
    <row r="8" customFormat="false" ht="17.15" hidden="false" customHeight="false" outlineLevel="0" collapsed="false">
      <c r="A8" s="0" t="s">
        <v>824</v>
      </c>
      <c r="B8" s="0" t="s">
        <v>825</v>
      </c>
    </row>
    <row r="9" customFormat="false" ht="17.15" hidden="false" customHeight="false" outlineLevel="0" collapsed="false">
      <c r="A9" s="0" t="s">
        <v>826</v>
      </c>
      <c r="B9" s="0" t="s">
        <v>827</v>
      </c>
    </row>
    <row r="10" customFormat="false" ht="17.15" hidden="false" customHeight="false" outlineLevel="0" collapsed="false">
      <c r="A10" s="0" t="s">
        <v>828</v>
      </c>
      <c r="B10" s="0" t="s">
        <v>829</v>
      </c>
    </row>
    <row r="11" customFormat="false" ht="17.15" hidden="false" customHeight="false" outlineLevel="0" collapsed="false">
      <c r="A11" s="0" t="s">
        <v>830</v>
      </c>
      <c r="B11" s="0" t="s">
        <v>831</v>
      </c>
    </row>
    <row r="12" customFormat="false" ht="17.15" hidden="false" customHeight="false" outlineLevel="0" collapsed="false">
      <c r="A12" s="0" t="s">
        <v>832</v>
      </c>
      <c r="B12" s="0" t="s">
        <v>833</v>
      </c>
    </row>
    <row r="13" customFormat="false" ht="17.15" hidden="false" customHeight="false" outlineLevel="0" collapsed="false">
      <c r="A13" s="0" t="s">
        <v>834</v>
      </c>
      <c r="B13" s="0" t="s">
        <v>835</v>
      </c>
    </row>
    <row r="14" customFormat="false" ht="17.15" hidden="false" customHeight="false" outlineLevel="0" collapsed="false">
      <c r="A14" s="0" t="s">
        <v>836</v>
      </c>
      <c r="B14" s="0" t="s">
        <v>837</v>
      </c>
    </row>
    <row r="15" customFormat="false" ht="17.15" hidden="false" customHeight="false" outlineLevel="0" collapsed="false">
      <c r="A15" s="0" t="s">
        <v>838</v>
      </c>
      <c r="B15" s="0" t="s">
        <v>839</v>
      </c>
    </row>
    <row r="16" customFormat="false" ht="17.15" hidden="false" customHeight="false" outlineLevel="0" collapsed="false">
      <c r="A16" s="0" t="s">
        <v>840</v>
      </c>
      <c r="B16" s="0" t="s">
        <v>841</v>
      </c>
    </row>
    <row r="17" customFormat="false" ht="17.15" hidden="false" customHeight="false" outlineLevel="0" collapsed="false">
      <c r="A17" s="0" t="s">
        <v>842</v>
      </c>
      <c r="B17" s="0" t="s">
        <v>843</v>
      </c>
    </row>
    <row r="18" customFormat="false" ht="17.15" hidden="false" customHeight="false" outlineLevel="0" collapsed="false">
      <c r="A18" s="0" t="s">
        <v>844</v>
      </c>
      <c r="B18" s="0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</row>
    <row r="20" customFormat="false" ht="17.15" hidden="false" customHeight="false" outlineLevel="0" collapsed="false">
      <c r="A20" s="0" t="s">
        <v>848</v>
      </c>
      <c r="B20" s="0" t="s">
        <v>849</v>
      </c>
    </row>
    <row r="21" customFormat="false" ht="17.15" hidden="false" customHeight="false" outlineLevel="0" collapsed="false">
      <c r="A21" s="4" t="s">
        <v>850</v>
      </c>
    </row>
    <row r="22" customFormat="false" ht="15" hidden="false" customHeight="false" outlineLevel="0" collapsed="false">
      <c r="A22" s="0" t="s">
        <v>851</v>
      </c>
      <c r="B22" s="4" t="s">
        <v>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2026-10-25T04:42:41Z</dcterms:created>
  <dc:creator>openpyxl</dc:creator>
  <dc:description/>
  <dc:language>en-US</dc:language>
  <cp:lastModifiedBy/>
  <dcterms:modified xsi:type="dcterms:W3CDTF">2026-10-25T04:42:42Z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