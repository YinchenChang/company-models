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<sst xmlns="http://schemas.openxmlformats.org/spreadsheetml/2006/main" count="3617" uniqueCount="863">
  <si>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</si>
  <si>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</si>
  <si>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</si>
  <si>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</si>
  <si>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</si>
  <si>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</si>
  <si>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</si>
  <si>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</si>
  <si>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</si>
  <si>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</si>
  <si>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</si>
  <si>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</si>
  <si>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</si>
  <si>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</si>
  <si>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</si>
  <si>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48,379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27,780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68,979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74.3%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63.4%</t>
    </r>
    <r>
      <rPr>
        <sz val="11"/>
        <color theme="1"/>
        <rFont val="Noto Sans CJK SC"/>
        <family val="2"/>
      </rPr>
      <t xml:space="preserve">。主因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與倍數都有：本模型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2,662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46.8%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70.8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）中位數 </t>
    </r>
    <r>
      <rPr>
        <sz val="11"/>
        <color theme="1"/>
        <rFont val="Calibri"/>
        <family val="2"/>
        <charset val="1"/>
      </rPr>
      <t xml:space="preserve">25.9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271,429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54.3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109%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）造成，而是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鍵合需求回落（</t>
    </r>
    <r>
      <rPr>
        <sz val="11"/>
        <color theme="1"/>
        <rFont val="Calibri"/>
        <family val="2"/>
        <charset val="1"/>
      </rPr>
      <t xml:space="preserve">FY2027 EPS 3,098 → 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2,363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</si>
  <si>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</si>
  <si>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</si>
  <si>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</si>
  <si>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</si>
  <si>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</si>
  <si>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</si>
  <si>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</si>
  <si>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</si>
  <si>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</si>
  <si>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</si>
  <si>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</si>
  <si>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</si>
  <si>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</si>
  <si>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</si>
  <si>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</si>
  <si>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</si>
  <si>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</si>
  <si>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</si>
  <si>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</si>
  <si>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</si>
  <si>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</si>
  <si>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</si>
  <si>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</si>
  <si>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</si>
  <si>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</si>
  <si>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</si>
  <si>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</si>
  <si>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</si>
  <si>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</si>
  <si>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</si>
  <si>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</si>
  <si>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</si>
  <si>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</si>
  <si>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</si>
  <si>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</si>
  <si>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</si>
  <si>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</si>
  <si>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</si>
  <si>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</si>
  <si>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</si>
  <si>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</si>
  <si>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</si>
  <si>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</si>
  <si>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</si>
  <si>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</si>
  <si>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</si>
  <si>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</si>
  <si>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</si>
  <si>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</si>
  <si>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</si>
  <si>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</si>
  <si>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</si>
  <si>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</si>
  <si>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</si>
  <si>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</si>
  <si>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</si>
  <si>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</si>
  <si>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</si>
  <si>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</si>
  <si>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</si>
  <si>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</si>
  <si>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</si>
  <si>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</si>
  <si>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</si>
  <si>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</si>
  <si>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</si>
  <si>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</si>
  <si>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</si>
  <si>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</si>
  <si>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</si>
  <si>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</si>
  <si>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</si>
  <si>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</si>
  <si>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</si>
  <si>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</si>
  <si>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</si>
  <si>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</si>
  <si>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</si>
  <si>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</si>
  <si>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</si>
  <si>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</si>
  <si>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</si>
  <si>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</si>
  <si>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</si>
  <si>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</si>
  <si>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</si>
  <si>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</si>
  <si>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</si>
  <si>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</si>
  <si>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</si>
  <si>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</si>
  <si>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</si>
  <si>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</si>
  <si>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</si>
  <si>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</si>
  <si>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</si>
  <si>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</si>
  <si>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</si>
  <si>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</si>
  <si>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</si>
  <si>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</si>
  <si>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</si>
  <si>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</si>
  <si>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</si>
  <si>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</si>
  <si>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</si>
  <si>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</si>
  <si>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</si>
  <si>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</si>
  <si>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</si>
  <si>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</si>
  <si>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</si>
  <si>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</si>
  <si>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</si>
  <si>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</si>
  <si>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</si>
  <si>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</si>
  <si>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</si>
  <si>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</si>
  <si>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</si>
  <si>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</si>
  <si>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</si>
  <si>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</si>
  <si>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</si>
  <si>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</si>
  <si>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</si>
  <si>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</si>
  <si>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</si>
  <si>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</si>
  <si>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</si>
  <si>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</si>
  <si>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</si>
  <si>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</si>
  <si>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</si>
  <si>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</si>
  <si>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</si>
  <si>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</si>
  <si>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</si>
  <si>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</si>
  <si>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</si>
  <si>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</si>
  <si>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</si>
  <si>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</si>
  <si>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</si>
  <si>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</si>
  <si>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</si>
  <si>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</si>
  <si>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</si>
  <si>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</si>
  <si>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</si>
  <si>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</si>
  <si>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</si>
  <si>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</si>
  <si>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</si>
  <si>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</si>
  <si>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</si>
  <si>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</si>
  <si>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</si>
  <si>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</si>
  <si>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</si>
  <si>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</si>
  <si>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</si>
  <si>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</si>
  <si>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</si>
  <si>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</si>
  <si>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</si>
  <si>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</si>
  <si>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</si>
  <si>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</si>
  <si>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</si>
  <si>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</si>
  <si>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</si>
  <si>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</si>
  <si>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</si>
  <si>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</si>
  <si>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</si>
  <si>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</si>
  <si>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</si>
  <si>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</si>
  <si>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</si>
  <si>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</si>
  <si>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</si>
  <si>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</si>
  <si>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</si>
  <si>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</si>
  <si>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</si>
  <si>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</si>
  <si>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</si>
  <si>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</si>
  <si>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</si>
  <si>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</si>
  <si>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</si>
  <si>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</si>
  <si>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</si>
  <si>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</si>
  <si>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</si>
  <si>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</si>
  <si>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</si>
  <si>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</si>
  <si>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</si>
  <si>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</si>
  <si>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</si>
  <si>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</si>
  <si>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</si>
  <si>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</si>
  <si>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</si>
  <si>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</si>
  <si>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</si>
  <si>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</si>
  <si>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</si>
  <si>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</si>
  <si>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</si>
  <si>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</si>
  <si>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</si>
  <si>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</si>
  <si>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</si>
  <si>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</si>
  <si>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</si>
  <si>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</si>
  <si>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</si>
  <si>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</si>
  <si>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</si>
  <si>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</si>
  <si>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</si>
  <si>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</si>
  <si>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</si>
  <si>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</si>
  <si>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</si>
  <si>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</si>
  <si>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</si>
  <si>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</si>
  <si>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</si>
  <si>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</si>
  <si>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</si>
  <si>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</si>
  <si>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</si>
  <si>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</si>
  <si>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</si>
  <si>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</si>
  <si>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</si>
  <si>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</si>
  <si>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</si>
  <si>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</si>
  <si>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</si>
  <si>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</si>
  <si>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</si>
  <si>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</si>
  <si>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</si>
  <si>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</si>
  <si>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</si>
  <si>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</si>
  <si>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</si>
  <si>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</si>
  <si>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</si>
  <si>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</si>
  <si>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</si>
  <si>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</si>
  <si>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</si>
  <si>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</si>
  <si>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</si>
  <si>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</si>
  <si>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</si>
  <si>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</si>
  <si>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</si>
  <si>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</si>
  <si>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</si>
  <si>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</si>
  <si>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</si>
  <si>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</si>
  <si>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</si>
  <si>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</si>
  <si>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</si>
  <si>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</si>
  <si>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</si>
  <si>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</si>
  <si>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</si>
  <si>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</si>
  <si>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</si>
  <si>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</si>
  <si>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</si>
  <si>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</si>
  <si>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</si>
  <si>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</si>
  <si>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</si>
  <si>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</si>
  <si>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</si>
  <si>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</si>
  <si>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</si>
  <si>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</si>
  <si>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</si>
  <si>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</si>
  <si>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</si>
  <si>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</si>
  <si>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</si>
  <si>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</si>
  <si>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</si>
  <si>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</si>
  <si>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</si>
  <si>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</si>
  <si>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</si>
  <si>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</si>
  <si>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</si>
  <si>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</si>
  <si>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</si>
  <si>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</si>
  <si>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</si>
  <si>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</si>
  <si>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</si>
  <si>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</si>
  <si>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</si>
  <si>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</si>
  <si>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</si>
  <si>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</si>
  <si>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</si>
  <si>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</si>
  <si>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</si>
  <si>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</si>
  <si>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</si>
  <si>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</si>
  <si>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</si>
  <si>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</si>
  <si>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</si>
  <si>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</si>
  <si>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</si>
  <si>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</si>
  <si>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</si>
  <si>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</si>
  <si>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</si>
  <si>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</si>
  <si>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</si>
  <si>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</si>
  <si>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</si>
  <si>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</si>
  <si>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</si>
  <si>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</si>
  <si>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</si>
  <si>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</si>
  <si>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</si>
  <si>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</si>
  <si>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</si>
  <si>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</si>
  <si>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</si>
  <si>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</si>
  <si>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</si>
  <si>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</si>
  <si>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</si>
  <si>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</si>
  <si>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</si>
  <si>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</si>
  <si>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</si>
  <si>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</si>
  <si>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</si>
  <si>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</si>
  <si>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</si>
  <si>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</si>
  <si>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</si>
  <si>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</si>
  <si>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</si>
  <si>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</si>
  <si>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</si>
  <si>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</si>
  <si>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</si>
  <si>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</si>
  <si>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</si>
  <si>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</si>
  <si>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</si>
  <si>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</si>
  <si>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</si>
  <si>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</si>
  <si>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</si>
  <si>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</si>
  <si>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</si>
  <si>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</si>
  <si>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</si>
  <si>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</si>
  <si>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</si>
  <si>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</si>
  <si>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</si>
  <si>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</si>
  <si>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</si>
  <si>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</si>
  <si>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</si>
  <si>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</si>
  <si>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</si>
  <si>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</si>
  <si>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</si>
  <si>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</si>
  <si>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</si>
  <si>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</si>
  <si>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</si>
  <si>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</si>
  <si>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</si>
  <si>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</si>
  <si>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</si>
  <si>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</si>
  <si>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</si>
  <si>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</si>
  <si>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</si>
  <si>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</si>
  <si>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</si>
  <si>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</si>
  <si>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</si>
  <si>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</si>
  <si>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</si>
  <si>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</si>
  <si>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</si>
  <si>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</si>
  <si>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</si>
  <si>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</si>
  <si>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</si>
  <si>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</si>
  <si>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</si>
  <si>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</si>
  <si>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</si>
  <si>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</si>
  <si>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</si>
  <si>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</si>
  <si>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</si>
  <si>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</si>
  <si>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</si>
  <si>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</si>
  <si>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</si>
  <si>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</si>
  <si>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</si>
  <si>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</si>
  <si>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</si>
  <si>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</si>
  <si>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</si>
  <si>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</si>
  <si>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</si>
  <si>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</si>
  <si>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</si>
  <si>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</si>
  <si>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</si>
  <si>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</si>
  <si>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</si>
  <si>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</si>
  <si>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</si>
  <si>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</si>
  <si>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</si>
  <si>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</si>
  <si>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</si>
  <si>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</si>
  <si>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</si>
  <si>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</si>
  <si>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</si>
  <si>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</si>
  <si>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</si>
  <si>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</si>
  <si>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</si>
  <si>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</si>
  <si>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</si>
  <si>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</si>
  <si>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</si>
  <si>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</si>
  <si>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</si>
  <si>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</si>
  <si>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</si>
  <si>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</si>
  <si>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</si>
  <si>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</si>
  <si>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</si>
  <si>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</si>
  <si>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</si>
  <si>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</si>
  <si>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</si>
  <si>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</si>
  <si>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</si>
  <si>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</si>
  <si>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</si>
  <si>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</si>
  <si>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</si>
  <si>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</si>
  <si>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</si>
  <si>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</si>
  <si>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</si>
  <si>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</si>
  <si>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</si>
  <si>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</si>
  <si>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</si>
  <si>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</si>
  <si>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</si>
  <si>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</si>
  <si>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</si>
  <si>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</si>
  <si>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</si>
  <si>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</si>
  <si>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</si>
  <si>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</si>
  <si>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</si>
  <si>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</si>
  <si>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</si>
  <si>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</si>
  <si>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</si>
  <si>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</si>
  <si>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</si>
  <si>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</si>
  <si>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</si>
  <si>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</si>
  <si>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</si>
  <si>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</si>
  <si>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</si>
  <si>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</si>
  <si>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</si>
  <si>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</si>
  <si>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</si>
  <si>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</si>
  <si>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</si>
  <si>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</si>
  <si>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</si>
  <si>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</si>
  <si>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</si>
  <si>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</si>
  <si>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</si>
  <si>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</si>
  <si>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</si>
  <si>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</si>
  <si>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</si>
  <si>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</si>
  <si>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</si>
  <si>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</si>
  <si>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</si>
  <si>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</si>
  <si>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</si>
  <si>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</si>
  <si>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</si>
  <si>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</si>
  <si>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</si>
  <si>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</si>
  <si>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</si>
  <si>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</si>
  <si>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</si>
  <si>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</si>
  <si>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</si>
  <si>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</si>
  <si>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</si>
  <si>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</si>
  <si>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</si>
  <si>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</si>
  <si>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</si>
  <si>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</si>
  <si>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</si>
  <si>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</si>
  <si>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</si>
  <si>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</si>
  <si>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</si>
  <si>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</si>
  <si>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</si>
  <si>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</si>
  <si>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</si>
  <si>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</si>
  <si>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</si>
  <si>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</si>
  <si>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</si>
  <si>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</si>
  <si>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</si>
  <si>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</si>
  <si>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</si>
  <si>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</si>
  <si>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</si>
  <si>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</si>
  <si>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</si>
  <si>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</si>
  <si>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</si>
  <si>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</si>
  <si>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</si>
  <si>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</si>
  <si>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</si>
  <si>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</si>
  <si>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</si>
  <si>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</si>
  <si>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</si>
  <si>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</si>
  <si>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</si>
  <si>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</si>
  <si>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</si>
  <si>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</si>
  <si>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</si>
  <si>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</si>
  <si>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</si>
  <si>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</si>
  <si>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</si>
  <si>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</si>
  <si>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</si>
  <si>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</si>
  <si>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</si>
  <si>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</si>
  <si>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</si>
  <si>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</si>
  <si>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</si>
  <si>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</si>
  <si>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</si>
  <si>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</si>
  <si>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</si>
  <si>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</si>
  <si>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</si>
  <si>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</si>
  <si>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</si>
  <si>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</si>
  <si>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</si>
  <si>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</si>
  <si>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</si>
  <si>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</si>
  <si>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</si>
  <si>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</si>
  <si>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</si>
  <si>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</si>
  <si>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</si>
  <si>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</si>
  <si>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</si>
  <si>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</si>
  <si>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</si>
  <si>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</si>
  <si>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</si>
  <si>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</si>
  <si>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</si>
  <si>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</si>
  <si>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</si>
  <si>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</si>
  <si>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</si>
  <si>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</si>
  <si>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</si>
  <si>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</si>
  <si>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</si>
  <si>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</si>
  <si>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</si>
  <si>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</si>
  <si>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</si>
  <si>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</si>
  <si>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</si>
  <si>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</si>
  <si>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</si>
  <si>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</si>
  <si>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</si>
  <si>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</si>
  <si>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</si>
  <si>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</si>
  <si>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</si>
  <si>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</si>
  <si>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</si>
  <si>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</si>
  <si>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</si>
  <si>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</si>
  <si>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</si>
  <si>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</si>
  <si>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</si>
  <si>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</si>
  <si>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</si>
  <si>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</si>
  <si>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</si>
  <si>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</si>
  <si>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</si>
  <si>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</si>
  <si>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</si>
  <si>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</si>
  <si>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</si>
  <si>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</si>
  <si>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</si>
  <si>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</si>
  <si>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</si>
  <si>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</si>
  <si>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</si>
  <si>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</si>
  <si>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</si>
  <si>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</si>
  <si>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</si>
  <si>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</si>
  <si>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</si>
  <si>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</si>
  <si>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</si>
  <si>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</si>
  <si>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</si>
  <si>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</si>
  <si>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</si>
  <si>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</si>
  <si>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</si>
  <si>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</si>
  <si>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</si>
  <si>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</si>
  <si>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</si>
  <si>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</si>
  <si>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</si>
  <si>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</si>
  <si>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</si>
  <si>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</si>
  <si>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</si>
  <si>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</si>
  <si>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</si>
  <si>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</si>
  <si>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</si>
  <si>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</si>
  <si>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</si>
  <si>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</si>
  <si>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</si>
  <si>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</si>
  <si>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</si>
  <si>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</si>
  <si>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</si>
  <si>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</si>
  <si>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</si>
  <si>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</si>
  <si>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</si>
  <si>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</si>
  <si>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</si>
  <si>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</si>
  <si>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</si>
  <si>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</si>
  <si>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</si>
  <si>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</si>
  <si>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</si>
  <si>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</si>
  <si>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</si>
  <si>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</si>
  <si>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</si>
  <si>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</si>
  <si>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</si>
  <si>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</si>
  <si>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</si>
  <si>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</si>
  <si>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</si>
  <si>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</si>
  <si>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</si>
  <si>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</si>
  <si>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</si>
  <si>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</si>
  <si>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</si>
  <si>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</si>
  <si>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</si>
  <si>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</si>
  <si>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</si>
  <si>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</si>
  <si>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</si>
  <si>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</si>
  <si>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</si>
  <si>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</si>
  <si>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</si>
  <si>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</si>
  <si>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</si>
  <si>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</si>
  <si>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</si>
  <si>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</si>
  <si>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</si>
  <si>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</si>
  <si>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</si>
  <si>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</si>
  <si>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</si>
  <si>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</si>
  <si>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</si>
  <si>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</si>
  <si>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</si>
  <si>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</si>
  <si>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</si>
  <si>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</si>
  <si>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</si>
  <si>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</si>
  <si>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</si>
  <si>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</si>
  <si>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</si>
  <si>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</si>
  <si>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；混合鍵合低值（導入慢）；份額回落、毛利率下調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</si>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</sst>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#,##0.0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2.22511470588235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3.782695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5.86317725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8.5016070125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11.477169466875</v>
      </c>
      <c r="G9" s="8" t="s">
        <v>33</v>
      </c>
      <c r="H9" s="8" t="s">
        <v>34</v>
      </c>
      <c r="I9" s="4" t="s">
        <v>38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32</v>
      </c>
      <c r="E10" s="7" t="n">
        <v>2.22511470588235</v>
      </c>
      <c r="G10" s="8" t="s">
        <v>33</v>
      </c>
      <c r="H10" s="8" t="s">
        <v>47</v>
      </c>
      <c r="I10" s="8" t="s">
        <v>35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32</v>
      </c>
      <c r="E11" s="7" t="n">
        <v>3.782695</v>
      </c>
      <c r="G11" s="8" t="s">
        <v>33</v>
      </c>
      <c r="H11" s="8" t="s">
        <v>47</v>
      </c>
      <c r="I11" s="4" t="s">
        <v>38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32</v>
      </c>
      <c r="E12" s="7" t="n">
        <v>5.86317725</v>
      </c>
      <c r="G12" s="8" t="s">
        <v>33</v>
      </c>
      <c r="H12" s="8" t="s">
        <v>47</v>
      </c>
      <c r="I12" s="4" t="s">
        <v>38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32</v>
      </c>
      <c r="E13" s="7" t="n">
        <v>8.22296</v>
      </c>
      <c r="G13" s="8" t="s">
        <v>33</v>
      </c>
      <c r="H13" s="8" t="s">
        <v>47</v>
      </c>
      <c r="I13" s="4" t="s">
        <v>38</v>
      </c>
    </row>
    <row r="14" customFormat="false" ht="17.15" hidden="false" customHeight="false" outlineLevel="0" collapsed="false">
      <c r="A14" s="0" t="s">
        <v>54</v>
      </c>
      <c r="B14" s="0" t="s">
        <v>55</v>
      </c>
      <c r="C14" s="0" t="s">
        <v>32</v>
      </c>
      <c r="E14" s="7" t="n">
        <v>11.3579635</v>
      </c>
      <c r="G14" s="8" t="s">
        <v>33</v>
      </c>
      <c r="H14" s="8" t="s">
        <v>47</v>
      </c>
      <c r="I14" s="4" t="s">
        <v>38</v>
      </c>
    </row>
    <row r="15" customFormat="false" ht="17.15" hidden="false" customHeight="false" outlineLevel="0" collapsed="false">
      <c r="A15" s="0" t="s">
        <v>56</v>
      </c>
      <c r="B15" s="0" t="s">
        <v>57</v>
      </c>
      <c r="C15" s="0" t="s">
        <v>32</v>
      </c>
      <c r="E15" s="7" t="n">
        <v>2.22511470588235</v>
      </c>
      <c r="G15" s="8" t="s">
        <v>33</v>
      </c>
      <c r="H15" s="8" t="s">
        <v>58</v>
      </c>
      <c r="I15" s="8" t="s">
        <v>35</v>
      </c>
    </row>
    <row r="16" customFormat="false" ht="17.15" hidden="false" customHeight="false" outlineLevel="0" collapsed="false">
      <c r="A16" s="0" t="s">
        <v>59</v>
      </c>
      <c r="B16" s="0" t="s">
        <v>60</v>
      </c>
      <c r="C16" s="0" t="s">
        <v>32</v>
      </c>
      <c r="E16" s="7" t="n">
        <v>3.782695</v>
      </c>
      <c r="G16" s="8" t="s">
        <v>33</v>
      </c>
      <c r="H16" s="8" t="s">
        <v>58</v>
      </c>
      <c r="I16" s="4" t="s">
        <v>38</v>
      </c>
    </row>
    <row r="17" customFormat="false" ht="17.15" hidden="false" customHeight="false" outlineLevel="0" collapsed="false">
      <c r="A17" s="0" t="s">
        <v>61</v>
      </c>
      <c r="B17" s="0" t="s">
        <v>62</v>
      </c>
      <c r="C17" s="0" t="s">
        <v>32</v>
      </c>
      <c r="E17" s="7" t="n">
        <v>5.86317725</v>
      </c>
      <c r="G17" s="8" t="s">
        <v>33</v>
      </c>
      <c r="H17" s="8" t="s">
        <v>58</v>
      </c>
      <c r="I17" s="4" t="s">
        <v>38</v>
      </c>
    </row>
    <row r="18" customFormat="false" ht="17.15" hidden="false" customHeight="false" outlineLevel="0" collapsed="false">
      <c r="A18" s="0" t="s">
        <v>63</v>
      </c>
      <c r="B18" s="0" t="s">
        <v>64</v>
      </c>
      <c r="C18" s="0" t="s">
        <v>32</v>
      </c>
      <c r="E18" s="7" t="n">
        <v>6.16722</v>
      </c>
      <c r="G18" s="8" t="s">
        <v>33</v>
      </c>
      <c r="H18" s="8" t="s">
        <v>58</v>
      </c>
      <c r="I18" s="4" t="s">
        <v>38</v>
      </c>
    </row>
    <row r="19" customFormat="false" ht="17.15" hidden="false" customHeight="false" outlineLevel="0" collapsed="false">
      <c r="A19" s="0" t="s">
        <v>65</v>
      </c>
      <c r="B19" s="0" t="s">
        <v>66</v>
      </c>
      <c r="C19" s="0" t="s">
        <v>32</v>
      </c>
      <c r="E19" s="7" t="n">
        <v>8.017386</v>
      </c>
      <c r="G19" s="8" t="s">
        <v>33</v>
      </c>
      <c r="H19" s="8" t="s">
        <v>58</v>
      </c>
      <c r="I19" s="4" t="s">
        <v>38</v>
      </c>
    </row>
    <row r="20" customFormat="false" ht="17.15" hidden="false" customHeight="false" outlineLevel="0" collapsed="false">
      <c r="A20" s="0" t="s">
        <v>67</v>
      </c>
      <c r="B20" s="0" t="s">
        <v>68</v>
      </c>
      <c r="C20" s="0" t="s">
        <v>69</v>
      </c>
      <c r="D20" s="7" t="n">
        <v>0</v>
      </c>
      <c r="E20" s="7" t="n">
        <v>0.1</v>
      </c>
      <c r="F20" s="7" t="n">
        <v>0.2</v>
      </c>
      <c r="G20" s="8" t="s">
        <v>70</v>
      </c>
      <c r="H20" s="4" t="s">
        <v>71</v>
      </c>
      <c r="I20" s="4" t="s">
        <v>72</v>
      </c>
    </row>
    <row r="21" customFormat="false" ht="17.15" hidden="false" customHeight="false" outlineLevel="0" collapsed="false">
      <c r="A21" s="6" t="s">
        <v>73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0" t="s">
        <v>76</v>
      </c>
      <c r="D22" s="7" t="n">
        <v>22</v>
      </c>
      <c r="E22" s="7" t="n">
        <v>24</v>
      </c>
      <c r="F22" s="7" t="n">
        <v>24</v>
      </c>
      <c r="G22" s="8" t="s">
        <v>70</v>
      </c>
      <c r="H22" s="8" t="s">
        <v>77</v>
      </c>
      <c r="I22" s="8" t="s">
        <v>78</v>
      </c>
    </row>
    <row r="23" customFormat="false" ht="17.15" hidden="false" customHeight="false" outlineLevel="0" collapsed="false">
      <c r="A23" s="0" t="s">
        <v>79</v>
      </c>
      <c r="B23" s="0" t="s">
        <v>80</v>
      </c>
      <c r="C23" s="0" t="s">
        <v>76</v>
      </c>
      <c r="D23" s="7" t="n">
        <v>24</v>
      </c>
      <c r="E23" s="7" t="n">
        <v>24</v>
      </c>
      <c r="F23" s="7" t="n">
        <v>26</v>
      </c>
      <c r="G23" s="8" t="s">
        <v>70</v>
      </c>
      <c r="H23" s="8" t="s">
        <v>81</v>
      </c>
      <c r="I23" s="4" t="s">
        <v>38</v>
      </c>
    </row>
    <row r="24" customFormat="false" ht="17.15" hidden="false" customHeight="false" outlineLevel="0" collapsed="false">
      <c r="A24" s="0" t="s">
        <v>82</v>
      </c>
      <c r="B24" s="0" t="s">
        <v>83</v>
      </c>
      <c r="C24" s="0" t="s">
        <v>76</v>
      </c>
      <c r="D24" s="7" t="n">
        <v>24</v>
      </c>
      <c r="E24" s="7" t="n">
        <v>26</v>
      </c>
      <c r="F24" s="7" t="n">
        <v>28</v>
      </c>
      <c r="G24" s="8" t="s">
        <v>70</v>
      </c>
      <c r="H24" s="8" t="s">
        <v>84</v>
      </c>
      <c r="I24" s="4" t="s">
        <v>38</v>
      </c>
    </row>
    <row r="25" customFormat="false" ht="17.15" hidden="false" customHeight="false" outlineLevel="0" collapsed="false">
      <c r="A25" s="0" t="s">
        <v>85</v>
      </c>
      <c r="B25" s="0" t="s">
        <v>86</v>
      </c>
      <c r="C25" s="0" t="s">
        <v>76</v>
      </c>
      <c r="D25" s="7" t="n">
        <v>24</v>
      </c>
      <c r="E25" s="7" t="n">
        <v>28</v>
      </c>
      <c r="F25" s="7" t="n">
        <v>32</v>
      </c>
      <c r="G25" s="8" t="s">
        <v>70</v>
      </c>
      <c r="H25" s="8" t="s">
        <v>87</v>
      </c>
      <c r="I25" s="4" t="s">
        <v>38</v>
      </c>
    </row>
    <row r="26" customFormat="false" ht="17.15" hidden="false" customHeight="false" outlineLevel="0" collapsed="false">
      <c r="A26" s="0" t="s">
        <v>88</v>
      </c>
      <c r="B26" s="0" t="s">
        <v>89</v>
      </c>
      <c r="C26" s="0" t="s">
        <v>76</v>
      </c>
      <c r="D26" s="7" t="n">
        <v>26</v>
      </c>
      <c r="E26" s="7" t="n">
        <v>30</v>
      </c>
      <c r="F26" s="7" t="n">
        <v>32</v>
      </c>
      <c r="G26" s="8" t="s">
        <v>70</v>
      </c>
      <c r="H26" s="8" t="s">
        <v>90</v>
      </c>
      <c r="I26" s="4" t="s">
        <v>38</v>
      </c>
    </row>
    <row r="27" customFormat="false" ht="17.15" hidden="false" customHeight="false" outlineLevel="0" collapsed="false">
      <c r="A27" s="0" t="s">
        <v>91</v>
      </c>
      <c r="B27" s="0" t="s">
        <v>92</v>
      </c>
      <c r="C27" s="0" t="s">
        <v>76</v>
      </c>
      <c r="D27" s="7" t="n">
        <v>28</v>
      </c>
      <c r="E27" s="7" t="n">
        <v>32</v>
      </c>
      <c r="F27" s="7" t="n">
        <v>32</v>
      </c>
      <c r="G27" s="8" t="s">
        <v>70</v>
      </c>
      <c r="H27" s="8" t="s">
        <v>93</v>
      </c>
      <c r="I27" s="4" t="s">
        <v>38</v>
      </c>
    </row>
    <row r="28" customFormat="false" ht="17.15" hidden="false" customHeight="false" outlineLevel="0" collapsed="false">
      <c r="A28" s="0" t="s">
        <v>94</v>
      </c>
      <c r="B28" s="0" t="s">
        <v>95</v>
      </c>
      <c r="C28" s="4" t="s">
        <v>96</v>
      </c>
      <c r="D28" s="7" t="n">
        <v>8</v>
      </c>
      <c r="E28" s="7" t="n">
        <v>10</v>
      </c>
      <c r="F28" s="7" t="n">
        <v>12</v>
      </c>
      <c r="G28" s="8" t="s">
        <v>70</v>
      </c>
      <c r="H28" s="8" t="s">
        <v>97</v>
      </c>
      <c r="I28" s="4" t="s">
        <v>98</v>
      </c>
    </row>
    <row r="29" customFormat="false" ht="17.15" hidden="false" customHeight="false" outlineLevel="0" collapsed="false">
      <c r="A29" s="0" t="s">
        <v>99</v>
      </c>
      <c r="B29" s="0" t="s">
        <v>100</v>
      </c>
      <c r="C29" s="4" t="s">
        <v>96</v>
      </c>
      <c r="D29" s="7" t="n">
        <v>10</v>
      </c>
      <c r="E29" s="7" t="n">
        <v>12</v>
      </c>
      <c r="F29" s="7" t="n">
        <v>12</v>
      </c>
      <c r="G29" s="8" t="s">
        <v>70</v>
      </c>
      <c r="H29" s="8" t="s">
        <v>101</v>
      </c>
      <c r="I29" s="4" t="s">
        <v>38</v>
      </c>
    </row>
    <row r="30" customFormat="false" ht="17.15" hidden="false" customHeight="false" outlineLevel="0" collapsed="false">
      <c r="A30" s="0" t="s">
        <v>102</v>
      </c>
      <c r="B30" s="0" t="s">
        <v>103</v>
      </c>
      <c r="C30" s="4" t="s">
        <v>96</v>
      </c>
      <c r="D30" s="7" t="n">
        <v>12</v>
      </c>
      <c r="E30" s="7" t="n">
        <v>12.5</v>
      </c>
      <c r="F30" s="7" t="n">
        <v>14</v>
      </c>
      <c r="G30" s="8" t="s">
        <v>70</v>
      </c>
      <c r="H30" s="8" t="s">
        <v>104</v>
      </c>
      <c r="I30" s="4" t="s">
        <v>38</v>
      </c>
    </row>
    <row r="31" customFormat="false" ht="17.15" hidden="false" customHeight="false" outlineLevel="0" collapsed="false">
      <c r="A31" s="0" t="s">
        <v>105</v>
      </c>
      <c r="B31" s="0" t="s">
        <v>106</v>
      </c>
      <c r="C31" s="4" t="s">
        <v>96</v>
      </c>
      <c r="D31" s="7" t="n">
        <v>12</v>
      </c>
      <c r="E31" s="7" t="n">
        <v>14</v>
      </c>
      <c r="F31" s="7" t="n">
        <v>16</v>
      </c>
      <c r="G31" s="8" t="s">
        <v>70</v>
      </c>
      <c r="H31" s="8" t="s">
        <v>107</v>
      </c>
      <c r="I31" s="4" t="s">
        <v>38</v>
      </c>
    </row>
    <row r="32" customFormat="false" ht="17.15" hidden="false" customHeight="false" outlineLevel="0" collapsed="false">
      <c r="A32" s="0" t="s">
        <v>108</v>
      </c>
      <c r="B32" s="0" t="s">
        <v>109</v>
      </c>
      <c r="C32" s="4" t="s">
        <v>96</v>
      </c>
      <c r="D32" s="7" t="n">
        <v>12</v>
      </c>
      <c r="E32" s="7" t="n">
        <v>15</v>
      </c>
      <c r="F32" s="7" t="n">
        <v>16</v>
      </c>
      <c r="G32" s="8" t="s">
        <v>70</v>
      </c>
      <c r="H32" s="8" t="s">
        <v>110</v>
      </c>
      <c r="I32" s="4" t="s">
        <v>38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4" t="s">
        <v>96</v>
      </c>
      <c r="D33" s="7" t="n">
        <v>14</v>
      </c>
      <c r="E33" s="7" t="n">
        <v>16</v>
      </c>
      <c r="F33" s="7" t="n">
        <v>16</v>
      </c>
      <c r="G33" s="8" t="s">
        <v>70</v>
      </c>
      <c r="H33" s="8" t="s">
        <v>113</v>
      </c>
      <c r="I33" s="4" t="s">
        <v>38</v>
      </c>
    </row>
    <row r="34" customFormat="false" ht="17.15" hidden="false" customHeight="false" outlineLevel="0" collapsed="false">
      <c r="A34" s="0" t="s">
        <v>114</v>
      </c>
      <c r="B34" s="4" t="s">
        <v>115</v>
      </c>
      <c r="C34" s="0" t="s">
        <v>116</v>
      </c>
      <c r="D34" s="7" t="n">
        <v>0</v>
      </c>
      <c r="E34" s="7" t="n">
        <v>0.1</v>
      </c>
      <c r="F34" s="7" t="n">
        <v>0.25</v>
      </c>
      <c r="G34" s="8" t="s">
        <v>70</v>
      </c>
      <c r="H34" s="4" t="s">
        <v>117</v>
      </c>
      <c r="I34" s="4" t="s">
        <v>118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69</v>
      </c>
      <c r="D35" s="7" t="n">
        <v>0</v>
      </c>
      <c r="E35" s="7" t="n">
        <v>0</v>
      </c>
      <c r="F35" s="7" t="n">
        <v>0</v>
      </c>
      <c r="G35" s="8" t="s">
        <v>70</v>
      </c>
      <c r="H35" s="8" t="s">
        <v>121</v>
      </c>
      <c r="I35" s="8" t="s">
        <v>122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69</v>
      </c>
      <c r="D36" s="7" t="n">
        <v>0</v>
      </c>
      <c r="E36" s="7" t="n">
        <v>0</v>
      </c>
      <c r="F36" s="7" t="n">
        <v>0</v>
      </c>
      <c r="G36" s="8" t="s">
        <v>70</v>
      </c>
      <c r="H36" s="8" t="s">
        <v>125</v>
      </c>
      <c r="I36" s="4" t="s">
        <v>38</v>
      </c>
    </row>
    <row r="37" customFormat="false" ht="17.15" hidden="false" customHeight="false" outlineLevel="0" collapsed="false">
      <c r="A37" s="0" t="s">
        <v>126</v>
      </c>
      <c r="B37" s="4" t="s">
        <v>127</v>
      </c>
      <c r="C37" s="0" t="s">
        <v>69</v>
      </c>
      <c r="D37" s="7" t="n">
        <v>0</v>
      </c>
      <c r="E37" s="7" t="n">
        <v>0</v>
      </c>
      <c r="F37" s="7" t="n">
        <v>0.05</v>
      </c>
      <c r="G37" s="8" t="s">
        <v>70</v>
      </c>
      <c r="H37" s="8" t="s">
        <v>128</v>
      </c>
      <c r="I37" s="4" t="s">
        <v>38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0" t="s">
        <v>69</v>
      </c>
      <c r="D38" s="7" t="n">
        <v>0</v>
      </c>
      <c r="E38" s="7" t="n">
        <v>0.05</v>
      </c>
      <c r="F38" s="7" t="n">
        <v>0.15</v>
      </c>
      <c r="G38" s="8" t="s">
        <v>70</v>
      </c>
      <c r="H38" s="8" t="s">
        <v>131</v>
      </c>
      <c r="I38" s="4" t="s">
        <v>38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69</v>
      </c>
      <c r="D39" s="7" t="n">
        <v>0.05</v>
      </c>
      <c r="E39" s="7" t="n">
        <v>0.15</v>
      </c>
      <c r="F39" s="7" t="n">
        <v>0.3</v>
      </c>
      <c r="G39" s="8" t="s">
        <v>70</v>
      </c>
      <c r="H39" s="8" t="s">
        <v>134</v>
      </c>
      <c r="I39" s="4" t="s">
        <v>38</v>
      </c>
    </row>
    <row r="40" customFormat="false" ht="17.15" hidden="false" customHeight="false" outlineLevel="0" collapsed="false">
      <c r="A40" s="0" t="s">
        <v>135</v>
      </c>
      <c r="B40" s="4" t="s">
        <v>136</v>
      </c>
      <c r="C40" s="0" t="s">
        <v>69</v>
      </c>
      <c r="D40" s="7" t="n">
        <v>0.1</v>
      </c>
      <c r="E40" s="7" t="n">
        <v>0.25</v>
      </c>
      <c r="F40" s="7" t="n">
        <v>0.4</v>
      </c>
      <c r="G40" s="8" t="s">
        <v>70</v>
      </c>
      <c r="H40" s="8" t="s">
        <v>137</v>
      </c>
      <c r="I40" s="4" t="s">
        <v>38</v>
      </c>
    </row>
    <row r="41" customFormat="false" ht="17.15" hidden="false" customHeight="false" outlineLevel="0" collapsed="false">
      <c r="A41" s="0" t="s">
        <v>138</v>
      </c>
      <c r="B41" s="4" t="s">
        <v>139</v>
      </c>
      <c r="C41" s="0" t="s">
        <v>140</v>
      </c>
      <c r="D41" s="7" t="n">
        <v>0.05</v>
      </c>
      <c r="E41" s="7" t="n">
        <v>0.1</v>
      </c>
      <c r="F41" s="7" t="n">
        <v>0.15</v>
      </c>
      <c r="G41" s="8" t="s">
        <v>70</v>
      </c>
      <c r="H41" s="4" t="s">
        <v>141</v>
      </c>
      <c r="I41" s="4" t="s">
        <v>142</v>
      </c>
    </row>
    <row r="42" customFormat="false" ht="17.15" hidden="false" customHeight="false" outlineLevel="0" collapsed="false">
      <c r="A42" s="6" t="s">
        <v>143</v>
      </c>
    </row>
    <row r="43" customFormat="false" ht="17.15" hidden="false" customHeight="false" outlineLevel="0" collapsed="false">
      <c r="A43" s="0" t="s">
        <v>144</v>
      </c>
      <c r="B43" s="0" t="s">
        <v>145</v>
      </c>
      <c r="C43" s="0" t="s">
        <v>69</v>
      </c>
      <c r="E43" s="7" t="n">
        <v>0.58</v>
      </c>
      <c r="G43" s="8" t="s">
        <v>146</v>
      </c>
      <c r="H43" s="8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69</v>
      </c>
      <c r="E44" s="7" t="n">
        <v>0.52</v>
      </c>
      <c r="G44" s="8" t="s">
        <v>146</v>
      </c>
      <c r="H44" s="8" t="s">
        <v>151</v>
      </c>
      <c r="I44" s="4" t="s">
        <v>38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69</v>
      </c>
      <c r="E45" s="7" t="n">
        <v>0.42</v>
      </c>
      <c r="G45" s="8" t="s">
        <v>146</v>
      </c>
      <c r="H45" s="8" t="s">
        <v>154</v>
      </c>
      <c r="I45" s="4" t="s">
        <v>38</v>
      </c>
    </row>
    <row r="46" customFormat="false" ht="17.15" hidden="false" customHeight="false" outlineLevel="0" collapsed="false">
      <c r="A46" s="0" t="s">
        <v>155</v>
      </c>
      <c r="B46" s="0" t="s">
        <v>156</v>
      </c>
      <c r="C46" s="0" t="s">
        <v>69</v>
      </c>
      <c r="E46" s="7" t="n">
        <v>0.4</v>
      </c>
      <c r="G46" s="8" t="s">
        <v>146</v>
      </c>
      <c r="H46" s="8" t="s">
        <v>157</v>
      </c>
      <c r="I46" s="4" t="s">
        <v>38</v>
      </c>
    </row>
    <row r="47" customFormat="false" ht="17.15" hidden="false" customHeight="false" outlineLevel="0" collapsed="false">
      <c r="A47" s="0" t="s">
        <v>158</v>
      </c>
      <c r="B47" s="0" t="s">
        <v>159</v>
      </c>
      <c r="C47" s="0" t="s">
        <v>69</v>
      </c>
      <c r="E47" s="7" t="n">
        <v>0.4</v>
      </c>
      <c r="G47" s="8" t="s">
        <v>146</v>
      </c>
      <c r="H47" s="8" t="s">
        <v>160</v>
      </c>
      <c r="I47" s="4" t="s">
        <v>38</v>
      </c>
    </row>
    <row r="48" customFormat="false" ht="17.15" hidden="false" customHeight="false" outlineLevel="0" collapsed="false">
      <c r="A48" s="0" t="s">
        <v>161</v>
      </c>
      <c r="B48" s="4" t="s">
        <v>162</v>
      </c>
      <c r="C48" s="0" t="s">
        <v>69</v>
      </c>
      <c r="E48" s="7" t="n">
        <v>0.17</v>
      </c>
      <c r="G48" s="8" t="s">
        <v>146</v>
      </c>
      <c r="H48" s="8" t="s">
        <v>163</v>
      </c>
      <c r="I48" s="4" t="s">
        <v>148</v>
      </c>
    </row>
    <row r="49" customFormat="false" ht="17.15" hidden="false" customHeight="false" outlineLevel="0" collapsed="false">
      <c r="A49" s="0" t="s">
        <v>164</v>
      </c>
      <c r="B49" s="4" t="s">
        <v>165</v>
      </c>
      <c r="C49" s="0" t="s">
        <v>69</v>
      </c>
      <c r="E49" s="7" t="n">
        <v>0.29</v>
      </c>
      <c r="G49" s="8" t="s">
        <v>146</v>
      </c>
      <c r="H49" s="8" t="s">
        <v>166</v>
      </c>
      <c r="I49" s="4" t="s">
        <v>38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69</v>
      </c>
      <c r="E50" s="7" t="n">
        <v>0.38</v>
      </c>
      <c r="G50" s="8" t="s">
        <v>146</v>
      </c>
      <c r="H50" s="8" t="s">
        <v>169</v>
      </c>
      <c r="I50" s="4" t="s">
        <v>38</v>
      </c>
    </row>
    <row r="51" customFormat="false" ht="17.15" hidden="false" customHeight="false" outlineLevel="0" collapsed="false">
      <c r="A51" s="0" t="s">
        <v>170</v>
      </c>
      <c r="B51" s="4" t="s">
        <v>171</v>
      </c>
      <c r="C51" s="0" t="s">
        <v>69</v>
      </c>
      <c r="E51" s="7" t="n">
        <v>0.4</v>
      </c>
      <c r="G51" s="8" t="s">
        <v>146</v>
      </c>
      <c r="H51" s="8" t="s">
        <v>172</v>
      </c>
      <c r="I51" s="4" t="s">
        <v>38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69</v>
      </c>
      <c r="E52" s="7" t="n">
        <v>0.4</v>
      </c>
      <c r="G52" s="8" t="s">
        <v>146</v>
      </c>
      <c r="H52" s="8" t="s">
        <v>175</v>
      </c>
      <c r="I52" s="4" t="s">
        <v>38</v>
      </c>
    </row>
    <row r="53" customFormat="false" ht="17.15" hidden="false" customHeight="false" outlineLevel="0" collapsed="false">
      <c r="A53" s="0" t="s">
        <v>176</v>
      </c>
      <c r="B53" s="4" t="s">
        <v>177</v>
      </c>
      <c r="C53" s="0" t="s">
        <v>69</v>
      </c>
      <c r="E53" s="7" t="n">
        <v>0.21</v>
      </c>
      <c r="G53" s="8" t="s">
        <v>146</v>
      </c>
      <c r="H53" s="8" t="s">
        <v>178</v>
      </c>
      <c r="I53" s="4" t="s">
        <v>148</v>
      </c>
    </row>
    <row r="54" customFormat="false" ht="17.15" hidden="false" customHeight="false" outlineLevel="0" collapsed="false">
      <c r="A54" s="0" t="s">
        <v>179</v>
      </c>
      <c r="B54" s="4" t="s">
        <v>180</v>
      </c>
      <c r="C54" s="0" t="s">
        <v>69</v>
      </c>
      <c r="E54" s="7" t="n">
        <v>0.19</v>
      </c>
      <c r="G54" s="8" t="s">
        <v>146</v>
      </c>
      <c r="H54" s="8" t="s">
        <v>181</v>
      </c>
      <c r="I54" s="4" t="s">
        <v>38</v>
      </c>
    </row>
    <row r="55" customFormat="false" ht="17.15" hidden="false" customHeight="false" outlineLevel="0" collapsed="false">
      <c r="A55" s="0" t="s">
        <v>182</v>
      </c>
      <c r="B55" s="4" t="s">
        <v>183</v>
      </c>
      <c r="C55" s="0" t="s">
        <v>69</v>
      </c>
      <c r="E55" s="7" t="n">
        <v>0.2</v>
      </c>
      <c r="G55" s="8" t="s">
        <v>146</v>
      </c>
      <c r="H55" s="8" t="s">
        <v>184</v>
      </c>
      <c r="I55" s="4" t="s">
        <v>38</v>
      </c>
    </row>
    <row r="56" customFormat="false" ht="17.15" hidden="false" customHeight="false" outlineLevel="0" collapsed="false">
      <c r="A56" s="0" t="s">
        <v>185</v>
      </c>
      <c r="B56" s="4" t="s">
        <v>186</v>
      </c>
      <c r="C56" s="0" t="s">
        <v>69</v>
      </c>
      <c r="E56" s="7" t="n">
        <v>0.2</v>
      </c>
      <c r="G56" s="8" t="s">
        <v>146</v>
      </c>
      <c r="H56" s="8" t="s">
        <v>187</v>
      </c>
      <c r="I56" s="4" t="s">
        <v>38</v>
      </c>
    </row>
    <row r="57" customFormat="false" ht="17.15" hidden="false" customHeight="false" outlineLevel="0" collapsed="false">
      <c r="A57" s="0" t="s">
        <v>188</v>
      </c>
      <c r="B57" s="4" t="s">
        <v>189</v>
      </c>
      <c r="C57" s="0" t="s">
        <v>69</v>
      </c>
      <c r="E57" s="7" t="n">
        <v>0.2</v>
      </c>
      <c r="G57" s="8" t="s">
        <v>146</v>
      </c>
      <c r="H57" s="8" t="s">
        <v>190</v>
      </c>
      <c r="I57" s="4" t="s">
        <v>38</v>
      </c>
    </row>
    <row r="58" customFormat="false" ht="17.15" hidden="false" customHeight="false" outlineLevel="0" collapsed="false">
      <c r="A58" s="6" t="s">
        <v>191</v>
      </c>
    </row>
    <row r="59" customFormat="false" ht="17.15" hidden="false" customHeight="false" outlineLevel="0" collapsed="false">
      <c r="A59" s="0" t="s">
        <v>192</v>
      </c>
      <c r="B59" s="4" t="s">
        <v>193</v>
      </c>
      <c r="C59" s="0" t="s">
        <v>69</v>
      </c>
      <c r="D59" s="7" t="n">
        <v>0.4</v>
      </c>
      <c r="E59" s="7" t="n">
        <v>0.5</v>
      </c>
      <c r="F59" s="7" t="n">
        <v>0.65</v>
      </c>
      <c r="G59" s="8" t="s">
        <v>146</v>
      </c>
      <c r="H59" s="8" t="s">
        <v>194</v>
      </c>
      <c r="I59" s="8" t="s">
        <v>195</v>
      </c>
    </row>
    <row r="60" customFormat="false" ht="17.15" hidden="false" customHeight="false" outlineLevel="0" collapsed="false">
      <c r="A60" s="0" t="s">
        <v>196</v>
      </c>
      <c r="B60" s="4" t="s">
        <v>197</v>
      </c>
      <c r="C60" s="0" t="s">
        <v>69</v>
      </c>
      <c r="D60" s="7" t="n">
        <v>0.35</v>
      </c>
      <c r="E60" s="7" t="n">
        <v>0.45</v>
      </c>
      <c r="F60" s="7" t="n">
        <v>0.55</v>
      </c>
      <c r="G60" s="8" t="s">
        <v>70</v>
      </c>
      <c r="H60" s="4" t="s">
        <v>198</v>
      </c>
      <c r="I60" s="8" t="s">
        <v>199</v>
      </c>
    </row>
    <row r="61" customFormat="false" ht="17.15" hidden="false" customHeight="false" outlineLevel="0" collapsed="false">
      <c r="A61" s="0" t="s">
        <v>200</v>
      </c>
      <c r="B61" s="4" t="s">
        <v>201</v>
      </c>
      <c r="C61" s="0" t="s">
        <v>69</v>
      </c>
      <c r="D61" s="7" t="n">
        <v>0.35</v>
      </c>
      <c r="E61" s="7" t="n">
        <v>0.45</v>
      </c>
      <c r="F61" s="7" t="n">
        <v>0.55</v>
      </c>
      <c r="G61" s="8" t="s">
        <v>70</v>
      </c>
      <c r="H61" s="4" t="s">
        <v>198</v>
      </c>
      <c r="I61" s="8" t="s">
        <v>199</v>
      </c>
    </row>
    <row r="62" customFormat="false" ht="17.15" hidden="false" customHeight="false" outlineLevel="0" collapsed="false">
      <c r="A62" s="0" t="s">
        <v>202</v>
      </c>
      <c r="B62" s="4" t="s">
        <v>203</v>
      </c>
      <c r="C62" s="0" t="s">
        <v>69</v>
      </c>
      <c r="D62" s="7" t="n">
        <v>0.25</v>
      </c>
      <c r="E62" s="7" t="n">
        <v>0.35</v>
      </c>
      <c r="F62" s="7" t="n">
        <v>0.45</v>
      </c>
      <c r="G62" s="8" t="s">
        <v>70</v>
      </c>
      <c r="H62" s="4" t="s">
        <v>198</v>
      </c>
      <c r="I62" s="8" t="s">
        <v>204</v>
      </c>
    </row>
    <row r="63" customFormat="false" ht="17.15" hidden="false" customHeight="false" outlineLevel="0" collapsed="false">
      <c r="A63" s="0" t="s">
        <v>205</v>
      </c>
      <c r="B63" s="4" t="s">
        <v>206</v>
      </c>
      <c r="C63" s="0" t="s">
        <v>69</v>
      </c>
      <c r="D63" s="7" t="n">
        <v>0.7</v>
      </c>
      <c r="E63" s="7" t="n">
        <v>0.8</v>
      </c>
      <c r="F63" s="7" t="n">
        <v>0.9</v>
      </c>
      <c r="G63" s="8" t="s">
        <v>146</v>
      </c>
      <c r="H63" s="4" t="s">
        <v>207</v>
      </c>
      <c r="I63" s="8" t="s">
        <v>208</v>
      </c>
    </row>
    <row r="64" customFormat="false" ht="17.15" hidden="false" customHeight="false" outlineLevel="0" collapsed="false">
      <c r="A64" s="0" t="s">
        <v>209</v>
      </c>
      <c r="B64" s="4" t="s">
        <v>210</v>
      </c>
      <c r="C64" s="0" t="s">
        <v>69</v>
      </c>
      <c r="D64" s="7" t="n">
        <v>0.65</v>
      </c>
      <c r="E64" s="7" t="n">
        <v>0.75</v>
      </c>
      <c r="F64" s="7" t="n">
        <v>0.85</v>
      </c>
      <c r="G64" s="8" t="s">
        <v>70</v>
      </c>
      <c r="H64" s="4" t="s">
        <v>211</v>
      </c>
      <c r="I64" s="8" t="s">
        <v>212</v>
      </c>
    </row>
    <row r="65" customFormat="false" ht="17.15" hidden="false" customHeight="false" outlineLevel="0" collapsed="false">
      <c r="A65" s="0" t="s">
        <v>213</v>
      </c>
      <c r="B65" s="4" t="s">
        <v>214</v>
      </c>
      <c r="C65" s="0" t="s">
        <v>69</v>
      </c>
      <c r="D65" s="7" t="n">
        <v>0.6</v>
      </c>
      <c r="E65" s="7" t="n">
        <v>0.7</v>
      </c>
      <c r="F65" s="7" t="n">
        <v>0.8</v>
      </c>
      <c r="G65" s="8" t="s">
        <v>70</v>
      </c>
      <c r="H65" s="4" t="s">
        <v>211</v>
      </c>
      <c r="I65" s="8" t="s">
        <v>212</v>
      </c>
    </row>
    <row r="66" customFormat="false" ht="17.15" hidden="false" customHeight="false" outlineLevel="0" collapsed="false">
      <c r="A66" s="0" t="s">
        <v>215</v>
      </c>
      <c r="B66" s="4" t="s">
        <v>216</v>
      </c>
      <c r="C66" s="0" t="s">
        <v>69</v>
      </c>
      <c r="D66" s="7" t="n">
        <v>0.45</v>
      </c>
      <c r="E66" s="7" t="n">
        <v>0.55</v>
      </c>
      <c r="F66" s="7" t="n">
        <v>0.65</v>
      </c>
      <c r="G66" s="8" t="s">
        <v>70</v>
      </c>
      <c r="H66" s="4" t="s">
        <v>211</v>
      </c>
      <c r="I66" s="8" t="s">
        <v>217</v>
      </c>
    </row>
    <row r="67" customFormat="false" ht="17.15" hidden="false" customHeight="false" outlineLevel="0" collapsed="false">
      <c r="A67" s="0" t="s">
        <v>218</v>
      </c>
      <c r="B67" s="4" t="s">
        <v>219</v>
      </c>
      <c r="C67" s="0" t="s">
        <v>69</v>
      </c>
      <c r="D67" s="7" t="n">
        <v>0</v>
      </c>
      <c r="E67" s="7" t="n">
        <v>0</v>
      </c>
      <c r="F67" s="7" t="n">
        <v>0.1</v>
      </c>
      <c r="G67" s="8" t="s">
        <v>70</v>
      </c>
      <c r="H67" s="4" t="s">
        <v>220</v>
      </c>
      <c r="I67" s="8" t="s">
        <v>221</v>
      </c>
    </row>
    <row r="68" customFormat="false" ht="17.15" hidden="false" customHeight="false" outlineLevel="0" collapsed="false">
      <c r="A68" s="6" t="s">
        <v>222</v>
      </c>
    </row>
    <row r="69" customFormat="false" ht="17.15" hidden="false" customHeight="false" outlineLevel="0" collapsed="false">
      <c r="A69" s="0" t="s">
        <v>223</v>
      </c>
      <c r="B69" s="0" t="s">
        <v>224</v>
      </c>
      <c r="C69" s="0" t="s">
        <v>69</v>
      </c>
      <c r="D69" s="7" t="n">
        <v>0.5</v>
      </c>
      <c r="E69" s="7" t="n">
        <v>0.6</v>
      </c>
      <c r="F69" s="7" t="n">
        <v>0.7</v>
      </c>
      <c r="G69" s="8" t="s">
        <v>146</v>
      </c>
      <c r="H69" s="8" t="s">
        <v>225</v>
      </c>
      <c r="I69" s="4" t="s">
        <v>226</v>
      </c>
    </row>
    <row r="70" customFormat="false" ht="17.15" hidden="false" customHeight="false" outlineLevel="0" collapsed="false">
      <c r="A70" s="0" t="s">
        <v>227</v>
      </c>
      <c r="B70" s="4" t="s">
        <v>228</v>
      </c>
      <c r="C70" s="0" t="s">
        <v>69</v>
      </c>
      <c r="D70" s="7" t="n">
        <v>0.1</v>
      </c>
      <c r="E70" s="7" t="n">
        <v>0.17</v>
      </c>
      <c r="F70" s="7" t="n">
        <v>0.25</v>
      </c>
      <c r="G70" s="8" t="s">
        <v>146</v>
      </c>
      <c r="H70" s="8" t="s">
        <v>229</v>
      </c>
      <c r="I70" s="4" t="s">
        <v>230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4" t="s">
        <v>233</v>
      </c>
      <c r="E71" s="0" t="n">
        <f aca="false">a25_rev*tcb_sh25*(1-cn_sh25)</f>
        <v>2871.966</v>
      </c>
      <c r="G71" s="0" t="s">
        <v>33</v>
      </c>
      <c r="H71" s="4" t="s">
        <v>234</v>
      </c>
      <c r="I71" s="4" t="s">
        <v>235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69</v>
      </c>
      <c r="D72" s="7" t="n">
        <v>0</v>
      </c>
      <c r="E72" s="7" t="n">
        <v>0.15</v>
      </c>
      <c r="F72" s="7" t="n">
        <v>0.35</v>
      </c>
      <c r="G72" s="8" t="s">
        <v>70</v>
      </c>
      <c r="H72" s="4" t="s">
        <v>238</v>
      </c>
      <c r="I72" s="8" t="s">
        <v>239</v>
      </c>
    </row>
    <row r="73" customFormat="false" ht="17.15" hidden="false" customHeight="false" outlineLevel="0" collapsed="false">
      <c r="A73" s="0" t="s">
        <v>240</v>
      </c>
      <c r="B73" s="4" t="s">
        <v>241</v>
      </c>
      <c r="C73" s="0" t="s">
        <v>69</v>
      </c>
      <c r="D73" s="7" t="n">
        <v>0.07</v>
      </c>
      <c r="E73" s="7" t="n">
        <v>0.12</v>
      </c>
      <c r="F73" s="7" t="n">
        <v>0.17</v>
      </c>
      <c r="G73" s="8" t="s">
        <v>70</v>
      </c>
      <c r="H73" s="4" t="s">
        <v>242</v>
      </c>
      <c r="I73" s="8" t="s">
        <v>212</v>
      </c>
    </row>
    <row r="74" customFormat="false" ht="17.15" hidden="false" customHeight="false" outlineLevel="0" collapsed="false">
      <c r="A74" s="0" t="s">
        <v>243</v>
      </c>
      <c r="B74" s="4" t="s">
        <v>244</v>
      </c>
      <c r="C74" s="0" t="s">
        <v>69</v>
      </c>
      <c r="D74" s="7" t="n">
        <v>0.03</v>
      </c>
      <c r="E74" s="7" t="n">
        <v>0.08</v>
      </c>
      <c r="F74" s="7" t="n">
        <v>0.13</v>
      </c>
      <c r="G74" s="8" t="s">
        <v>70</v>
      </c>
      <c r="H74" s="4" t="s">
        <v>242</v>
      </c>
      <c r="I74" s="8" t="s">
        <v>212</v>
      </c>
    </row>
    <row r="75" customFormat="false" ht="17.15" hidden="false" customHeight="false" outlineLevel="0" collapsed="false">
      <c r="A75" s="0" t="s">
        <v>245</v>
      </c>
      <c r="B75" s="4" t="s">
        <v>246</v>
      </c>
      <c r="C75" s="0" t="s">
        <v>69</v>
      </c>
      <c r="D75" s="7" t="n">
        <v>-0.1</v>
      </c>
      <c r="E75" s="7" t="n">
        <v>-0.05</v>
      </c>
      <c r="F75" s="7" t="n">
        <v>0</v>
      </c>
      <c r="G75" s="8" t="s">
        <v>70</v>
      </c>
      <c r="H75" s="4" t="s">
        <v>242</v>
      </c>
      <c r="I75" s="8" t="s">
        <v>247</v>
      </c>
    </row>
    <row r="76" customFormat="false" ht="17.15" hidden="false" customHeight="false" outlineLevel="0" collapsed="false">
      <c r="A76" s="6" t="s">
        <v>248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116</v>
      </c>
      <c r="D77" s="7" t="n">
        <v>0.7</v>
      </c>
      <c r="E77" s="7" t="n">
        <v>0.9</v>
      </c>
      <c r="F77" s="7" t="n">
        <v>1.1</v>
      </c>
      <c r="G77" s="8" t="s">
        <v>70</v>
      </c>
      <c r="H77" s="4" t="s">
        <v>251</v>
      </c>
      <c r="I77" s="8" t="s">
        <v>252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69</v>
      </c>
      <c r="D78" s="7" t="n">
        <v>0.42</v>
      </c>
      <c r="E78" s="7" t="n">
        <v>0.48</v>
      </c>
      <c r="F78" s="7" t="n">
        <v>0.52</v>
      </c>
      <c r="G78" s="8" t="s">
        <v>70</v>
      </c>
      <c r="H78" s="4" t="s">
        <v>255</v>
      </c>
      <c r="I78" s="4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4" t="s">
        <v>233</v>
      </c>
      <c r="E79" s="0" t="n">
        <f aca="false">q1_rev+q2_rev+h2f*2*q2_rev</f>
        <v>7539.8</v>
      </c>
      <c r="G79" s="0" t="s">
        <v>33</v>
      </c>
      <c r="H79" s="4" t="s">
        <v>259</v>
      </c>
      <c r="I79" s="0" t="s">
        <v>212</v>
      </c>
    </row>
    <row r="80" customFormat="false" ht="17.15" hidden="false" customHeight="false" outlineLevel="0" collapsed="false">
      <c r="A80" s="0" t="s">
        <v>260</v>
      </c>
      <c r="B80" s="0" t="s">
        <v>261</v>
      </c>
      <c r="C80" s="4" t="s">
        <v>233</v>
      </c>
      <c r="E80" s="0" t="n">
        <f aca="false">q1_oi+q2_oi+h2f*2*q2_rev*m_h2</f>
        <v>3557.504</v>
      </c>
      <c r="G80" s="0" t="s">
        <v>33</v>
      </c>
      <c r="H80" s="4" t="s">
        <v>262</v>
      </c>
      <c r="I80" s="0" t="s">
        <v>212</v>
      </c>
    </row>
    <row r="81" customFormat="false" ht="17.15" hidden="false" customHeight="false" outlineLevel="0" collapsed="false">
      <c r="A81" s="6" t="s">
        <v>263</v>
      </c>
    </row>
    <row r="82" customFormat="false" ht="17.15" hidden="false" customHeight="false" outlineLevel="0" collapsed="false">
      <c r="A82" s="0" t="s">
        <v>264</v>
      </c>
      <c r="B82" s="0" t="s">
        <v>265</v>
      </c>
      <c r="C82" s="0" t="s">
        <v>69</v>
      </c>
      <c r="D82" s="7" t="n">
        <v>0.3</v>
      </c>
      <c r="E82" s="7" t="n">
        <v>0.5</v>
      </c>
      <c r="F82" s="7" t="n">
        <v>0.7</v>
      </c>
      <c r="G82" s="8" t="s">
        <v>70</v>
      </c>
      <c r="H82" s="4" t="s">
        <v>266</v>
      </c>
      <c r="I82" s="4" t="s">
        <v>267</v>
      </c>
    </row>
    <row r="83" customFormat="false" ht="17.15" hidden="false" customHeight="false" outlineLevel="0" collapsed="false">
      <c r="A83" s="0" t="s">
        <v>268</v>
      </c>
      <c r="B83" s="4" t="s">
        <v>269</v>
      </c>
      <c r="C83" s="4" t="s">
        <v>233</v>
      </c>
      <c r="E83" s="0" t="n">
        <f aca="false">a25_gp-a25_oi</f>
        <v>806.7</v>
      </c>
      <c r="G83" s="0" t="s">
        <v>33</v>
      </c>
      <c r="H83" s="0" t="s">
        <v>270</v>
      </c>
      <c r="I83" s="0" t="s">
        <v>212</v>
      </c>
    </row>
    <row r="84" customFormat="false" ht="15" hidden="false" customHeight="false" outlineLevel="0" collapsed="false">
      <c r="A84" s="0" t="s">
        <v>271</v>
      </c>
      <c r="B84" s="4" t="s">
        <v>272</v>
      </c>
      <c r="C84" s="4" t="s">
        <v>233</v>
      </c>
      <c r="E84" s="0" t="n">
        <f aca="false">(1-phi)*opex25</f>
        <v>403.35</v>
      </c>
      <c r="G84" s="0" t="s">
        <v>33</v>
      </c>
      <c r="H84" s="0" t="s">
        <v>212</v>
      </c>
      <c r="I84" s="0" t="s">
        <v>212</v>
      </c>
    </row>
    <row r="85" customFormat="false" ht="15" hidden="false" customHeight="false" outlineLevel="0" collapsed="false">
      <c r="A85" s="0" t="s">
        <v>273</v>
      </c>
      <c r="B85" s="4" t="s">
        <v>274</v>
      </c>
      <c r="C85" s="0" t="s">
        <v>69</v>
      </c>
      <c r="E85" s="0" t="n">
        <f aca="false">phi*opex25/a25_rev</f>
        <v>0.0699410438702965</v>
      </c>
      <c r="G85" s="0" t="s">
        <v>33</v>
      </c>
      <c r="H85" s="0" t="s">
        <v>212</v>
      </c>
      <c r="I85" s="0" t="s">
        <v>212</v>
      </c>
    </row>
    <row r="86" customFormat="false" ht="17.15" hidden="false" customHeight="false" outlineLevel="0" collapsed="false">
      <c r="A86" s="0" t="s">
        <v>275</v>
      </c>
      <c r="B86" s="4" t="s">
        <v>276</v>
      </c>
      <c r="C86" s="0" t="s">
        <v>277</v>
      </c>
      <c r="D86" s="7" t="n">
        <v>-0.06</v>
      </c>
      <c r="E86" s="7" t="n">
        <v>-0.03</v>
      </c>
      <c r="F86" s="7" t="n">
        <v>0</v>
      </c>
      <c r="G86" s="8" t="s">
        <v>70</v>
      </c>
      <c r="H86" s="4" t="s">
        <v>278</v>
      </c>
      <c r="I86" s="8" t="s">
        <v>212</v>
      </c>
    </row>
    <row r="87" customFormat="false" ht="17.15" hidden="false" customHeight="false" outlineLevel="0" collapsed="false">
      <c r="A87" s="0" t="s">
        <v>279</v>
      </c>
      <c r="B87" s="4" t="s">
        <v>280</v>
      </c>
      <c r="C87" s="0" t="s">
        <v>277</v>
      </c>
      <c r="D87" s="7" t="n">
        <v>-0.08</v>
      </c>
      <c r="E87" s="7" t="n">
        <v>-0.05</v>
      </c>
      <c r="F87" s="7" t="n">
        <v>0</v>
      </c>
      <c r="G87" s="8" t="s">
        <v>70</v>
      </c>
      <c r="H87" s="4" t="s">
        <v>281</v>
      </c>
      <c r="I87" s="8" t="s">
        <v>212</v>
      </c>
    </row>
    <row r="88" customFormat="false" ht="17.15" hidden="false" customHeight="false" outlineLevel="0" collapsed="false">
      <c r="A88" s="0" t="s">
        <v>282</v>
      </c>
      <c r="B88" s="4" t="s">
        <v>283</v>
      </c>
      <c r="C88" s="0" t="s">
        <v>116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33</v>
      </c>
      <c r="H88" s="4" t="s">
        <v>284</v>
      </c>
      <c r="I88" s="8" t="s">
        <v>285</v>
      </c>
    </row>
    <row r="89" customFormat="false" ht="17.15" hidden="false" customHeight="false" outlineLevel="0" collapsed="false">
      <c r="A89" s="0" t="s">
        <v>286</v>
      </c>
      <c r="B89" s="4" t="s">
        <v>287</v>
      </c>
      <c r="C89" s="4" t="s">
        <v>288</v>
      </c>
      <c r="E89" s="0" t="n">
        <f aca="false">a25_ni/a25_eps*100</f>
        <v>95.8910247793162</v>
      </c>
      <c r="G89" s="0" t="s">
        <v>33</v>
      </c>
      <c r="H89" s="0" t="s">
        <v>289</v>
      </c>
      <c r="I89" s="4" t="s">
        <v>290</v>
      </c>
    </row>
    <row r="90" customFormat="false" ht="15" hidden="false" customHeight="false" outlineLevel="0" collapsed="false">
      <c r="A90" s="0" t="s">
        <v>291</v>
      </c>
      <c r="B90" s="4" t="s">
        <v>292</v>
      </c>
      <c r="C90" s="0" t="s">
        <v>293</v>
      </c>
      <c r="D90" s="7" t="n">
        <v>1350</v>
      </c>
      <c r="E90" s="7" t="n">
        <v>1420</v>
      </c>
      <c r="F90" s="7" t="n">
        <v>1500</v>
      </c>
      <c r="G90" s="8" t="s">
        <v>70</v>
      </c>
      <c r="H90" s="4" t="s">
        <v>294</v>
      </c>
      <c r="I90" s="8" t="s">
        <v>212</v>
      </c>
    </row>
    <row r="91" customFormat="false" ht="17.15" hidden="false" customHeight="false" outlineLevel="0" collapsed="false">
      <c r="A91" s="6" t="s">
        <v>295</v>
      </c>
    </row>
    <row r="92" customFormat="false" ht="17.15" hidden="false" customHeight="false" outlineLevel="0" collapsed="false">
      <c r="A92" s="0" t="s">
        <v>296</v>
      </c>
      <c r="B92" s="4" t="s">
        <v>297</v>
      </c>
      <c r="C92" s="4" t="s">
        <v>298</v>
      </c>
      <c r="E92" s="7" t="n">
        <v>2029</v>
      </c>
      <c r="G92" s="8" t="s">
        <v>33</v>
      </c>
      <c r="H92" s="8" t="s">
        <v>299</v>
      </c>
      <c r="I92" s="4" t="s">
        <v>300</v>
      </c>
    </row>
    <row r="93" customFormat="false" ht="17.15" hidden="false" customHeight="false" outlineLevel="0" collapsed="false">
      <c r="A93" s="0" t="s">
        <v>301</v>
      </c>
      <c r="B93" s="4" t="s">
        <v>302</v>
      </c>
      <c r="C93" s="4" t="s">
        <v>298</v>
      </c>
      <c r="E93" s="7" t="n">
        <v>2028</v>
      </c>
      <c r="G93" s="8" t="s">
        <v>33</v>
      </c>
      <c r="H93" s="8" t="s">
        <v>303</v>
      </c>
      <c r="I93" s="4" t="s">
        <v>38</v>
      </c>
    </row>
    <row r="94" customFormat="false" ht="17.15" hidden="false" customHeight="false" outlineLevel="0" collapsed="false">
      <c r="A94" s="0" t="s">
        <v>304</v>
      </c>
      <c r="B94" s="4" t="s">
        <v>305</v>
      </c>
      <c r="C94" s="4" t="s">
        <v>298</v>
      </c>
      <c r="E94" s="7" t="n">
        <v>2027</v>
      </c>
      <c r="G94" s="8" t="s">
        <v>33</v>
      </c>
      <c r="H94" s="8" t="s">
        <v>306</v>
      </c>
      <c r="I94" s="4" t="s">
        <v>38</v>
      </c>
    </row>
    <row r="95" customFormat="false" ht="17.15" hidden="false" customHeight="false" outlineLevel="0" collapsed="false">
      <c r="A95" s="0" t="s">
        <v>307</v>
      </c>
      <c r="B95" s="4" t="s">
        <v>308</v>
      </c>
      <c r="C95" s="0" t="s">
        <v>309</v>
      </c>
      <c r="E95" s="7" t="n">
        <v>188500</v>
      </c>
      <c r="G95" s="8" t="s">
        <v>310</v>
      </c>
      <c r="H95" s="8" t="s">
        <v>311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4" t="s">
        <v>314</v>
      </c>
      <c r="C96" s="0" t="s">
        <v>69</v>
      </c>
      <c r="E96" s="7" t="n">
        <v>0.3</v>
      </c>
      <c r="G96" s="8" t="s">
        <v>70</v>
      </c>
      <c r="H96" s="8" t="s">
        <v>315</v>
      </c>
      <c r="I96" s="8" t="s">
        <v>212</v>
      </c>
    </row>
    <row r="97" customFormat="false" ht="17.15" hidden="false" customHeight="false" outlineLevel="0" collapsed="false">
      <c r="A97" s="0" t="s">
        <v>316</v>
      </c>
      <c r="B97" s="4" t="s">
        <v>317</v>
      </c>
      <c r="C97" s="0" t="s">
        <v>69</v>
      </c>
      <c r="E97" s="7" t="n">
        <v>0.5</v>
      </c>
      <c r="G97" s="8" t="s">
        <v>70</v>
      </c>
      <c r="H97" s="8" t="s">
        <v>315</v>
      </c>
      <c r="I97" s="8" t="s">
        <v>212</v>
      </c>
    </row>
    <row r="98" customFormat="false" ht="17.15" hidden="false" customHeight="false" outlineLevel="0" collapsed="false">
      <c r="A98" s="0" t="s">
        <v>318</v>
      </c>
      <c r="B98" s="4" t="s">
        <v>319</v>
      </c>
      <c r="C98" s="0" t="s">
        <v>69</v>
      </c>
      <c r="E98" s="7" t="n">
        <v>0.2</v>
      </c>
      <c r="G98" s="8" t="s">
        <v>70</v>
      </c>
      <c r="H98" s="8" t="s">
        <v>315</v>
      </c>
      <c r="I98" s="8" t="s">
        <v>212</v>
      </c>
    </row>
    <row r="99" customFormat="false" ht="17.15" hidden="false" customHeight="false" outlineLevel="0" collapsed="false">
      <c r="A99" s="0" t="s">
        <v>320</v>
      </c>
      <c r="B99" s="4" t="s">
        <v>321</v>
      </c>
      <c r="C99" s="4" t="s">
        <v>233</v>
      </c>
      <c r="E99" s="7" t="n">
        <v>7280</v>
      </c>
      <c r="G99" s="8" t="s">
        <v>146</v>
      </c>
      <c r="H99" s="8" t="s">
        <v>322</v>
      </c>
      <c r="I99" s="4" t="s">
        <v>323</v>
      </c>
    </row>
    <row r="100" customFormat="false" ht="17.15" hidden="false" customHeight="false" outlineLevel="0" collapsed="false">
      <c r="A100" s="0" t="s">
        <v>324</v>
      </c>
      <c r="B100" s="4" t="s">
        <v>325</v>
      </c>
      <c r="C100" s="4" t="s">
        <v>233</v>
      </c>
      <c r="E100" s="7" t="n">
        <v>3694</v>
      </c>
      <c r="G100" s="8" t="s">
        <v>146</v>
      </c>
      <c r="H100" s="4" t="s">
        <v>326</v>
      </c>
      <c r="I100" s="4" t="s">
        <v>327</v>
      </c>
    </row>
    <row r="101" customFormat="false" ht="17.15" hidden="false" customHeight="false" outlineLevel="0" collapsed="false">
      <c r="A101" s="0" t="s">
        <v>328</v>
      </c>
      <c r="B101" s="4" t="s">
        <v>329</v>
      </c>
      <c r="C101" s="0" t="s">
        <v>309</v>
      </c>
      <c r="E101" s="7" t="n">
        <v>3400</v>
      </c>
      <c r="G101" s="8" t="s">
        <v>146</v>
      </c>
      <c r="H101" s="8" t="s">
        <v>330</v>
      </c>
      <c r="I101" s="8" t="s">
        <v>331</v>
      </c>
    </row>
    <row r="102" customFormat="false" ht="17.15" hidden="false" customHeight="false" outlineLevel="0" collapsed="false">
      <c r="A102" s="0" t="s">
        <v>332</v>
      </c>
      <c r="B102" s="4" t="s">
        <v>333</v>
      </c>
      <c r="C102" s="4" t="s">
        <v>233</v>
      </c>
      <c r="E102" s="7" t="n">
        <v>9900</v>
      </c>
      <c r="G102" s="8" t="s">
        <v>146</v>
      </c>
      <c r="H102" s="8" t="s">
        <v>334</v>
      </c>
      <c r="I102" s="4" t="s">
        <v>335</v>
      </c>
    </row>
    <row r="103" customFormat="false" ht="17.15" hidden="false" customHeight="false" outlineLevel="0" collapsed="false">
      <c r="A103" s="0" t="s">
        <v>336</v>
      </c>
      <c r="B103" s="4" t="s">
        <v>337</v>
      </c>
      <c r="C103" s="0" t="s">
        <v>309</v>
      </c>
      <c r="E103" s="7" t="n">
        <v>4650</v>
      </c>
      <c r="G103" s="8" t="s">
        <v>146</v>
      </c>
      <c r="H103" s="8" t="s">
        <v>334</v>
      </c>
      <c r="I103" s="4" t="s">
        <v>335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0" t="s">
        <v>340</v>
      </c>
      <c r="E104" s="7" t="n">
        <v>759</v>
      </c>
      <c r="G104" s="8" t="s">
        <v>146</v>
      </c>
      <c r="H104" s="8" t="s">
        <v>341</v>
      </c>
      <c r="I104" s="4" t="s">
        <v>342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0" t="s">
        <v>340</v>
      </c>
      <c r="E105" s="7" t="n">
        <v>1600</v>
      </c>
      <c r="G105" s="8" t="s">
        <v>146</v>
      </c>
      <c r="H105" s="4" t="s">
        <v>38</v>
      </c>
      <c r="I105" s="8" t="s">
        <v>212</v>
      </c>
    </row>
    <row r="106" customFormat="false" ht="17.15" hidden="false" customHeight="false" outlineLevel="0" collapsed="false">
      <c r="A106" s="0" t="s">
        <v>345</v>
      </c>
      <c r="B106" s="4" t="s">
        <v>346</v>
      </c>
      <c r="C106" s="0" t="s">
        <v>69</v>
      </c>
      <c r="E106" s="7" t="n">
        <v>0.712</v>
      </c>
      <c r="G106" s="8" t="s">
        <v>146</v>
      </c>
      <c r="H106" s="4" t="s">
        <v>347</v>
      </c>
      <c r="I106" s="4" t="s">
        <v>348</v>
      </c>
    </row>
    <row r="107" customFormat="false" ht="17.15" hidden="false" customHeight="false" outlineLevel="0" collapsed="false">
      <c r="A107" s="0" t="s">
        <v>349</v>
      </c>
      <c r="B107" s="0" t="s">
        <v>350</v>
      </c>
      <c r="C107" s="0" t="s">
        <v>351</v>
      </c>
      <c r="E107" s="7" t="n">
        <v>6.11313868613139</v>
      </c>
      <c r="G107" s="8" t="s">
        <v>33</v>
      </c>
      <c r="H107" s="8" t="s">
        <v>352</v>
      </c>
      <c r="I107" s="8" t="s">
        <v>353</v>
      </c>
    </row>
    <row r="108" customFormat="false" ht="17.15" hidden="false" customHeight="false" outlineLevel="0" collapsed="false">
      <c r="A108" s="0" t="s">
        <v>354</v>
      </c>
      <c r="B108" s="0" t="s">
        <v>355</v>
      </c>
      <c r="C108" s="0" t="s">
        <v>351</v>
      </c>
      <c r="E108" s="7" t="n">
        <v>8.6</v>
      </c>
      <c r="G108" s="8" t="s">
        <v>146</v>
      </c>
      <c r="H108" s="8" t="s">
        <v>352</v>
      </c>
      <c r="I108" s="8" t="s">
        <v>356</v>
      </c>
    </row>
    <row r="109" customFormat="false" ht="17.15" hidden="false" customHeight="false" outlineLevel="0" collapsed="false">
      <c r="A109" s="0" t="s">
        <v>357</v>
      </c>
      <c r="B109" s="0" t="s">
        <v>358</v>
      </c>
      <c r="C109" s="4" t="s">
        <v>359</v>
      </c>
      <c r="D109" s="7" t="n">
        <v>25</v>
      </c>
      <c r="E109" s="7" t="n">
        <v>30</v>
      </c>
      <c r="F109" s="7" t="n">
        <v>40</v>
      </c>
      <c r="G109" s="8" t="s">
        <v>146</v>
      </c>
      <c r="H109" s="4" t="s">
        <v>360</v>
      </c>
      <c r="I109" s="8" t="s">
        <v>361</v>
      </c>
    </row>
    <row r="111" customFormat="false" ht="17.15" hidden="false" customHeight="false" outlineLevel="0" collapsed="false">
      <c r="A111" s="6" t="s">
        <v>362</v>
      </c>
    </row>
    <row r="112" customFormat="false" ht="17.15" hidden="false" customHeight="false" outlineLevel="0" collapsed="false">
      <c r="A112" s="0" t="s">
        <v>363</v>
      </c>
      <c r="B112" s="4" t="s">
        <v>364</v>
      </c>
      <c r="C112" s="0" t="s">
        <v>69</v>
      </c>
      <c r="E112" s="9" t="n">
        <v>0.1</v>
      </c>
      <c r="G112" s="8" t="s">
        <v>70</v>
      </c>
      <c r="H112" s="8" t="s">
        <v>365</v>
      </c>
      <c r="I112" s="8" t="s">
        <v>212</v>
      </c>
    </row>
    <row r="113" customFormat="false" ht="17.15" hidden="false" customHeight="false" outlineLevel="0" collapsed="false">
      <c r="A113" s="0" t="s">
        <v>366</v>
      </c>
      <c r="B113" s="4" t="s">
        <v>367</v>
      </c>
      <c r="C113" s="0" t="s">
        <v>69</v>
      </c>
      <c r="E113" s="9" t="n">
        <v>0.04</v>
      </c>
      <c r="G113" s="8" t="s">
        <v>70</v>
      </c>
      <c r="H113" s="8" t="s">
        <v>368</v>
      </c>
      <c r="I113" s="4" t="s">
        <v>369</v>
      </c>
    </row>
    <row r="114" customFormat="false" ht="17.15" hidden="false" customHeight="false" outlineLevel="0" collapsed="false">
      <c r="A114" s="0" t="s">
        <v>370</v>
      </c>
      <c r="B114" s="0" t="s">
        <v>371</v>
      </c>
      <c r="C114" s="0" t="s">
        <v>69</v>
      </c>
      <c r="E114" s="10" t="n">
        <f aca="false">AVERAGE(0.5554,0.2743,0.3476)</f>
        <v>0.392433333333333</v>
      </c>
      <c r="G114" s="8" t="s">
        <v>33</v>
      </c>
      <c r="H114" s="8" t="s">
        <v>372</v>
      </c>
      <c r="I114" s="4" t="s">
        <v>373</v>
      </c>
    </row>
    <row r="115" customFormat="false" ht="17.15" hidden="false" customHeight="false" outlineLevel="0" collapsed="false">
      <c r="A115" s="0" t="s">
        <v>374</v>
      </c>
      <c r="B115" s="4" t="s">
        <v>375</v>
      </c>
      <c r="C115" s="0" t="s">
        <v>69</v>
      </c>
      <c r="E115" s="11" t="n">
        <v>0.5</v>
      </c>
      <c r="G115" s="8" t="s">
        <v>70</v>
      </c>
      <c r="H115" s="8" t="s">
        <v>376</v>
      </c>
      <c r="I115" s="8" t="s">
        <v>212</v>
      </c>
    </row>
    <row r="116" customFormat="false" ht="17.15" hidden="false" customHeight="false" outlineLevel="0" collapsed="false">
      <c r="A116" s="0" t="s">
        <v>377</v>
      </c>
      <c r="B116" s="4" t="s">
        <v>378</v>
      </c>
      <c r="C116" s="0" t="s">
        <v>69</v>
      </c>
      <c r="E116" s="4" t="s">
        <v>379</v>
      </c>
      <c r="G116" s="0" t="s">
        <v>70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309</v>
      </c>
      <c r="E117" s="12" t="n">
        <v>271429</v>
      </c>
      <c r="G117" s="8" t="s">
        <v>146</v>
      </c>
      <c r="H117" s="8" t="s">
        <v>384</v>
      </c>
      <c r="I117" s="4" t="s">
        <v>385</v>
      </c>
    </row>
    <row r="118" customFormat="false" ht="17.15" hidden="false" customHeight="false" outlineLevel="0" collapsed="false">
      <c r="A118" s="0" t="s">
        <v>386</v>
      </c>
      <c r="B118" s="4" t="s">
        <v>387</v>
      </c>
      <c r="C118" s="0" t="s">
        <v>309</v>
      </c>
      <c r="E118" s="12" t="n">
        <v>5000</v>
      </c>
      <c r="G118" s="8" t="s">
        <v>146</v>
      </c>
      <c r="H118" s="4" t="s">
        <v>388</v>
      </c>
      <c r="I118" s="8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390</v>
      </c>
    </row>
    <row r="2" customFormat="false" ht="17.15" hidden="false" customHeight="false" outlineLevel="0" collapsed="false">
      <c r="A2" s="0" t="s">
        <v>391</v>
      </c>
    </row>
    <row r="3" customFormat="false" ht="17.15" hidden="false" customHeight="false" outlineLevel="0" collapsed="false">
      <c r="A3" s="5" t="s">
        <v>21</v>
      </c>
      <c r="B3" s="13" t="s">
        <v>392</v>
      </c>
      <c r="C3" s="13" t="s">
        <v>393</v>
      </c>
      <c r="D3" s="13" t="s">
        <v>394</v>
      </c>
      <c r="E3" s="13" t="s">
        <v>395</v>
      </c>
      <c r="F3" s="13" t="s">
        <v>396</v>
      </c>
      <c r="G3" s="13" t="s">
        <v>397</v>
      </c>
      <c r="H3" s="13" t="s">
        <v>398</v>
      </c>
      <c r="I3" s="13" t="s">
        <v>399</v>
      </c>
      <c r="J3" s="13" t="s">
        <v>400</v>
      </c>
      <c r="K3" s="5" t="s">
        <v>26</v>
      </c>
      <c r="L3" s="5" t="s">
        <v>27</v>
      </c>
      <c r="M3" s="5" t="s">
        <v>28</v>
      </c>
    </row>
    <row r="4" customFormat="false" ht="17.15" hidden="false" customHeight="false" outlineLevel="0" collapsed="false">
      <c r="A4" s="4" t="s">
        <v>401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402</v>
      </c>
      <c r="K4" s="8" t="s">
        <v>403</v>
      </c>
      <c r="L4" s="4" t="s">
        <v>404</v>
      </c>
      <c r="M4" s="8" t="s">
        <v>405</v>
      </c>
    </row>
    <row r="5" customFormat="false" ht="17.15" hidden="false" customHeight="false" outlineLevel="0" collapsed="false">
      <c r="A5" s="4" t="s">
        <v>406</v>
      </c>
      <c r="B5" s="15" t="n">
        <v>3143</v>
      </c>
      <c r="G5" s="15" t="n">
        <v>3320.6</v>
      </c>
      <c r="K5" s="8" t="s">
        <v>310</v>
      </c>
      <c r="L5" s="8" t="s">
        <v>407</v>
      </c>
      <c r="M5" s="8" t="s">
        <v>408</v>
      </c>
    </row>
    <row r="6" customFormat="false" ht="17.15" hidden="false" customHeight="false" outlineLevel="0" collapsed="false">
      <c r="A6" s="4" t="s">
        <v>409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402</v>
      </c>
      <c r="K6" s="8" t="s">
        <v>403</v>
      </c>
      <c r="L6" s="4" t="s">
        <v>410</v>
      </c>
      <c r="M6" s="8" t="s">
        <v>411</v>
      </c>
    </row>
    <row r="7" customFormat="false" ht="17.15" hidden="false" customHeight="false" outlineLevel="0" collapsed="false">
      <c r="A7" s="4" t="s">
        <v>412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33</v>
      </c>
      <c r="L7" s="8" t="s">
        <v>212</v>
      </c>
      <c r="M7" s="4" t="s">
        <v>413</v>
      </c>
    </row>
    <row r="8" customFormat="false" ht="17.15" hidden="false" customHeight="false" outlineLevel="0" collapsed="false">
      <c r="A8" s="4" t="s">
        <v>414</v>
      </c>
      <c r="B8" s="16" t="n">
        <f aca="false">B5-B6</f>
        <v>589</v>
      </c>
      <c r="G8" s="16" t="n">
        <f aca="false">G5-G6</f>
        <v>806.7</v>
      </c>
      <c r="K8" s="8" t="s">
        <v>33</v>
      </c>
      <c r="L8" s="8" t="s">
        <v>212</v>
      </c>
      <c r="M8" s="8" t="s">
        <v>415</v>
      </c>
    </row>
    <row r="9" customFormat="false" ht="17.15" hidden="false" customHeight="false" outlineLevel="0" collapsed="false">
      <c r="A9" s="4" t="s">
        <v>416</v>
      </c>
      <c r="B9" s="15" t="n">
        <v>1526</v>
      </c>
      <c r="G9" s="15" t="n">
        <v>2140</v>
      </c>
      <c r="H9" s="15" t="n">
        <v>190</v>
      </c>
      <c r="K9" s="8" t="s">
        <v>310</v>
      </c>
      <c r="L9" s="8" t="s">
        <v>417</v>
      </c>
      <c r="M9" s="8" t="s">
        <v>418</v>
      </c>
    </row>
    <row r="10" customFormat="false" ht="17.15" hidden="false" customHeight="false" outlineLevel="0" collapsed="false">
      <c r="A10" s="0" t="s">
        <v>419</v>
      </c>
      <c r="B10" s="15" t="n">
        <v>1584</v>
      </c>
      <c r="G10" s="15" t="n">
        <v>2231.7</v>
      </c>
      <c r="K10" s="8" t="s">
        <v>420</v>
      </c>
      <c r="L10" s="8" t="s">
        <v>421</v>
      </c>
      <c r="M10" s="8" t="s">
        <v>422</v>
      </c>
    </row>
    <row r="11" customFormat="false" ht="17.15" hidden="false" customHeight="false" outlineLevel="0" collapsed="false">
      <c r="A11" s="4" t="s">
        <v>423</v>
      </c>
      <c r="B11" s="17" t="n">
        <f aca="false">SUM(C4:F4)-G4</f>
        <v>0</v>
      </c>
      <c r="C11" s="17" t="n">
        <f aca="false">SUM(C6:F6)-G6</f>
        <v>0</v>
      </c>
      <c r="K11" s="8" t="s">
        <v>212</v>
      </c>
      <c r="L11" s="8" t="s">
        <v>212</v>
      </c>
      <c r="M11" s="8" t="s">
        <v>212</v>
      </c>
    </row>
    <row r="13" customFormat="false" ht="15" hidden="false" customHeight="false" outlineLevel="0" collapsed="false">
      <c r="A13" s="1" t="s">
        <v>424</v>
      </c>
    </row>
    <row r="14" customFormat="false" ht="17.15" hidden="false" customHeight="false" outlineLevel="0" collapsed="false">
      <c r="A14" s="5" t="s">
        <v>425</v>
      </c>
      <c r="B14" s="13" t="s">
        <v>392</v>
      </c>
      <c r="C14" s="5" t="s">
        <v>426</v>
      </c>
      <c r="D14" s="5"/>
      <c r="E14" s="5"/>
      <c r="F14" s="5"/>
      <c r="G14" s="13" t="s">
        <v>397</v>
      </c>
      <c r="H14" s="5"/>
      <c r="I14" s="5"/>
      <c r="J14" s="5"/>
      <c r="K14" s="5" t="s">
        <v>26</v>
      </c>
      <c r="L14" s="5" t="s">
        <v>27</v>
      </c>
      <c r="M14" s="5" t="s">
        <v>28</v>
      </c>
    </row>
    <row r="15" customFormat="false" ht="17.15" hidden="false" customHeight="false" outlineLevel="0" collapsed="false">
      <c r="A15" s="0" t="s">
        <v>427</v>
      </c>
      <c r="B15" s="12" t="n">
        <v>2996</v>
      </c>
      <c r="C15" s="10" t="n">
        <f aca="false">B15/B4</f>
        <v>0.536052961173734</v>
      </c>
      <c r="G15" s="8" t="s">
        <v>428</v>
      </c>
      <c r="K15" s="8" t="s">
        <v>310</v>
      </c>
      <c r="L15" s="4" t="s">
        <v>429</v>
      </c>
    </row>
    <row r="16" customFormat="false" ht="17.15" hidden="false" customHeight="false" outlineLevel="0" collapsed="false">
      <c r="A16" s="4" t="s">
        <v>430</v>
      </c>
      <c r="B16" s="12" t="n">
        <v>1111</v>
      </c>
      <c r="C16" s="10" t="n">
        <f aca="false">B16/B4</f>
        <v>0.198783324387189</v>
      </c>
      <c r="G16" s="4" t="s">
        <v>379</v>
      </c>
      <c r="K16" s="8" t="s">
        <v>310</v>
      </c>
      <c r="L16" s="4" t="s">
        <v>429</v>
      </c>
    </row>
    <row r="17" customFormat="false" ht="17.15" hidden="false" customHeight="false" outlineLevel="0" collapsed="false">
      <c r="A17" s="4" t="s">
        <v>431</v>
      </c>
      <c r="B17" s="14" t="n">
        <f aca="false">B4-B15-B16</f>
        <v>1482</v>
      </c>
      <c r="C17" s="10" t="n">
        <f aca="false">B17/B4</f>
        <v>0.265163714439077</v>
      </c>
      <c r="G17" s="8" t="s">
        <v>432</v>
      </c>
      <c r="K17" s="8" t="s">
        <v>33</v>
      </c>
      <c r="L17" s="4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434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435</v>
      </c>
      <c r="D3" s="13" t="s">
        <v>436</v>
      </c>
      <c r="E3" s="13" t="s">
        <v>437</v>
      </c>
      <c r="F3" s="13" t="s">
        <v>438</v>
      </c>
      <c r="G3" s="13" t="s">
        <v>439</v>
      </c>
      <c r="H3" s="13" t="s">
        <v>440</v>
      </c>
      <c r="I3" s="5" t="s">
        <v>441</v>
      </c>
    </row>
    <row r="4" customFormat="false" ht="17.15" hidden="false" customHeight="false" outlineLevel="0" collapsed="false">
      <c r="A4" s="1" t="s">
        <v>442</v>
      </c>
    </row>
    <row r="5" customFormat="false" ht="17.15" hidden="false" customHeight="false" outlineLevel="0" collapsed="false">
      <c r="A5" s="0" t="s">
        <v>443</v>
      </c>
      <c r="B5" s="0" t="s">
        <v>32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4" t="s">
        <v>444</v>
      </c>
      <c r="B6" s="4" t="s">
        <v>445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446</v>
      </c>
      <c r="B7" s="4" t="s">
        <v>447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448</v>
      </c>
      <c r="B8" s="4" t="s">
        <v>447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449</v>
      </c>
      <c r="B9" s="0" t="s">
        <v>69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450</v>
      </c>
      <c r="B10" s="4" t="s">
        <v>447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451</v>
      </c>
      <c r="B11" s="4" t="s">
        <v>233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452</v>
      </c>
    </row>
    <row r="14" customFormat="false" ht="17.15" hidden="false" customHeight="false" outlineLevel="0" collapsed="false">
      <c r="A14" s="0" t="s">
        <v>443</v>
      </c>
      <c r="B14" s="0" t="s">
        <v>32</v>
      </c>
      <c r="C14" s="18" t="n">
        <f aca="false">PL!C76</f>
        <v>2.22511470588235</v>
      </c>
      <c r="D14" s="18" t="n">
        <f aca="false">PL!D76</f>
        <v>3.782695</v>
      </c>
      <c r="E14" s="18" t="n">
        <f aca="false">PL!E76</f>
        <v>5.86317725</v>
      </c>
      <c r="F14" s="18" t="n">
        <f aca="false">PL!F76</f>
        <v>8.22296</v>
      </c>
      <c r="G14" s="18" t="n">
        <f aca="false">PL!G76</f>
        <v>11.3579635</v>
      </c>
      <c r="H14" s="18" t="n">
        <f aca="false">PL!H76</f>
        <v>12.49375985</v>
      </c>
    </row>
    <row r="15" customFormat="false" ht="15" hidden="false" customHeight="false" outlineLevel="0" collapsed="false">
      <c r="A15" s="4" t="s">
        <v>444</v>
      </c>
      <c r="B15" s="4" t="s">
        <v>445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446</v>
      </c>
      <c r="B16" s="4" t="s">
        <v>447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448</v>
      </c>
      <c r="B17" s="4" t="s">
        <v>447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449</v>
      </c>
      <c r="B18" s="0" t="s">
        <v>69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450</v>
      </c>
      <c r="B19" s="4" t="s">
        <v>447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451</v>
      </c>
      <c r="B20" s="4" t="s">
        <v>233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453</v>
      </c>
    </row>
    <row r="23" customFormat="false" ht="17.15" hidden="false" customHeight="false" outlineLevel="0" collapsed="false">
      <c r="A23" s="0" t="s">
        <v>443</v>
      </c>
      <c r="B23" s="0" t="s">
        <v>32</v>
      </c>
      <c r="C23" s="18" t="n">
        <f aca="false">PL!C109</f>
        <v>2.22511470588235</v>
      </c>
      <c r="D23" s="18" t="n">
        <f aca="false">PL!D109</f>
        <v>3.782695</v>
      </c>
      <c r="E23" s="18" t="n">
        <f aca="false">PL!E109</f>
        <v>5.86317725</v>
      </c>
      <c r="F23" s="18" t="n">
        <f aca="false">PL!F109</f>
        <v>6.16722</v>
      </c>
      <c r="G23" s="18" t="n">
        <f aca="false">PL!G109</f>
        <v>8.017386</v>
      </c>
      <c r="H23" s="18" t="n">
        <f aca="false">PL!H109</f>
        <v>8.8191246</v>
      </c>
    </row>
    <row r="24" customFormat="false" ht="15" hidden="false" customHeight="false" outlineLevel="0" collapsed="false">
      <c r="A24" s="4" t="s">
        <v>444</v>
      </c>
      <c r="B24" s="4" t="s">
        <v>445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446</v>
      </c>
      <c r="B25" s="4" t="s">
        <v>447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448</v>
      </c>
      <c r="B26" s="4" t="s">
        <v>447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449</v>
      </c>
      <c r="B27" s="0" t="s">
        <v>69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450</v>
      </c>
      <c r="B28" s="4" t="s">
        <v>447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451</v>
      </c>
      <c r="B29" s="4" t="s">
        <v>233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454</v>
      </c>
    </row>
    <row r="32" customFormat="false" ht="17.15" hidden="false" customHeight="false" outlineLevel="0" collapsed="false">
      <c r="A32" s="4" t="s">
        <v>455</v>
      </c>
      <c r="B32" s="4" t="s">
        <v>456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457</v>
      </c>
      <c r="B33" s="4" t="s">
        <v>456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458</v>
      </c>
      <c r="B34" s="4" t="s">
        <v>456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460</v>
      </c>
    </row>
    <row r="3" customFormat="false" ht="17.15" hidden="false" customHeight="false" outlineLevel="0" collapsed="false">
      <c r="A3" s="5" t="s">
        <v>461</v>
      </c>
      <c r="B3" s="5" t="s">
        <v>22</v>
      </c>
      <c r="C3" s="13" t="s">
        <v>462</v>
      </c>
      <c r="D3" s="13" t="s">
        <v>463</v>
      </c>
      <c r="E3" s="13" t="s">
        <v>464</v>
      </c>
      <c r="F3" s="13" t="s">
        <v>465</v>
      </c>
      <c r="G3" s="13" t="s">
        <v>466</v>
      </c>
      <c r="H3" s="5" t="s">
        <v>441</v>
      </c>
    </row>
    <row r="4" customFormat="false" ht="17.15" hidden="false" customHeight="false" outlineLevel="0" collapsed="false">
      <c r="A4" s="1" t="s">
        <v>442</v>
      </c>
    </row>
    <row r="5" customFormat="false" ht="17.15" hidden="false" customHeight="false" outlineLevel="0" collapsed="false">
      <c r="A5" s="4" t="s">
        <v>401</v>
      </c>
      <c r="B5" s="4" t="s">
        <v>233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467</v>
      </c>
    </row>
    <row r="6" customFormat="false" ht="17.15" hidden="false" customHeight="false" outlineLevel="0" collapsed="false">
      <c r="A6" s="0" t="s">
        <v>468</v>
      </c>
      <c r="B6" s="4" t="s">
        <v>233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469</v>
      </c>
      <c r="B7" s="4" t="s">
        <v>233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470</v>
      </c>
      <c r="B8" s="0" t="s">
        <v>69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409</v>
      </c>
      <c r="B9" s="4" t="s">
        <v>233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412</v>
      </c>
      <c r="B10" s="0" t="s">
        <v>69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471</v>
      </c>
      <c r="B11" s="4" t="s">
        <v>233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472</v>
      </c>
      <c r="B12" s="0" t="s">
        <v>309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452</v>
      </c>
    </row>
    <row r="15" customFormat="false" ht="15" hidden="false" customHeight="false" outlineLevel="0" collapsed="false">
      <c r="A15" s="4" t="s">
        <v>401</v>
      </c>
      <c r="B15" s="4" t="s">
        <v>233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468</v>
      </c>
      <c r="B16" s="4" t="s">
        <v>233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469</v>
      </c>
      <c r="B17" s="4" t="s">
        <v>233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470</v>
      </c>
      <c r="B18" s="0" t="s">
        <v>69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409</v>
      </c>
      <c r="B19" s="4" t="s">
        <v>233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412</v>
      </c>
      <c r="B20" s="0" t="s">
        <v>69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471</v>
      </c>
      <c r="B21" s="4" t="s">
        <v>233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472</v>
      </c>
      <c r="B22" s="0" t="s">
        <v>309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453</v>
      </c>
    </row>
    <row r="25" customFormat="false" ht="15" hidden="false" customHeight="false" outlineLevel="0" collapsed="false">
      <c r="A25" s="4" t="s">
        <v>401</v>
      </c>
      <c r="B25" s="4" t="s">
        <v>233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468</v>
      </c>
      <c r="B26" s="4" t="s">
        <v>233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469</v>
      </c>
      <c r="B27" s="4" t="s">
        <v>233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470</v>
      </c>
      <c r="B28" s="0" t="s">
        <v>69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409</v>
      </c>
      <c r="B29" s="4" t="s">
        <v>233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412</v>
      </c>
      <c r="B30" s="0" t="s">
        <v>69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471</v>
      </c>
      <c r="B31" s="4" t="s">
        <v>233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472</v>
      </c>
      <c r="B32" s="0" t="s">
        <v>309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473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474</v>
      </c>
    </row>
    <row r="41" customFormat="false" ht="15" hidden="false" customHeight="false" outlineLevel="0" collapsed="false">
      <c r="A41" s="5" t="s">
        <v>21</v>
      </c>
      <c r="B41" s="5" t="s">
        <v>22</v>
      </c>
      <c r="C41" s="13" t="s">
        <v>435</v>
      </c>
      <c r="D41" s="13" t="s">
        <v>436</v>
      </c>
      <c r="E41" s="13" t="s">
        <v>437</v>
      </c>
      <c r="F41" s="13" t="s">
        <v>438</v>
      </c>
      <c r="G41" s="13" t="s">
        <v>439</v>
      </c>
      <c r="H41" s="13" t="s">
        <v>440</v>
      </c>
      <c r="I41" s="5" t="s">
        <v>441</v>
      </c>
    </row>
    <row r="42" customFormat="false" ht="17.15" hidden="false" customHeight="false" outlineLevel="0" collapsed="false">
      <c r="A42" s="6" t="s">
        <v>475</v>
      </c>
    </row>
    <row r="43" customFormat="false" ht="17.15" hidden="false" customHeight="false" outlineLevel="0" collapsed="false">
      <c r="A43" s="0" t="s">
        <v>476</v>
      </c>
      <c r="B43" s="0" t="s">
        <v>32</v>
      </c>
      <c r="C43" s="19" t="n">
        <f aca="false">hsA_25</f>
        <v>2.22511470588235</v>
      </c>
      <c r="D43" s="19" t="n">
        <f aca="false">hsA_26</f>
        <v>3.782695</v>
      </c>
      <c r="E43" s="19" t="n">
        <f aca="false">hsA_27</f>
        <v>5.86317725</v>
      </c>
      <c r="F43" s="19" t="n">
        <f aca="false">hsA_28</f>
        <v>8.5016070125</v>
      </c>
      <c r="G43" s="19" t="n">
        <f aca="false">hsA_29</f>
        <v>11.477169466875</v>
      </c>
      <c r="H43" s="19" t="n">
        <f aca="false">G43*(1+g_tail)</f>
        <v>12.6248864135625</v>
      </c>
      <c r="I43" s="8" t="s">
        <v>477</v>
      </c>
    </row>
    <row r="44" customFormat="false" ht="17.15" hidden="false" customHeight="false" outlineLevel="0" collapsed="false">
      <c r="A44" s="0" t="s">
        <v>478</v>
      </c>
      <c r="B44" s="0" t="s">
        <v>479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480</v>
      </c>
      <c r="B45" s="4" t="s">
        <v>445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481</v>
      </c>
    </row>
    <row r="46" customFormat="false" ht="15" hidden="false" customHeight="false" outlineLevel="0" collapsed="false">
      <c r="A46" s="4" t="s">
        <v>482</v>
      </c>
      <c r="B46" s="4" t="s">
        <v>96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483</v>
      </c>
      <c r="B47" s="0" t="s">
        <v>116</v>
      </c>
      <c r="C47" s="20" t="n">
        <f aca="false">1+beta*(C46-$C46)/4</f>
        <v>1</v>
      </c>
      <c r="D47" s="20" t="n">
        <f aca="false">1+beta*(D46-$C46)/4</f>
        <v>1.05</v>
      </c>
      <c r="E47" s="20" t="n">
        <f aca="false">1+beta*(E46-$C46)/4</f>
        <v>1.0625</v>
      </c>
      <c r="F47" s="20" t="n">
        <f aca="false">1+beta*(F46-$C46)/4</f>
        <v>1.1</v>
      </c>
      <c r="G47" s="20" t="n">
        <f aca="false">1+beta*(G46-$C46)/4</f>
        <v>1.125</v>
      </c>
      <c r="H47" s="20" t="n">
        <f aca="false">1+beta*(H46-$C46)/4</f>
        <v>1.15</v>
      </c>
    </row>
    <row r="48" customFormat="false" ht="17.15" hidden="false" customHeight="false" outlineLevel="0" collapsed="false">
      <c r="A48" s="4" t="s">
        <v>484</v>
      </c>
      <c r="B48" s="0" t="s">
        <v>69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485</v>
      </c>
    </row>
    <row r="49" customFormat="false" ht="17.15" hidden="false" customHeight="false" outlineLevel="0" collapsed="false">
      <c r="A49" s="0" t="s">
        <v>486</v>
      </c>
      <c r="B49" s="4" t="s">
        <v>447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487</v>
      </c>
      <c r="B50" s="4" t="s">
        <v>447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488</v>
      </c>
    </row>
    <row r="51" customFormat="false" ht="17.15" hidden="false" customHeight="false" outlineLevel="0" collapsed="false">
      <c r="A51" s="0" t="s">
        <v>489</v>
      </c>
      <c r="B51" s="0" t="s">
        <v>69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490</v>
      </c>
      <c r="B52" s="0" t="s">
        <v>69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491</v>
      </c>
      <c r="B53" s="0" t="s">
        <v>69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492</v>
      </c>
      <c r="B54" s="0" t="s">
        <v>69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493</v>
      </c>
      <c r="B55" s="4" t="s">
        <v>447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494</v>
      </c>
    </row>
    <row r="57" customFormat="false" ht="17.15" hidden="false" customHeight="false" outlineLevel="0" collapsed="false">
      <c r="A57" s="4" t="s">
        <v>495</v>
      </c>
      <c r="B57" s="4" t="s">
        <v>233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496</v>
      </c>
    </row>
    <row r="58" customFormat="false" ht="17.15" hidden="false" customHeight="false" outlineLevel="0" collapsed="false">
      <c r="A58" s="0" t="s">
        <v>497</v>
      </c>
      <c r="B58" s="4" t="s">
        <v>233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498</v>
      </c>
    </row>
    <row r="59" customFormat="false" ht="17.15" hidden="false" customHeight="false" outlineLevel="0" collapsed="false">
      <c r="A59" s="4" t="s">
        <v>499</v>
      </c>
      <c r="B59" s="4" t="s">
        <v>500</v>
      </c>
      <c r="C59" s="20" t="n">
        <f aca="false">(C58+D58)/(C55+D55)</f>
        <v>13.7176686415529</v>
      </c>
      <c r="I59" s="4" t="s">
        <v>501</v>
      </c>
    </row>
    <row r="60" customFormat="false" ht="15" hidden="false" customHeight="false" outlineLevel="0" collapsed="false">
      <c r="A60" s="4" t="s">
        <v>401</v>
      </c>
      <c r="B60" s="4" t="s">
        <v>233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502</v>
      </c>
      <c r="B61" s="0" t="s">
        <v>69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503</v>
      </c>
      <c r="B62" s="4" t="s">
        <v>233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504</v>
      </c>
    </row>
    <row r="63" customFormat="false" ht="17.15" hidden="false" customHeight="false" outlineLevel="0" collapsed="false">
      <c r="A63" s="4" t="s">
        <v>470</v>
      </c>
      <c r="B63" s="0" t="s">
        <v>69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505</v>
      </c>
    </row>
    <row r="64" customFormat="false" ht="15" hidden="false" customHeight="false" outlineLevel="0" collapsed="false">
      <c r="A64" s="4" t="s">
        <v>406</v>
      </c>
      <c r="B64" s="4" t="s">
        <v>233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409</v>
      </c>
      <c r="B65" s="4" t="s">
        <v>233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412</v>
      </c>
      <c r="B66" s="0" t="s">
        <v>69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471</v>
      </c>
      <c r="B67" s="4" t="s">
        <v>233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472</v>
      </c>
      <c r="B68" s="0" t="s">
        <v>309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506</v>
      </c>
      <c r="B69" s="4" t="s">
        <v>233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507</v>
      </c>
    </row>
    <row r="70" customFormat="false" ht="15" hidden="false" customHeight="false" outlineLevel="0" collapsed="false">
      <c r="A70" s="4" t="s">
        <v>508</v>
      </c>
      <c r="B70" s="0" t="s">
        <v>340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509</v>
      </c>
    </row>
    <row r="74" customFormat="false" ht="15" hidden="false" customHeight="false" outlineLevel="0" collapsed="false">
      <c r="A74" s="5" t="s">
        <v>21</v>
      </c>
      <c r="B74" s="5" t="s">
        <v>22</v>
      </c>
      <c r="C74" s="13" t="s">
        <v>435</v>
      </c>
      <c r="D74" s="13" t="s">
        <v>436</v>
      </c>
      <c r="E74" s="13" t="s">
        <v>437</v>
      </c>
      <c r="F74" s="13" t="s">
        <v>438</v>
      </c>
      <c r="G74" s="13" t="s">
        <v>439</v>
      </c>
      <c r="H74" s="13" t="s">
        <v>440</v>
      </c>
      <c r="I74" s="5" t="s">
        <v>441</v>
      </c>
    </row>
    <row r="75" customFormat="false" ht="17.15" hidden="false" customHeight="false" outlineLevel="0" collapsed="false">
      <c r="A75" s="6" t="s">
        <v>475</v>
      </c>
    </row>
    <row r="76" customFormat="false" ht="17.15" hidden="false" customHeight="false" outlineLevel="0" collapsed="false">
      <c r="A76" s="0" t="s">
        <v>476</v>
      </c>
      <c r="B76" s="0" t="s">
        <v>32</v>
      </c>
      <c r="C76" s="19" t="n">
        <f aca="false">hsB_25</f>
        <v>2.22511470588235</v>
      </c>
      <c r="D76" s="19" t="n">
        <f aca="false">hsB_26</f>
        <v>3.782695</v>
      </c>
      <c r="E76" s="19" t="n">
        <f aca="false">hsB_27</f>
        <v>5.86317725</v>
      </c>
      <c r="F76" s="19" t="n">
        <f aca="false">hsB_28</f>
        <v>8.22296</v>
      </c>
      <c r="G76" s="19" t="n">
        <f aca="false">hsB_29</f>
        <v>11.3579635</v>
      </c>
      <c r="H76" s="19" t="n">
        <f aca="false">G76*(1+g_tail)</f>
        <v>12.49375985</v>
      </c>
      <c r="I76" s="8" t="s">
        <v>477</v>
      </c>
    </row>
    <row r="77" customFormat="false" ht="17.15" hidden="false" customHeight="false" outlineLevel="0" collapsed="false">
      <c r="A77" s="0" t="s">
        <v>478</v>
      </c>
      <c r="B77" s="0" t="s">
        <v>479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480</v>
      </c>
      <c r="B78" s="4" t="s">
        <v>445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481</v>
      </c>
    </row>
    <row r="79" customFormat="false" ht="15" hidden="false" customHeight="false" outlineLevel="0" collapsed="false">
      <c r="A79" s="4" t="s">
        <v>482</v>
      </c>
      <c r="B79" s="4" t="s">
        <v>96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483</v>
      </c>
      <c r="B80" s="0" t="s">
        <v>116</v>
      </c>
      <c r="C80" s="20" t="n">
        <f aca="false">1+beta*(C79-$C79)/4</f>
        <v>1</v>
      </c>
      <c r="D80" s="20" t="n">
        <f aca="false">1+beta*(D79-$C79)/4</f>
        <v>1.05</v>
      </c>
      <c r="E80" s="20" t="n">
        <f aca="false">1+beta*(E79-$C79)/4</f>
        <v>1.0625</v>
      </c>
      <c r="F80" s="20" t="n">
        <f aca="false">1+beta*(F79-$C79)/4</f>
        <v>1.1</v>
      </c>
      <c r="G80" s="20" t="n">
        <f aca="false">1+beta*(G79-$C79)/4</f>
        <v>1.125</v>
      </c>
      <c r="H80" s="20" t="n">
        <f aca="false">1+beta*(H79-$C79)/4</f>
        <v>1.15</v>
      </c>
    </row>
    <row r="81" customFormat="false" ht="17.15" hidden="false" customHeight="false" outlineLevel="0" collapsed="false">
      <c r="A81" s="4" t="s">
        <v>484</v>
      </c>
      <c r="B81" s="0" t="s">
        <v>69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510</v>
      </c>
    </row>
    <row r="82" customFormat="false" ht="17.15" hidden="false" customHeight="false" outlineLevel="0" collapsed="false">
      <c r="A82" s="0" t="s">
        <v>486</v>
      </c>
      <c r="B82" s="4" t="s">
        <v>447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487</v>
      </c>
      <c r="B83" s="4" t="s">
        <v>447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488</v>
      </c>
    </row>
    <row r="84" customFormat="false" ht="17.15" hidden="false" customHeight="false" outlineLevel="0" collapsed="false">
      <c r="A84" s="0" t="s">
        <v>489</v>
      </c>
      <c r="B84" s="0" t="s">
        <v>69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490</v>
      </c>
      <c r="B85" s="0" t="s">
        <v>69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491</v>
      </c>
      <c r="B86" s="0" t="s">
        <v>69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492</v>
      </c>
      <c r="B87" s="0" t="s">
        <v>69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493</v>
      </c>
      <c r="B88" s="4" t="s">
        <v>447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494</v>
      </c>
    </row>
    <row r="90" customFormat="false" ht="17.15" hidden="false" customHeight="false" outlineLevel="0" collapsed="false">
      <c r="A90" s="4" t="s">
        <v>495</v>
      </c>
      <c r="B90" s="4" t="s">
        <v>233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496</v>
      </c>
    </row>
    <row r="91" customFormat="false" ht="17.15" hidden="false" customHeight="false" outlineLevel="0" collapsed="false">
      <c r="A91" s="0" t="s">
        <v>497</v>
      </c>
      <c r="B91" s="4" t="s">
        <v>233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498</v>
      </c>
    </row>
    <row r="92" customFormat="false" ht="17.15" hidden="false" customHeight="false" outlineLevel="0" collapsed="false">
      <c r="A92" s="4" t="s">
        <v>499</v>
      </c>
      <c r="B92" s="4" t="s">
        <v>500</v>
      </c>
      <c r="C92" s="20" t="n">
        <f aca="false">(C91+D91)/(C88+D88)</f>
        <v>13.7176686415529</v>
      </c>
      <c r="I92" s="4" t="s">
        <v>501</v>
      </c>
    </row>
    <row r="93" customFormat="false" ht="15" hidden="false" customHeight="false" outlineLevel="0" collapsed="false">
      <c r="A93" s="4" t="s">
        <v>401</v>
      </c>
      <c r="B93" s="4" t="s">
        <v>233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502</v>
      </c>
      <c r="B94" s="0" t="s">
        <v>69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503</v>
      </c>
      <c r="B95" s="4" t="s">
        <v>233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504</v>
      </c>
    </row>
    <row r="96" customFormat="false" ht="17.15" hidden="false" customHeight="false" outlineLevel="0" collapsed="false">
      <c r="A96" s="4" t="s">
        <v>470</v>
      </c>
      <c r="B96" s="0" t="s">
        <v>69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505</v>
      </c>
    </row>
    <row r="97" customFormat="false" ht="15" hidden="false" customHeight="false" outlineLevel="0" collapsed="false">
      <c r="A97" s="4" t="s">
        <v>406</v>
      </c>
      <c r="B97" s="4" t="s">
        <v>233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409</v>
      </c>
      <c r="B98" s="4" t="s">
        <v>233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412</v>
      </c>
      <c r="B99" s="0" t="s">
        <v>69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471</v>
      </c>
      <c r="B100" s="4" t="s">
        <v>233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472</v>
      </c>
      <c r="B101" s="0" t="s">
        <v>309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506</v>
      </c>
      <c r="B102" s="4" t="s">
        <v>233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507</v>
      </c>
    </row>
    <row r="103" customFormat="false" ht="15" hidden="false" customHeight="false" outlineLevel="0" collapsed="false">
      <c r="A103" s="4" t="s">
        <v>508</v>
      </c>
      <c r="B103" s="0" t="s">
        <v>340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511</v>
      </c>
    </row>
    <row r="107" customFormat="false" ht="15" hidden="false" customHeight="false" outlineLevel="0" collapsed="false">
      <c r="A107" s="5" t="s">
        <v>21</v>
      </c>
      <c r="B107" s="5" t="s">
        <v>22</v>
      </c>
      <c r="C107" s="13" t="s">
        <v>435</v>
      </c>
      <c r="D107" s="13" t="s">
        <v>436</v>
      </c>
      <c r="E107" s="13" t="s">
        <v>437</v>
      </c>
      <c r="F107" s="13" t="s">
        <v>438</v>
      </c>
      <c r="G107" s="13" t="s">
        <v>439</v>
      </c>
      <c r="H107" s="13" t="s">
        <v>440</v>
      </c>
      <c r="I107" s="5" t="s">
        <v>441</v>
      </c>
    </row>
    <row r="108" customFormat="false" ht="17.15" hidden="false" customHeight="false" outlineLevel="0" collapsed="false">
      <c r="A108" s="6" t="s">
        <v>475</v>
      </c>
    </row>
    <row r="109" customFormat="false" ht="17.15" hidden="false" customHeight="false" outlineLevel="0" collapsed="false">
      <c r="A109" s="0" t="s">
        <v>476</v>
      </c>
      <c r="B109" s="0" t="s">
        <v>32</v>
      </c>
      <c r="C109" s="19" t="n">
        <f aca="false">hsC_25</f>
        <v>2.22511470588235</v>
      </c>
      <c r="D109" s="19" t="n">
        <f aca="false">hsC_26</f>
        <v>3.782695</v>
      </c>
      <c r="E109" s="19" t="n">
        <f aca="false">hsC_27</f>
        <v>5.86317725</v>
      </c>
      <c r="F109" s="19" t="n">
        <f aca="false">hsC_28</f>
        <v>6.16722</v>
      </c>
      <c r="G109" s="19" t="n">
        <f aca="false">hsC_29</f>
        <v>8.017386</v>
      </c>
      <c r="H109" s="19" t="n">
        <f aca="false">G109*(1+g_tail)</f>
        <v>8.8191246</v>
      </c>
      <c r="I109" s="8" t="s">
        <v>477</v>
      </c>
    </row>
    <row r="110" customFormat="false" ht="17.15" hidden="false" customHeight="false" outlineLevel="0" collapsed="false">
      <c r="A110" s="0" t="s">
        <v>478</v>
      </c>
      <c r="B110" s="0" t="s">
        <v>479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480</v>
      </c>
      <c r="B111" s="4" t="s">
        <v>445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481</v>
      </c>
    </row>
    <row r="112" customFormat="false" ht="15" hidden="false" customHeight="false" outlineLevel="0" collapsed="false">
      <c r="A112" s="4" t="s">
        <v>482</v>
      </c>
      <c r="B112" s="4" t="s">
        <v>96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483</v>
      </c>
      <c r="B113" s="0" t="s">
        <v>116</v>
      </c>
      <c r="C113" s="20" t="n">
        <f aca="false">1+beta*(C112-$C112)/4</f>
        <v>1</v>
      </c>
      <c r="D113" s="20" t="n">
        <f aca="false">1+beta*(D112-$C112)/4</f>
        <v>1.05</v>
      </c>
      <c r="E113" s="20" t="n">
        <f aca="false">1+beta*(E112-$C112)/4</f>
        <v>1.0625</v>
      </c>
      <c r="F113" s="20" t="n">
        <f aca="false">1+beta*(F112-$C112)/4</f>
        <v>1.1</v>
      </c>
      <c r="G113" s="20" t="n">
        <f aca="false">1+beta*(G112-$C112)/4</f>
        <v>1.125</v>
      </c>
      <c r="H113" s="20" t="n">
        <f aca="false">1+beta*(H112-$C112)/4</f>
        <v>1.15</v>
      </c>
    </row>
    <row r="114" customFormat="false" ht="17.15" hidden="false" customHeight="false" outlineLevel="0" collapsed="false">
      <c r="A114" s="4" t="s">
        <v>484</v>
      </c>
      <c r="B114" s="0" t="s">
        <v>69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512</v>
      </c>
    </row>
    <row r="115" customFormat="false" ht="17.15" hidden="false" customHeight="false" outlineLevel="0" collapsed="false">
      <c r="A115" s="0" t="s">
        <v>486</v>
      </c>
      <c r="B115" s="4" t="s">
        <v>447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487</v>
      </c>
      <c r="B116" s="4" t="s">
        <v>447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488</v>
      </c>
    </row>
    <row r="117" customFormat="false" ht="17.15" hidden="false" customHeight="false" outlineLevel="0" collapsed="false">
      <c r="A117" s="0" t="s">
        <v>489</v>
      </c>
      <c r="B117" s="0" t="s">
        <v>69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490</v>
      </c>
      <c r="B118" s="0" t="s">
        <v>69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491</v>
      </c>
      <c r="B119" s="0" t="s">
        <v>69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492</v>
      </c>
      <c r="B120" s="0" t="s">
        <v>69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493</v>
      </c>
      <c r="B121" s="4" t="s">
        <v>447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494</v>
      </c>
    </row>
    <row r="123" customFormat="false" ht="17.15" hidden="false" customHeight="false" outlineLevel="0" collapsed="false">
      <c r="A123" s="4" t="s">
        <v>495</v>
      </c>
      <c r="B123" s="4" t="s">
        <v>233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496</v>
      </c>
    </row>
    <row r="124" customFormat="false" ht="17.15" hidden="false" customHeight="false" outlineLevel="0" collapsed="false">
      <c r="A124" s="0" t="s">
        <v>497</v>
      </c>
      <c r="B124" s="4" t="s">
        <v>233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498</v>
      </c>
    </row>
    <row r="125" customFormat="false" ht="17.15" hidden="false" customHeight="false" outlineLevel="0" collapsed="false">
      <c r="A125" s="4" t="s">
        <v>499</v>
      </c>
      <c r="B125" s="4" t="s">
        <v>500</v>
      </c>
      <c r="C125" s="20" t="n">
        <f aca="false">(C124+D124)/(C121+D121)</f>
        <v>13.7176686415529</v>
      </c>
      <c r="I125" s="4" t="s">
        <v>501</v>
      </c>
    </row>
    <row r="126" customFormat="false" ht="15" hidden="false" customHeight="false" outlineLevel="0" collapsed="false">
      <c r="A126" s="4" t="s">
        <v>401</v>
      </c>
      <c r="B126" s="4" t="s">
        <v>233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502</v>
      </c>
      <c r="B127" s="0" t="s">
        <v>69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503</v>
      </c>
      <c r="B128" s="4" t="s">
        <v>233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504</v>
      </c>
    </row>
    <row r="129" customFormat="false" ht="17.15" hidden="false" customHeight="false" outlineLevel="0" collapsed="false">
      <c r="A129" s="4" t="s">
        <v>470</v>
      </c>
      <c r="B129" s="0" t="s">
        <v>69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505</v>
      </c>
    </row>
    <row r="130" customFormat="false" ht="15" hidden="false" customHeight="false" outlineLevel="0" collapsed="false">
      <c r="A130" s="4" t="s">
        <v>406</v>
      </c>
      <c r="B130" s="4" t="s">
        <v>233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409</v>
      </c>
      <c r="B131" s="4" t="s">
        <v>233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412</v>
      </c>
      <c r="B132" s="0" t="s">
        <v>69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471</v>
      </c>
      <c r="B133" s="4" t="s">
        <v>233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472</v>
      </c>
      <c r="B134" s="0" t="s">
        <v>309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506</v>
      </c>
      <c r="B135" s="4" t="s">
        <v>233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507</v>
      </c>
    </row>
    <row r="136" customFormat="false" ht="15" hidden="false" customHeight="false" outlineLevel="0" collapsed="false">
      <c r="A136" s="4" t="s">
        <v>508</v>
      </c>
      <c r="B136" s="0" t="s">
        <v>340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513</v>
      </c>
    </row>
    <row r="140" customFormat="false" ht="17.15" hidden="false" customHeight="false" outlineLevel="0" collapsed="false">
      <c r="A140" s="4" t="s">
        <v>514</v>
      </c>
    </row>
    <row r="141" customFormat="false" ht="17.15" hidden="false" customHeight="false" outlineLevel="0" collapsed="false">
      <c r="A141" s="5" t="s">
        <v>515</v>
      </c>
      <c r="B141" s="5" t="s">
        <v>22</v>
      </c>
      <c r="C141" s="13" t="s">
        <v>462</v>
      </c>
      <c r="D141" s="13" t="s">
        <v>463</v>
      </c>
      <c r="E141" s="13" t="s">
        <v>464</v>
      </c>
      <c r="F141" s="13" t="s">
        <v>465</v>
      </c>
      <c r="G141" s="13" t="s">
        <v>466</v>
      </c>
      <c r="H141" s="13" t="s">
        <v>516</v>
      </c>
      <c r="I141" s="13" t="s">
        <v>517</v>
      </c>
      <c r="J141" s="13" t="s">
        <v>518</v>
      </c>
      <c r="K141" s="5" t="s">
        <v>441</v>
      </c>
    </row>
    <row r="142" customFormat="false" ht="17.15" hidden="false" customHeight="false" outlineLevel="0" collapsed="false">
      <c r="A142" s="1" t="s">
        <v>519</v>
      </c>
    </row>
    <row r="143" customFormat="false" ht="17.15" hidden="false" customHeight="false" outlineLevel="0" collapsed="false">
      <c r="A143" s="4" t="s">
        <v>401</v>
      </c>
      <c r="B143" s="4" t="s">
        <v>233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520</v>
      </c>
    </row>
    <row r="144" customFormat="false" ht="15" hidden="false" customHeight="false" outlineLevel="0" collapsed="false">
      <c r="A144" s="4" t="s">
        <v>521</v>
      </c>
      <c r="B144" s="0" t="s">
        <v>69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522</v>
      </c>
      <c r="B145" s="0" t="s">
        <v>69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523</v>
      </c>
      <c r="B146" s="4" t="s">
        <v>233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524</v>
      </c>
      <c r="B147" s="0" t="s">
        <v>309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525</v>
      </c>
    </row>
    <row r="150" customFormat="false" ht="17.15" hidden="false" customHeight="false" outlineLevel="0" collapsed="false">
      <c r="A150" s="4" t="s">
        <v>401</v>
      </c>
      <c r="B150" s="4" t="s">
        <v>233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520</v>
      </c>
    </row>
    <row r="151" customFormat="false" ht="15" hidden="false" customHeight="false" outlineLevel="0" collapsed="false">
      <c r="A151" s="4" t="s">
        <v>521</v>
      </c>
      <c r="B151" s="0" t="s">
        <v>69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522</v>
      </c>
      <c r="B152" s="0" t="s">
        <v>69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523</v>
      </c>
      <c r="B153" s="4" t="s">
        <v>233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524</v>
      </c>
      <c r="B154" s="0" t="s">
        <v>309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526</v>
      </c>
    </row>
    <row r="157" customFormat="false" ht="17.15" hidden="false" customHeight="false" outlineLevel="0" collapsed="false">
      <c r="A157" s="4" t="s">
        <v>401</v>
      </c>
      <c r="B157" s="4" t="s">
        <v>233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520</v>
      </c>
    </row>
    <row r="158" customFormat="false" ht="15" hidden="false" customHeight="false" outlineLevel="0" collapsed="false">
      <c r="A158" s="4" t="s">
        <v>521</v>
      </c>
      <c r="B158" s="0" t="s">
        <v>69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522</v>
      </c>
      <c r="B159" s="0" t="s">
        <v>69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523</v>
      </c>
      <c r="B160" s="4" t="s">
        <v>233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524</v>
      </c>
      <c r="B161" s="0" t="s">
        <v>309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4" t="s">
        <v>529</v>
      </c>
    </row>
    <row r="4" customFormat="false" ht="15" hidden="false" customHeight="false" outlineLevel="0" collapsed="false">
      <c r="A4" s="1" t="s">
        <v>530</v>
      </c>
    </row>
    <row r="5" customFormat="false" ht="15" hidden="false" customHeight="false" outlineLevel="0" collapsed="false">
      <c r="A5" s="5" t="s">
        <v>21</v>
      </c>
      <c r="B5" s="5" t="s">
        <v>531</v>
      </c>
      <c r="C5" s="5"/>
      <c r="D5" s="5"/>
      <c r="E5" s="5" t="s">
        <v>441</v>
      </c>
    </row>
    <row r="6" customFormat="false" ht="17.15" hidden="false" customHeight="false" outlineLevel="0" collapsed="false">
      <c r="A6" s="23" t="s">
        <v>532</v>
      </c>
      <c r="B6" s="24" t="n">
        <f aca="false">tp_wA*B8+tp_wB*B9+tp_wC*B10</f>
        <v>64078.0210298826</v>
      </c>
      <c r="C6" s="23"/>
      <c r="D6" s="23"/>
      <c r="E6" s="23" t="s">
        <v>533</v>
      </c>
    </row>
    <row r="7" customFormat="false" ht="17.15" hidden="false" customHeight="false" outlineLevel="0" collapsed="false">
      <c r="A7" s="4" t="s">
        <v>534</v>
      </c>
      <c r="B7" s="10" t="n">
        <f aca="false">B6/px-1</f>
        <v>-0.66006354891309</v>
      </c>
      <c r="E7" s="4" t="s">
        <v>535</v>
      </c>
    </row>
    <row r="8" customFormat="false" ht="17.15" hidden="false" customHeight="false" outlineLevel="0" collapsed="false">
      <c r="A8" s="4" t="s">
        <v>536</v>
      </c>
      <c r="B8" s="14" t="n">
        <f aca="false">F44</f>
        <v>66816.3450456621</v>
      </c>
      <c r="E8" s="8" t="s">
        <v>537</v>
      </c>
    </row>
    <row r="9" customFormat="false" ht="17.15" hidden="false" customHeight="false" outlineLevel="0" collapsed="false">
      <c r="A9" s="4" t="s">
        <v>538</v>
      </c>
      <c r="B9" s="14" t="n">
        <f aca="false">F51</f>
        <v>66816.3450456621</v>
      </c>
      <c r="E9" s="8" t="s">
        <v>539</v>
      </c>
    </row>
    <row r="10" customFormat="false" ht="17.15" hidden="false" customHeight="false" outlineLevel="0" collapsed="false">
      <c r="A10" s="4" t="s">
        <v>540</v>
      </c>
      <c r="B10" s="14" t="n">
        <f aca="false">F58</f>
        <v>53124.7249667643</v>
      </c>
      <c r="E10" s="8" t="s">
        <v>541</v>
      </c>
    </row>
    <row r="11" customFormat="false" ht="17.15" hidden="false" customHeight="false" outlineLevel="0" collapsed="false">
      <c r="A11" s="4" t="s">
        <v>542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543</v>
      </c>
    </row>
    <row r="12" customFormat="false" ht="17.15" hidden="false" customHeight="false" outlineLevel="0" collapsed="false">
      <c r="A12" s="4" t="s">
        <v>544</v>
      </c>
      <c r="B12" s="0" t="s">
        <v>545</v>
      </c>
    </row>
    <row r="14" customFormat="false" ht="17.15" hidden="false" customHeight="false" outlineLevel="0" collapsed="false">
      <c r="A14" s="6" t="s">
        <v>546</v>
      </c>
    </row>
    <row r="15" customFormat="false" ht="17.15" hidden="false" customHeight="false" outlineLevel="0" collapsed="false">
      <c r="A15" s="5" t="s">
        <v>547</v>
      </c>
      <c r="B15" s="5" t="s">
        <v>548</v>
      </c>
      <c r="C15" s="5" t="s">
        <v>549</v>
      </c>
      <c r="D15" s="5" t="s">
        <v>550</v>
      </c>
      <c r="E15" s="5" t="s">
        <v>26</v>
      </c>
      <c r="F15" s="5" t="s">
        <v>551</v>
      </c>
    </row>
    <row r="16" customFormat="false" ht="17.15" hidden="false" customHeight="false" outlineLevel="0" collapsed="false">
      <c r="A16" s="0" t="s">
        <v>552</v>
      </c>
      <c r="B16" s="26" t="n">
        <v>23.2</v>
      </c>
      <c r="C16" s="17"/>
      <c r="D16" s="17" t="str">
        <f aca="false">IF(C16="","",B16-C16)</f>
        <v/>
      </c>
      <c r="E16" s="8" t="s">
        <v>553</v>
      </c>
      <c r="F16" s="4" t="s">
        <v>554</v>
      </c>
    </row>
    <row r="17" customFormat="false" ht="17.15" hidden="false" customHeight="false" outlineLevel="0" collapsed="false">
      <c r="A17" s="0" t="s">
        <v>555</v>
      </c>
      <c r="B17" s="26" t="n">
        <v>55</v>
      </c>
      <c r="C17" s="17"/>
      <c r="D17" s="17" t="str">
        <f aca="false">IF(C17="","",B17-C17)</f>
        <v/>
      </c>
      <c r="E17" s="8" t="s">
        <v>553</v>
      </c>
      <c r="F17" s="4" t="s">
        <v>379</v>
      </c>
    </row>
    <row r="18" customFormat="false" ht="17.15" hidden="false" customHeight="false" outlineLevel="0" collapsed="false">
      <c r="A18" s="0" t="s">
        <v>556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553</v>
      </c>
      <c r="F18" s="8" t="s">
        <v>557</v>
      </c>
    </row>
    <row r="19" customFormat="false" ht="17.15" hidden="false" customHeight="false" outlineLevel="0" collapsed="false">
      <c r="A19" s="0" t="s">
        <v>558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553</v>
      </c>
      <c r="F19" s="8" t="s">
        <v>559</v>
      </c>
    </row>
    <row r="20" customFormat="false" ht="17.15" hidden="false" customHeight="false" outlineLevel="0" collapsed="false">
      <c r="A20" s="0" t="s">
        <v>560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553</v>
      </c>
      <c r="F20" s="8" t="s">
        <v>561</v>
      </c>
    </row>
    <row r="21" customFormat="false" ht="17.15" hidden="false" customHeight="false" outlineLevel="0" collapsed="false">
      <c r="A21" s="0" t="s">
        <v>562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553</v>
      </c>
      <c r="F21" s="8" t="s">
        <v>563</v>
      </c>
    </row>
    <row r="22" customFormat="false" ht="17.15" hidden="false" customHeight="false" outlineLevel="0" collapsed="false">
      <c r="A22" s="0" t="s">
        <v>564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553</v>
      </c>
      <c r="F22" s="8" t="s">
        <v>565</v>
      </c>
    </row>
    <row r="23" customFormat="false" ht="17.15" hidden="false" customHeight="false" outlineLevel="0" collapsed="false">
      <c r="A23" s="0" t="s">
        <v>566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553</v>
      </c>
      <c r="F23" s="8" t="s">
        <v>567</v>
      </c>
    </row>
    <row r="24" customFormat="false" ht="17.15" hidden="false" customHeight="false" outlineLevel="0" collapsed="false">
      <c r="A24" s="0" t="s">
        <v>568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553</v>
      </c>
      <c r="F24" s="8" t="s">
        <v>567</v>
      </c>
    </row>
    <row r="25" customFormat="false" ht="17.15" hidden="false" customHeight="false" outlineLevel="0" collapsed="false">
      <c r="A25" s="0" t="s">
        <v>569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553</v>
      </c>
      <c r="F25" s="8" t="s">
        <v>567</v>
      </c>
    </row>
    <row r="26" customFormat="false" ht="17.15" hidden="false" customHeight="false" outlineLevel="0" collapsed="false">
      <c r="A26" s="4" t="s">
        <v>570</v>
      </c>
    </row>
    <row r="28" customFormat="false" ht="17.15" hidden="false" customHeight="false" outlineLevel="0" collapsed="false">
      <c r="A28" s="6" t="s">
        <v>571</v>
      </c>
    </row>
    <row r="29" customFormat="false" ht="17.15" hidden="false" customHeight="false" outlineLevel="0" collapsed="false">
      <c r="A29" s="5" t="s">
        <v>572</v>
      </c>
      <c r="B29" s="5" t="s">
        <v>573</v>
      </c>
      <c r="C29" s="5" t="s">
        <v>27</v>
      </c>
      <c r="D29" s="5" t="s">
        <v>574</v>
      </c>
      <c r="E29" s="5" t="s">
        <v>575</v>
      </c>
    </row>
    <row r="30" customFormat="false" ht="17.15" hidden="false" customHeight="false" outlineLevel="0" collapsed="false">
      <c r="A30" s="0" t="s">
        <v>576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577</v>
      </c>
    </row>
    <row r="31" customFormat="false" ht="15" hidden="false" customHeight="false" outlineLevel="0" collapsed="false">
      <c r="A31" s="4" t="s">
        <v>578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579</v>
      </c>
    </row>
    <row r="32" customFormat="false" ht="17.15" hidden="false" customHeight="false" outlineLevel="0" collapsed="false">
      <c r="A32" s="0" t="s">
        <v>580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581</v>
      </c>
    </row>
    <row r="33" customFormat="false" ht="15" hidden="false" customHeight="false" outlineLevel="0" collapsed="false">
      <c r="A33" s="4" t="s">
        <v>582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583</v>
      </c>
    </row>
    <row r="36" customFormat="false" ht="17.15" hidden="false" customHeight="false" outlineLevel="0" collapsed="false">
      <c r="A36" s="4" t="s">
        <v>584</v>
      </c>
    </row>
    <row r="37" customFormat="false" ht="17.15" hidden="false" customHeight="false" outlineLevel="0" collapsed="false">
      <c r="A37" s="5" t="s">
        <v>585</v>
      </c>
      <c r="B37" s="5" t="s">
        <v>586</v>
      </c>
      <c r="C37" s="13" t="s">
        <v>587</v>
      </c>
      <c r="D37" s="5" t="s">
        <v>588</v>
      </c>
      <c r="E37" s="5" t="s">
        <v>589</v>
      </c>
      <c r="F37" s="5" t="s">
        <v>590</v>
      </c>
    </row>
    <row r="38" customFormat="false" ht="15" hidden="false" customHeight="false" outlineLevel="0" collapsed="false">
      <c r="A38" s="0" t="s">
        <v>591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592</v>
      </c>
    </row>
    <row r="39" customFormat="false" ht="15" hidden="false" customHeight="false" outlineLevel="0" collapsed="false">
      <c r="A39" s="0" t="s">
        <v>593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592</v>
      </c>
    </row>
    <row r="40" customFormat="false" ht="15" hidden="false" customHeight="false" outlineLevel="0" collapsed="false">
      <c r="A40" s="0" t="s">
        <v>594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592</v>
      </c>
    </row>
    <row r="42" customFormat="false" ht="17.15" hidden="false" customHeight="false" outlineLevel="0" collapsed="false">
      <c r="A42" s="6" t="s">
        <v>595</v>
      </c>
    </row>
    <row r="43" customFormat="false" ht="17.15" hidden="false" customHeight="false" outlineLevel="0" collapsed="false">
      <c r="A43" s="5" t="s">
        <v>585</v>
      </c>
      <c r="B43" s="13" t="s">
        <v>596</v>
      </c>
      <c r="C43" s="13" t="s">
        <v>472</v>
      </c>
      <c r="D43" s="5" t="s">
        <v>597</v>
      </c>
      <c r="E43" s="5" t="s">
        <v>589</v>
      </c>
      <c r="F43" s="5" t="s">
        <v>598</v>
      </c>
      <c r="G43" s="5" t="s">
        <v>599</v>
      </c>
      <c r="H43" s="5" t="s">
        <v>600</v>
      </c>
    </row>
    <row r="44" customFormat="false" ht="15" hidden="false" customHeight="false" outlineLevel="0" collapsed="false">
      <c r="A44" s="27" t="s">
        <v>591</v>
      </c>
      <c r="B44" s="27" t="s">
        <v>464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591</v>
      </c>
      <c r="B45" s="0" t="s">
        <v>464</v>
      </c>
      <c r="C45" s="14" t="n">
        <f aca="false">PL!E12</f>
        <v>3097.6516015606</v>
      </c>
      <c r="D45" s="4" t="s">
        <v>601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591</v>
      </c>
      <c r="B46" s="0" t="s">
        <v>464</v>
      </c>
      <c r="C46" s="14" t="n">
        <f aca="false">PL!E12</f>
        <v>3097.6516015606</v>
      </c>
      <c r="D46" s="4" t="s">
        <v>602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591</v>
      </c>
      <c r="B47" s="0" t="s">
        <v>464</v>
      </c>
      <c r="C47" s="14" t="n">
        <f aca="false">PL!E12</f>
        <v>3097.6516015606</v>
      </c>
      <c r="D47" s="4" t="s">
        <v>603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591</v>
      </c>
      <c r="B48" s="0" t="s">
        <v>465</v>
      </c>
      <c r="C48" s="14" t="n">
        <f aca="false">PL!F12</f>
        <v>2362.58802862435</v>
      </c>
      <c r="D48" s="4" t="s">
        <v>601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591</v>
      </c>
      <c r="B49" s="0" t="s">
        <v>465</v>
      </c>
      <c r="C49" s="14" t="n">
        <f aca="false">PL!F12</f>
        <v>2362.58802862435</v>
      </c>
      <c r="D49" s="4" t="s">
        <v>602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591</v>
      </c>
      <c r="B50" s="0" t="s">
        <v>465</v>
      </c>
      <c r="C50" s="14" t="n">
        <f aca="false">PL!F12</f>
        <v>2362.58802862435</v>
      </c>
      <c r="D50" s="4" t="s">
        <v>603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593</v>
      </c>
      <c r="B51" s="27" t="s">
        <v>464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593</v>
      </c>
      <c r="B52" s="0" t="s">
        <v>464</v>
      </c>
      <c r="C52" s="14" t="n">
        <f aca="false">PL!E22</f>
        <v>3097.6516015606</v>
      </c>
      <c r="D52" s="4" t="s">
        <v>601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593</v>
      </c>
      <c r="B53" s="0" t="s">
        <v>464</v>
      </c>
      <c r="C53" s="14" t="n">
        <f aca="false">PL!E22</f>
        <v>3097.6516015606</v>
      </c>
      <c r="D53" s="4" t="s">
        <v>602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593</v>
      </c>
      <c r="B54" s="0" t="s">
        <v>464</v>
      </c>
      <c r="C54" s="14" t="n">
        <f aca="false">PL!E22</f>
        <v>3097.6516015606</v>
      </c>
      <c r="D54" s="4" t="s">
        <v>603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593</v>
      </c>
      <c r="B55" s="0" t="s">
        <v>465</v>
      </c>
      <c r="C55" s="14" t="n">
        <f aca="false">PL!F22</f>
        <v>2925.66639942315</v>
      </c>
      <c r="D55" s="4" t="s">
        <v>601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593</v>
      </c>
      <c r="B56" s="0" t="s">
        <v>465</v>
      </c>
      <c r="C56" s="14" t="n">
        <f aca="false">PL!F22</f>
        <v>2925.66639942315</v>
      </c>
      <c r="D56" s="4" t="s">
        <v>602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593</v>
      </c>
      <c r="B57" s="0" t="s">
        <v>465</v>
      </c>
      <c r="C57" s="14" t="n">
        <f aca="false">PL!F22</f>
        <v>2925.66639942315</v>
      </c>
      <c r="D57" s="4" t="s">
        <v>603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594</v>
      </c>
      <c r="B58" s="27" t="s">
        <v>464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594</v>
      </c>
      <c r="B59" s="0" t="s">
        <v>464</v>
      </c>
      <c r="C59" s="14" t="n">
        <f aca="false">PL!E32</f>
        <v>3097.6516015606</v>
      </c>
      <c r="D59" s="4" t="s">
        <v>601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594</v>
      </c>
      <c r="B60" s="0" t="s">
        <v>464</v>
      </c>
      <c r="C60" s="14" t="n">
        <f aca="false">PL!E32</f>
        <v>3097.6516015606</v>
      </c>
      <c r="D60" s="4" t="s">
        <v>602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594</v>
      </c>
      <c r="B61" s="0" t="s">
        <v>464</v>
      </c>
      <c r="C61" s="14" t="n">
        <f aca="false">PL!E32</f>
        <v>3097.6516015606</v>
      </c>
      <c r="D61" s="4" t="s">
        <v>603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594</v>
      </c>
      <c r="B62" s="0" t="s">
        <v>465</v>
      </c>
      <c r="C62" s="14" t="n">
        <f aca="false">PL!F32</f>
        <v>2014.67629682715</v>
      </c>
      <c r="D62" s="4" t="s">
        <v>601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594</v>
      </c>
      <c r="B63" s="0" t="s">
        <v>465</v>
      </c>
      <c r="C63" s="14" t="n">
        <f aca="false">PL!F32</f>
        <v>2014.67629682715</v>
      </c>
      <c r="D63" s="4" t="s">
        <v>602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594</v>
      </c>
      <c r="B64" s="0" t="s">
        <v>465</v>
      </c>
      <c r="C64" s="14" t="n">
        <f aca="false">PL!F32</f>
        <v>2014.67629682715</v>
      </c>
      <c r="D64" s="4" t="s">
        <v>603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604</v>
      </c>
    </row>
    <row r="67" customFormat="false" ht="15" hidden="false" customHeight="false" outlineLevel="0" collapsed="false">
      <c r="A67" s="5" t="s">
        <v>21</v>
      </c>
      <c r="B67" s="13" t="s">
        <v>591</v>
      </c>
      <c r="C67" s="13" t="s">
        <v>593</v>
      </c>
      <c r="D67" s="13" t="s">
        <v>594</v>
      </c>
      <c r="E67" s="5" t="s">
        <v>600</v>
      </c>
    </row>
    <row r="68" customFormat="false" ht="17.15" hidden="false" customHeight="false" outlineLevel="0" collapsed="false">
      <c r="A68" s="4" t="s">
        <v>605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606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607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608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609</v>
      </c>
      <c r="B72" s="7" t="n">
        <v>116.68</v>
      </c>
      <c r="E72" s="4" t="s">
        <v>610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611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612</v>
      </c>
      <c r="B74" s="18" t="n">
        <f aca="false">B70/E38</f>
        <v>2.82116598672345</v>
      </c>
      <c r="E74" s="8" t="s">
        <v>613</v>
      </c>
    </row>
    <row r="77" customFormat="false" ht="17.15" hidden="false" customHeight="false" outlineLevel="0" collapsed="false">
      <c r="A77" s="6" t="s">
        <v>614</v>
      </c>
    </row>
    <row r="78" customFormat="false" ht="17.15" hidden="false" customHeight="false" outlineLevel="0" collapsed="false">
      <c r="A78" s="6" t="s">
        <v>615</v>
      </c>
    </row>
    <row r="79" customFormat="false" ht="17.15" hidden="false" customHeight="false" outlineLevel="0" collapsed="false">
      <c r="A79" s="5" t="s">
        <v>21</v>
      </c>
      <c r="B79" s="13" t="s">
        <v>616</v>
      </c>
      <c r="C79" s="13" t="s">
        <v>617</v>
      </c>
      <c r="D79" s="13" t="s">
        <v>618</v>
      </c>
      <c r="E79" s="5" t="s">
        <v>441</v>
      </c>
    </row>
    <row r="80" customFormat="false" ht="17.15" hidden="false" customHeight="false" outlineLevel="0" collapsed="false">
      <c r="A80" s="4" t="s">
        <v>619</v>
      </c>
      <c r="E80" s="0" t="s">
        <v>620</v>
      </c>
    </row>
    <row r="81" customFormat="false" ht="15" hidden="false" customHeight="false" outlineLevel="0" collapsed="false">
      <c r="A81" s="0" t="s">
        <v>621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622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623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624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625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626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627</v>
      </c>
      <c r="E87" s="4" t="s">
        <v>628</v>
      </c>
    </row>
    <row r="88" customFormat="false" ht="17.15" hidden="false" customHeight="false" outlineLevel="0" collapsed="false">
      <c r="A88" s="4" t="s">
        <v>629</v>
      </c>
      <c r="B88" s="10" t="n">
        <f aca="false">MIN(tp_g/tp_roe,0.8)</f>
        <v>0.101928140660834</v>
      </c>
      <c r="E88" s="8" t="s">
        <v>630</v>
      </c>
    </row>
    <row r="89" customFormat="false" ht="15" hidden="false" customHeight="false" outlineLevel="0" collapsed="false">
      <c r="A89" s="0" t="s">
        <v>621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622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623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624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625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626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631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632</v>
      </c>
    </row>
    <row r="96" customFormat="false" ht="17.15" hidden="false" customHeight="false" outlineLevel="0" collapsed="false">
      <c r="A96" s="0" t="s">
        <v>633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634</v>
      </c>
      <c r="B97" s="24" t="n">
        <f aca="false">tp_wA*B96+tp_wB*C96+tp_wC*D96</f>
        <v>27779.9388446329</v>
      </c>
      <c r="E97" s="8" t="s">
        <v>635</v>
      </c>
    </row>
    <row r="99" customFormat="false" ht="17.15" hidden="false" customHeight="false" outlineLevel="0" collapsed="false">
      <c r="A99" s="6" t="s">
        <v>636</v>
      </c>
    </row>
    <row r="100" customFormat="false" ht="17.15" hidden="false" customHeight="false" outlineLevel="0" collapsed="false">
      <c r="A100" s="5" t="s">
        <v>637</v>
      </c>
      <c r="B100" s="5" t="s">
        <v>638</v>
      </c>
      <c r="C100" s="5" t="s">
        <v>639</v>
      </c>
      <c r="D100" s="5" t="s">
        <v>640</v>
      </c>
      <c r="E100" s="5" t="s">
        <v>641</v>
      </c>
      <c r="F100" s="5" t="s">
        <v>26</v>
      </c>
    </row>
    <row r="101" customFormat="false" ht="17.15" hidden="false" customHeight="false" outlineLevel="0" collapsed="false">
      <c r="A101" s="0" t="s">
        <v>642</v>
      </c>
      <c r="B101" s="0" t="s">
        <v>643</v>
      </c>
      <c r="C101" s="26" t="n">
        <v>25.82</v>
      </c>
      <c r="D101" s="8" t="s">
        <v>644</v>
      </c>
      <c r="E101" s="8" t="s">
        <v>645</v>
      </c>
      <c r="F101" s="8" t="s">
        <v>146</v>
      </c>
    </row>
    <row r="102" customFormat="false" ht="17.15" hidden="false" customHeight="false" outlineLevel="0" collapsed="false">
      <c r="A102" s="0" t="s">
        <v>646</v>
      </c>
      <c r="B102" s="0" t="s">
        <v>647</v>
      </c>
      <c r="C102" s="26" t="n">
        <v>30.26</v>
      </c>
      <c r="D102" s="8" t="s">
        <v>648</v>
      </c>
      <c r="E102" s="8" t="s">
        <v>645</v>
      </c>
      <c r="F102" s="8" t="s">
        <v>146</v>
      </c>
    </row>
    <row r="103" customFormat="false" ht="17.15" hidden="false" customHeight="false" outlineLevel="0" collapsed="false">
      <c r="A103" s="0" t="s">
        <v>649</v>
      </c>
      <c r="B103" s="0" t="s">
        <v>650</v>
      </c>
      <c r="C103" s="26" t="n">
        <v>12.61</v>
      </c>
      <c r="D103" s="8" t="s">
        <v>644</v>
      </c>
      <c r="E103" s="8" t="s">
        <v>645</v>
      </c>
      <c r="F103" s="8" t="s">
        <v>146</v>
      </c>
    </row>
    <row r="104" customFormat="false" ht="17.15" hidden="false" customHeight="false" outlineLevel="0" collapsed="false">
      <c r="A104" s="0" t="s">
        <v>651</v>
      </c>
      <c r="B104" s="0" t="s">
        <v>652</v>
      </c>
      <c r="C104" s="26" t="n">
        <v>26.01</v>
      </c>
      <c r="D104" s="8" t="s">
        <v>644</v>
      </c>
      <c r="E104" s="8" t="s">
        <v>645</v>
      </c>
      <c r="F104" s="8" t="s">
        <v>146</v>
      </c>
    </row>
    <row r="105" customFormat="false" ht="17.15" hidden="false" customHeight="false" outlineLevel="0" collapsed="false">
      <c r="A105" s="4" t="s">
        <v>653</v>
      </c>
      <c r="B105" s="17" t="n">
        <f aca="false">MEDIAN(C101:C104)</f>
        <v>25.915</v>
      </c>
      <c r="E105" s="4" t="s">
        <v>654</v>
      </c>
    </row>
    <row r="106" customFormat="false" ht="17.15" hidden="false" customHeight="false" outlineLevel="0" collapsed="false">
      <c r="A106" s="0" t="s">
        <v>655</v>
      </c>
      <c r="B106" s="14" t="n">
        <f aca="false">tp_wA*(2/12*B81+10/12*B82)+tp_wB*(2/12*C81+10/12*C82)+tp_wC*(2/12*D81+10/12*D82)</f>
        <v>2661.72932331369</v>
      </c>
      <c r="E106" s="4" t="s">
        <v>656</v>
      </c>
    </row>
    <row r="107" customFormat="false" ht="17.15" hidden="false" customHeight="false" outlineLevel="0" collapsed="false">
      <c r="A107" s="0" t="s">
        <v>657</v>
      </c>
      <c r="B107" s="24" t="n">
        <f aca="false">B105*B106</f>
        <v>68978.7154136744</v>
      </c>
      <c r="E107" s="4" t="s">
        <v>658</v>
      </c>
    </row>
    <row r="109" customFormat="false" ht="17.15" hidden="false" customHeight="false" outlineLevel="0" collapsed="false">
      <c r="A109" s="6" t="s">
        <v>659</v>
      </c>
    </row>
    <row r="110" customFormat="false" ht="15" hidden="false" customHeight="false" outlineLevel="0" collapsed="false">
      <c r="A110" s="5" t="s">
        <v>21</v>
      </c>
      <c r="B110" s="5" t="s">
        <v>531</v>
      </c>
      <c r="C110" s="5"/>
      <c r="D110" s="5"/>
      <c r="E110" s="5" t="s">
        <v>441</v>
      </c>
    </row>
    <row r="111" customFormat="false" ht="17.15" hidden="false" customHeight="false" outlineLevel="0" collapsed="false">
      <c r="A111" s="4" t="s">
        <v>660</v>
      </c>
      <c r="B111" s="24" t="n">
        <f aca="false">tp_w_dcf*B97+(1-tp_w_dcf)*B107</f>
        <v>48379.3271291536</v>
      </c>
      <c r="E111" s="8" t="s">
        <v>661</v>
      </c>
    </row>
    <row r="112" customFormat="false" ht="17.15" hidden="false" customHeight="false" outlineLevel="0" collapsed="false">
      <c r="A112" s="0" t="s">
        <v>662</v>
      </c>
      <c r="B112" s="14" t="n">
        <f aca="false">B107</f>
        <v>68978.7154136744</v>
      </c>
      <c r="E112" s="4" t="s">
        <v>663</v>
      </c>
    </row>
    <row r="113" customFormat="false" ht="17.15" hidden="false" customHeight="false" outlineLevel="0" collapsed="false">
      <c r="A113" s="4" t="s">
        <v>664</v>
      </c>
      <c r="B113" s="14" t="n">
        <f aca="false">cons_tp</f>
        <v>271429</v>
      </c>
      <c r="E113" s="8" t="s">
        <v>384</v>
      </c>
    </row>
    <row r="114" customFormat="false" ht="17.15" hidden="false" customHeight="false" outlineLevel="0" collapsed="false">
      <c r="A114" s="4" t="s">
        <v>665</v>
      </c>
      <c r="B114" s="10" t="n">
        <f aca="false">B111/px-1</f>
        <v>-0.743345744672925</v>
      </c>
      <c r="E114" s="4" t="s">
        <v>666</v>
      </c>
    </row>
    <row r="115" customFormat="false" ht="17.15" hidden="false" customHeight="false" outlineLevel="0" collapsed="false">
      <c r="A115" s="4" t="s">
        <v>667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668</v>
      </c>
      <c r="B116" s="10" t="n">
        <f aca="false">B106/cons_feps-1</f>
        <v>-0.467654135337261</v>
      </c>
      <c r="E116" s="4" t="s">
        <v>669</v>
      </c>
    </row>
    <row r="117" customFormat="false" ht="17.15" hidden="false" customHeight="false" outlineLevel="0" collapsed="false">
      <c r="A117" s="4" t="s">
        <v>670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671</v>
      </c>
      <c r="B118" s="30" t="str">
        <f aca="false">TEXT(D96,"#,##0")&amp;"～"&amp;TEXT(B96,"#,##0")</f>
        <v>16,073～36,052</v>
      </c>
      <c r="E118" s="8" t="s">
        <v>672</v>
      </c>
    </row>
    <row r="119" customFormat="false" ht="17.15" hidden="false" customHeight="false" outlineLevel="0" collapsed="false">
      <c r="A119" s="4" t="s">
        <v>673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674</v>
      </c>
    </row>
    <row r="120" customFormat="false" ht="17.15" hidden="false" customHeight="false" outlineLevel="0" collapsed="false">
      <c r="A120" s="4" t="s">
        <v>675</v>
      </c>
      <c r="B120" s="0" t="s">
        <v>676</v>
      </c>
    </row>
    <row r="122" customFormat="false" ht="17.15" hidden="false" customHeight="false" outlineLevel="0" collapsed="false">
      <c r="A122" s="4" t="s">
        <v>677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678</v>
      </c>
    </row>
    <row r="123" customFormat="false" ht="17.15" hidden="false" customHeight="false" outlineLevel="0" collapsed="false">
      <c r="A123" s="4" t="s">
        <v>679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5" t="s">
        <v>21</v>
      </c>
      <c r="B3" s="5" t="s">
        <v>682</v>
      </c>
      <c r="C3" s="5" t="s">
        <v>683</v>
      </c>
      <c r="D3" s="5" t="s">
        <v>684</v>
      </c>
      <c r="E3" s="5" t="s">
        <v>685</v>
      </c>
      <c r="F3" s="5" t="s">
        <v>686</v>
      </c>
      <c r="G3" s="5" t="s">
        <v>687</v>
      </c>
      <c r="H3" s="5" t="s">
        <v>688</v>
      </c>
      <c r="I3" s="5" t="s">
        <v>689</v>
      </c>
      <c r="J3" s="5" t="s">
        <v>441</v>
      </c>
    </row>
    <row r="4" customFormat="false" ht="17.15" hidden="false" customHeight="false" outlineLevel="0" collapsed="false">
      <c r="A4" s="6" t="s">
        <v>690</v>
      </c>
    </row>
    <row r="5" customFormat="false" ht="17.15" hidden="false" customHeight="false" outlineLevel="0" collapsed="false">
      <c r="A5" s="4" t="s">
        <v>401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691</v>
      </c>
      <c r="J5" s="4" t="s">
        <v>692</v>
      </c>
    </row>
    <row r="6" customFormat="false" ht="17.15" hidden="false" customHeight="false" outlineLevel="0" collapsed="false">
      <c r="A6" s="4" t="s">
        <v>409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693</v>
      </c>
    </row>
    <row r="7" customFormat="false" ht="17.15" hidden="false" customHeight="false" outlineLevel="0" collapsed="false">
      <c r="A7" s="0" t="s">
        <v>419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694</v>
      </c>
      <c r="J7" s="8" t="s">
        <v>695</v>
      </c>
    </row>
    <row r="8" customFormat="false" ht="17.15" hidden="false" customHeight="false" outlineLevel="0" collapsed="false">
      <c r="A8" s="6" t="s">
        <v>696</v>
      </c>
    </row>
    <row r="9" customFormat="false" ht="15" hidden="false" customHeight="false" outlineLevel="0" collapsed="false">
      <c r="A9" s="4" t="s">
        <v>401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697</v>
      </c>
    </row>
    <row r="10" customFormat="false" ht="17.15" hidden="false" customHeight="false" outlineLevel="0" collapsed="false">
      <c r="A10" s="0" t="s">
        <v>419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697</v>
      </c>
    </row>
    <row r="11" customFormat="false" ht="17.15" hidden="false" customHeight="false" outlineLevel="0" collapsed="false">
      <c r="A11" s="6" t="s">
        <v>698</v>
      </c>
    </row>
    <row r="12" customFormat="false" ht="17.15" hidden="false" customHeight="false" outlineLevel="0" collapsed="false">
      <c r="A12" s="0" t="s">
        <v>699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700</v>
      </c>
      <c r="J12" s="4" t="s">
        <v>701</v>
      </c>
    </row>
    <row r="13" customFormat="false" ht="17.15" hidden="false" customHeight="false" outlineLevel="0" collapsed="false">
      <c r="A13" s="0" t="s">
        <v>702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703</v>
      </c>
    </row>
    <row r="14" customFormat="false" ht="17.15" hidden="false" customHeight="false" outlineLevel="0" collapsed="false">
      <c r="A14" s="4" t="s">
        <v>704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705</v>
      </c>
      <c r="J14" s="4" t="s">
        <v>706</v>
      </c>
    </row>
    <row r="15" customFormat="false" ht="17.15" hidden="false" customHeight="false" outlineLevel="0" collapsed="false">
      <c r="A15" s="6" t="s">
        <v>707</v>
      </c>
    </row>
    <row r="16" customFormat="false" ht="17.15" hidden="false" customHeight="false" outlineLevel="0" collapsed="false">
      <c r="A16" s="0" t="s">
        <v>708</v>
      </c>
      <c r="B16" s="18" t="n">
        <f aca="false">semi_pkg25</f>
        <v>6.11313868613139</v>
      </c>
      <c r="C16" s="18" t="n">
        <f aca="false">PL!C70/1000</f>
        <v>0.634112601147782</v>
      </c>
      <c r="D16" s="10" t="n">
        <f aca="false">C16/B16-1</f>
        <v>-0.896270535692841</v>
      </c>
      <c r="E16" s="18" t="n">
        <f aca="false">PL!C103/1000</f>
        <v>0.634112601147782</v>
      </c>
      <c r="F16" s="10" t="n">
        <f aca="false">E16/B16-1</f>
        <v>-0.896270535692841</v>
      </c>
      <c r="G16" s="18" t="n">
        <f aca="false">PL!C136/1000</f>
        <v>0.634112601147782</v>
      </c>
      <c r="H16" s="10" t="n">
        <f aca="false">G16/B16-1</f>
        <v>-0.896270535692841</v>
      </c>
      <c r="I16" s="8" t="s">
        <v>709</v>
      </c>
      <c r="J16" s="4" t="s">
        <v>710</v>
      </c>
    </row>
    <row r="17" customFormat="false" ht="17.15" hidden="false" customHeight="false" outlineLevel="0" collapsed="false">
      <c r="A17" s="0" t="s">
        <v>711</v>
      </c>
      <c r="B17" s="18" t="n">
        <f aca="false">semi_pkg28</f>
        <v>8.6</v>
      </c>
      <c r="C17" s="18" t="n">
        <f aca="false">PL!F70/1000</f>
        <v>0.353738447860469</v>
      </c>
      <c r="D17" s="10" t="n">
        <f aca="false">C17/B17-1</f>
        <v>-0.958867622341806</v>
      </c>
      <c r="E17" s="18" t="n">
        <f aca="false">PL!F103/1000</f>
        <v>0.663330299662028</v>
      </c>
      <c r="F17" s="10" t="n">
        <f aca="false">E17/B17-1</f>
        <v>-0.922868569806741</v>
      </c>
      <c r="G17" s="18" t="n">
        <f aca="false">PL!F136/1000</f>
        <v>0.522153185363469</v>
      </c>
      <c r="H17" s="10" t="n">
        <f aca="false">G17/B17-1</f>
        <v>-0.939284513329829</v>
      </c>
      <c r="I17" s="8" t="s">
        <v>712</v>
      </c>
    </row>
    <row r="18" customFormat="false" ht="17.15" hidden="false" customHeight="false" outlineLevel="0" collapsed="false">
      <c r="A18" s="6" t="s">
        <v>713</v>
      </c>
    </row>
    <row r="19" customFormat="false" ht="17.15" hidden="false" customHeight="false" outlineLevel="0" collapsed="false">
      <c r="A19" s="0" t="s">
        <v>714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715</v>
      </c>
      <c r="C20" s="14" t="n">
        <f aca="false">Units!D32</f>
        <v>331.628764822519</v>
      </c>
      <c r="J20" s="4" t="s">
        <v>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717</v>
      </c>
    </row>
    <row r="3" customFormat="false" ht="17.15" hidden="false" customHeight="false" outlineLevel="0" collapsed="false">
      <c r="A3" s="5" t="s">
        <v>718</v>
      </c>
      <c r="B3" s="5" t="s">
        <v>719</v>
      </c>
      <c r="C3" s="13" t="s">
        <v>720</v>
      </c>
      <c r="D3" s="13" t="s">
        <v>721</v>
      </c>
      <c r="E3" s="5" t="s">
        <v>722</v>
      </c>
      <c r="F3" s="13" t="s">
        <v>723</v>
      </c>
      <c r="G3" s="13" t="s">
        <v>724</v>
      </c>
      <c r="H3" s="5" t="s">
        <v>722</v>
      </c>
    </row>
    <row r="4" customFormat="false" ht="17.15" hidden="false" customHeight="false" outlineLevel="0" collapsed="false">
      <c r="A4" s="4" t="s">
        <v>725</v>
      </c>
      <c r="B4" s="0" t="s">
        <v>726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727</v>
      </c>
      <c r="B5" s="0" t="s">
        <v>728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729</v>
      </c>
      <c r="B6" s="0" t="s">
        <v>730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731</v>
      </c>
      <c r="B7" s="0" t="s">
        <v>732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733</v>
      </c>
      <c r="B8" s="0" t="s">
        <v>734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735</v>
      </c>
      <c r="B9" s="4" t="s">
        <v>736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737</v>
      </c>
      <c r="B10" s="4" t="s">
        <v>738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739</v>
      </c>
      <c r="B11" s="0" t="s">
        <v>740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741</v>
      </c>
      <c r="B12" s="4" t="s">
        <v>742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743</v>
      </c>
      <c r="B13" s="4" t="s">
        <v>744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745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746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747</v>
      </c>
      <c r="B16" s="0" t="s">
        <v>748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749</v>
      </c>
      <c r="B17" s="0" t="s">
        <v>750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751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752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753</v>
      </c>
      <c r="B20" s="4" t="s">
        <v>754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755</v>
      </c>
      <c r="B21" s="4" t="s">
        <v>756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757</v>
      </c>
      <c r="B22" s="4" t="s">
        <v>758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759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760</v>
      </c>
      <c r="B24" s="0" t="s">
        <v>761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762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763</v>
      </c>
      <c r="B26" s="0" t="s">
        <v>764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765</v>
      </c>
      <c r="B27" s="0" t="s">
        <v>766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767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768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769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770</v>
      </c>
      <c r="B31" s="4" t="s">
        <v>771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772</v>
      </c>
      <c r="B32" s="0" t="s">
        <v>773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774</v>
      </c>
      <c r="B33" s="0" t="s">
        <v>775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776</v>
      </c>
    </row>
    <row r="60" customFormat="false" ht="17.15" hidden="false" customHeight="false" outlineLevel="0" collapsed="false">
      <c r="A60" s="1" t="s">
        <v>777</v>
      </c>
    </row>
    <row r="61" customFormat="false" ht="15" hidden="false" customHeight="false" outlineLevel="0" collapsed="false">
      <c r="A61" s="5" t="s">
        <v>21</v>
      </c>
      <c r="B61" s="5" t="s">
        <v>22</v>
      </c>
      <c r="C61" s="13" t="s">
        <v>435</v>
      </c>
      <c r="D61" s="13" t="s">
        <v>436</v>
      </c>
      <c r="E61" s="13" t="s">
        <v>437</v>
      </c>
      <c r="F61" s="13" t="s">
        <v>438</v>
      </c>
      <c r="G61" s="13" t="s">
        <v>439</v>
      </c>
      <c r="H61" s="13" t="s">
        <v>440</v>
      </c>
      <c r="I61" s="5" t="s">
        <v>441</v>
      </c>
    </row>
    <row r="62" customFormat="false" ht="17.15" hidden="false" customHeight="false" outlineLevel="0" collapsed="false">
      <c r="A62" s="6" t="s">
        <v>475</v>
      </c>
    </row>
    <row r="63" customFormat="false" ht="17.15" hidden="false" customHeight="false" outlineLevel="0" collapsed="false">
      <c r="A63" s="0" t="s">
        <v>476</v>
      </c>
      <c r="B63" s="0" t="s">
        <v>32</v>
      </c>
      <c r="C63" s="19" t="n">
        <f aca="false">hsA_25</f>
        <v>2.22511470588235</v>
      </c>
      <c r="D63" s="19" t="n">
        <f aca="false">hsA_26</f>
        <v>3.782695</v>
      </c>
      <c r="E63" s="19" t="n">
        <f aca="false">hsA_27</f>
        <v>5.86317725</v>
      </c>
      <c r="F63" s="19" t="n">
        <f aca="false">hsA_28</f>
        <v>8.5016070125</v>
      </c>
      <c r="G63" s="19" t="n">
        <f aca="false">hsA_29</f>
        <v>11.477169466875</v>
      </c>
      <c r="H63" s="19" t="n">
        <f aca="false">G63*(1+g_tail)</f>
        <v>12.6248864135625</v>
      </c>
      <c r="I63" s="8" t="s">
        <v>477</v>
      </c>
    </row>
    <row r="64" customFormat="false" ht="17.15" hidden="false" customHeight="false" outlineLevel="0" collapsed="false">
      <c r="A64" s="0" t="s">
        <v>478</v>
      </c>
      <c r="B64" s="0" t="s">
        <v>479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480</v>
      </c>
      <c r="B65" s="4" t="s">
        <v>445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481</v>
      </c>
    </row>
    <row r="66" customFormat="false" ht="15" hidden="false" customHeight="false" outlineLevel="0" collapsed="false">
      <c r="A66" s="4" t="s">
        <v>482</v>
      </c>
      <c r="B66" s="4" t="s">
        <v>96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483</v>
      </c>
      <c r="B67" s="0" t="s">
        <v>116</v>
      </c>
      <c r="C67" s="20" t="n">
        <f aca="false">1+beta*(C66-$C66)/4</f>
        <v>1</v>
      </c>
      <c r="D67" s="20" t="n">
        <f aca="false">1+beta*(D66-$C66)/4</f>
        <v>1.05</v>
      </c>
      <c r="E67" s="20" t="n">
        <f aca="false">1+beta*(E66-$C66)/4</f>
        <v>1.0625</v>
      </c>
      <c r="F67" s="20" t="n">
        <f aca="false">1+beta*(F66-$C66)/4</f>
        <v>1.1</v>
      </c>
      <c r="G67" s="20" t="n">
        <f aca="false">1+beta*(G66-$C66)/4</f>
        <v>1.125</v>
      </c>
      <c r="H67" s="20" t="n">
        <f aca="false">1+beta*(H66-$C66)/4</f>
        <v>1.15</v>
      </c>
    </row>
    <row r="68" customFormat="false" ht="17.15" hidden="false" customHeight="false" outlineLevel="0" collapsed="false">
      <c r="A68" s="4" t="s">
        <v>484</v>
      </c>
      <c r="B68" s="0" t="s">
        <v>69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485</v>
      </c>
    </row>
    <row r="69" customFormat="false" ht="17.15" hidden="false" customHeight="false" outlineLevel="0" collapsed="false">
      <c r="A69" s="0" t="s">
        <v>486</v>
      </c>
      <c r="B69" s="4" t="s">
        <v>447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487</v>
      </c>
      <c r="B70" s="4" t="s">
        <v>447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488</v>
      </c>
    </row>
    <row r="71" customFormat="false" ht="17.15" hidden="false" customHeight="false" outlineLevel="0" collapsed="false">
      <c r="A71" s="0" t="s">
        <v>489</v>
      </c>
      <c r="B71" s="0" t="s">
        <v>69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490</v>
      </c>
      <c r="B72" s="0" t="s">
        <v>69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491</v>
      </c>
      <c r="B73" s="0" t="s">
        <v>69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492</v>
      </c>
      <c r="B74" s="0" t="s">
        <v>69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493</v>
      </c>
      <c r="B75" s="4" t="s">
        <v>447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494</v>
      </c>
    </row>
    <row r="77" customFormat="false" ht="17.15" hidden="false" customHeight="false" outlineLevel="0" collapsed="false">
      <c r="A77" s="4" t="s">
        <v>495</v>
      </c>
      <c r="B77" s="4" t="s">
        <v>233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496</v>
      </c>
    </row>
    <row r="78" customFormat="false" ht="17.15" hidden="false" customHeight="false" outlineLevel="0" collapsed="false">
      <c r="A78" s="0" t="s">
        <v>497</v>
      </c>
      <c r="B78" s="4" t="s">
        <v>233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498</v>
      </c>
    </row>
    <row r="79" customFormat="false" ht="17.15" hidden="false" customHeight="false" outlineLevel="0" collapsed="false">
      <c r="A79" s="4" t="s">
        <v>499</v>
      </c>
      <c r="B79" s="4" t="s">
        <v>500</v>
      </c>
      <c r="C79" s="20" t="n">
        <f aca="false">(C78+D78)/(C75+D75)</f>
        <v>14.5777258713991</v>
      </c>
      <c r="I79" s="4" t="s">
        <v>501</v>
      </c>
    </row>
    <row r="80" customFormat="false" ht="15" hidden="false" customHeight="false" outlineLevel="0" collapsed="false">
      <c r="A80" s="4" t="s">
        <v>401</v>
      </c>
      <c r="B80" s="4" t="s">
        <v>233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502</v>
      </c>
      <c r="B81" s="0" t="s">
        <v>69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503</v>
      </c>
      <c r="B82" s="4" t="s">
        <v>233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504</v>
      </c>
    </row>
    <row r="83" customFormat="false" ht="17.15" hidden="false" customHeight="false" outlineLevel="0" collapsed="false">
      <c r="A83" s="4" t="s">
        <v>470</v>
      </c>
      <c r="B83" s="0" t="s">
        <v>69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505</v>
      </c>
    </row>
    <row r="84" customFormat="false" ht="15" hidden="false" customHeight="false" outlineLevel="0" collapsed="false">
      <c r="A84" s="4" t="s">
        <v>406</v>
      </c>
      <c r="B84" s="4" t="s">
        <v>233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409</v>
      </c>
      <c r="B85" s="4" t="s">
        <v>233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412</v>
      </c>
      <c r="B86" s="0" t="s">
        <v>69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471</v>
      </c>
      <c r="B87" s="4" t="s">
        <v>233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472</v>
      </c>
      <c r="B88" s="0" t="s">
        <v>309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506</v>
      </c>
      <c r="B89" s="4" t="s">
        <v>233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507</v>
      </c>
    </row>
    <row r="90" customFormat="false" ht="15" hidden="false" customHeight="false" outlineLevel="0" collapsed="false">
      <c r="A90" s="4" t="s">
        <v>508</v>
      </c>
      <c r="B90" s="0" t="s">
        <v>340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778</v>
      </c>
    </row>
    <row r="101" customFormat="false" ht="15" hidden="false" customHeight="false" outlineLevel="0" collapsed="false">
      <c r="A101" s="5" t="s">
        <v>21</v>
      </c>
      <c r="B101" s="5" t="s">
        <v>22</v>
      </c>
      <c r="C101" s="13" t="s">
        <v>435</v>
      </c>
      <c r="D101" s="13" t="s">
        <v>436</v>
      </c>
      <c r="E101" s="13" t="s">
        <v>437</v>
      </c>
      <c r="F101" s="13" t="s">
        <v>438</v>
      </c>
      <c r="G101" s="13" t="s">
        <v>439</v>
      </c>
      <c r="H101" s="13" t="s">
        <v>440</v>
      </c>
      <c r="I101" s="5" t="s">
        <v>441</v>
      </c>
    </row>
    <row r="102" customFormat="false" ht="17.15" hidden="false" customHeight="false" outlineLevel="0" collapsed="false">
      <c r="A102" s="6" t="s">
        <v>475</v>
      </c>
    </row>
    <row r="103" customFormat="false" ht="17.15" hidden="false" customHeight="false" outlineLevel="0" collapsed="false">
      <c r="A103" s="0" t="s">
        <v>476</v>
      </c>
      <c r="B103" s="0" t="s">
        <v>32</v>
      </c>
      <c r="C103" s="19" t="n">
        <f aca="false">hsA_25</f>
        <v>2.22511470588235</v>
      </c>
      <c r="D103" s="19" t="n">
        <f aca="false">hsA_26</f>
        <v>3.782695</v>
      </c>
      <c r="E103" s="19" t="n">
        <f aca="false">hsA_27</f>
        <v>5.86317725</v>
      </c>
      <c r="F103" s="19" t="n">
        <f aca="false">hsA_28</f>
        <v>8.5016070125</v>
      </c>
      <c r="G103" s="19" t="n">
        <f aca="false">hsA_29</f>
        <v>11.477169466875</v>
      </c>
      <c r="H103" s="19" t="n">
        <f aca="false">G103*(1+g_tail)</f>
        <v>12.6248864135625</v>
      </c>
      <c r="I103" s="8" t="s">
        <v>477</v>
      </c>
    </row>
    <row r="104" customFormat="false" ht="17.15" hidden="false" customHeight="false" outlineLevel="0" collapsed="false">
      <c r="A104" s="0" t="s">
        <v>478</v>
      </c>
      <c r="B104" s="0" t="s">
        <v>479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480</v>
      </c>
      <c r="B105" s="4" t="s">
        <v>445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481</v>
      </c>
    </row>
    <row r="106" customFormat="false" ht="15" hidden="false" customHeight="false" outlineLevel="0" collapsed="false">
      <c r="A106" s="4" t="s">
        <v>482</v>
      </c>
      <c r="B106" s="4" t="s">
        <v>96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483</v>
      </c>
      <c r="B107" s="0" t="s">
        <v>116</v>
      </c>
      <c r="C107" s="20" t="n">
        <f aca="false">1+beta*(C106-$C106)/4</f>
        <v>1</v>
      </c>
      <c r="D107" s="20" t="n">
        <f aca="false">1+beta*(D106-$C106)/4</f>
        <v>1.05</v>
      </c>
      <c r="E107" s="20" t="n">
        <f aca="false">1+beta*(E106-$C106)/4</f>
        <v>1.0625</v>
      </c>
      <c r="F107" s="20" t="n">
        <f aca="false">1+beta*(F106-$C106)/4</f>
        <v>1.1</v>
      </c>
      <c r="G107" s="20" t="n">
        <f aca="false">1+beta*(G106-$C106)/4</f>
        <v>1.125</v>
      </c>
      <c r="H107" s="20" t="n">
        <f aca="false">1+beta*(H106-$C106)/4</f>
        <v>1.15</v>
      </c>
    </row>
    <row r="108" customFormat="false" ht="17.15" hidden="false" customHeight="false" outlineLevel="0" collapsed="false">
      <c r="A108" s="4" t="s">
        <v>484</v>
      </c>
      <c r="B108" s="0" t="s">
        <v>69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485</v>
      </c>
    </row>
    <row r="109" customFormat="false" ht="17.15" hidden="false" customHeight="false" outlineLevel="0" collapsed="false">
      <c r="A109" s="0" t="s">
        <v>486</v>
      </c>
      <c r="B109" s="4" t="s">
        <v>447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487</v>
      </c>
      <c r="B110" s="4" t="s">
        <v>447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488</v>
      </c>
    </row>
    <row r="111" customFormat="false" ht="17.15" hidden="false" customHeight="false" outlineLevel="0" collapsed="false">
      <c r="A111" s="0" t="s">
        <v>489</v>
      </c>
      <c r="B111" s="0" t="s">
        <v>69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490</v>
      </c>
      <c r="B112" s="0" t="s">
        <v>69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491</v>
      </c>
      <c r="B113" s="0" t="s">
        <v>69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492</v>
      </c>
      <c r="B114" s="0" t="s">
        <v>69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493</v>
      </c>
      <c r="B115" s="4" t="s">
        <v>447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494</v>
      </c>
    </row>
    <row r="117" customFormat="false" ht="17.15" hidden="false" customHeight="false" outlineLevel="0" collapsed="false">
      <c r="A117" s="4" t="s">
        <v>495</v>
      </c>
      <c r="B117" s="4" t="s">
        <v>233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496</v>
      </c>
    </row>
    <row r="118" customFormat="false" ht="17.15" hidden="false" customHeight="false" outlineLevel="0" collapsed="false">
      <c r="A118" s="0" t="s">
        <v>497</v>
      </c>
      <c r="B118" s="4" t="s">
        <v>233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498</v>
      </c>
    </row>
    <row r="119" customFormat="false" ht="17.15" hidden="false" customHeight="false" outlineLevel="0" collapsed="false">
      <c r="A119" s="4" t="s">
        <v>499</v>
      </c>
      <c r="B119" s="4" t="s">
        <v>500</v>
      </c>
      <c r="C119" s="20" t="n">
        <f aca="false">(C118+D118)/(C115+D115)</f>
        <v>12.9534410309934</v>
      </c>
      <c r="I119" s="4" t="s">
        <v>501</v>
      </c>
    </row>
    <row r="120" customFormat="false" ht="15" hidden="false" customHeight="false" outlineLevel="0" collapsed="false">
      <c r="A120" s="4" t="s">
        <v>401</v>
      </c>
      <c r="B120" s="4" t="s">
        <v>233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502</v>
      </c>
      <c r="B121" s="0" t="s">
        <v>69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503</v>
      </c>
      <c r="B122" s="4" t="s">
        <v>233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504</v>
      </c>
    </row>
    <row r="123" customFormat="false" ht="17.15" hidden="false" customHeight="false" outlineLevel="0" collapsed="false">
      <c r="A123" s="4" t="s">
        <v>470</v>
      </c>
      <c r="B123" s="0" t="s">
        <v>69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505</v>
      </c>
    </row>
    <row r="124" customFormat="false" ht="15" hidden="false" customHeight="false" outlineLevel="0" collapsed="false">
      <c r="A124" s="4" t="s">
        <v>406</v>
      </c>
      <c r="B124" s="4" t="s">
        <v>233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409</v>
      </c>
      <c r="B125" s="4" t="s">
        <v>233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412</v>
      </c>
      <c r="B126" s="0" t="s">
        <v>69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471</v>
      </c>
      <c r="B127" s="4" t="s">
        <v>233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472</v>
      </c>
      <c r="B128" s="0" t="s">
        <v>309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506</v>
      </c>
      <c r="B129" s="4" t="s">
        <v>233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507</v>
      </c>
    </row>
    <row r="130" customFormat="false" ht="15" hidden="false" customHeight="false" outlineLevel="0" collapsed="false">
      <c r="A130" s="4" t="s">
        <v>508</v>
      </c>
      <c r="B130" s="0" t="s">
        <v>340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779</v>
      </c>
    </row>
    <row r="141" customFormat="false" ht="15" hidden="false" customHeight="false" outlineLevel="0" collapsed="false">
      <c r="A141" s="5" t="s">
        <v>21</v>
      </c>
      <c r="B141" s="5" t="s">
        <v>22</v>
      </c>
      <c r="C141" s="13" t="s">
        <v>435</v>
      </c>
      <c r="D141" s="13" t="s">
        <v>436</v>
      </c>
      <c r="E141" s="13" t="s">
        <v>437</v>
      </c>
      <c r="F141" s="13" t="s">
        <v>438</v>
      </c>
      <c r="G141" s="13" t="s">
        <v>439</v>
      </c>
      <c r="H141" s="13" t="s">
        <v>440</v>
      </c>
      <c r="I141" s="5" t="s">
        <v>441</v>
      </c>
    </row>
    <row r="142" customFormat="false" ht="17.15" hidden="false" customHeight="false" outlineLevel="0" collapsed="false">
      <c r="A142" s="6" t="s">
        <v>475</v>
      </c>
    </row>
    <row r="143" customFormat="false" ht="17.15" hidden="false" customHeight="false" outlineLevel="0" collapsed="false">
      <c r="A143" s="0" t="s">
        <v>476</v>
      </c>
      <c r="B143" s="0" t="s">
        <v>32</v>
      </c>
      <c r="C143" s="19" t="n">
        <f aca="false">hsA_25</f>
        <v>2.22511470588235</v>
      </c>
      <c r="D143" s="19" t="n">
        <f aca="false">hsA_26</f>
        <v>3.782695</v>
      </c>
      <c r="E143" s="19" t="n">
        <f aca="false">hsA_27</f>
        <v>5.86317725</v>
      </c>
      <c r="F143" s="19" t="n">
        <f aca="false">hsA_28</f>
        <v>8.5016070125</v>
      </c>
      <c r="G143" s="19" t="n">
        <f aca="false">hsA_29</f>
        <v>11.477169466875</v>
      </c>
      <c r="H143" s="19" t="n">
        <f aca="false">G143*(1+g_tail)</f>
        <v>12.6248864135625</v>
      </c>
      <c r="I143" s="8" t="s">
        <v>477</v>
      </c>
    </row>
    <row r="144" customFormat="false" ht="17.15" hidden="false" customHeight="false" outlineLevel="0" collapsed="false">
      <c r="A144" s="0" t="s">
        <v>478</v>
      </c>
      <c r="B144" s="0" t="s">
        <v>479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480</v>
      </c>
      <c r="B145" s="4" t="s">
        <v>445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481</v>
      </c>
    </row>
    <row r="146" customFormat="false" ht="15" hidden="false" customHeight="false" outlineLevel="0" collapsed="false">
      <c r="A146" s="4" t="s">
        <v>482</v>
      </c>
      <c r="B146" s="4" t="s">
        <v>96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483</v>
      </c>
      <c r="B147" s="0" t="s">
        <v>116</v>
      </c>
      <c r="C147" s="20" t="n">
        <f aca="false">1+beta*(C146-$C146)/4</f>
        <v>1</v>
      </c>
      <c r="D147" s="20" t="n">
        <f aca="false">1+beta*(D146-$C146)/4</f>
        <v>1.05</v>
      </c>
      <c r="E147" s="20" t="n">
        <f aca="false">1+beta*(E146-$C146)/4</f>
        <v>1.0625</v>
      </c>
      <c r="F147" s="20" t="n">
        <f aca="false">1+beta*(F146-$C146)/4</f>
        <v>1.1</v>
      </c>
      <c r="G147" s="20" t="n">
        <f aca="false">1+beta*(G146-$C146)/4</f>
        <v>1.125</v>
      </c>
      <c r="H147" s="20" t="n">
        <f aca="false">1+beta*(H146-$C146)/4</f>
        <v>1.15</v>
      </c>
    </row>
    <row r="148" customFormat="false" ht="17.15" hidden="false" customHeight="false" outlineLevel="0" collapsed="false">
      <c r="A148" s="4" t="s">
        <v>484</v>
      </c>
      <c r="B148" s="0" t="s">
        <v>69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485</v>
      </c>
    </row>
    <row r="149" customFormat="false" ht="17.15" hidden="false" customHeight="false" outlineLevel="0" collapsed="false">
      <c r="A149" s="0" t="s">
        <v>486</v>
      </c>
      <c r="B149" s="4" t="s">
        <v>447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487</v>
      </c>
      <c r="B150" s="4" t="s">
        <v>447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488</v>
      </c>
    </row>
    <row r="151" customFormat="false" ht="17.15" hidden="false" customHeight="false" outlineLevel="0" collapsed="false">
      <c r="A151" s="0" t="s">
        <v>489</v>
      </c>
      <c r="B151" s="0" t="s">
        <v>69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490</v>
      </c>
      <c r="B152" s="0" t="s">
        <v>69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491</v>
      </c>
      <c r="B153" s="0" t="s">
        <v>69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492</v>
      </c>
      <c r="B154" s="0" t="s">
        <v>69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493</v>
      </c>
      <c r="B155" s="4" t="s">
        <v>447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494</v>
      </c>
    </row>
    <row r="157" customFormat="false" ht="17.15" hidden="false" customHeight="false" outlineLevel="0" collapsed="false">
      <c r="A157" s="4" t="s">
        <v>495</v>
      </c>
      <c r="B157" s="4" t="s">
        <v>233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496</v>
      </c>
    </row>
    <row r="158" customFormat="false" ht="17.15" hidden="false" customHeight="false" outlineLevel="0" collapsed="false">
      <c r="A158" s="0" t="s">
        <v>497</v>
      </c>
      <c r="B158" s="4" t="s">
        <v>233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498</v>
      </c>
    </row>
    <row r="159" customFormat="false" ht="17.15" hidden="false" customHeight="false" outlineLevel="0" collapsed="false">
      <c r="A159" s="4" t="s">
        <v>499</v>
      </c>
      <c r="B159" s="4" t="s">
        <v>500</v>
      </c>
      <c r="C159" s="20" t="n">
        <f aca="false">(C158+D158)/(C155+D155)</f>
        <v>14.1141971876439</v>
      </c>
      <c r="I159" s="4" t="s">
        <v>501</v>
      </c>
    </row>
    <row r="160" customFormat="false" ht="15" hidden="false" customHeight="false" outlineLevel="0" collapsed="false">
      <c r="A160" s="4" t="s">
        <v>401</v>
      </c>
      <c r="B160" s="4" t="s">
        <v>233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502</v>
      </c>
      <c r="B161" s="0" t="s">
        <v>69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503</v>
      </c>
      <c r="B162" s="4" t="s">
        <v>233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504</v>
      </c>
    </row>
    <row r="163" customFormat="false" ht="17.15" hidden="false" customHeight="false" outlineLevel="0" collapsed="false">
      <c r="A163" s="4" t="s">
        <v>470</v>
      </c>
      <c r="B163" s="0" t="s">
        <v>69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505</v>
      </c>
    </row>
    <row r="164" customFormat="false" ht="15" hidden="false" customHeight="false" outlineLevel="0" collapsed="false">
      <c r="A164" s="4" t="s">
        <v>406</v>
      </c>
      <c r="B164" s="4" t="s">
        <v>233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409</v>
      </c>
      <c r="B165" s="4" t="s">
        <v>233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412</v>
      </c>
      <c r="B166" s="0" t="s">
        <v>69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471</v>
      </c>
      <c r="B167" s="4" t="s">
        <v>233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472</v>
      </c>
      <c r="B168" s="0" t="s">
        <v>309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506</v>
      </c>
      <c r="B169" s="4" t="s">
        <v>233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507</v>
      </c>
    </row>
    <row r="170" customFormat="false" ht="15" hidden="false" customHeight="false" outlineLevel="0" collapsed="false">
      <c r="A170" s="4" t="s">
        <v>508</v>
      </c>
      <c r="B170" s="0" t="s">
        <v>340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780</v>
      </c>
    </row>
    <row r="181" customFormat="false" ht="15" hidden="false" customHeight="false" outlineLevel="0" collapsed="false">
      <c r="A181" s="5" t="s">
        <v>21</v>
      </c>
      <c r="B181" s="5" t="s">
        <v>22</v>
      </c>
      <c r="C181" s="13" t="s">
        <v>435</v>
      </c>
      <c r="D181" s="13" t="s">
        <v>436</v>
      </c>
      <c r="E181" s="13" t="s">
        <v>437</v>
      </c>
      <c r="F181" s="13" t="s">
        <v>438</v>
      </c>
      <c r="G181" s="13" t="s">
        <v>439</v>
      </c>
      <c r="H181" s="13" t="s">
        <v>440</v>
      </c>
      <c r="I181" s="5" t="s">
        <v>441</v>
      </c>
    </row>
    <row r="182" customFormat="false" ht="17.15" hidden="false" customHeight="false" outlineLevel="0" collapsed="false">
      <c r="A182" s="6" t="s">
        <v>475</v>
      </c>
    </row>
    <row r="183" customFormat="false" ht="17.15" hidden="false" customHeight="false" outlineLevel="0" collapsed="false">
      <c r="A183" s="0" t="s">
        <v>476</v>
      </c>
      <c r="B183" s="0" t="s">
        <v>32</v>
      </c>
      <c r="C183" s="19" t="n">
        <f aca="false">hsA_25</f>
        <v>2.22511470588235</v>
      </c>
      <c r="D183" s="19" t="n">
        <f aca="false">hsA_26</f>
        <v>3.782695</v>
      </c>
      <c r="E183" s="19" t="n">
        <f aca="false">hsA_27</f>
        <v>5.86317725</v>
      </c>
      <c r="F183" s="19" t="n">
        <f aca="false">hsA_28</f>
        <v>8.5016070125</v>
      </c>
      <c r="G183" s="19" t="n">
        <f aca="false">hsA_29</f>
        <v>11.477169466875</v>
      </c>
      <c r="H183" s="19" t="n">
        <f aca="false">G183*(1+g_tail)</f>
        <v>12.6248864135625</v>
      </c>
      <c r="I183" s="8" t="s">
        <v>477</v>
      </c>
    </row>
    <row r="184" customFormat="false" ht="17.15" hidden="false" customHeight="false" outlineLevel="0" collapsed="false">
      <c r="A184" s="0" t="s">
        <v>478</v>
      </c>
      <c r="B184" s="0" t="s">
        <v>479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480</v>
      </c>
      <c r="B185" s="4" t="s">
        <v>445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481</v>
      </c>
    </row>
    <row r="186" customFormat="false" ht="15" hidden="false" customHeight="false" outlineLevel="0" collapsed="false">
      <c r="A186" s="4" t="s">
        <v>482</v>
      </c>
      <c r="B186" s="4" t="s">
        <v>96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483</v>
      </c>
      <c r="B187" s="0" t="s">
        <v>116</v>
      </c>
      <c r="C187" s="20" t="n">
        <f aca="false">1+beta*(C186-$C186)/4</f>
        <v>1</v>
      </c>
      <c r="D187" s="20" t="n">
        <f aca="false">1+beta*(D186-$C186)/4</f>
        <v>1.05</v>
      </c>
      <c r="E187" s="20" t="n">
        <f aca="false">1+beta*(E186-$C186)/4</f>
        <v>1.0625</v>
      </c>
      <c r="F187" s="20" t="n">
        <f aca="false">1+beta*(F186-$C186)/4</f>
        <v>1.1</v>
      </c>
      <c r="G187" s="20" t="n">
        <f aca="false">1+beta*(G186-$C186)/4</f>
        <v>1.125</v>
      </c>
      <c r="H187" s="20" t="n">
        <f aca="false">1+beta*(H186-$C186)/4</f>
        <v>1.15</v>
      </c>
    </row>
    <row r="188" customFormat="false" ht="17.15" hidden="false" customHeight="false" outlineLevel="0" collapsed="false">
      <c r="A188" s="4" t="s">
        <v>484</v>
      </c>
      <c r="B188" s="0" t="s">
        <v>69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485</v>
      </c>
    </row>
    <row r="189" customFormat="false" ht="17.15" hidden="false" customHeight="false" outlineLevel="0" collapsed="false">
      <c r="A189" s="0" t="s">
        <v>486</v>
      </c>
      <c r="B189" s="4" t="s">
        <v>447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487</v>
      </c>
      <c r="B190" s="4" t="s">
        <v>447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488</v>
      </c>
    </row>
    <row r="191" customFormat="false" ht="17.15" hidden="false" customHeight="false" outlineLevel="0" collapsed="false">
      <c r="A191" s="0" t="s">
        <v>489</v>
      </c>
      <c r="B191" s="0" t="s">
        <v>69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490</v>
      </c>
      <c r="B192" s="0" t="s">
        <v>69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491</v>
      </c>
      <c r="B193" s="0" t="s">
        <v>69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492</v>
      </c>
      <c r="B194" s="0" t="s">
        <v>69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493</v>
      </c>
      <c r="B195" s="4" t="s">
        <v>447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494</v>
      </c>
    </row>
    <row r="197" customFormat="false" ht="17.15" hidden="false" customHeight="false" outlineLevel="0" collapsed="false">
      <c r="A197" s="4" t="s">
        <v>495</v>
      </c>
      <c r="B197" s="4" t="s">
        <v>233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496</v>
      </c>
    </row>
    <row r="198" customFormat="false" ht="17.15" hidden="false" customHeight="false" outlineLevel="0" collapsed="false">
      <c r="A198" s="0" t="s">
        <v>497</v>
      </c>
      <c r="B198" s="4" t="s">
        <v>233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498</v>
      </c>
    </row>
    <row r="199" customFormat="false" ht="17.15" hidden="false" customHeight="false" outlineLevel="0" collapsed="false">
      <c r="A199" s="4" t="s">
        <v>499</v>
      </c>
      <c r="B199" s="4" t="s">
        <v>500</v>
      </c>
      <c r="C199" s="20" t="n">
        <f aca="false">(C198+D198)/(C195+D195)</f>
        <v>13.3428116356386</v>
      </c>
      <c r="I199" s="4" t="s">
        <v>501</v>
      </c>
    </row>
    <row r="200" customFormat="false" ht="15" hidden="false" customHeight="false" outlineLevel="0" collapsed="false">
      <c r="A200" s="4" t="s">
        <v>401</v>
      </c>
      <c r="B200" s="4" t="s">
        <v>233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502</v>
      </c>
      <c r="B201" s="0" t="s">
        <v>69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503</v>
      </c>
      <c r="B202" s="4" t="s">
        <v>233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504</v>
      </c>
    </row>
    <row r="203" customFormat="false" ht="17.15" hidden="false" customHeight="false" outlineLevel="0" collapsed="false">
      <c r="A203" s="4" t="s">
        <v>470</v>
      </c>
      <c r="B203" s="0" t="s">
        <v>69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505</v>
      </c>
    </row>
    <row r="204" customFormat="false" ht="15" hidden="false" customHeight="false" outlineLevel="0" collapsed="false">
      <c r="A204" s="4" t="s">
        <v>406</v>
      </c>
      <c r="B204" s="4" t="s">
        <v>233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409</v>
      </c>
      <c r="B205" s="4" t="s">
        <v>233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412</v>
      </c>
      <c r="B206" s="0" t="s">
        <v>69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471</v>
      </c>
      <c r="B207" s="4" t="s">
        <v>233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472</v>
      </c>
      <c r="B208" s="0" t="s">
        <v>309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506</v>
      </c>
      <c r="B209" s="4" t="s">
        <v>233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507</v>
      </c>
    </row>
    <row r="210" customFormat="false" ht="15" hidden="false" customHeight="false" outlineLevel="0" collapsed="false">
      <c r="A210" s="4" t="s">
        <v>508</v>
      </c>
      <c r="B210" s="0" t="s">
        <v>340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781</v>
      </c>
    </row>
    <row r="221" customFormat="false" ht="15" hidden="false" customHeight="false" outlineLevel="0" collapsed="false">
      <c r="A221" s="5" t="s">
        <v>21</v>
      </c>
      <c r="B221" s="5" t="s">
        <v>22</v>
      </c>
      <c r="C221" s="13" t="s">
        <v>435</v>
      </c>
      <c r="D221" s="13" t="s">
        <v>436</v>
      </c>
      <c r="E221" s="13" t="s">
        <v>437</v>
      </c>
      <c r="F221" s="13" t="s">
        <v>438</v>
      </c>
      <c r="G221" s="13" t="s">
        <v>439</v>
      </c>
      <c r="H221" s="13" t="s">
        <v>440</v>
      </c>
      <c r="I221" s="5" t="s">
        <v>441</v>
      </c>
    </row>
    <row r="222" customFormat="false" ht="17.15" hidden="false" customHeight="false" outlineLevel="0" collapsed="false">
      <c r="A222" s="6" t="s">
        <v>475</v>
      </c>
    </row>
    <row r="223" customFormat="false" ht="17.15" hidden="false" customHeight="false" outlineLevel="0" collapsed="false">
      <c r="A223" s="0" t="s">
        <v>476</v>
      </c>
      <c r="B223" s="0" t="s">
        <v>32</v>
      </c>
      <c r="C223" s="19" t="n">
        <f aca="false">hsA_25</f>
        <v>2.22511470588235</v>
      </c>
      <c r="D223" s="19" t="n">
        <f aca="false">hsA_26</f>
        <v>3.782695</v>
      </c>
      <c r="E223" s="19" t="n">
        <f aca="false">hsA_27</f>
        <v>5.86317725</v>
      </c>
      <c r="F223" s="19" t="n">
        <f aca="false">hsA_28</f>
        <v>8.5016070125</v>
      </c>
      <c r="G223" s="19" t="n">
        <f aca="false">hsA_29</f>
        <v>11.477169466875</v>
      </c>
      <c r="H223" s="19" t="n">
        <f aca="false">G223*(1+g_tail)</f>
        <v>12.6248864135625</v>
      </c>
      <c r="I223" s="8" t="s">
        <v>477</v>
      </c>
    </row>
    <row r="224" customFormat="false" ht="17.15" hidden="false" customHeight="false" outlineLevel="0" collapsed="false">
      <c r="A224" s="0" t="s">
        <v>478</v>
      </c>
      <c r="B224" s="0" t="s">
        <v>479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480</v>
      </c>
      <c r="B225" s="4" t="s">
        <v>445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481</v>
      </c>
    </row>
    <row r="226" customFormat="false" ht="15" hidden="false" customHeight="false" outlineLevel="0" collapsed="false">
      <c r="A226" s="4" t="s">
        <v>482</v>
      </c>
      <c r="B226" s="4" t="s">
        <v>96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483</v>
      </c>
      <c r="B227" s="0" t="s">
        <v>116</v>
      </c>
      <c r="C227" s="20" t="n">
        <f aca="false">1+beta*(C226-$C226)/4</f>
        <v>1</v>
      </c>
      <c r="D227" s="20" t="n">
        <f aca="false">1+beta*(D226-$C226)/4</f>
        <v>1.05</v>
      </c>
      <c r="E227" s="20" t="n">
        <f aca="false">1+beta*(E226-$C226)/4</f>
        <v>1.0625</v>
      </c>
      <c r="F227" s="20" t="n">
        <f aca="false">1+beta*(F226-$C226)/4</f>
        <v>1.1</v>
      </c>
      <c r="G227" s="20" t="n">
        <f aca="false">1+beta*(G226-$C226)/4</f>
        <v>1.125</v>
      </c>
      <c r="H227" s="20" t="n">
        <f aca="false">1+beta*(H226-$C226)/4</f>
        <v>1.15</v>
      </c>
    </row>
    <row r="228" customFormat="false" ht="17.15" hidden="false" customHeight="false" outlineLevel="0" collapsed="false">
      <c r="A228" s="4" t="s">
        <v>484</v>
      </c>
      <c r="B228" s="0" t="s">
        <v>69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485</v>
      </c>
    </row>
    <row r="229" customFormat="false" ht="17.15" hidden="false" customHeight="false" outlineLevel="0" collapsed="false">
      <c r="A229" s="0" t="s">
        <v>486</v>
      </c>
      <c r="B229" s="4" t="s">
        <v>447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487</v>
      </c>
      <c r="B230" s="4" t="s">
        <v>447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488</v>
      </c>
    </row>
    <row r="231" customFormat="false" ht="17.15" hidden="false" customHeight="false" outlineLevel="0" collapsed="false">
      <c r="A231" s="0" t="s">
        <v>489</v>
      </c>
      <c r="B231" s="0" t="s">
        <v>69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490</v>
      </c>
      <c r="B232" s="0" t="s">
        <v>69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491</v>
      </c>
      <c r="B233" s="0" t="s">
        <v>69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492</v>
      </c>
      <c r="B234" s="0" t="s">
        <v>69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493</v>
      </c>
      <c r="B235" s="4" t="s">
        <v>447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494</v>
      </c>
    </row>
    <row r="237" customFormat="false" ht="17.15" hidden="false" customHeight="false" outlineLevel="0" collapsed="false">
      <c r="A237" s="4" t="s">
        <v>495</v>
      </c>
      <c r="B237" s="4" t="s">
        <v>233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496</v>
      </c>
    </row>
    <row r="238" customFormat="false" ht="17.15" hidden="false" customHeight="false" outlineLevel="0" collapsed="false">
      <c r="A238" s="0" t="s">
        <v>497</v>
      </c>
      <c r="B238" s="4" t="s">
        <v>233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498</v>
      </c>
    </row>
    <row r="239" customFormat="false" ht="17.15" hidden="false" customHeight="false" outlineLevel="0" collapsed="false">
      <c r="A239" s="4" t="s">
        <v>499</v>
      </c>
      <c r="B239" s="4" t="s">
        <v>500</v>
      </c>
      <c r="C239" s="20" t="n">
        <f aca="false">(C238+D238)/(C235+D235)</f>
        <v>12.5821462495025</v>
      </c>
      <c r="I239" s="4" t="s">
        <v>501</v>
      </c>
    </row>
    <row r="240" customFormat="false" ht="15" hidden="false" customHeight="false" outlineLevel="0" collapsed="false">
      <c r="A240" s="4" t="s">
        <v>401</v>
      </c>
      <c r="B240" s="4" t="s">
        <v>233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502</v>
      </c>
      <c r="B241" s="0" t="s">
        <v>69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503</v>
      </c>
      <c r="B242" s="4" t="s">
        <v>233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504</v>
      </c>
    </row>
    <row r="243" customFormat="false" ht="17.15" hidden="false" customHeight="false" outlineLevel="0" collapsed="false">
      <c r="A243" s="4" t="s">
        <v>470</v>
      </c>
      <c r="B243" s="0" t="s">
        <v>69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505</v>
      </c>
    </row>
    <row r="244" customFormat="false" ht="15" hidden="false" customHeight="false" outlineLevel="0" collapsed="false">
      <c r="A244" s="4" t="s">
        <v>406</v>
      </c>
      <c r="B244" s="4" t="s">
        <v>233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409</v>
      </c>
      <c r="B245" s="4" t="s">
        <v>233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412</v>
      </c>
      <c r="B246" s="0" t="s">
        <v>69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471</v>
      </c>
      <c r="B247" s="4" t="s">
        <v>233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472</v>
      </c>
      <c r="B248" s="0" t="s">
        <v>309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506</v>
      </c>
      <c r="B249" s="4" t="s">
        <v>233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507</v>
      </c>
    </row>
    <row r="250" customFormat="false" ht="15" hidden="false" customHeight="false" outlineLevel="0" collapsed="false">
      <c r="A250" s="4" t="s">
        <v>508</v>
      </c>
      <c r="B250" s="0" t="s">
        <v>340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782</v>
      </c>
    </row>
    <row r="261" customFormat="false" ht="15" hidden="false" customHeight="false" outlineLevel="0" collapsed="false">
      <c r="A261" s="5" t="s">
        <v>21</v>
      </c>
      <c r="B261" s="5" t="s">
        <v>22</v>
      </c>
      <c r="C261" s="13" t="s">
        <v>435</v>
      </c>
      <c r="D261" s="13" t="s">
        <v>436</v>
      </c>
      <c r="E261" s="13" t="s">
        <v>437</v>
      </c>
      <c r="F261" s="13" t="s">
        <v>438</v>
      </c>
      <c r="G261" s="13" t="s">
        <v>439</v>
      </c>
      <c r="H261" s="13" t="s">
        <v>440</v>
      </c>
      <c r="I261" s="5" t="s">
        <v>441</v>
      </c>
    </row>
    <row r="262" customFormat="false" ht="17.15" hidden="false" customHeight="false" outlineLevel="0" collapsed="false">
      <c r="A262" s="6" t="s">
        <v>475</v>
      </c>
    </row>
    <row r="263" customFormat="false" ht="17.15" hidden="false" customHeight="false" outlineLevel="0" collapsed="false">
      <c r="A263" s="0" t="s">
        <v>476</v>
      </c>
      <c r="B263" s="0" t="s">
        <v>32</v>
      </c>
      <c r="C263" s="19" t="n">
        <f aca="false">hsA_25</f>
        <v>2.22511470588235</v>
      </c>
      <c r="D263" s="19" t="n">
        <f aca="false">hsA_26</f>
        <v>3.782695</v>
      </c>
      <c r="E263" s="19" t="n">
        <f aca="false">hsA_27</f>
        <v>5.86317725</v>
      </c>
      <c r="F263" s="19" t="n">
        <f aca="false">hsA_28</f>
        <v>8.5016070125</v>
      </c>
      <c r="G263" s="19" t="n">
        <f aca="false">hsA_29</f>
        <v>11.477169466875</v>
      </c>
      <c r="H263" s="19" t="n">
        <f aca="false">G263*(1+g_tail)</f>
        <v>12.6248864135625</v>
      </c>
      <c r="I263" s="8" t="s">
        <v>477</v>
      </c>
    </row>
    <row r="264" customFormat="false" ht="17.15" hidden="false" customHeight="false" outlineLevel="0" collapsed="false">
      <c r="A264" s="0" t="s">
        <v>478</v>
      </c>
      <c r="B264" s="0" t="s">
        <v>479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480</v>
      </c>
      <c r="B265" s="4" t="s">
        <v>445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481</v>
      </c>
    </row>
    <row r="266" customFormat="false" ht="15" hidden="false" customHeight="false" outlineLevel="0" collapsed="false">
      <c r="A266" s="4" t="s">
        <v>482</v>
      </c>
      <c r="B266" s="4" t="s">
        <v>96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483</v>
      </c>
      <c r="B267" s="0" t="s">
        <v>116</v>
      </c>
      <c r="C267" s="20" t="n">
        <f aca="false">1+beta*(C266-$C266)/4</f>
        <v>1</v>
      </c>
      <c r="D267" s="20" t="n">
        <f aca="false">1+beta*(D266-$C266)/4</f>
        <v>1.05</v>
      </c>
      <c r="E267" s="20" t="n">
        <f aca="false">1+beta*(E266-$C266)/4</f>
        <v>1.0625</v>
      </c>
      <c r="F267" s="20" t="n">
        <f aca="false">1+beta*(F266-$C266)/4</f>
        <v>1.1</v>
      </c>
      <c r="G267" s="20" t="n">
        <f aca="false">1+beta*(G266-$C266)/4</f>
        <v>1.125</v>
      </c>
      <c r="H267" s="20" t="n">
        <f aca="false">1+beta*(H266-$C266)/4</f>
        <v>1.15</v>
      </c>
    </row>
    <row r="268" customFormat="false" ht="15" hidden="false" customHeight="false" outlineLevel="0" collapsed="false">
      <c r="A268" s="4" t="s">
        <v>484</v>
      </c>
      <c r="B268" s="0" t="s">
        <v>69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486</v>
      </c>
      <c r="B269" s="4" t="s">
        <v>447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487</v>
      </c>
      <c r="B270" s="4" t="s">
        <v>447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488</v>
      </c>
    </row>
    <row r="271" customFormat="false" ht="17.15" hidden="false" customHeight="false" outlineLevel="0" collapsed="false">
      <c r="A271" s="0" t="s">
        <v>489</v>
      </c>
      <c r="B271" s="0" t="s">
        <v>69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490</v>
      </c>
      <c r="B272" s="0" t="s">
        <v>69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491</v>
      </c>
      <c r="B273" s="0" t="s">
        <v>69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492</v>
      </c>
      <c r="B274" s="0" t="s">
        <v>69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493</v>
      </c>
      <c r="B275" s="4" t="s">
        <v>447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494</v>
      </c>
    </row>
    <row r="277" customFormat="false" ht="17.15" hidden="false" customHeight="false" outlineLevel="0" collapsed="false">
      <c r="A277" s="4" t="s">
        <v>495</v>
      </c>
      <c r="B277" s="4" t="s">
        <v>233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496</v>
      </c>
    </row>
    <row r="278" customFormat="false" ht="17.15" hidden="false" customHeight="false" outlineLevel="0" collapsed="false">
      <c r="A278" s="0" t="s">
        <v>497</v>
      </c>
      <c r="B278" s="4" t="s">
        <v>233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498</v>
      </c>
    </row>
    <row r="279" customFormat="false" ht="17.15" hidden="false" customHeight="false" outlineLevel="0" collapsed="false">
      <c r="A279" s="4" t="s">
        <v>499</v>
      </c>
      <c r="B279" s="4" t="s">
        <v>500</v>
      </c>
      <c r="C279" s="20" t="n">
        <f aca="false">(C278+D278)/(C275+D275)</f>
        <v>13.7176686415529</v>
      </c>
      <c r="I279" s="4" t="s">
        <v>501</v>
      </c>
    </row>
    <row r="280" customFormat="false" ht="15" hidden="false" customHeight="false" outlineLevel="0" collapsed="false">
      <c r="A280" s="4" t="s">
        <v>401</v>
      </c>
      <c r="B280" s="4" t="s">
        <v>233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502</v>
      </c>
      <c r="B281" s="0" t="s">
        <v>69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503</v>
      </c>
      <c r="B282" s="4" t="s">
        <v>233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504</v>
      </c>
    </row>
    <row r="283" customFormat="false" ht="17.15" hidden="false" customHeight="false" outlineLevel="0" collapsed="false">
      <c r="A283" s="4" t="s">
        <v>470</v>
      </c>
      <c r="B283" s="0" t="s">
        <v>69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505</v>
      </c>
    </row>
    <row r="284" customFormat="false" ht="15" hidden="false" customHeight="false" outlineLevel="0" collapsed="false">
      <c r="A284" s="4" t="s">
        <v>406</v>
      </c>
      <c r="B284" s="4" t="s">
        <v>233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409</v>
      </c>
      <c r="B285" s="4" t="s">
        <v>233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412</v>
      </c>
      <c r="B286" s="0" t="s">
        <v>69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471</v>
      </c>
      <c r="B287" s="4" t="s">
        <v>233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472</v>
      </c>
      <c r="B288" s="0" t="s">
        <v>309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506</v>
      </c>
      <c r="B289" s="4" t="s">
        <v>233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507</v>
      </c>
    </row>
    <row r="290" customFormat="false" ht="15" hidden="false" customHeight="false" outlineLevel="0" collapsed="false">
      <c r="A290" s="4" t="s">
        <v>508</v>
      </c>
      <c r="B290" s="0" t="s">
        <v>340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783</v>
      </c>
    </row>
    <row r="301" customFormat="false" ht="15" hidden="false" customHeight="false" outlineLevel="0" collapsed="false">
      <c r="A301" s="5" t="s">
        <v>21</v>
      </c>
      <c r="B301" s="5" t="s">
        <v>22</v>
      </c>
      <c r="C301" s="13" t="s">
        <v>435</v>
      </c>
      <c r="D301" s="13" t="s">
        <v>436</v>
      </c>
      <c r="E301" s="13" t="s">
        <v>437</v>
      </c>
      <c r="F301" s="13" t="s">
        <v>438</v>
      </c>
      <c r="G301" s="13" t="s">
        <v>439</v>
      </c>
      <c r="H301" s="13" t="s">
        <v>440</v>
      </c>
      <c r="I301" s="5" t="s">
        <v>441</v>
      </c>
    </row>
    <row r="302" customFormat="false" ht="17.15" hidden="false" customHeight="false" outlineLevel="0" collapsed="false">
      <c r="A302" s="6" t="s">
        <v>475</v>
      </c>
    </row>
    <row r="303" customFormat="false" ht="17.15" hidden="false" customHeight="false" outlineLevel="0" collapsed="false">
      <c r="A303" s="0" t="s">
        <v>476</v>
      </c>
      <c r="B303" s="0" t="s">
        <v>32</v>
      </c>
      <c r="C303" s="19" t="n">
        <f aca="false">hsA_25</f>
        <v>2.22511470588235</v>
      </c>
      <c r="D303" s="19" t="n">
        <f aca="false">hsA_26</f>
        <v>3.782695</v>
      </c>
      <c r="E303" s="19" t="n">
        <f aca="false">hsA_27</f>
        <v>5.86317725</v>
      </c>
      <c r="F303" s="19" t="n">
        <f aca="false">hsA_28</f>
        <v>8.5016070125</v>
      </c>
      <c r="G303" s="19" t="n">
        <f aca="false">hsA_29</f>
        <v>11.477169466875</v>
      </c>
      <c r="H303" s="19" t="n">
        <f aca="false">G303*(1+g_tail)</f>
        <v>12.6248864135625</v>
      </c>
      <c r="I303" s="8" t="s">
        <v>477</v>
      </c>
    </row>
    <row r="304" customFormat="false" ht="17.15" hidden="false" customHeight="false" outlineLevel="0" collapsed="false">
      <c r="A304" s="0" t="s">
        <v>478</v>
      </c>
      <c r="B304" s="0" t="s">
        <v>479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480</v>
      </c>
      <c r="B305" s="4" t="s">
        <v>445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481</v>
      </c>
    </row>
    <row r="306" customFormat="false" ht="15" hidden="false" customHeight="false" outlineLevel="0" collapsed="false">
      <c r="A306" s="4" t="s">
        <v>482</v>
      </c>
      <c r="B306" s="4" t="s">
        <v>96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483</v>
      </c>
      <c r="B307" s="0" t="s">
        <v>116</v>
      </c>
      <c r="C307" s="20" t="n">
        <f aca="false">1+beta*(C306-$C306)/4</f>
        <v>1</v>
      </c>
      <c r="D307" s="20" t="n">
        <f aca="false">1+beta*(D306-$C306)/4</f>
        <v>1.05</v>
      </c>
      <c r="E307" s="20" t="n">
        <f aca="false">1+beta*(E306-$C306)/4</f>
        <v>1.0625</v>
      </c>
      <c r="F307" s="20" t="n">
        <f aca="false">1+beta*(F306-$C306)/4</f>
        <v>1.1</v>
      </c>
      <c r="G307" s="20" t="n">
        <f aca="false">1+beta*(G306-$C306)/4</f>
        <v>1.125</v>
      </c>
      <c r="H307" s="20" t="n">
        <f aca="false">1+beta*(H306-$C306)/4</f>
        <v>1.15</v>
      </c>
    </row>
    <row r="308" customFormat="false" ht="15" hidden="false" customHeight="false" outlineLevel="0" collapsed="false">
      <c r="A308" s="4" t="s">
        <v>484</v>
      </c>
      <c r="B308" s="0" t="s">
        <v>69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486</v>
      </c>
      <c r="B309" s="4" t="s">
        <v>447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487</v>
      </c>
      <c r="B310" s="4" t="s">
        <v>447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488</v>
      </c>
    </row>
    <row r="311" customFormat="false" ht="17.15" hidden="false" customHeight="false" outlineLevel="0" collapsed="false">
      <c r="A311" s="0" t="s">
        <v>489</v>
      </c>
      <c r="B311" s="0" t="s">
        <v>69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490</v>
      </c>
      <c r="B312" s="0" t="s">
        <v>69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491</v>
      </c>
      <c r="B313" s="0" t="s">
        <v>69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492</v>
      </c>
      <c r="B314" s="0" t="s">
        <v>69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493</v>
      </c>
      <c r="B315" s="4" t="s">
        <v>447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494</v>
      </c>
    </row>
    <row r="317" customFormat="false" ht="17.15" hidden="false" customHeight="false" outlineLevel="0" collapsed="false">
      <c r="A317" s="4" t="s">
        <v>495</v>
      </c>
      <c r="B317" s="4" t="s">
        <v>233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496</v>
      </c>
    </row>
    <row r="318" customFormat="false" ht="17.15" hidden="false" customHeight="false" outlineLevel="0" collapsed="false">
      <c r="A318" s="0" t="s">
        <v>497</v>
      </c>
      <c r="B318" s="4" t="s">
        <v>233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498</v>
      </c>
    </row>
    <row r="319" customFormat="false" ht="17.15" hidden="false" customHeight="false" outlineLevel="0" collapsed="false">
      <c r="A319" s="4" t="s">
        <v>499</v>
      </c>
      <c r="B319" s="4" t="s">
        <v>500</v>
      </c>
      <c r="C319" s="20" t="n">
        <f aca="false">(C318+D318)/(C315+D315)</f>
        <v>13.7176686415529</v>
      </c>
      <c r="I319" s="4" t="s">
        <v>501</v>
      </c>
    </row>
    <row r="320" customFormat="false" ht="15" hidden="false" customHeight="false" outlineLevel="0" collapsed="false">
      <c r="A320" s="4" t="s">
        <v>401</v>
      </c>
      <c r="B320" s="4" t="s">
        <v>233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502</v>
      </c>
      <c r="B321" s="0" t="s">
        <v>69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503</v>
      </c>
      <c r="B322" s="4" t="s">
        <v>233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504</v>
      </c>
    </row>
    <row r="323" customFormat="false" ht="17.15" hidden="false" customHeight="false" outlineLevel="0" collapsed="false">
      <c r="A323" s="4" t="s">
        <v>470</v>
      </c>
      <c r="B323" s="0" t="s">
        <v>69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505</v>
      </c>
    </row>
    <row r="324" customFormat="false" ht="15" hidden="false" customHeight="false" outlineLevel="0" collapsed="false">
      <c r="A324" s="4" t="s">
        <v>406</v>
      </c>
      <c r="B324" s="4" t="s">
        <v>233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409</v>
      </c>
      <c r="B325" s="4" t="s">
        <v>233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412</v>
      </c>
      <c r="B326" s="0" t="s">
        <v>69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471</v>
      </c>
      <c r="B327" s="4" t="s">
        <v>233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472</v>
      </c>
      <c r="B328" s="0" t="s">
        <v>309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506</v>
      </c>
      <c r="B329" s="4" t="s">
        <v>233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507</v>
      </c>
    </row>
    <row r="330" customFormat="false" ht="15" hidden="false" customHeight="false" outlineLevel="0" collapsed="false">
      <c r="A330" s="4" t="s">
        <v>508</v>
      </c>
      <c r="B330" s="0" t="s">
        <v>340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784</v>
      </c>
    </row>
    <row r="341" customFormat="false" ht="15" hidden="false" customHeight="false" outlineLevel="0" collapsed="false">
      <c r="A341" s="5" t="s">
        <v>21</v>
      </c>
      <c r="B341" s="5" t="s">
        <v>22</v>
      </c>
      <c r="C341" s="13" t="s">
        <v>435</v>
      </c>
      <c r="D341" s="13" t="s">
        <v>436</v>
      </c>
      <c r="E341" s="13" t="s">
        <v>437</v>
      </c>
      <c r="F341" s="13" t="s">
        <v>438</v>
      </c>
      <c r="G341" s="13" t="s">
        <v>439</v>
      </c>
      <c r="H341" s="13" t="s">
        <v>440</v>
      </c>
      <c r="I341" s="5" t="s">
        <v>441</v>
      </c>
    </row>
    <row r="342" customFormat="false" ht="17.15" hidden="false" customHeight="false" outlineLevel="0" collapsed="false">
      <c r="A342" s="6" t="s">
        <v>475</v>
      </c>
    </row>
    <row r="343" customFormat="false" ht="17.15" hidden="false" customHeight="false" outlineLevel="0" collapsed="false">
      <c r="A343" s="0" t="s">
        <v>476</v>
      </c>
      <c r="B343" s="0" t="s">
        <v>32</v>
      </c>
      <c r="C343" s="19" t="n">
        <f aca="false">hsA_25</f>
        <v>2.22511470588235</v>
      </c>
      <c r="D343" s="19" t="n">
        <f aca="false">hsA_26</f>
        <v>3.782695</v>
      </c>
      <c r="E343" s="19" t="n">
        <f aca="false">hsA_27</f>
        <v>5.86317725</v>
      </c>
      <c r="F343" s="19" t="n">
        <f aca="false">hsA_28</f>
        <v>8.5016070125</v>
      </c>
      <c r="G343" s="19" t="n">
        <f aca="false">hsA_29</f>
        <v>11.477169466875</v>
      </c>
      <c r="H343" s="19" t="n">
        <f aca="false">G343*(1+g_tail)</f>
        <v>12.6248864135625</v>
      </c>
      <c r="I343" s="8" t="s">
        <v>477</v>
      </c>
    </row>
    <row r="344" customFormat="false" ht="17.15" hidden="false" customHeight="false" outlineLevel="0" collapsed="false">
      <c r="A344" s="0" t="s">
        <v>478</v>
      </c>
      <c r="B344" s="0" t="s">
        <v>479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480</v>
      </c>
      <c r="B345" s="4" t="s">
        <v>445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481</v>
      </c>
    </row>
    <row r="346" customFormat="false" ht="15" hidden="false" customHeight="false" outlineLevel="0" collapsed="false">
      <c r="A346" s="4" t="s">
        <v>482</v>
      </c>
      <c r="B346" s="4" t="s">
        <v>96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483</v>
      </c>
      <c r="B347" s="0" t="s">
        <v>116</v>
      </c>
      <c r="C347" s="20" t="n">
        <f aca="false">1+beta*(C346-$C346)/4</f>
        <v>1</v>
      </c>
      <c r="D347" s="20" t="n">
        <f aca="false">1+beta*(D346-$C346)/4</f>
        <v>1.05</v>
      </c>
      <c r="E347" s="20" t="n">
        <f aca="false">1+beta*(E346-$C346)/4</f>
        <v>1.0625</v>
      </c>
      <c r="F347" s="20" t="n">
        <f aca="false">1+beta*(F346-$C346)/4</f>
        <v>1.1</v>
      </c>
      <c r="G347" s="20" t="n">
        <f aca="false">1+beta*(G346-$C346)/4</f>
        <v>1.125</v>
      </c>
      <c r="H347" s="20" t="n">
        <f aca="false">1+beta*(H346-$C346)/4</f>
        <v>1.15</v>
      </c>
    </row>
    <row r="348" customFormat="false" ht="17.15" hidden="false" customHeight="false" outlineLevel="0" collapsed="false">
      <c r="A348" s="4" t="s">
        <v>484</v>
      </c>
      <c r="B348" s="0" t="s">
        <v>69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485</v>
      </c>
    </row>
    <row r="349" customFormat="false" ht="17.15" hidden="false" customHeight="false" outlineLevel="0" collapsed="false">
      <c r="A349" s="0" t="s">
        <v>486</v>
      </c>
      <c r="B349" s="4" t="s">
        <v>447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487</v>
      </c>
      <c r="B350" s="4" t="s">
        <v>447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488</v>
      </c>
    </row>
    <row r="351" customFormat="false" ht="17.15" hidden="false" customHeight="false" outlineLevel="0" collapsed="false">
      <c r="A351" s="0" t="s">
        <v>489</v>
      </c>
      <c r="B351" s="0" t="s">
        <v>69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490</v>
      </c>
      <c r="B352" s="0" t="s">
        <v>69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491</v>
      </c>
      <c r="B353" s="0" t="s">
        <v>69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492</v>
      </c>
      <c r="B354" s="0" t="s">
        <v>69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493</v>
      </c>
      <c r="B355" s="4" t="s">
        <v>447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494</v>
      </c>
    </row>
    <row r="357" customFormat="false" ht="17.15" hidden="false" customHeight="false" outlineLevel="0" collapsed="false">
      <c r="A357" s="4" t="s">
        <v>495</v>
      </c>
      <c r="B357" s="4" t="s">
        <v>233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496</v>
      </c>
    </row>
    <row r="358" customFormat="false" ht="17.15" hidden="false" customHeight="false" outlineLevel="0" collapsed="false">
      <c r="A358" s="0" t="s">
        <v>497</v>
      </c>
      <c r="B358" s="4" t="s">
        <v>233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498</v>
      </c>
    </row>
    <row r="359" customFormat="false" ht="17.15" hidden="false" customHeight="false" outlineLevel="0" collapsed="false">
      <c r="A359" s="4" t="s">
        <v>499</v>
      </c>
      <c r="B359" s="4" t="s">
        <v>500</v>
      </c>
      <c r="C359" s="20" t="n">
        <f aca="false">(C358+D358)/(C355+D355)</f>
        <v>12.9846283260163</v>
      </c>
      <c r="I359" s="4" t="s">
        <v>501</v>
      </c>
    </row>
    <row r="360" customFormat="false" ht="15" hidden="false" customHeight="false" outlineLevel="0" collapsed="false">
      <c r="A360" s="4" t="s">
        <v>401</v>
      </c>
      <c r="B360" s="4" t="s">
        <v>233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502</v>
      </c>
      <c r="B361" s="0" t="s">
        <v>69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503</v>
      </c>
      <c r="B362" s="4" t="s">
        <v>233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504</v>
      </c>
    </row>
    <row r="363" customFormat="false" ht="17.15" hidden="false" customHeight="false" outlineLevel="0" collapsed="false">
      <c r="A363" s="4" t="s">
        <v>470</v>
      </c>
      <c r="B363" s="0" t="s">
        <v>69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505</v>
      </c>
    </row>
    <row r="364" customFormat="false" ht="15" hidden="false" customHeight="false" outlineLevel="0" collapsed="false">
      <c r="A364" s="4" t="s">
        <v>406</v>
      </c>
      <c r="B364" s="4" t="s">
        <v>233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409</v>
      </c>
      <c r="B365" s="4" t="s">
        <v>233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412</v>
      </c>
      <c r="B366" s="0" t="s">
        <v>69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471</v>
      </c>
      <c r="B367" s="4" t="s">
        <v>233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472</v>
      </c>
      <c r="B368" s="0" t="s">
        <v>309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506</v>
      </c>
      <c r="B369" s="4" t="s">
        <v>233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507</v>
      </c>
    </row>
    <row r="370" customFormat="false" ht="15" hidden="false" customHeight="false" outlineLevel="0" collapsed="false">
      <c r="A370" s="4" t="s">
        <v>508</v>
      </c>
      <c r="B370" s="0" t="s">
        <v>340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785</v>
      </c>
    </row>
    <row r="381" customFormat="false" ht="15" hidden="false" customHeight="false" outlineLevel="0" collapsed="false">
      <c r="A381" s="5" t="s">
        <v>21</v>
      </c>
      <c r="B381" s="5" t="s">
        <v>22</v>
      </c>
      <c r="C381" s="13" t="s">
        <v>435</v>
      </c>
      <c r="D381" s="13" t="s">
        <v>436</v>
      </c>
      <c r="E381" s="13" t="s">
        <v>437</v>
      </c>
      <c r="F381" s="13" t="s">
        <v>438</v>
      </c>
      <c r="G381" s="13" t="s">
        <v>439</v>
      </c>
      <c r="H381" s="13" t="s">
        <v>440</v>
      </c>
      <c r="I381" s="5" t="s">
        <v>441</v>
      </c>
    </row>
    <row r="382" customFormat="false" ht="17.15" hidden="false" customHeight="false" outlineLevel="0" collapsed="false">
      <c r="A382" s="6" t="s">
        <v>475</v>
      </c>
    </row>
    <row r="383" customFormat="false" ht="17.15" hidden="false" customHeight="false" outlineLevel="0" collapsed="false">
      <c r="A383" s="0" t="s">
        <v>476</v>
      </c>
      <c r="B383" s="0" t="s">
        <v>32</v>
      </c>
      <c r="C383" s="19" t="n">
        <f aca="false">hsA_25</f>
        <v>2.22511470588235</v>
      </c>
      <c r="D383" s="19" t="n">
        <f aca="false">hsA_26</f>
        <v>3.782695</v>
      </c>
      <c r="E383" s="19" t="n">
        <f aca="false">hsA_27</f>
        <v>5.86317725</v>
      </c>
      <c r="F383" s="19" t="n">
        <f aca="false">hsA_28</f>
        <v>8.5016070125</v>
      </c>
      <c r="G383" s="19" t="n">
        <f aca="false">hsA_29</f>
        <v>11.477169466875</v>
      </c>
      <c r="H383" s="19" t="n">
        <f aca="false">G383*(1+g_tail)</f>
        <v>12.6248864135625</v>
      </c>
      <c r="I383" s="8" t="s">
        <v>477</v>
      </c>
    </row>
    <row r="384" customFormat="false" ht="17.15" hidden="false" customHeight="false" outlineLevel="0" collapsed="false">
      <c r="A384" s="0" t="s">
        <v>478</v>
      </c>
      <c r="B384" s="0" t="s">
        <v>479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480</v>
      </c>
      <c r="B385" s="4" t="s">
        <v>445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481</v>
      </c>
    </row>
    <row r="386" customFormat="false" ht="15" hidden="false" customHeight="false" outlineLevel="0" collapsed="false">
      <c r="A386" s="4" t="s">
        <v>482</v>
      </c>
      <c r="B386" s="4" t="s">
        <v>96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483</v>
      </c>
      <c r="B387" s="0" t="s">
        <v>116</v>
      </c>
      <c r="C387" s="20" t="n">
        <f aca="false">1+beta*(C386-$C386)/4</f>
        <v>1</v>
      </c>
      <c r="D387" s="20" t="n">
        <f aca="false">1+beta*(D386-$C386)/4</f>
        <v>1.05</v>
      </c>
      <c r="E387" s="20" t="n">
        <f aca="false">1+beta*(E386-$C386)/4</f>
        <v>1.0625</v>
      </c>
      <c r="F387" s="20" t="n">
        <f aca="false">1+beta*(F386-$C386)/4</f>
        <v>1.1</v>
      </c>
      <c r="G387" s="20" t="n">
        <f aca="false">1+beta*(G386-$C386)/4</f>
        <v>1.125</v>
      </c>
      <c r="H387" s="20" t="n">
        <f aca="false">1+beta*(H386-$C386)/4</f>
        <v>1.15</v>
      </c>
    </row>
    <row r="388" customFormat="false" ht="17.15" hidden="false" customHeight="false" outlineLevel="0" collapsed="false">
      <c r="A388" s="4" t="s">
        <v>484</v>
      </c>
      <c r="B388" s="0" t="s">
        <v>69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485</v>
      </c>
    </row>
    <row r="389" customFormat="false" ht="17.15" hidden="false" customHeight="false" outlineLevel="0" collapsed="false">
      <c r="A389" s="0" t="s">
        <v>486</v>
      </c>
      <c r="B389" s="4" t="s">
        <v>447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487</v>
      </c>
      <c r="B390" s="4" t="s">
        <v>447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488</v>
      </c>
    </row>
    <row r="391" customFormat="false" ht="17.15" hidden="false" customHeight="false" outlineLevel="0" collapsed="false">
      <c r="A391" s="0" t="s">
        <v>489</v>
      </c>
      <c r="B391" s="0" t="s">
        <v>69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490</v>
      </c>
      <c r="B392" s="0" t="s">
        <v>69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491</v>
      </c>
      <c r="B393" s="0" t="s">
        <v>69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492</v>
      </c>
      <c r="B394" s="0" t="s">
        <v>69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493</v>
      </c>
      <c r="B395" s="4" t="s">
        <v>447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494</v>
      </c>
    </row>
    <row r="397" customFormat="false" ht="17.15" hidden="false" customHeight="false" outlineLevel="0" collapsed="false">
      <c r="A397" s="4" t="s">
        <v>495</v>
      </c>
      <c r="B397" s="4" t="s">
        <v>233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496</v>
      </c>
    </row>
    <row r="398" customFormat="false" ht="17.15" hidden="false" customHeight="false" outlineLevel="0" collapsed="false">
      <c r="A398" s="0" t="s">
        <v>497</v>
      </c>
      <c r="B398" s="4" t="s">
        <v>233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498</v>
      </c>
    </row>
    <row r="399" customFormat="false" ht="17.15" hidden="false" customHeight="false" outlineLevel="0" collapsed="false">
      <c r="A399" s="4" t="s">
        <v>499</v>
      </c>
      <c r="B399" s="4" t="s">
        <v>500</v>
      </c>
      <c r="C399" s="20" t="n">
        <f aca="false">(C398+D398)/(C395+D395)</f>
        <v>15.4301580202353</v>
      </c>
      <c r="I399" s="4" t="s">
        <v>501</v>
      </c>
    </row>
    <row r="400" customFormat="false" ht="15" hidden="false" customHeight="false" outlineLevel="0" collapsed="false">
      <c r="A400" s="4" t="s">
        <v>401</v>
      </c>
      <c r="B400" s="4" t="s">
        <v>233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502</v>
      </c>
      <c r="B401" s="0" t="s">
        <v>69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503</v>
      </c>
      <c r="B402" s="4" t="s">
        <v>233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504</v>
      </c>
    </row>
    <row r="403" customFormat="false" ht="17.15" hidden="false" customHeight="false" outlineLevel="0" collapsed="false">
      <c r="A403" s="4" t="s">
        <v>470</v>
      </c>
      <c r="B403" s="0" t="s">
        <v>69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505</v>
      </c>
    </row>
    <row r="404" customFormat="false" ht="15" hidden="false" customHeight="false" outlineLevel="0" collapsed="false">
      <c r="A404" s="4" t="s">
        <v>406</v>
      </c>
      <c r="B404" s="4" t="s">
        <v>233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409</v>
      </c>
      <c r="B405" s="4" t="s">
        <v>233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412</v>
      </c>
      <c r="B406" s="0" t="s">
        <v>69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471</v>
      </c>
      <c r="B407" s="4" t="s">
        <v>233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472</v>
      </c>
      <c r="B408" s="0" t="s">
        <v>309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506</v>
      </c>
      <c r="B409" s="4" t="s">
        <v>233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507</v>
      </c>
    </row>
    <row r="410" customFormat="false" ht="15" hidden="false" customHeight="false" outlineLevel="0" collapsed="false">
      <c r="A410" s="4" t="s">
        <v>508</v>
      </c>
      <c r="B410" s="0" t="s">
        <v>340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786</v>
      </c>
    </row>
    <row r="421" customFormat="false" ht="15" hidden="false" customHeight="false" outlineLevel="0" collapsed="false">
      <c r="A421" s="5" t="s">
        <v>21</v>
      </c>
      <c r="B421" s="5" t="s">
        <v>22</v>
      </c>
      <c r="C421" s="13" t="s">
        <v>435</v>
      </c>
      <c r="D421" s="13" t="s">
        <v>436</v>
      </c>
      <c r="E421" s="13" t="s">
        <v>437</v>
      </c>
      <c r="F421" s="13" t="s">
        <v>438</v>
      </c>
      <c r="G421" s="13" t="s">
        <v>439</v>
      </c>
      <c r="H421" s="13" t="s">
        <v>440</v>
      </c>
      <c r="I421" s="5" t="s">
        <v>441</v>
      </c>
    </row>
    <row r="422" customFormat="false" ht="17.15" hidden="false" customHeight="false" outlineLevel="0" collapsed="false">
      <c r="A422" s="6" t="s">
        <v>475</v>
      </c>
    </row>
    <row r="423" customFormat="false" ht="17.15" hidden="false" customHeight="false" outlineLevel="0" collapsed="false">
      <c r="A423" s="0" t="s">
        <v>476</v>
      </c>
      <c r="B423" s="0" t="s">
        <v>32</v>
      </c>
      <c r="C423" s="19" t="n">
        <f aca="false">hsA_25</f>
        <v>2.22511470588235</v>
      </c>
      <c r="D423" s="19" t="n">
        <f aca="false">hsA_26</f>
        <v>3.782695</v>
      </c>
      <c r="E423" s="19" t="n">
        <f aca="false">hsA_27</f>
        <v>5.86317725</v>
      </c>
      <c r="F423" s="19" t="n">
        <f aca="false">hsA_28</f>
        <v>8.5016070125</v>
      </c>
      <c r="G423" s="19" t="n">
        <f aca="false">hsA_29</f>
        <v>11.477169466875</v>
      </c>
      <c r="H423" s="19" t="n">
        <f aca="false">G423*(1+g_tail)</f>
        <v>12.6248864135625</v>
      </c>
      <c r="I423" s="8" t="s">
        <v>477</v>
      </c>
    </row>
    <row r="424" customFormat="false" ht="17.15" hidden="false" customHeight="false" outlineLevel="0" collapsed="false">
      <c r="A424" s="0" t="s">
        <v>478</v>
      </c>
      <c r="B424" s="0" t="s">
        <v>479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480</v>
      </c>
      <c r="B425" s="4" t="s">
        <v>445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481</v>
      </c>
    </row>
    <row r="426" customFormat="false" ht="15" hidden="false" customHeight="false" outlineLevel="0" collapsed="false">
      <c r="A426" s="4" t="s">
        <v>482</v>
      </c>
      <c r="B426" s="4" t="s">
        <v>96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483</v>
      </c>
      <c r="B427" s="0" t="s">
        <v>116</v>
      </c>
      <c r="C427" s="20" t="n">
        <f aca="false">1+beta*(C426-$C426)/4</f>
        <v>1</v>
      </c>
      <c r="D427" s="20" t="n">
        <f aca="false">1+beta*(D426-$C426)/4</f>
        <v>1.05</v>
      </c>
      <c r="E427" s="20" t="n">
        <f aca="false">1+beta*(E426-$C426)/4</f>
        <v>1.1</v>
      </c>
      <c r="F427" s="20" t="n">
        <f aca="false">1+beta*(F426-$C426)/4</f>
        <v>1.1</v>
      </c>
      <c r="G427" s="20" t="n">
        <f aca="false">1+beta*(G426-$C426)/4</f>
        <v>1.1</v>
      </c>
      <c r="H427" s="20" t="n">
        <f aca="false">1+beta*(H426-$C426)/4</f>
        <v>1.15</v>
      </c>
    </row>
    <row r="428" customFormat="false" ht="17.15" hidden="false" customHeight="false" outlineLevel="0" collapsed="false">
      <c r="A428" s="4" t="s">
        <v>484</v>
      </c>
      <c r="B428" s="0" t="s">
        <v>69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485</v>
      </c>
    </row>
    <row r="429" customFormat="false" ht="17.15" hidden="false" customHeight="false" outlineLevel="0" collapsed="false">
      <c r="A429" s="0" t="s">
        <v>486</v>
      </c>
      <c r="B429" s="4" t="s">
        <v>447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487</v>
      </c>
      <c r="B430" s="4" t="s">
        <v>447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488</v>
      </c>
    </row>
    <row r="431" customFormat="false" ht="17.15" hidden="false" customHeight="false" outlineLevel="0" collapsed="false">
      <c r="A431" s="0" t="s">
        <v>489</v>
      </c>
      <c r="B431" s="0" t="s">
        <v>69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490</v>
      </c>
      <c r="B432" s="0" t="s">
        <v>69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491</v>
      </c>
      <c r="B433" s="0" t="s">
        <v>69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492</v>
      </c>
      <c r="B434" s="0" t="s">
        <v>69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493</v>
      </c>
      <c r="B435" s="4" t="s">
        <v>447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494</v>
      </c>
    </row>
    <row r="437" customFormat="false" ht="17.15" hidden="false" customHeight="false" outlineLevel="0" collapsed="false">
      <c r="A437" s="4" t="s">
        <v>495</v>
      </c>
      <c r="B437" s="4" t="s">
        <v>233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496</v>
      </c>
    </row>
    <row r="438" customFormat="false" ht="17.15" hidden="false" customHeight="false" outlineLevel="0" collapsed="false">
      <c r="A438" s="0" t="s">
        <v>497</v>
      </c>
      <c r="B438" s="4" t="s">
        <v>233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498</v>
      </c>
    </row>
    <row r="439" customFormat="false" ht="17.15" hidden="false" customHeight="false" outlineLevel="0" collapsed="false">
      <c r="A439" s="4" t="s">
        <v>499</v>
      </c>
      <c r="B439" s="4" t="s">
        <v>500</v>
      </c>
      <c r="C439" s="20" t="n">
        <f aca="false">(C438+D438)/(C435+D435)</f>
        <v>13.1342490397153</v>
      </c>
      <c r="I439" s="4" t="s">
        <v>501</v>
      </c>
    </row>
    <row r="440" customFormat="false" ht="15" hidden="false" customHeight="false" outlineLevel="0" collapsed="false">
      <c r="A440" s="4" t="s">
        <v>401</v>
      </c>
      <c r="B440" s="4" t="s">
        <v>233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502</v>
      </c>
      <c r="B441" s="0" t="s">
        <v>69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503</v>
      </c>
      <c r="B442" s="4" t="s">
        <v>233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504</v>
      </c>
    </row>
    <row r="443" customFormat="false" ht="17.15" hidden="false" customHeight="false" outlineLevel="0" collapsed="false">
      <c r="A443" s="4" t="s">
        <v>470</v>
      </c>
      <c r="B443" s="0" t="s">
        <v>69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505</v>
      </c>
    </row>
    <row r="444" customFormat="false" ht="15" hidden="false" customHeight="false" outlineLevel="0" collapsed="false">
      <c r="A444" s="4" t="s">
        <v>406</v>
      </c>
      <c r="B444" s="4" t="s">
        <v>233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409</v>
      </c>
      <c r="B445" s="4" t="s">
        <v>233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412</v>
      </c>
      <c r="B446" s="0" t="s">
        <v>69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471</v>
      </c>
      <c r="B447" s="4" t="s">
        <v>233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472</v>
      </c>
      <c r="B448" s="0" t="s">
        <v>309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506</v>
      </c>
      <c r="B449" s="4" t="s">
        <v>233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507</v>
      </c>
    </row>
    <row r="450" customFormat="false" ht="15" hidden="false" customHeight="false" outlineLevel="0" collapsed="false">
      <c r="A450" s="4" t="s">
        <v>508</v>
      </c>
      <c r="B450" s="0" t="s">
        <v>340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787</v>
      </c>
    </row>
    <row r="461" customFormat="false" ht="15" hidden="false" customHeight="false" outlineLevel="0" collapsed="false">
      <c r="A461" s="5" t="s">
        <v>21</v>
      </c>
      <c r="B461" s="5" t="s">
        <v>22</v>
      </c>
      <c r="C461" s="13" t="s">
        <v>435</v>
      </c>
      <c r="D461" s="13" t="s">
        <v>436</v>
      </c>
      <c r="E461" s="13" t="s">
        <v>437</v>
      </c>
      <c r="F461" s="13" t="s">
        <v>438</v>
      </c>
      <c r="G461" s="13" t="s">
        <v>439</v>
      </c>
      <c r="H461" s="13" t="s">
        <v>440</v>
      </c>
      <c r="I461" s="5" t="s">
        <v>441</v>
      </c>
    </row>
    <row r="462" customFormat="false" ht="17.15" hidden="false" customHeight="false" outlineLevel="0" collapsed="false">
      <c r="A462" s="6" t="s">
        <v>475</v>
      </c>
    </row>
    <row r="463" customFormat="false" ht="17.15" hidden="false" customHeight="false" outlineLevel="0" collapsed="false">
      <c r="A463" s="0" t="s">
        <v>476</v>
      </c>
      <c r="B463" s="0" t="s">
        <v>32</v>
      </c>
      <c r="C463" s="19" t="n">
        <f aca="false">hsA_25</f>
        <v>2.22511470588235</v>
      </c>
      <c r="D463" s="19" t="n">
        <f aca="false">hsA_26</f>
        <v>3.782695</v>
      </c>
      <c r="E463" s="19" t="n">
        <f aca="false">hsA_27</f>
        <v>5.86317725</v>
      </c>
      <c r="F463" s="19" t="n">
        <f aca="false">hsA_28</f>
        <v>8.5016070125</v>
      </c>
      <c r="G463" s="19" t="n">
        <f aca="false">hsA_29</f>
        <v>11.477169466875</v>
      </c>
      <c r="H463" s="19" t="n">
        <f aca="false">G463*(1+g_tail)</f>
        <v>12.6248864135625</v>
      </c>
      <c r="I463" s="8" t="s">
        <v>477</v>
      </c>
    </row>
    <row r="464" customFormat="false" ht="17.15" hidden="false" customHeight="false" outlineLevel="0" collapsed="false">
      <c r="A464" s="0" t="s">
        <v>478</v>
      </c>
      <c r="B464" s="0" t="s">
        <v>479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480</v>
      </c>
      <c r="B465" s="4" t="s">
        <v>445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481</v>
      </c>
    </row>
    <row r="466" customFormat="false" ht="15" hidden="false" customHeight="false" outlineLevel="0" collapsed="false">
      <c r="A466" s="4" t="s">
        <v>482</v>
      </c>
      <c r="B466" s="4" t="s">
        <v>96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483</v>
      </c>
      <c r="B467" s="0" t="s">
        <v>116</v>
      </c>
      <c r="C467" s="20" t="n">
        <f aca="false">1+beta*(C466-$C466)/4</f>
        <v>1</v>
      </c>
      <c r="D467" s="20" t="n">
        <f aca="false">1+beta*(D466-$C466)/4</f>
        <v>1</v>
      </c>
      <c r="E467" s="20" t="n">
        <f aca="false">1+beta*(E466-$C466)/4</f>
        <v>1.05</v>
      </c>
      <c r="F467" s="20" t="n">
        <f aca="false">1+beta*(F466-$C466)/4</f>
        <v>1.1</v>
      </c>
      <c r="G467" s="20" t="n">
        <f aca="false">1+beta*(G466-$C466)/4</f>
        <v>1.1</v>
      </c>
      <c r="H467" s="20" t="n">
        <f aca="false">1+beta*(H466-$C466)/4</f>
        <v>1.1</v>
      </c>
    </row>
    <row r="468" customFormat="false" ht="17.15" hidden="false" customHeight="false" outlineLevel="0" collapsed="false">
      <c r="A468" s="4" t="s">
        <v>484</v>
      </c>
      <c r="B468" s="0" t="s">
        <v>69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485</v>
      </c>
    </row>
    <row r="469" customFormat="false" ht="17.15" hidden="false" customHeight="false" outlineLevel="0" collapsed="false">
      <c r="A469" s="0" t="s">
        <v>486</v>
      </c>
      <c r="B469" s="4" t="s">
        <v>447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487</v>
      </c>
      <c r="B470" s="4" t="s">
        <v>447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488</v>
      </c>
    </row>
    <row r="471" customFormat="false" ht="17.15" hidden="false" customHeight="false" outlineLevel="0" collapsed="false">
      <c r="A471" s="0" t="s">
        <v>489</v>
      </c>
      <c r="B471" s="0" t="s">
        <v>69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490</v>
      </c>
      <c r="B472" s="0" t="s">
        <v>69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491</v>
      </c>
      <c r="B473" s="0" t="s">
        <v>69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492</v>
      </c>
      <c r="B474" s="0" t="s">
        <v>69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493</v>
      </c>
      <c r="B475" s="4" t="s">
        <v>447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494</v>
      </c>
    </row>
    <row r="477" customFormat="false" ht="17.15" hidden="false" customHeight="false" outlineLevel="0" collapsed="false">
      <c r="A477" s="4" t="s">
        <v>495</v>
      </c>
      <c r="B477" s="4" t="s">
        <v>233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496</v>
      </c>
    </row>
    <row r="478" customFormat="false" ht="17.15" hidden="false" customHeight="false" outlineLevel="0" collapsed="false">
      <c r="A478" s="0" t="s">
        <v>497</v>
      </c>
      <c r="B478" s="4" t="s">
        <v>233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498</v>
      </c>
    </row>
    <row r="479" customFormat="false" ht="17.15" hidden="false" customHeight="false" outlineLevel="0" collapsed="false">
      <c r="A479" s="4" t="s">
        <v>499</v>
      </c>
      <c r="B479" s="4" t="s">
        <v>500</v>
      </c>
      <c r="C479" s="20" t="n">
        <f aca="false">(C478+D478)/(C475+D475)</f>
        <v>14.1107946749111</v>
      </c>
      <c r="I479" s="4" t="s">
        <v>501</v>
      </c>
    </row>
    <row r="480" customFormat="false" ht="15" hidden="false" customHeight="false" outlineLevel="0" collapsed="false">
      <c r="A480" s="4" t="s">
        <v>401</v>
      </c>
      <c r="B480" s="4" t="s">
        <v>233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502</v>
      </c>
      <c r="B481" s="0" t="s">
        <v>69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503</v>
      </c>
      <c r="B482" s="4" t="s">
        <v>233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504</v>
      </c>
    </row>
    <row r="483" customFormat="false" ht="17.15" hidden="false" customHeight="false" outlineLevel="0" collapsed="false">
      <c r="A483" s="4" t="s">
        <v>470</v>
      </c>
      <c r="B483" s="0" t="s">
        <v>69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505</v>
      </c>
    </row>
    <row r="484" customFormat="false" ht="15" hidden="false" customHeight="false" outlineLevel="0" collapsed="false">
      <c r="A484" s="4" t="s">
        <v>406</v>
      </c>
      <c r="B484" s="4" t="s">
        <v>233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409</v>
      </c>
      <c r="B485" s="4" t="s">
        <v>233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412</v>
      </c>
      <c r="B486" s="0" t="s">
        <v>69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471</v>
      </c>
      <c r="B487" s="4" t="s">
        <v>233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472</v>
      </c>
      <c r="B488" s="0" t="s">
        <v>309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506</v>
      </c>
      <c r="B489" s="4" t="s">
        <v>233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507</v>
      </c>
    </row>
    <row r="490" customFormat="false" ht="15" hidden="false" customHeight="false" outlineLevel="0" collapsed="false">
      <c r="A490" s="4" t="s">
        <v>508</v>
      </c>
      <c r="B490" s="0" t="s">
        <v>340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788</v>
      </c>
    </row>
    <row r="501" customFormat="false" ht="15" hidden="false" customHeight="false" outlineLevel="0" collapsed="false">
      <c r="A501" s="5" t="s">
        <v>21</v>
      </c>
      <c r="B501" s="5" t="s">
        <v>22</v>
      </c>
      <c r="C501" s="13" t="s">
        <v>435</v>
      </c>
      <c r="D501" s="13" t="s">
        <v>436</v>
      </c>
      <c r="E501" s="13" t="s">
        <v>437</v>
      </c>
      <c r="F501" s="13" t="s">
        <v>438</v>
      </c>
      <c r="G501" s="13" t="s">
        <v>439</v>
      </c>
      <c r="H501" s="13" t="s">
        <v>440</v>
      </c>
      <c r="I501" s="5" t="s">
        <v>441</v>
      </c>
    </row>
    <row r="502" customFormat="false" ht="17.15" hidden="false" customHeight="false" outlineLevel="0" collapsed="false">
      <c r="A502" s="6" t="s">
        <v>475</v>
      </c>
    </row>
    <row r="503" customFormat="false" ht="17.15" hidden="false" customHeight="false" outlineLevel="0" collapsed="false">
      <c r="A503" s="0" t="s">
        <v>476</v>
      </c>
      <c r="B503" s="0" t="s">
        <v>32</v>
      </c>
      <c r="C503" s="19" t="n">
        <f aca="false">hsA_25</f>
        <v>2.22511470588235</v>
      </c>
      <c r="D503" s="19" t="n">
        <f aca="false">hsA_26</f>
        <v>3.782695</v>
      </c>
      <c r="E503" s="19" t="n">
        <f aca="false">hsA_27</f>
        <v>5.86317725</v>
      </c>
      <c r="F503" s="19" t="n">
        <f aca="false">hsA_28</f>
        <v>8.5016070125</v>
      </c>
      <c r="G503" s="19" t="n">
        <f aca="false">hsA_29</f>
        <v>11.477169466875</v>
      </c>
      <c r="H503" s="19" t="n">
        <f aca="false">G503*(1+g_tail)</f>
        <v>12.6248864135625</v>
      </c>
      <c r="I503" s="8" t="s">
        <v>477</v>
      </c>
    </row>
    <row r="504" customFormat="false" ht="17.15" hidden="false" customHeight="false" outlineLevel="0" collapsed="false">
      <c r="A504" s="0" t="s">
        <v>478</v>
      </c>
      <c r="B504" s="0" t="s">
        <v>479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480</v>
      </c>
      <c r="B505" s="4" t="s">
        <v>445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481</v>
      </c>
    </row>
    <row r="506" customFormat="false" ht="15" hidden="false" customHeight="false" outlineLevel="0" collapsed="false">
      <c r="A506" s="4" t="s">
        <v>482</v>
      </c>
      <c r="B506" s="4" t="s">
        <v>96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483</v>
      </c>
      <c r="B507" s="0" t="s">
        <v>116</v>
      </c>
      <c r="C507" s="20" t="n">
        <f aca="false">1+beta_lo*(C506-$C506)/4</f>
        <v>1</v>
      </c>
      <c r="D507" s="20" t="n">
        <f aca="false">1+beta_lo*(D506-$C506)/4</f>
        <v>1</v>
      </c>
      <c r="E507" s="20" t="n">
        <f aca="false">1+beta_lo*(E506-$C506)/4</f>
        <v>1</v>
      </c>
      <c r="F507" s="20" t="n">
        <f aca="false">1+beta_lo*(F506-$C506)/4</f>
        <v>1</v>
      </c>
      <c r="G507" s="20" t="n">
        <f aca="false">1+beta_lo*(G506-$C506)/4</f>
        <v>1</v>
      </c>
      <c r="H507" s="20" t="n">
        <f aca="false">1+beta_lo*(H506-$C506)/4</f>
        <v>1</v>
      </c>
    </row>
    <row r="508" customFormat="false" ht="17.15" hidden="false" customHeight="false" outlineLevel="0" collapsed="false">
      <c r="A508" s="4" t="s">
        <v>484</v>
      </c>
      <c r="B508" s="0" t="s">
        <v>69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485</v>
      </c>
    </row>
    <row r="509" customFormat="false" ht="17.15" hidden="false" customHeight="false" outlineLevel="0" collapsed="false">
      <c r="A509" s="0" t="s">
        <v>486</v>
      </c>
      <c r="B509" s="4" t="s">
        <v>447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487</v>
      </c>
      <c r="B510" s="4" t="s">
        <v>447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488</v>
      </c>
    </row>
    <row r="511" customFormat="false" ht="17.15" hidden="false" customHeight="false" outlineLevel="0" collapsed="false">
      <c r="A511" s="0" t="s">
        <v>489</v>
      </c>
      <c r="B511" s="0" t="s">
        <v>69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490</v>
      </c>
      <c r="B512" s="0" t="s">
        <v>69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491</v>
      </c>
      <c r="B513" s="0" t="s">
        <v>69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492</v>
      </c>
      <c r="B514" s="0" t="s">
        <v>69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493</v>
      </c>
      <c r="B515" s="4" t="s">
        <v>447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494</v>
      </c>
    </row>
    <row r="517" customFormat="false" ht="17.15" hidden="false" customHeight="false" outlineLevel="0" collapsed="false">
      <c r="A517" s="4" t="s">
        <v>495</v>
      </c>
      <c r="B517" s="4" t="s">
        <v>233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496</v>
      </c>
    </row>
    <row r="518" customFormat="false" ht="17.15" hidden="false" customHeight="false" outlineLevel="0" collapsed="false">
      <c r="A518" s="0" t="s">
        <v>497</v>
      </c>
      <c r="B518" s="4" t="s">
        <v>233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498</v>
      </c>
    </row>
    <row r="519" customFormat="false" ht="17.15" hidden="false" customHeight="false" outlineLevel="0" collapsed="false">
      <c r="A519" s="4" t="s">
        <v>499</v>
      </c>
      <c r="B519" s="4" t="s">
        <v>500</v>
      </c>
      <c r="C519" s="20" t="n">
        <f aca="false">(C518+D518)/(C515+D515)</f>
        <v>15.0262480377925</v>
      </c>
      <c r="I519" s="4" t="s">
        <v>501</v>
      </c>
    </row>
    <row r="520" customFormat="false" ht="15" hidden="false" customHeight="false" outlineLevel="0" collapsed="false">
      <c r="A520" s="4" t="s">
        <v>401</v>
      </c>
      <c r="B520" s="4" t="s">
        <v>233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502</v>
      </c>
      <c r="B521" s="0" t="s">
        <v>69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503</v>
      </c>
      <c r="B522" s="4" t="s">
        <v>233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504</v>
      </c>
    </row>
    <row r="523" customFormat="false" ht="17.15" hidden="false" customHeight="false" outlineLevel="0" collapsed="false">
      <c r="A523" s="4" t="s">
        <v>470</v>
      </c>
      <c r="B523" s="0" t="s">
        <v>69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505</v>
      </c>
    </row>
    <row r="524" customFormat="false" ht="15" hidden="false" customHeight="false" outlineLevel="0" collapsed="false">
      <c r="A524" s="4" t="s">
        <v>406</v>
      </c>
      <c r="B524" s="4" t="s">
        <v>233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409</v>
      </c>
      <c r="B525" s="4" t="s">
        <v>233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412</v>
      </c>
      <c r="B526" s="0" t="s">
        <v>69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471</v>
      </c>
      <c r="B527" s="4" t="s">
        <v>233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472</v>
      </c>
      <c r="B528" s="0" t="s">
        <v>309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506</v>
      </c>
      <c r="B529" s="4" t="s">
        <v>233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507</v>
      </c>
    </row>
    <row r="530" customFormat="false" ht="15" hidden="false" customHeight="false" outlineLevel="0" collapsed="false">
      <c r="A530" s="4" t="s">
        <v>508</v>
      </c>
      <c r="B530" s="0" t="s">
        <v>340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789</v>
      </c>
    </row>
    <row r="541" customFormat="false" ht="15" hidden="false" customHeight="false" outlineLevel="0" collapsed="false">
      <c r="A541" s="5" t="s">
        <v>21</v>
      </c>
      <c r="B541" s="5" t="s">
        <v>22</v>
      </c>
      <c r="C541" s="13" t="s">
        <v>435</v>
      </c>
      <c r="D541" s="13" t="s">
        <v>436</v>
      </c>
      <c r="E541" s="13" t="s">
        <v>437</v>
      </c>
      <c r="F541" s="13" t="s">
        <v>438</v>
      </c>
      <c r="G541" s="13" t="s">
        <v>439</v>
      </c>
      <c r="H541" s="13" t="s">
        <v>440</v>
      </c>
      <c r="I541" s="5" t="s">
        <v>441</v>
      </c>
    </row>
    <row r="542" customFormat="false" ht="17.15" hidden="false" customHeight="false" outlineLevel="0" collapsed="false">
      <c r="A542" s="6" t="s">
        <v>475</v>
      </c>
    </row>
    <row r="543" customFormat="false" ht="17.15" hidden="false" customHeight="false" outlineLevel="0" collapsed="false">
      <c r="A543" s="0" t="s">
        <v>476</v>
      </c>
      <c r="B543" s="0" t="s">
        <v>32</v>
      </c>
      <c r="C543" s="19" t="n">
        <f aca="false">hsA_25</f>
        <v>2.22511470588235</v>
      </c>
      <c r="D543" s="19" t="n">
        <f aca="false">hsA_26</f>
        <v>3.782695</v>
      </c>
      <c r="E543" s="19" t="n">
        <f aca="false">hsA_27</f>
        <v>5.86317725</v>
      </c>
      <c r="F543" s="19" t="n">
        <f aca="false">hsA_28</f>
        <v>8.5016070125</v>
      </c>
      <c r="G543" s="19" t="n">
        <f aca="false">hsA_29</f>
        <v>11.477169466875</v>
      </c>
      <c r="H543" s="19" t="n">
        <f aca="false">G543*(1+g_tail)</f>
        <v>12.6248864135625</v>
      </c>
      <c r="I543" s="8" t="s">
        <v>477</v>
      </c>
    </row>
    <row r="544" customFormat="false" ht="17.15" hidden="false" customHeight="false" outlineLevel="0" collapsed="false">
      <c r="A544" s="0" t="s">
        <v>478</v>
      </c>
      <c r="B544" s="0" t="s">
        <v>479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480</v>
      </c>
      <c r="B545" s="4" t="s">
        <v>445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481</v>
      </c>
    </row>
    <row r="546" customFormat="false" ht="15" hidden="false" customHeight="false" outlineLevel="0" collapsed="false">
      <c r="A546" s="4" t="s">
        <v>482</v>
      </c>
      <c r="B546" s="4" t="s">
        <v>96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483</v>
      </c>
      <c r="B547" s="0" t="s">
        <v>116</v>
      </c>
      <c r="C547" s="20" t="n">
        <f aca="false">1+beta_hi*(C546-$C546)/4</f>
        <v>1</v>
      </c>
      <c r="D547" s="20" t="n">
        <f aca="false">1+beta_hi*(D546-$C546)/4</f>
        <v>1.125</v>
      </c>
      <c r="E547" s="20" t="n">
        <f aca="false">1+beta_hi*(E546-$C546)/4</f>
        <v>1.15625</v>
      </c>
      <c r="F547" s="20" t="n">
        <f aca="false">1+beta_hi*(F546-$C546)/4</f>
        <v>1.25</v>
      </c>
      <c r="G547" s="20" t="n">
        <f aca="false">1+beta_hi*(G546-$C546)/4</f>
        <v>1.3125</v>
      </c>
      <c r="H547" s="20" t="n">
        <f aca="false">1+beta_hi*(H546-$C546)/4</f>
        <v>1.375</v>
      </c>
    </row>
    <row r="548" customFormat="false" ht="17.15" hidden="false" customHeight="false" outlineLevel="0" collapsed="false">
      <c r="A548" s="4" t="s">
        <v>484</v>
      </c>
      <c r="B548" s="0" t="s">
        <v>69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485</v>
      </c>
    </row>
    <row r="549" customFormat="false" ht="17.15" hidden="false" customHeight="false" outlineLevel="0" collapsed="false">
      <c r="A549" s="0" t="s">
        <v>486</v>
      </c>
      <c r="B549" s="4" t="s">
        <v>447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487</v>
      </c>
      <c r="B550" s="4" t="s">
        <v>447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488</v>
      </c>
    </row>
    <row r="551" customFormat="false" ht="17.15" hidden="false" customHeight="false" outlineLevel="0" collapsed="false">
      <c r="A551" s="0" t="s">
        <v>489</v>
      </c>
      <c r="B551" s="0" t="s">
        <v>69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490</v>
      </c>
      <c r="B552" s="0" t="s">
        <v>69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491</v>
      </c>
      <c r="B553" s="0" t="s">
        <v>69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492</v>
      </c>
      <c r="B554" s="0" t="s">
        <v>69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493</v>
      </c>
      <c r="B555" s="4" t="s">
        <v>447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494</v>
      </c>
    </row>
    <row r="557" customFormat="false" ht="17.15" hidden="false" customHeight="false" outlineLevel="0" collapsed="false">
      <c r="A557" s="4" t="s">
        <v>495</v>
      </c>
      <c r="B557" s="4" t="s">
        <v>233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496</v>
      </c>
    </row>
    <row r="558" customFormat="false" ht="17.15" hidden="false" customHeight="false" outlineLevel="0" collapsed="false">
      <c r="A558" s="0" t="s">
        <v>497</v>
      </c>
      <c r="B558" s="4" t="s">
        <v>233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498</v>
      </c>
    </row>
    <row r="559" customFormat="false" ht="17.15" hidden="false" customHeight="false" outlineLevel="0" collapsed="false">
      <c r="A559" s="4" t="s">
        <v>499</v>
      </c>
      <c r="B559" s="4" t="s">
        <v>500</v>
      </c>
      <c r="C559" s="20" t="n">
        <f aca="false">(C558+D558)/(C555+D555)</f>
        <v>12.1327724039369</v>
      </c>
      <c r="I559" s="4" t="s">
        <v>501</v>
      </c>
    </row>
    <row r="560" customFormat="false" ht="15" hidden="false" customHeight="false" outlineLevel="0" collapsed="false">
      <c r="A560" s="4" t="s">
        <v>401</v>
      </c>
      <c r="B560" s="4" t="s">
        <v>233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502</v>
      </c>
      <c r="B561" s="0" t="s">
        <v>69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503</v>
      </c>
      <c r="B562" s="4" t="s">
        <v>233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504</v>
      </c>
    </row>
    <row r="563" customFormat="false" ht="17.15" hidden="false" customHeight="false" outlineLevel="0" collapsed="false">
      <c r="A563" s="4" t="s">
        <v>470</v>
      </c>
      <c r="B563" s="0" t="s">
        <v>69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505</v>
      </c>
    </row>
    <row r="564" customFormat="false" ht="15" hidden="false" customHeight="false" outlineLevel="0" collapsed="false">
      <c r="A564" s="4" t="s">
        <v>406</v>
      </c>
      <c r="B564" s="4" t="s">
        <v>233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409</v>
      </c>
      <c r="B565" s="4" t="s">
        <v>233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412</v>
      </c>
      <c r="B566" s="0" t="s">
        <v>69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471</v>
      </c>
      <c r="B567" s="4" t="s">
        <v>233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472</v>
      </c>
      <c r="B568" s="0" t="s">
        <v>309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506</v>
      </c>
      <c r="B569" s="4" t="s">
        <v>233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507</v>
      </c>
    </row>
    <row r="570" customFormat="false" ht="15" hidden="false" customHeight="false" outlineLevel="0" collapsed="false">
      <c r="A570" s="4" t="s">
        <v>508</v>
      </c>
      <c r="B570" s="0" t="s">
        <v>340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790</v>
      </c>
    </row>
    <row r="581" customFormat="false" ht="15" hidden="false" customHeight="false" outlineLevel="0" collapsed="false">
      <c r="A581" s="5" t="s">
        <v>21</v>
      </c>
      <c r="B581" s="5" t="s">
        <v>22</v>
      </c>
      <c r="C581" s="13" t="s">
        <v>435</v>
      </c>
      <c r="D581" s="13" t="s">
        <v>436</v>
      </c>
      <c r="E581" s="13" t="s">
        <v>437</v>
      </c>
      <c r="F581" s="13" t="s">
        <v>438</v>
      </c>
      <c r="G581" s="13" t="s">
        <v>439</v>
      </c>
      <c r="H581" s="13" t="s">
        <v>440</v>
      </c>
      <c r="I581" s="5" t="s">
        <v>441</v>
      </c>
    </row>
    <row r="582" customFormat="false" ht="17.15" hidden="false" customHeight="false" outlineLevel="0" collapsed="false">
      <c r="A582" s="6" t="s">
        <v>475</v>
      </c>
    </row>
    <row r="583" customFormat="false" ht="17.15" hidden="false" customHeight="false" outlineLevel="0" collapsed="false">
      <c r="A583" s="0" t="s">
        <v>476</v>
      </c>
      <c r="B583" s="0" t="s">
        <v>32</v>
      </c>
      <c r="C583" s="19" t="n">
        <f aca="false">hsA_25</f>
        <v>2.22511470588235</v>
      </c>
      <c r="D583" s="19" t="n">
        <f aca="false">hsA_26</f>
        <v>3.782695</v>
      </c>
      <c r="E583" s="19" t="n">
        <f aca="false">hsA_27</f>
        <v>5.86317725</v>
      </c>
      <c r="F583" s="19" t="n">
        <f aca="false">hsA_28</f>
        <v>8.5016070125</v>
      </c>
      <c r="G583" s="19" t="n">
        <f aca="false">hsA_29</f>
        <v>11.477169466875</v>
      </c>
      <c r="H583" s="19" t="n">
        <f aca="false">G583*(1+g_tail)</f>
        <v>12.6248864135625</v>
      </c>
      <c r="I583" s="8" t="s">
        <v>477</v>
      </c>
    </row>
    <row r="584" customFormat="false" ht="17.15" hidden="false" customHeight="false" outlineLevel="0" collapsed="false">
      <c r="A584" s="0" t="s">
        <v>478</v>
      </c>
      <c r="B584" s="0" t="s">
        <v>479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480</v>
      </c>
      <c r="B585" s="4" t="s">
        <v>445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481</v>
      </c>
    </row>
    <row r="586" customFormat="false" ht="15" hidden="false" customHeight="false" outlineLevel="0" collapsed="false">
      <c r="A586" s="4" t="s">
        <v>482</v>
      </c>
      <c r="B586" s="4" t="s">
        <v>96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483</v>
      </c>
      <c r="B587" s="0" t="s">
        <v>116</v>
      </c>
      <c r="C587" s="20" t="n">
        <f aca="false">1+beta*(C586-$C586)/4</f>
        <v>1</v>
      </c>
      <c r="D587" s="20" t="n">
        <f aca="false">1+beta*(D586-$C586)/4</f>
        <v>1.05</v>
      </c>
      <c r="E587" s="20" t="n">
        <f aca="false">1+beta*(E586-$C586)/4</f>
        <v>1.0625</v>
      </c>
      <c r="F587" s="20" t="n">
        <f aca="false">1+beta*(F586-$C586)/4</f>
        <v>1.1</v>
      </c>
      <c r="G587" s="20" t="n">
        <f aca="false">1+beta*(G586-$C586)/4</f>
        <v>1.125</v>
      </c>
      <c r="H587" s="20" t="n">
        <f aca="false">1+beta*(H586-$C586)/4</f>
        <v>1.15</v>
      </c>
    </row>
    <row r="588" customFormat="false" ht="17.15" hidden="false" customHeight="false" outlineLevel="0" collapsed="false">
      <c r="A588" s="4" t="s">
        <v>484</v>
      </c>
      <c r="B588" s="0" t="s">
        <v>69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485</v>
      </c>
    </row>
    <row r="589" customFormat="false" ht="17.15" hidden="false" customHeight="false" outlineLevel="0" collapsed="false">
      <c r="A589" s="0" t="s">
        <v>486</v>
      </c>
      <c r="B589" s="4" t="s">
        <v>447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487</v>
      </c>
      <c r="B590" s="4" t="s">
        <v>447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488</v>
      </c>
    </row>
    <row r="591" customFormat="false" ht="17.15" hidden="false" customHeight="false" outlineLevel="0" collapsed="false">
      <c r="A591" s="0" t="s">
        <v>489</v>
      </c>
      <c r="B591" s="0" t="s">
        <v>69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490</v>
      </c>
      <c r="B592" s="0" t="s">
        <v>69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491</v>
      </c>
      <c r="B593" s="0" t="s">
        <v>69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492</v>
      </c>
      <c r="B594" s="0" t="s">
        <v>69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493</v>
      </c>
      <c r="B595" s="4" t="s">
        <v>447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494</v>
      </c>
    </row>
    <row r="597" customFormat="false" ht="17.15" hidden="false" customHeight="false" outlineLevel="0" collapsed="false">
      <c r="A597" s="4" t="s">
        <v>495</v>
      </c>
      <c r="B597" s="4" t="s">
        <v>233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496</v>
      </c>
    </row>
    <row r="598" customFormat="false" ht="17.15" hidden="false" customHeight="false" outlineLevel="0" collapsed="false">
      <c r="A598" s="0" t="s">
        <v>497</v>
      </c>
      <c r="B598" s="4" t="s">
        <v>233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498</v>
      </c>
    </row>
    <row r="599" customFormat="false" ht="17.15" hidden="false" customHeight="false" outlineLevel="0" collapsed="false">
      <c r="A599" s="4" t="s">
        <v>499</v>
      </c>
      <c r="B599" s="4" t="s">
        <v>500</v>
      </c>
      <c r="C599" s="20" t="n">
        <f aca="false">(C598+D598)/(C595+D595)</f>
        <v>14.7988386481794</v>
      </c>
      <c r="I599" s="4" t="s">
        <v>501</v>
      </c>
    </row>
    <row r="600" customFormat="false" ht="15" hidden="false" customHeight="false" outlineLevel="0" collapsed="false">
      <c r="A600" s="4" t="s">
        <v>401</v>
      </c>
      <c r="B600" s="4" t="s">
        <v>233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502</v>
      </c>
      <c r="B601" s="0" t="s">
        <v>69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503</v>
      </c>
      <c r="B602" s="4" t="s">
        <v>233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504</v>
      </c>
    </row>
    <row r="603" customFormat="false" ht="17.15" hidden="false" customHeight="false" outlineLevel="0" collapsed="false">
      <c r="A603" s="4" t="s">
        <v>470</v>
      </c>
      <c r="B603" s="0" t="s">
        <v>69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505</v>
      </c>
    </row>
    <row r="604" customFormat="false" ht="15" hidden="false" customHeight="false" outlineLevel="0" collapsed="false">
      <c r="A604" s="4" t="s">
        <v>406</v>
      </c>
      <c r="B604" s="4" t="s">
        <v>233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409</v>
      </c>
      <c r="B605" s="4" t="s">
        <v>233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412</v>
      </c>
      <c r="B606" s="0" t="s">
        <v>69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471</v>
      </c>
      <c r="B607" s="4" t="s">
        <v>233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472</v>
      </c>
      <c r="B608" s="0" t="s">
        <v>309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506</v>
      </c>
      <c r="B609" s="4" t="s">
        <v>233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507</v>
      </c>
    </row>
    <row r="610" customFormat="false" ht="15" hidden="false" customHeight="false" outlineLevel="0" collapsed="false">
      <c r="A610" s="4" t="s">
        <v>508</v>
      </c>
      <c r="B610" s="0" t="s">
        <v>340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791</v>
      </c>
    </row>
    <row r="621" customFormat="false" ht="15" hidden="false" customHeight="false" outlineLevel="0" collapsed="false">
      <c r="A621" s="5" t="s">
        <v>21</v>
      </c>
      <c r="B621" s="5" t="s">
        <v>22</v>
      </c>
      <c r="C621" s="13" t="s">
        <v>435</v>
      </c>
      <c r="D621" s="13" t="s">
        <v>436</v>
      </c>
      <c r="E621" s="13" t="s">
        <v>437</v>
      </c>
      <c r="F621" s="13" t="s">
        <v>438</v>
      </c>
      <c r="G621" s="13" t="s">
        <v>439</v>
      </c>
      <c r="H621" s="13" t="s">
        <v>440</v>
      </c>
      <c r="I621" s="5" t="s">
        <v>441</v>
      </c>
    </row>
    <row r="622" customFormat="false" ht="17.15" hidden="false" customHeight="false" outlineLevel="0" collapsed="false">
      <c r="A622" s="6" t="s">
        <v>475</v>
      </c>
    </row>
    <row r="623" customFormat="false" ht="17.15" hidden="false" customHeight="false" outlineLevel="0" collapsed="false">
      <c r="A623" s="0" t="s">
        <v>476</v>
      </c>
      <c r="B623" s="0" t="s">
        <v>32</v>
      </c>
      <c r="C623" s="19" t="n">
        <f aca="false">hsA_25</f>
        <v>2.22511470588235</v>
      </c>
      <c r="D623" s="19" t="n">
        <f aca="false">hsA_26</f>
        <v>3.782695</v>
      </c>
      <c r="E623" s="19" t="n">
        <f aca="false">hsA_27</f>
        <v>5.86317725</v>
      </c>
      <c r="F623" s="19" t="n">
        <f aca="false">hsA_28</f>
        <v>8.5016070125</v>
      </c>
      <c r="G623" s="19" t="n">
        <f aca="false">hsA_29</f>
        <v>11.477169466875</v>
      </c>
      <c r="H623" s="19" t="n">
        <f aca="false">G623*(1+g_tail)</f>
        <v>12.6248864135625</v>
      </c>
      <c r="I623" s="8" t="s">
        <v>477</v>
      </c>
    </row>
    <row r="624" customFormat="false" ht="17.15" hidden="false" customHeight="false" outlineLevel="0" collapsed="false">
      <c r="A624" s="0" t="s">
        <v>478</v>
      </c>
      <c r="B624" s="0" t="s">
        <v>479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480</v>
      </c>
      <c r="B625" s="4" t="s">
        <v>445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481</v>
      </c>
    </row>
    <row r="626" customFormat="false" ht="15" hidden="false" customHeight="false" outlineLevel="0" collapsed="false">
      <c r="A626" s="4" t="s">
        <v>482</v>
      </c>
      <c r="B626" s="4" t="s">
        <v>96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483</v>
      </c>
      <c r="B627" s="0" t="s">
        <v>116</v>
      </c>
      <c r="C627" s="20" t="n">
        <f aca="false">1+beta*(C626-$C626)/4</f>
        <v>1</v>
      </c>
      <c r="D627" s="20" t="n">
        <f aca="false">1+beta*(D626-$C626)/4</f>
        <v>1.05</v>
      </c>
      <c r="E627" s="20" t="n">
        <f aca="false">1+beta*(E626-$C626)/4</f>
        <v>1.0625</v>
      </c>
      <c r="F627" s="20" t="n">
        <f aca="false">1+beta*(F626-$C626)/4</f>
        <v>1.1</v>
      </c>
      <c r="G627" s="20" t="n">
        <f aca="false">1+beta*(G626-$C626)/4</f>
        <v>1.125</v>
      </c>
      <c r="H627" s="20" t="n">
        <f aca="false">1+beta*(H626-$C626)/4</f>
        <v>1.15</v>
      </c>
    </row>
    <row r="628" customFormat="false" ht="17.15" hidden="false" customHeight="false" outlineLevel="0" collapsed="false">
      <c r="A628" s="4" t="s">
        <v>484</v>
      </c>
      <c r="B628" s="0" t="s">
        <v>69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485</v>
      </c>
    </row>
    <row r="629" customFormat="false" ht="17.15" hidden="false" customHeight="false" outlineLevel="0" collapsed="false">
      <c r="A629" s="0" t="s">
        <v>486</v>
      </c>
      <c r="B629" s="4" t="s">
        <v>447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487</v>
      </c>
      <c r="B630" s="4" t="s">
        <v>447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488</v>
      </c>
    </row>
    <row r="631" customFormat="false" ht="17.15" hidden="false" customHeight="false" outlineLevel="0" collapsed="false">
      <c r="A631" s="0" t="s">
        <v>489</v>
      </c>
      <c r="B631" s="0" t="s">
        <v>69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490</v>
      </c>
      <c r="B632" s="0" t="s">
        <v>69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491</v>
      </c>
      <c r="B633" s="0" t="s">
        <v>69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492</v>
      </c>
      <c r="B634" s="0" t="s">
        <v>69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493</v>
      </c>
      <c r="B635" s="4" t="s">
        <v>447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494</v>
      </c>
    </row>
    <row r="637" customFormat="false" ht="17.15" hidden="false" customHeight="false" outlineLevel="0" collapsed="false">
      <c r="A637" s="4" t="s">
        <v>495</v>
      </c>
      <c r="B637" s="4" t="s">
        <v>233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496</v>
      </c>
    </row>
    <row r="638" customFormat="false" ht="17.15" hidden="false" customHeight="false" outlineLevel="0" collapsed="false">
      <c r="A638" s="0" t="s">
        <v>497</v>
      </c>
      <c r="B638" s="4" t="s">
        <v>233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498</v>
      </c>
    </row>
    <row r="639" customFormat="false" ht="17.15" hidden="false" customHeight="false" outlineLevel="0" collapsed="false">
      <c r="A639" s="4" t="s">
        <v>499</v>
      </c>
      <c r="B639" s="4" t="s">
        <v>500</v>
      </c>
      <c r="C639" s="20" t="n">
        <f aca="false">(C638+D638)/(C635+D635)</f>
        <v>12.7837187792776</v>
      </c>
      <c r="I639" s="4" t="s">
        <v>501</v>
      </c>
    </row>
    <row r="640" customFormat="false" ht="15" hidden="false" customHeight="false" outlineLevel="0" collapsed="false">
      <c r="A640" s="4" t="s">
        <v>401</v>
      </c>
      <c r="B640" s="4" t="s">
        <v>233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502</v>
      </c>
      <c r="B641" s="0" t="s">
        <v>69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503</v>
      </c>
      <c r="B642" s="4" t="s">
        <v>233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504</v>
      </c>
    </row>
    <row r="643" customFormat="false" ht="17.15" hidden="false" customHeight="false" outlineLevel="0" collapsed="false">
      <c r="A643" s="4" t="s">
        <v>470</v>
      </c>
      <c r="B643" s="0" t="s">
        <v>69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505</v>
      </c>
    </row>
    <row r="644" customFormat="false" ht="15" hidden="false" customHeight="false" outlineLevel="0" collapsed="false">
      <c r="A644" s="4" t="s">
        <v>406</v>
      </c>
      <c r="B644" s="4" t="s">
        <v>233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409</v>
      </c>
      <c r="B645" s="4" t="s">
        <v>233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412</v>
      </c>
      <c r="B646" s="0" t="s">
        <v>69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471</v>
      </c>
      <c r="B647" s="4" t="s">
        <v>233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472</v>
      </c>
      <c r="B648" s="0" t="s">
        <v>309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506</v>
      </c>
      <c r="B649" s="4" t="s">
        <v>233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507</v>
      </c>
    </row>
    <row r="650" customFormat="false" ht="15" hidden="false" customHeight="false" outlineLevel="0" collapsed="false">
      <c r="A650" s="4" t="s">
        <v>508</v>
      </c>
      <c r="B650" s="0" t="s">
        <v>340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792</v>
      </c>
    </row>
    <row r="661" customFormat="false" ht="15" hidden="false" customHeight="false" outlineLevel="0" collapsed="false">
      <c r="A661" s="5" t="s">
        <v>21</v>
      </c>
      <c r="B661" s="5" t="s">
        <v>22</v>
      </c>
      <c r="C661" s="13" t="s">
        <v>435</v>
      </c>
      <c r="D661" s="13" t="s">
        <v>436</v>
      </c>
      <c r="E661" s="13" t="s">
        <v>437</v>
      </c>
      <c r="F661" s="13" t="s">
        <v>438</v>
      </c>
      <c r="G661" s="13" t="s">
        <v>439</v>
      </c>
      <c r="H661" s="13" t="s">
        <v>440</v>
      </c>
      <c r="I661" s="5" t="s">
        <v>441</v>
      </c>
    </row>
    <row r="662" customFormat="false" ht="17.15" hidden="false" customHeight="false" outlineLevel="0" collapsed="false">
      <c r="A662" s="6" t="s">
        <v>475</v>
      </c>
    </row>
    <row r="663" customFormat="false" ht="17.15" hidden="false" customHeight="false" outlineLevel="0" collapsed="false">
      <c r="A663" s="0" t="s">
        <v>476</v>
      </c>
      <c r="B663" s="0" t="s">
        <v>32</v>
      </c>
      <c r="C663" s="19" t="n">
        <f aca="false">hsA_25</f>
        <v>2.22511470588235</v>
      </c>
      <c r="D663" s="19" t="n">
        <f aca="false">hsA_26</f>
        <v>3.782695</v>
      </c>
      <c r="E663" s="19" t="n">
        <f aca="false">hsA_27</f>
        <v>5.86317725</v>
      </c>
      <c r="F663" s="19" t="n">
        <f aca="false">hsA_28</f>
        <v>8.5016070125</v>
      </c>
      <c r="G663" s="19" t="n">
        <f aca="false">hsA_29</f>
        <v>11.477169466875</v>
      </c>
      <c r="H663" s="19" t="n">
        <f aca="false">G663*(1+g_tail)</f>
        <v>12.6248864135625</v>
      </c>
      <c r="I663" s="8" t="s">
        <v>477</v>
      </c>
    </row>
    <row r="664" customFormat="false" ht="17.15" hidden="false" customHeight="false" outlineLevel="0" collapsed="false">
      <c r="A664" s="0" t="s">
        <v>478</v>
      </c>
      <c r="B664" s="0" t="s">
        <v>479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480</v>
      </c>
      <c r="B665" s="4" t="s">
        <v>445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481</v>
      </c>
    </row>
    <row r="666" customFormat="false" ht="15" hidden="false" customHeight="false" outlineLevel="0" collapsed="false">
      <c r="A666" s="4" t="s">
        <v>482</v>
      </c>
      <c r="B666" s="4" t="s">
        <v>96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483</v>
      </c>
      <c r="B667" s="0" t="s">
        <v>116</v>
      </c>
      <c r="C667" s="20" t="n">
        <f aca="false">1+beta*(C666-$C666)/4</f>
        <v>1</v>
      </c>
      <c r="D667" s="20" t="n">
        <f aca="false">1+beta*(D666-$C666)/4</f>
        <v>1.05</v>
      </c>
      <c r="E667" s="20" t="n">
        <f aca="false">1+beta*(E666-$C666)/4</f>
        <v>1.0625</v>
      </c>
      <c r="F667" s="20" t="n">
        <f aca="false">1+beta*(F666-$C666)/4</f>
        <v>1.1</v>
      </c>
      <c r="G667" s="20" t="n">
        <f aca="false">1+beta*(G666-$C666)/4</f>
        <v>1.125</v>
      </c>
      <c r="H667" s="20" t="n">
        <f aca="false">1+beta*(H666-$C666)/4</f>
        <v>1.15</v>
      </c>
    </row>
    <row r="668" customFormat="false" ht="17.15" hidden="false" customHeight="false" outlineLevel="0" collapsed="false">
      <c r="A668" s="4" t="s">
        <v>484</v>
      </c>
      <c r="B668" s="0" t="s">
        <v>69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485</v>
      </c>
    </row>
    <row r="669" customFormat="false" ht="17.15" hidden="false" customHeight="false" outlineLevel="0" collapsed="false">
      <c r="A669" s="0" t="s">
        <v>486</v>
      </c>
      <c r="B669" s="4" t="s">
        <v>447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487</v>
      </c>
      <c r="B670" s="4" t="s">
        <v>447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488</v>
      </c>
    </row>
    <row r="671" customFormat="false" ht="17.15" hidden="false" customHeight="false" outlineLevel="0" collapsed="false">
      <c r="A671" s="0" t="s">
        <v>489</v>
      </c>
      <c r="B671" s="0" t="s">
        <v>69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490</v>
      </c>
      <c r="B672" s="0" t="s">
        <v>69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491</v>
      </c>
      <c r="B673" s="0" t="s">
        <v>69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492</v>
      </c>
      <c r="B674" s="0" t="s">
        <v>69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493</v>
      </c>
      <c r="B675" s="4" t="s">
        <v>447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494</v>
      </c>
    </row>
    <row r="677" customFormat="false" ht="17.15" hidden="false" customHeight="false" outlineLevel="0" collapsed="false">
      <c r="A677" s="4" t="s">
        <v>495</v>
      </c>
      <c r="B677" s="4" t="s">
        <v>233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496</v>
      </c>
    </row>
    <row r="678" customFormat="false" ht="17.15" hidden="false" customHeight="false" outlineLevel="0" collapsed="false">
      <c r="A678" s="0" t="s">
        <v>497</v>
      </c>
      <c r="B678" s="4" t="s">
        <v>233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498</v>
      </c>
    </row>
    <row r="679" customFormat="false" ht="17.15" hidden="false" customHeight="false" outlineLevel="0" collapsed="false">
      <c r="A679" s="4" t="s">
        <v>499</v>
      </c>
      <c r="B679" s="4" t="s">
        <v>500</v>
      </c>
      <c r="C679" s="20" t="n">
        <f aca="false">(C678+D678)/(C675+D675)</f>
        <v>11.7723002939942</v>
      </c>
      <c r="I679" s="4" t="s">
        <v>501</v>
      </c>
    </row>
    <row r="680" customFormat="false" ht="15" hidden="false" customHeight="false" outlineLevel="0" collapsed="false">
      <c r="A680" s="4" t="s">
        <v>401</v>
      </c>
      <c r="B680" s="4" t="s">
        <v>233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502</v>
      </c>
      <c r="B681" s="0" t="s">
        <v>69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503</v>
      </c>
      <c r="B682" s="4" t="s">
        <v>233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504</v>
      </c>
    </row>
    <row r="683" customFormat="false" ht="17.15" hidden="false" customHeight="false" outlineLevel="0" collapsed="false">
      <c r="A683" s="4" t="s">
        <v>470</v>
      </c>
      <c r="B683" s="0" t="s">
        <v>69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505</v>
      </c>
    </row>
    <row r="684" customFormat="false" ht="15" hidden="false" customHeight="false" outlineLevel="0" collapsed="false">
      <c r="A684" s="4" t="s">
        <v>406</v>
      </c>
      <c r="B684" s="4" t="s">
        <v>233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409</v>
      </c>
      <c r="B685" s="4" t="s">
        <v>233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412</v>
      </c>
      <c r="B686" s="0" t="s">
        <v>69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471</v>
      </c>
      <c r="B687" s="4" t="s">
        <v>233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472</v>
      </c>
      <c r="B688" s="0" t="s">
        <v>309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506</v>
      </c>
      <c r="B689" s="4" t="s">
        <v>233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507</v>
      </c>
    </row>
    <row r="690" customFormat="false" ht="15" hidden="false" customHeight="false" outlineLevel="0" collapsed="false">
      <c r="A690" s="4" t="s">
        <v>508</v>
      </c>
      <c r="B690" s="0" t="s">
        <v>340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793</v>
      </c>
    </row>
    <row r="701" customFormat="false" ht="15" hidden="false" customHeight="false" outlineLevel="0" collapsed="false">
      <c r="A701" s="5" t="s">
        <v>21</v>
      </c>
      <c r="B701" s="5" t="s">
        <v>22</v>
      </c>
      <c r="C701" s="13" t="s">
        <v>435</v>
      </c>
      <c r="D701" s="13" t="s">
        <v>436</v>
      </c>
      <c r="E701" s="13" t="s">
        <v>437</v>
      </c>
      <c r="F701" s="13" t="s">
        <v>438</v>
      </c>
      <c r="G701" s="13" t="s">
        <v>439</v>
      </c>
      <c r="H701" s="13" t="s">
        <v>440</v>
      </c>
      <c r="I701" s="5" t="s">
        <v>441</v>
      </c>
    </row>
    <row r="702" customFormat="false" ht="17.15" hidden="false" customHeight="false" outlineLevel="0" collapsed="false">
      <c r="A702" s="6" t="s">
        <v>475</v>
      </c>
    </row>
    <row r="703" customFormat="false" ht="17.15" hidden="false" customHeight="false" outlineLevel="0" collapsed="false">
      <c r="A703" s="0" t="s">
        <v>476</v>
      </c>
      <c r="B703" s="0" t="s">
        <v>32</v>
      </c>
      <c r="C703" s="19" t="n">
        <f aca="false">hsA_25</f>
        <v>2.22511470588235</v>
      </c>
      <c r="D703" s="19" t="n">
        <f aca="false">hsA_26</f>
        <v>3.782695</v>
      </c>
      <c r="E703" s="19" t="n">
        <f aca="false">hsA_27</f>
        <v>5.86317725</v>
      </c>
      <c r="F703" s="19" t="n">
        <f aca="false">hsA_28</f>
        <v>8.5016070125</v>
      </c>
      <c r="G703" s="19" t="n">
        <f aca="false">hsA_29</f>
        <v>11.477169466875</v>
      </c>
      <c r="H703" s="19" t="n">
        <f aca="false">G703*(1+g_tail)</f>
        <v>12.6248864135625</v>
      </c>
      <c r="I703" s="8" t="s">
        <v>477</v>
      </c>
    </row>
    <row r="704" customFormat="false" ht="17.15" hidden="false" customHeight="false" outlineLevel="0" collapsed="false">
      <c r="A704" s="0" t="s">
        <v>478</v>
      </c>
      <c r="B704" s="0" t="s">
        <v>479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480</v>
      </c>
      <c r="B705" s="4" t="s">
        <v>445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481</v>
      </c>
    </row>
    <row r="706" customFormat="false" ht="15" hidden="false" customHeight="false" outlineLevel="0" collapsed="false">
      <c r="A706" s="4" t="s">
        <v>482</v>
      </c>
      <c r="B706" s="4" t="s">
        <v>96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483</v>
      </c>
      <c r="B707" s="0" t="s">
        <v>116</v>
      </c>
      <c r="C707" s="20" t="n">
        <f aca="false">1+beta*(C706-$C706)/4</f>
        <v>1</v>
      </c>
      <c r="D707" s="20" t="n">
        <f aca="false">1+beta*(D706-$C706)/4</f>
        <v>1.05</v>
      </c>
      <c r="E707" s="20" t="n">
        <f aca="false">1+beta*(E706-$C706)/4</f>
        <v>1.0625</v>
      </c>
      <c r="F707" s="20" t="n">
        <f aca="false">1+beta*(F706-$C706)/4</f>
        <v>1.1</v>
      </c>
      <c r="G707" s="20" t="n">
        <f aca="false">1+beta*(G706-$C706)/4</f>
        <v>1.125</v>
      </c>
      <c r="H707" s="20" t="n">
        <f aca="false">1+beta*(H706-$C706)/4</f>
        <v>1.15</v>
      </c>
    </row>
    <row r="708" customFormat="false" ht="17.15" hidden="false" customHeight="false" outlineLevel="0" collapsed="false">
      <c r="A708" s="4" t="s">
        <v>484</v>
      </c>
      <c r="B708" s="0" t="s">
        <v>69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485</v>
      </c>
    </row>
    <row r="709" customFormat="false" ht="17.15" hidden="false" customHeight="false" outlineLevel="0" collapsed="false">
      <c r="A709" s="0" t="s">
        <v>486</v>
      </c>
      <c r="B709" s="4" t="s">
        <v>447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487</v>
      </c>
      <c r="B710" s="4" t="s">
        <v>447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488</v>
      </c>
    </row>
    <row r="711" customFormat="false" ht="17.15" hidden="false" customHeight="false" outlineLevel="0" collapsed="false">
      <c r="A711" s="0" t="s">
        <v>489</v>
      </c>
      <c r="B711" s="0" t="s">
        <v>69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490</v>
      </c>
      <c r="B712" s="0" t="s">
        <v>69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491</v>
      </c>
      <c r="B713" s="0" t="s">
        <v>69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492</v>
      </c>
      <c r="B714" s="0" t="s">
        <v>69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493</v>
      </c>
      <c r="B715" s="4" t="s">
        <v>447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494</v>
      </c>
    </row>
    <row r="717" customFormat="false" ht="17.15" hidden="false" customHeight="false" outlineLevel="0" collapsed="false">
      <c r="A717" s="4" t="s">
        <v>495</v>
      </c>
      <c r="B717" s="4" t="s">
        <v>233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496</v>
      </c>
    </row>
    <row r="718" customFormat="false" ht="17.15" hidden="false" customHeight="false" outlineLevel="0" collapsed="false">
      <c r="A718" s="0" t="s">
        <v>497</v>
      </c>
      <c r="B718" s="4" t="s">
        <v>233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498</v>
      </c>
    </row>
    <row r="719" customFormat="false" ht="17.15" hidden="false" customHeight="false" outlineLevel="0" collapsed="false">
      <c r="A719" s="4" t="s">
        <v>499</v>
      </c>
      <c r="B719" s="4" t="s">
        <v>500</v>
      </c>
      <c r="C719" s="20" t="n">
        <f aca="false">(C718+D718)/(C715+D715)</f>
        <v>15.6630369891117</v>
      </c>
      <c r="I719" s="4" t="s">
        <v>501</v>
      </c>
    </row>
    <row r="720" customFormat="false" ht="15" hidden="false" customHeight="false" outlineLevel="0" collapsed="false">
      <c r="A720" s="4" t="s">
        <v>401</v>
      </c>
      <c r="B720" s="4" t="s">
        <v>233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502</v>
      </c>
      <c r="B721" s="0" t="s">
        <v>69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503</v>
      </c>
      <c r="B722" s="4" t="s">
        <v>233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504</v>
      </c>
    </row>
    <row r="723" customFormat="false" ht="17.15" hidden="false" customHeight="false" outlineLevel="0" collapsed="false">
      <c r="A723" s="4" t="s">
        <v>470</v>
      </c>
      <c r="B723" s="0" t="s">
        <v>69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505</v>
      </c>
    </row>
    <row r="724" customFormat="false" ht="15" hidden="false" customHeight="false" outlineLevel="0" collapsed="false">
      <c r="A724" s="4" t="s">
        <v>406</v>
      </c>
      <c r="B724" s="4" t="s">
        <v>233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409</v>
      </c>
      <c r="B725" s="4" t="s">
        <v>233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412</v>
      </c>
      <c r="B726" s="0" t="s">
        <v>69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471</v>
      </c>
      <c r="B727" s="4" t="s">
        <v>233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472</v>
      </c>
      <c r="B728" s="0" t="s">
        <v>309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506</v>
      </c>
      <c r="B729" s="4" t="s">
        <v>233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507</v>
      </c>
    </row>
    <row r="730" customFormat="false" ht="15" hidden="false" customHeight="false" outlineLevel="0" collapsed="false">
      <c r="A730" s="4" t="s">
        <v>508</v>
      </c>
      <c r="B730" s="0" t="s">
        <v>340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794</v>
      </c>
    </row>
    <row r="741" customFormat="false" ht="15" hidden="false" customHeight="false" outlineLevel="0" collapsed="false">
      <c r="A741" s="5" t="s">
        <v>21</v>
      </c>
      <c r="B741" s="5" t="s">
        <v>22</v>
      </c>
      <c r="C741" s="13" t="s">
        <v>435</v>
      </c>
      <c r="D741" s="13" t="s">
        <v>436</v>
      </c>
      <c r="E741" s="13" t="s">
        <v>437</v>
      </c>
      <c r="F741" s="13" t="s">
        <v>438</v>
      </c>
      <c r="G741" s="13" t="s">
        <v>439</v>
      </c>
      <c r="H741" s="13" t="s">
        <v>440</v>
      </c>
      <c r="I741" s="5" t="s">
        <v>441</v>
      </c>
    </row>
    <row r="742" customFormat="false" ht="17.15" hidden="false" customHeight="false" outlineLevel="0" collapsed="false">
      <c r="A742" s="6" t="s">
        <v>475</v>
      </c>
    </row>
    <row r="743" customFormat="false" ht="17.15" hidden="false" customHeight="false" outlineLevel="0" collapsed="false">
      <c r="A743" s="0" t="s">
        <v>476</v>
      </c>
      <c r="B743" s="0" t="s">
        <v>32</v>
      </c>
      <c r="C743" s="19" t="n">
        <f aca="false">hsA_25</f>
        <v>2.22511470588235</v>
      </c>
      <c r="D743" s="19" t="n">
        <f aca="false">hsA_26</f>
        <v>3.782695</v>
      </c>
      <c r="E743" s="19" t="n">
        <f aca="false">hsA_27</f>
        <v>5.86317725</v>
      </c>
      <c r="F743" s="19" t="n">
        <f aca="false">hsA_28</f>
        <v>8.5016070125</v>
      </c>
      <c r="G743" s="19" t="n">
        <f aca="false">hsA_29</f>
        <v>11.477169466875</v>
      </c>
      <c r="H743" s="19" t="n">
        <f aca="false">G743*(1+g_tail)</f>
        <v>12.6248864135625</v>
      </c>
      <c r="I743" s="8" t="s">
        <v>477</v>
      </c>
    </row>
    <row r="744" customFormat="false" ht="17.15" hidden="false" customHeight="false" outlineLevel="0" collapsed="false">
      <c r="A744" s="0" t="s">
        <v>478</v>
      </c>
      <c r="B744" s="0" t="s">
        <v>479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480</v>
      </c>
      <c r="B745" s="4" t="s">
        <v>445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481</v>
      </c>
    </row>
    <row r="746" customFormat="false" ht="15" hidden="false" customHeight="false" outlineLevel="0" collapsed="false">
      <c r="A746" s="4" t="s">
        <v>482</v>
      </c>
      <c r="B746" s="4" t="s">
        <v>96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483</v>
      </c>
      <c r="B747" s="0" t="s">
        <v>116</v>
      </c>
      <c r="C747" s="20" t="n">
        <f aca="false">1+beta*(C746-$C746)/4</f>
        <v>1</v>
      </c>
      <c r="D747" s="20" t="n">
        <f aca="false">1+beta*(D746-$C746)/4</f>
        <v>1.05</v>
      </c>
      <c r="E747" s="20" t="n">
        <f aca="false">1+beta*(E746-$C746)/4</f>
        <v>1.0625</v>
      </c>
      <c r="F747" s="20" t="n">
        <f aca="false">1+beta*(F746-$C746)/4</f>
        <v>1.1</v>
      </c>
      <c r="G747" s="20" t="n">
        <f aca="false">1+beta*(G746-$C746)/4</f>
        <v>1.125</v>
      </c>
      <c r="H747" s="20" t="n">
        <f aca="false">1+beta*(H746-$C746)/4</f>
        <v>1.15</v>
      </c>
    </row>
    <row r="748" customFormat="false" ht="17.15" hidden="false" customHeight="false" outlineLevel="0" collapsed="false">
      <c r="A748" s="4" t="s">
        <v>484</v>
      </c>
      <c r="B748" s="0" t="s">
        <v>69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485</v>
      </c>
    </row>
    <row r="749" customFormat="false" ht="17.15" hidden="false" customHeight="false" outlineLevel="0" collapsed="false">
      <c r="A749" s="0" t="s">
        <v>486</v>
      </c>
      <c r="B749" s="4" t="s">
        <v>447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487</v>
      </c>
      <c r="B750" s="4" t="s">
        <v>447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488</v>
      </c>
    </row>
    <row r="751" customFormat="false" ht="17.15" hidden="false" customHeight="false" outlineLevel="0" collapsed="false">
      <c r="A751" s="0" t="s">
        <v>489</v>
      </c>
      <c r="B751" s="0" t="s">
        <v>69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490</v>
      </c>
      <c r="B752" s="0" t="s">
        <v>69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491</v>
      </c>
      <c r="B753" s="0" t="s">
        <v>69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492</v>
      </c>
      <c r="B754" s="0" t="s">
        <v>69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493</v>
      </c>
      <c r="B755" s="4" t="s">
        <v>447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494</v>
      </c>
    </row>
    <row r="757" customFormat="false" ht="17.15" hidden="false" customHeight="false" outlineLevel="0" collapsed="false">
      <c r="A757" s="4" t="s">
        <v>495</v>
      </c>
      <c r="B757" s="4" t="s">
        <v>233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496</v>
      </c>
    </row>
    <row r="758" customFormat="false" ht="17.15" hidden="false" customHeight="false" outlineLevel="0" collapsed="false">
      <c r="A758" s="0" t="s">
        <v>497</v>
      </c>
      <c r="B758" s="4" t="s">
        <v>233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498</v>
      </c>
    </row>
    <row r="759" customFormat="false" ht="17.15" hidden="false" customHeight="false" outlineLevel="0" collapsed="false">
      <c r="A759" s="4" t="s">
        <v>499</v>
      </c>
      <c r="B759" s="4" t="s">
        <v>500</v>
      </c>
      <c r="C759" s="20" t="n">
        <f aca="false">(C758+D758)/(C755+D755)</f>
        <v>13.7176686415529</v>
      </c>
      <c r="I759" s="4" t="s">
        <v>501</v>
      </c>
    </row>
    <row r="760" customFormat="false" ht="15" hidden="false" customHeight="false" outlineLevel="0" collapsed="false">
      <c r="A760" s="4" t="s">
        <v>401</v>
      </c>
      <c r="B760" s="4" t="s">
        <v>233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502</v>
      </c>
      <c r="B761" s="0" t="s">
        <v>69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503</v>
      </c>
      <c r="B762" s="4" t="s">
        <v>233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504</v>
      </c>
    </row>
    <row r="763" customFormat="false" ht="17.15" hidden="false" customHeight="false" outlineLevel="0" collapsed="false">
      <c r="A763" s="4" t="s">
        <v>470</v>
      </c>
      <c r="B763" s="0" t="s">
        <v>69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505</v>
      </c>
    </row>
    <row r="764" customFormat="false" ht="15" hidden="false" customHeight="false" outlineLevel="0" collapsed="false">
      <c r="A764" s="4" t="s">
        <v>406</v>
      </c>
      <c r="B764" s="4" t="s">
        <v>233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409</v>
      </c>
      <c r="B765" s="4" t="s">
        <v>233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412</v>
      </c>
      <c r="B766" s="0" t="s">
        <v>69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471</v>
      </c>
      <c r="B767" s="4" t="s">
        <v>233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472</v>
      </c>
      <c r="B768" s="0" t="s">
        <v>309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506</v>
      </c>
      <c r="B769" s="4" t="s">
        <v>233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507</v>
      </c>
    </row>
    <row r="770" customFormat="false" ht="15" hidden="false" customHeight="false" outlineLevel="0" collapsed="false">
      <c r="A770" s="4" t="s">
        <v>508</v>
      </c>
      <c r="B770" s="0" t="s">
        <v>340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795</v>
      </c>
    </row>
    <row r="781" customFormat="false" ht="15" hidden="false" customHeight="false" outlineLevel="0" collapsed="false">
      <c r="A781" s="5" t="s">
        <v>21</v>
      </c>
      <c r="B781" s="5" t="s">
        <v>22</v>
      </c>
      <c r="C781" s="13" t="s">
        <v>435</v>
      </c>
      <c r="D781" s="13" t="s">
        <v>436</v>
      </c>
      <c r="E781" s="13" t="s">
        <v>437</v>
      </c>
      <c r="F781" s="13" t="s">
        <v>438</v>
      </c>
      <c r="G781" s="13" t="s">
        <v>439</v>
      </c>
      <c r="H781" s="13" t="s">
        <v>440</v>
      </c>
      <c r="I781" s="5" t="s">
        <v>441</v>
      </c>
    </row>
    <row r="782" customFormat="false" ht="17.15" hidden="false" customHeight="false" outlineLevel="0" collapsed="false">
      <c r="A782" s="6" t="s">
        <v>475</v>
      </c>
    </row>
    <row r="783" customFormat="false" ht="17.15" hidden="false" customHeight="false" outlineLevel="0" collapsed="false">
      <c r="A783" s="0" t="s">
        <v>476</v>
      </c>
      <c r="B783" s="0" t="s">
        <v>32</v>
      </c>
      <c r="C783" s="19" t="n">
        <f aca="false">hsA_25</f>
        <v>2.22511470588235</v>
      </c>
      <c r="D783" s="19" t="n">
        <f aca="false">hsA_26</f>
        <v>3.782695</v>
      </c>
      <c r="E783" s="19" t="n">
        <f aca="false">hsA_27</f>
        <v>5.86317725</v>
      </c>
      <c r="F783" s="19" t="n">
        <f aca="false">hsA_28</f>
        <v>8.5016070125</v>
      </c>
      <c r="G783" s="19" t="n">
        <f aca="false">hsA_29</f>
        <v>11.477169466875</v>
      </c>
      <c r="H783" s="19" t="n">
        <f aca="false">G783*(1+g_tail)</f>
        <v>12.6248864135625</v>
      </c>
      <c r="I783" s="8" t="s">
        <v>477</v>
      </c>
    </row>
    <row r="784" customFormat="false" ht="17.15" hidden="false" customHeight="false" outlineLevel="0" collapsed="false">
      <c r="A784" s="0" t="s">
        <v>478</v>
      </c>
      <c r="B784" s="0" t="s">
        <v>479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480</v>
      </c>
      <c r="B785" s="4" t="s">
        <v>445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481</v>
      </c>
    </row>
    <row r="786" customFormat="false" ht="15" hidden="false" customHeight="false" outlineLevel="0" collapsed="false">
      <c r="A786" s="4" t="s">
        <v>482</v>
      </c>
      <c r="B786" s="4" t="s">
        <v>96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483</v>
      </c>
      <c r="B787" s="0" t="s">
        <v>116</v>
      </c>
      <c r="C787" s="20" t="n">
        <f aca="false">1+beta*(C786-$C786)/4</f>
        <v>1</v>
      </c>
      <c r="D787" s="20" t="n">
        <f aca="false">1+beta*(D786-$C786)/4</f>
        <v>1.05</v>
      </c>
      <c r="E787" s="20" t="n">
        <f aca="false">1+beta*(E786-$C786)/4</f>
        <v>1.0625</v>
      </c>
      <c r="F787" s="20" t="n">
        <f aca="false">1+beta*(F786-$C786)/4</f>
        <v>1.1</v>
      </c>
      <c r="G787" s="20" t="n">
        <f aca="false">1+beta*(G786-$C786)/4</f>
        <v>1.125</v>
      </c>
      <c r="H787" s="20" t="n">
        <f aca="false">1+beta*(H786-$C786)/4</f>
        <v>1.15</v>
      </c>
    </row>
    <row r="788" customFormat="false" ht="17.15" hidden="false" customHeight="false" outlineLevel="0" collapsed="false">
      <c r="A788" s="4" t="s">
        <v>484</v>
      </c>
      <c r="B788" s="0" t="s">
        <v>69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485</v>
      </c>
    </row>
    <row r="789" customFormat="false" ht="17.15" hidden="false" customHeight="false" outlineLevel="0" collapsed="false">
      <c r="A789" s="0" t="s">
        <v>486</v>
      </c>
      <c r="B789" s="4" t="s">
        <v>447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487</v>
      </c>
      <c r="B790" s="4" t="s">
        <v>447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488</v>
      </c>
    </row>
    <row r="791" customFormat="false" ht="17.15" hidden="false" customHeight="false" outlineLevel="0" collapsed="false">
      <c r="A791" s="0" t="s">
        <v>489</v>
      </c>
      <c r="B791" s="0" t="s">
        <v>69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490</v>
      </c>
      <c r="B792" s="0" t="s">
        <v>69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491</v>
      </c>
      <c r="B793" s="0" t="s">
        <v>69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492</v>
      </c>
      <c r="B794" s="0" t="s">
        <v>69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493</v>
      </c>
      <c r="B795" s="4" t="s">
        <v>447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494</v>
      </c>
    </row>
    <row r="797" customFormat="false" ht="17.15" hidden="false" customHeight="false" outlineLevel="0" collapsed="false">
      <c r="A797" s="4" t="s">
        <v>495</v>
      </c>
      <c r="B797" s="4" t="s">
        <v>233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496</v>
      </c>
    </row>
    <row r="798" customFormat="false" ht="17.15" hidden="false" customHeight="false" outlineLevel="0" collapsed="false">
      <c r="A798" s="0" t="s">
        <v>497</v>
      </c>
      <c r="B798" s="4" t="s">
        <v>233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498</v>
      </c>
    </row>
    <row r="799" customFormat="false" ht="17.15" hidden="false" customHeight="false" outlineLevel="0" collapsed="false">
      <c r="A799" s="4" t="s">
        <v>499</v>
      </c>
      <c r="B799" s="4" t="s">
        <v>500</v>
      </c>
      <c r="C799" s="20" t="n">
        <f aca="false">(C798+D798)/(C795+D795)</f>
        <v>13.7176686415529</v>
      </c>
      <c r="I799" s="4" t="s">
        <v>501</v>
      </c>
    </row>
    <row r="800" customFormat="false" ht="15" hidden="false" customHeight="false" outlineLevel="0" collapsed="false">
      <c r="A800" s="4" t="s">
        <v>401</v>
      </c>
      <c r="B800" s="4" t="s">
        <v>233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502</v>
      </c>
      <c r="B801" s="0" t="s">
        <v>69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503</v>
      </c>
      <c r="B802" s="4" t="s">
        <v>233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504</v>
      </c>
    </row>
    <row r="803" customFormat="false" ht="17.15" hidden="false" customHeight="false" outlineLevel="0" collapsed="false">
      <c r="A803" s="4" t="s">
        <v>470</v>
      </c>
      <c r="B803" s="0" t="s">
        <v>69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505</v>
      </c>
    </row>
    <row r="804" customFormat="false" ht="15" hidden="false" customHeight="false" outlineLevel="0" collapsed="false">
      <c r="A804" s="4" t="s">
        <v>406</v>
      </c>
      <c r="B804" s="4" t="s">
        <v>233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409</v>
      </c>
      <c r="B805" s="4" t="s">
        <v>233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412</v>
      </c>
      <c r="B806" s="0" t="s">
        <v>69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471</v>
      </c>
      <c r="B807" s="4" t="s">
        <v>233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472</v>
      </c>
      <c r="B808" s="0" t="s">
        <v>309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506</v>
      </c>
      <c r="B809" s="4" t="s">
        <v>233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507</v>
      </c>
    </row>
    <row r="810" customFormat="false" ht="15" hidden="false" customHeight="false" outlineLevel="0" collapsed="false">
      <c r="A810" s="4" t="s">
        <v>508</v>
      </c>
      <c r="B810" s="0" t="s">
        <v>340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796</v>
      </c>
    </row>
    <row r="821" customFormat="false" ht="15" hidden="false" customHeight="false" outlineLevel="0" collapsed="false">
      <c r="A821" s="5" t="s">
        <v>21</v>
      </c>
      <c r="B821" s="5" t="s">
        <v>22</v>
      </c>
      <c r="C821" s="13" t="s">
        <v>435</v>
      </c>
      <c r="D821" s="13" t="s">
        <v>436</v>
      </c>
      <c r="E821" s="13" t="s">
        <v>437</v>
      </c>
      <c r="F821" s="13" t="s">
        <v>438</v>
      </c>
      <c r="G821" s="13" t="s">
        <v>439</v>
      </c>
      <c r="H821" s="13" t="s">
        <v>440</v>
      </c>
      <c r="I821" s="5" t="s">
        <v>441</v>
      </c>
    </row>
    <row r="822" customFormat="false" ht="17.15" hidden="false" customHeight="false" outlineLevel="0" collapsed="false">
      <c r="A822" s="6" t="s">
        <v>475</v>
      </c>
    </row>
    <row r="823" customFormat="false" ht="17.15" hidden="false" customHeight="false" outlineLevel="0" collapsed="false">
      <c r="A823" s="0" t="s">
        <v>476</v>
      </c>
      <c r="B823" s="0" t="s">
        <v>32</v>
      </c>
      <c r="C823" s="19" t="n">
        <f aca="false">hsA_25</f>
        <v>2.22511470588235</v>
      </c>
      <c r="D823" s="19" t="n">
        <f aca="false">hsA_26</f>
        <v>3.782695</v>
      </c>
      <c r="E823" s="19" t="n">
        <f aca="false">hsA_27</f>
        <v>5.86317725</v>
      </c>
      <c r="F823" s="19" t="n">
        <f aca="false">hsA_28</f>
        <v>8.5016070125</v>
      </c>
      <c r="G823" s="19" t="n">
        <f aca="false">hsA_29</f>
        <v>11.477169466875</v>
      </c>
      <c r="H823" s="19" t="n">
        <f aca="false">G823*(1+g_tail)</f>
        <v>12.6248864135625</v>
      </c>
      <c r="I823" s="8" t="s">
        <v>477</v>
      </c>
    </row>
    <row r="824" customFormat="false" ht="17.15" hidden="false" customHeight="false" outlineLevel="0" collapsed="false">
      <c r="A824" s="0" t="s">
        <v>478</v>
      </c>
      <c r="B824" s="0" t="s">
        <v>479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480</v>
      </c>
      <c r="B825" s="4" t="s">
        <v>445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481</v>
      </c>
    </row>
    <row r="826" customFormat="false" ht="15" hidden="false" customHeight="false" outlineLevel="0" collapsed="false">
      <c r="A826" s="4" t="s">
        <v>482</v>
      </c>
      <c r="B826" s="4" t="s">
        <v>96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483</v>
      </c>
      <c r="B827" s="0" t="s">
        <v>116</v>
      </c>
      <c r="C827" s="20" t="n">
        <f aca="false">1+beta*(C826-$C826)/4</f>
        <v>1</v>
      </c>
      <c r="D827" s="20" t="n">
        <f aca="false">1+beta*(D826-$C826)/4</f>
        <v>1.05</v>
      </c>
      <c r="E827" s="20" t="n">
        <f aca="false">1+beta*(E826-$C826)/4</f>
        <v>1.0625</v>
      </c>
      <c r="F827" s="20" t="n">
        <f aca="false">1+beta*(F826-$C826)/4</f>
        <v>1.1</v>
      </c>
      <c r="G827" s="20" t="n">
        <f aca="false">1+beta*(G826-$C826)/4</f>
        <v>1.125</v>
      </c>
      <c r="H827" s="20" t="n">
        <f aca="false">1+beta*(H826-$C826)/4</f>
        <v>1.15</v>
      </c>
    </row>
    <row r="828" customFormat="false" ht="17.15" hidden="false" customHeight="false" outlineLevel="0" collapsed="false">
      <c r="A828" s="4" t="s">
        <v>484</v>
      </c>
      <c r="B828" s="0" t="s">
        <v>69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485</v>
      </c>
    </row>
    <row r="829" customFormat="false" ht="17.15" hidden="false" customHeight="false" outlineLevel="0" collapsed="false">
      <c r="A829" s="0" t="s">
        <v>486</v>
      </c>
      <c r="B829" s="4" t="s">
        <v>447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487</v>
      </c>
      <c r="B830" s="4" t="s">
        <v>447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488</v>
      </c>
    </row>
    <row r="831" customFormat="false" ht="17.15" hidden="false" customHeight="false" outlineLevel="0" collapsed="false">
      <c r="A831" s="0" t="s">
        <v>489</v>
      </c>
      <c r="B831" s="0" t="s">
        <v>69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490</v>
      </c>
      <c r="B832" s="0" t="s">
        <v>69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491</v>
      </c>
      <c r="B833" s="0" t="s">
        <v>69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492</v>
      </c>
      <c r="B834" s="0" t="s">
        <v>69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493</v>
      </c>
      <c r="B835" s="4" t="s">
        <v>447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494</v>
      </c>
    </row>
    <row r="837" customFormat="false" ht="17.15" hidden="false" customHeight="false" outlineLevel="0" collapsed="false">
      <c r="A837" s="4" t="s">
        <v>495</v>
      </c>
      <c r="B837" s="4" t="s">
        <v>233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496</v>
      </c>
    </row>
    <row r="838" customFormat="false" ht="17.15" hidden="false" customHeight="false" outlineLevel="0" collapsed="false">
      <c r="A838" s="0" t="s">
        <v>497</v>
      </c>
      <c r="B838" s="4" t="s">
        <v>233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498</v>
      </c>
    </row>
    <row r="839" customFormat="false" ht="17.15" hidden="false" customHeight="false" outlineLevel="0" collapsed="false">
      <c r="A839" s="4" t="s">
        <v>499</v>
      </c>
      <c r="B839" s="4" t="s">
        <v>500</v>
      </c>
      <c r="C839" s="20" t="n">
        <f aca="false">(C838+D838)/(C835+D835)</f>
        <v>11.7244192279595</v>
      </c>
      <c r="I839" s="4" t="s">
        <v>501</v>
      </c>
    </row>
    <row r="840" customFormat="false" ht="15" hidden="false" customHeight="false" outlineLevel="0" collapsed="false">
      <c r="A840" s="4" t="s">
        <v>401</v>
      </c>
      <c r="B840" s="4" t="s">
        <v>233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502</v>
      </c>
      <c r="B841" s="0" t="s">
        <v>69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503</v>
      </c>
      <c r="B842" s="4" t="s">
        <v>233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504</v>
      </c>
    </row>
    <row r="843" customFormat="false" ht="17.15" hidden="false" customHeight="false" outlineLevel="0" collapsed="false">
      <c r="A843" s="4" t="s">
        <v>470</v>
      </c>
      <c r="B843" s="0" t="s">
        <v>69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505</v>
      </c>
    </row>
    <row r="844" customFormat="false" ht="15" hidden="false" customHeight="false" outlineLevel="0" collapsed="false">
      <c r="A844" s="4" t="s">
        <v>406</v>
      </c>
      <c r="B844" s="4" t="s">
        <v>233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409</v>
      </c>
      <c r="B845" s="4" t="s">
        <v>233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412</v>
      </c>
      <c r="B846" s="0" t="s">
        <v>69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471</v>
      </c>
      <c r="B847" s="4" t="s">
        <v>233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472</v>
      </c>
      <c r="B848" s="0" t="s">
        <v>309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506</v>
      </c>
      <c r="B849" s="4" t="s">
        <v>233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507</v>
      </c>
    </row>
    <row r="850" customFormat="false" ht="15" hidden="false" customHeight="false" outlineLevel="0" collapsed="false">
      <c r="A850" s="4" t="s">
        <v>508</v>
      </c>
      <c r="B850" s="0" t="s">
        <v>340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797</v>
      </c>
    </row>
    <row r="861" customFormat="false" ht="15" hidden="false" customHeight="false" outlineLevel="0" collapsed="false">
      <c r="A861" s="5" t="s">
        <v>21</v>
      </c>
      <c r="B861" s="5" t="s">
        <v>22</v>
      </c>
      <c r="C861" s="13" t="s">
        <v>435</v>
      </c>
      <c r="D861" s="13" t="s">
        <v>436</v>
      </c>
      <c r="E861" s="13" t="s">
        <v>437</v>
      </c>
      <c r="F861" s="13" t="s">
        <v>438</v>
      </c>
      <c r="G861" s="13" t="s">
        <v>439</v>
      </c>
      <c r="H861" s="13" t="s">
        <v>440</v>
      </c>
      <c r="I861" s="5" t="s">
        <v>441</v>
      </c>
    </row>
    <row r="862" customFormat="false" ht="17.15" hidden="false" customHeight="false" outlineLevel="0" collapsed="false">
      <c r="A862" s="6" t="s">
        <v>475</v>
      </c>
    </row>
    <row r="863" customFormat="false" ht="17.15" hidden="false" customHeight="false" outlineLevel="0" collapsed="false">
      <c r="A863" s="0" t="s">
        <v>476</v>
      </c>
      <c r="B863" s="0" t="s">
        <v>32</v>
      </c>
      <c r="C863" s="19" t="n">
        <f aca="false">hsA_25</f>
        <v>2.22511470588235</v>
      </c>
      <c r="D863" s="19" t="n">
        <f aca="false">hsA_26</f>
        <v>3.782695</v>
      </c>
      <c r="E863" s="19" t="n">
        <f aca="false">hsA_27</f>
        <v>5.86317725</v>
      </c>
      <c r="F863" s="19" t="n">
        <f aca="false">hsA_28</f>
        <v>8.5016070125</v>
      </c>
      <c r="G863" s="19" t="n">
        <f aca="false">hsA_29</f>
        <v>11.477169466875</v>
      </c>
      <c r="H863" s="19" t="n">
        <f aca="false">G863*(1+g_tail)</f>
        <v>12.6248864135625</v>
      </c>
      <c r="I863" s="8" t="s">
        <v>477</v>
      </c>
    </row>
    <row r="864" customFormat="false" ht="17.15" hidden="false" customHeight="false" outlineLevel="0" collapsed="false">
      <c r="A864" s="0" t="s">
        <v>478</v>
      </c>
      <c r="B864" s="0" t="s">
        <v>479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480</v>
      </c>
      <c r="B865" s="4" t="s">
        <v>445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481</v>
      </c>
    </row>
    <row r="866" customFormat="false" ht="15" hidden="false" customHeight="false" outlineLevel="0" collapsed="false">
      <c r="A866" s="4" t="s">
        <v>482</v>
      </c>
      <c r="B866" s="4" t="s">
        <v>96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483</v>
      </c>
      <c r="B867" s="0" t="s">
        <v>116</v>
      </c>
      <c r="C867" s="20" t="n">
        <f aca="false">1+beta*(C866-$C866)/4</f>
        <v>1</v>
      </c>
      <c r="D867" s="20" t="n">
        <f aca="false">1+beta*(D866-$C866)/4</f>
        <v>1.05</v>
      </c>
      <c r="E867" s="20" t="n">
        <f aca="false">1+beta*(E866-$C866)/4</f>
        <v>1.0625</v>
      </c>
      <c r="F867" s="20" t="n">
        <f aca="false">1+beta*(F866-$C866)/4</f>
        <v>1.1</v>
      </c>
      <c r="G867" s="20" t="n">
        <f aca="false">1+beta*(G866-$C866)/4</f>
        <v>1.125</v>
      </c>
      <c r="H867" s="20" t="n">
        <f aca="false">1+beta*(H866-$C866)/4</f>
        <v>1.15</v>
      </c>
    </row>
    <row r="868" customFormat="false" ht="17.15" hidden="false" customHeight="false" outlineLevel="0" collapsed="false">
      <c r="A868" s="4" t="s">
        <v>484</v>
      </c>
      <c r="B868" s="0" t="s">
        <v>69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485</v>
      </c>
    </row>
    <row r="869" customFormat="false" ht="17.15" hidden="false" customHeight="false" outlineLevel="0" collapsed="false">
      <c r="A869" s="0" t="s">
        <v>486</v>
      </c>
      <c r="B869" s="4" t="s">
        <v>447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487</v>
      </c>
      <c r="B870" s="4" t="s">
        <v>447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488</v>
      </c>
    </row>
    <row r="871" customFormat="false" ht="17.15" hidden="false" customHeight="false" outlineLevel="0" collapsed="false">
      <c r="A871" s="0" t="s">
        <v>489</v>
      </c>
      <c r="B871" s="0" t="s">
        <v>69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490</v>
      </c>
      <c r="B872" s="0" t="s">
        <v>69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491</v>
      </c>
      <c r="B873" s="0" t="s">
        <v>69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492</v>
      </c>
      <c r="B874" s="0" t="s">
        <v>69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493</v>
      </c>
      <c r="B875" s="4" t="s">
        <v>447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494</v>
      </c>
    </row>
    <row r="877" customFormat="false" ht="17.15" hidden="false" customHeight="false" outlineLevel="0" collapsed="false">
      <c r="A877" s="4" t="s">
        <v>495</v>
      </c>
      <c r="B877" s="4" t="s">
        <v>233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496</v>
      </c>
    </row>
    <row r="878" customFormat="false" ht="17.15" hidden="false" customHeight="false" outlineLevel="0" collapsed="false">
      <c r="A878" s="0" t="s">
        <v>497</v>
      </c>
      <c r="B878" s="4" t="s">
        <v>233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498</v>
      </c>
    </row>
    <row r="879" customFormat="false" ht="17.15" hidden="false" customHeight="false" outlineLevel="0" collapsed="false">
      <c r="A879" s="4" t="s">
        <v>499</v>
      </c>
      <c r="B879" s="4" t="s">
        <v>500</v>
      </c>
      <c r="C879" s="20" t="n">
        <f aca="false">(C878+D878)/(C875+D875)</f>
        <v>15.7109180551464</v>
      </c>
      <c r="I879" s="4" t="s">
        <v>501</v>
      </c>
    </row>
    <row r="880" customFormat="false" ht="15" hidden="false" customHeight="false" outlineLevel="0" collapsed="false">
      <c r="A880" s="4" t="s">
        <v>401</v>
      </c>
      <c r="B880" s="4" t="s">
        <v>233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502</v>
      </c>
      <c r="B881" s="0" t="s">
        <v>69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503</v>
      </c>
      <c r="B882" s="4" t="s">
        <v>233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504</v>
      </c>
    </row>
    <row r="883" customFormat="false" ht="17.15" hidden="false" customHeight="false" outlineLevel="0" collapsed="false">
      <c r="A883" s="4" t="s">
        <v>470</v>
      </c>
      <c r="B883" s="0" t="s">
        <v>69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505</v>
      </c>
    </row>
    <row r="884" customFormat="false" ht="15" hidden="false" customHeight="false" outlineLevel="0" collapsed="false">
      <c r="A884" s="4" t="s">
        <v>406</v>
      </c>
      <c r="B884" s="4" t="s">
        <v>233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409</v>
      </c>
      <c r="B885" s="4" t="s">
        <v>233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412</v>
      </c>
      <c r="B886" s="0" t="s">
        <v>69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471</v>
      </c>
      <c r="B887" s="4" t="s">
        <v>233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472</v>
      </c>
      <c r="B888" s="0" t="s">
        <v>309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506</v>
      </c>
      <c r="B889" s="4" t="s">
        <v>233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507</v>
      </c>
    </row>
    <row r="890" customFormat="false" ht="15" hidden="false" customHeight="false" outlineLevel="0" collapsed="false">
      <c r="A890" s="4" t="s">
        <v>508</v>
      </c>
      <c r="B890" s="0" t="s">
        <v>340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798</v>
      </c>
    </row>
    <row r="901" customFormat="false" ht="15" hidden="false" customHeight="false" outlineLevel="0" collapsed="false">
      <c r="A901" s="5" t="s">
        <v>21</v>
      </c>
      <c r="B901" s="5" t="s">
        <v>22</v>
      </c>
      <c r="C901" s="13" t="s">
        <v>435</v>
      </c>
      <c r="D901" s="13" t="s">
        <v>436</v>
      </c>
      <c r="E901" s="13" t="s">
        <v>437</v>
      </c>
      <c r="F901" s="13" t="s">
        <v>438</v>
      </c>
      <c r="G901" s="13" t="s">
        <v>439</v>
      </c>
      <c r="H901" s="13" t="s">
        <v>440</v>
      </c>
      <c r="I901" s="5" t="s">
        <v>441</v>
      </c>
    </row>
    <row r="902" customFormat="false" ht="17.15" hidden="false" customHeight="false" outlineLevel="0" collapsed="false">
      <c r="A902" s="6" t="s">
        <v>475</v>
      </c>
    </row>
    <row r="903" customFormat="false" ht="17.15" hidden="false" customHeight="false" outlineLevel="0" collapsed="false">
      <c r="A903" s="0" t="s">
        <v>476</v>
      </c>
      <c r="B903" s="0" t="s">
        <v>32</v>
      </c>
      <c r="C903" s="19" t="n">
        <f aca="false">hsA_25</f>
        <v>2.22511470588235</v>
      </c>
      <c r="D903" s="19" t="n">
        <f aca="false">hsA_26</f>
        <v>3.782695</v>
      </c>
      <c r="E903" s="19" t="n">
        <f aca="false">hsA_27</f>
        <v>5.86317725</v>
      </c>
      <c r="F903" s="19" t="n">
        <f aca="false">hsA_28</f>
        <v>8.5016070125</v>
      </c>
      <c r="G903" s="19" t="n">
        <f aca="false">hsA_29</f>
        <v>11.477169466875</v>
      </c>
      <c r="H903" s="19" t="n">
        <f aca="false">G903*(1+g_tail)</f>
        <v>12.6248864135625</v>
      </c>
      <c r="I903" s="8" t="s">
        <v>477</v>
      </c>
    </row>
    <row r="904" customFormat="false" ht="17.15" hidden="false" customHeight="false" outlineLevel="0" collapsed="false">
      <c r="A904" s="0" t="s">
        <v>478</v>
      </c>
      <c r="B904" s="0" t="s">
        <v>479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480</v>
      </c>
      <c r="B905" s="4" t="s">
        <v>445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481</v>
      </c>
    </row>
    <row r="906" customFormat="false" ht="15" hidden="false" customHeight="false" outlineLevel="0" collapsed="false">
      <c r="A906" s="4" t="s">
        <v>482</v>
      </c>
      <c r="B906" s="4" t="s">
        <v>96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483</v>
      </c>
      <c r="B907" s="0" t="s">
        <v>116</v>
      </c>
      <c r="C907" s="20" t="n">
        <f aca="false">1+beta*(C906-$C906)/4</f>
        <v>1</v>
      </c>
      <c r="D907" s="20" t="n">
        <f aca="false">1+beta*(D906-$C906)/4</f>
        <v>1.05</v>
      </c>
      <c r="E907" s="20" t="n">
        <f aca="false">1+beta*(E906-$C906)/4</f>
        <v>1.0625</v>
      </c>
      <c r="F907" s="20" t="n">
        <f aca="false">1+beta*(F906-$C906)/4</f>
        <v>1.1</v>
      </c>
      <c r="G907" s="20" t="n">
        <f aca="false">1+beta*(G906-$C906)/4</f>
        <v>1.125</v>
      </c>
      <c r="H907" s="20" t="n">
        <f aca="false">1+beta*(H906-$C906)/4</f>
        <v>1.15</v>
      </c>
    </row>
    <row r="908" customFormat="false" ht="17.15" hidden="false" customHeight="false" outlineLevel="0" collapsed="false">
      <c r="A908" s="4" t="s">
        <v>484</v>
      </c>
      <c r="B908" s="0" t="s">
        <v>69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485</v>
      </c>
    </row>
    <row r="909" customFormat="false" ht="17.15" hidden="false" customHeight="false" outlineLevel="0" collapsed="false">
      <c r="A909" s="0" t="s">
        <v>486</v>
      </c>
      <c r="B909" s="4" t="s">
        <v>447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487</v>
      </c>
      <c r="B910" s="4" t="s">
        <v>447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488</v>
      </c>
    </row>
    <row r="911" customFormat="false" ht="17.15" hidden="false" customHeight="false" outlineLevel="0" collapsed="false">
      <c r="A911" s="0" t="s">
        <v>489</v>
      </c>
      <c r="B911" s="0" t="s">
        <v>69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490</v>
      </c>
      <c r="B912" s="0" t="s">
        <v>69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491</v>
      </c>
      <c r="B913" s="0" t="s">
        <v>69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492</v>
      </c>
      <c r="B914" s="0" t="s">
        <v>69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493</v>
      </c>
      <c r="B915" s="4" t="s">
        <v>447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494</v>
      </c>
    </row>
    <row r="917" customFormat="false" ht="17.15" hidden="false" customHeight="false" outlineLevel="0" collapsed="false">
      <c r="A917" s="4" t="s">
        <v>495</v>
      </c>
      <c r="B917" s="4" t="s">
        <v>233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496</v>
      </c>
    </row>
    <row r="918" customFormat="false" ht="17.15" hidden="false" customHeight="false" outlineLevel="0" collapsed="false">
      <c r="A918" s="0" t="s">
        <v>497</v>
      </c>
      <c r="B918" s="4" t="s">
        <v>233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498</v>
      </c>
    </row>
    <row r="919" customFormat="false" ht="17.15" hidden="false" customHeight="false" outlineLevel="0" collapsed="false">
      <c r="A919" s="4" t="s">
        <v>499</v>
      </c>
      <c r="B919" s="4" t="s">
        <v>500</v>
      </c>
      <c r="C919" s="20" t="n">
        <f aca="false">(C918+D918)/(C915+D915)</f>
        <v>13.7176686415529</v>
      </c>
      <c r="I919" s="4" t="s">
        <v>501</v>
      </c>
    </row>
    <row r="920" customFormat="false" ht="15" hidden="false" customHeight="false" outlineLevel="0" collapsed="false">
      <c r="A920" s="4" t="s">
        <v>401</v>
      </c>
      <c r="B920" s="4" t="s">
        <v>233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502</v>
      </c>
      <c r="B921" s="0" t="s">
        <v>69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503</v>
      </c>
      <c r="B922" s="4" t="s">
        <v>233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504</v>
      </c>
    </row>
    <row r="923" customFormat="false" ht="17.15" hidden="false" customHeight="false" outlineLevel="0" collapsed="false">
      <c r="A923" s="4" t="s">
        <v>470</v>
      </c>
      <c r="B923" s="0" t="s">
        <v>69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505</v>
      </c>
    </row>
    <row r="924" customFormat="false" ht="15" hidden="false" customHeight="false" outlineLevel="0" collapsed="false">
      <c r="A924" s="4" t="s">
        <v>406</v>
      </c>
      <c r="B924" s="4" t="s">
        <v>233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409</v>
      </c>
      <c r="B925" s="4" t="s">
        <v>233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412</v>
      </c>
      <c r="B926" s="0" t="s">
        <v>69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471</v>
      </c>
      <c r="B927" s="4" t="s">
        <v>233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472</v>
      </c>
      <c r="B928" s="0" t="s">
        <v>309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506</v>
      </c>
      <c r="B929" s="4" t="s">
        <v>233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507</v>
      </c>
    </row>
    <row r="930" customFormat="false" ht="15" hidden="false" customHeight="false" outlineLevel="0" collapsed="false">
      <c r="A930" s="4" t="s">
        <v>508</v>
      </c>
      <c r="B930" s="0" t="s">
        <v>340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799</v>
      </c>
    </row>
    <row r="941" customFormat="false" ht="15" hidden="false" customHeight="false" outlineLevel="0" collapsed="false">
      <c r="A941" s="5" t="s">
        <v>21</v>
      </c>
      <c r="B941" s="5" t="s">
        <v>22</v>
      </c>
      <c r="C941" s="13" t="s">
        <v>435</v>
      </c>
      <c r="D941" s="13" t="s">
        <v>436</v>
      </c>
      <c r="E941" s="13" t="s">
        <v>437</v>
      </c>
      <c r="F941" s="13" t="s">
        <v>438</v>
      </c>
      <c r="G941" s="13" t="s">
        <v>439</v>
      </c>
      <c r="H941" s="13" t="s">
        <v>440</v>
      </c>
      <c r="I941" s="5" t="s">
        <v>441</v>
      </c>
    </row>
    <row r="942" customFormat="false" ht="17.15" hidden="false" customHeight="false" outlineLevel="0" collapsed="false">
      <c r="A942" s="6" t="s">
        <v>475</v>
      </c>
    </row>
    <row r="943" customFormat="false" ht="17.15" hidden="false" customHeight="false" outlineLevel="0" collapsed="false">
      <c r="A943" s="0" t="s">
        <v>476</v>
      </c>
      <c r="B943" s="0" t="s">
        <v>32</v>
      </c>
      <c r="C943" s="19" t="n">
        <f aca="false">hsA_25</f>
        <v>2.22511470588235</v>
      </c>
      <c r="D943" s="19" t="n">
        <f aca="false">hsA_26</f>
        <v>3.782695</v>
      </c>
      <c r="E943" s="19" t="n">
        <f aca="false">hsA_27</f>
        <v>5.86317725</v>
      </c>
      <c r="F943" s="19" t="n">
        <f aca="false">hsA_28</f>
        <v>8.5016070125</v>
      </c>
      <c r="G943" s="19" t="n">
        <f aca="false">hsA_29</f>
        <v>11.477169466875</v>
      </c>
      <c r="H943" s="19" t="n">
        <f aca="false">G943*(1+g_tail)</f>
        <v>12.6248864135625</v>
      </c>
      <c r="I943" s="8" t="s">
        <v>477</v>
      </c>
    </row>
    <row r="944" customFormat="false" ht="17.15" hidden="false" customHeight="false" outlineLevel="0" collapsed="false">
      <c r="A944" s="0" t="s">
        <v>478</v>
      </c>
      <c r="B944" s="0" t="s">
        <v>479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480</v>
      </c>
      <c r="B945" s="4" t="s">
        <v>445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481</v>
      </c>
    </row>
    <row r="946" customFormat="false" ht="15" hidden="false" customHeight="false" outlineLevel="0" collapsed="false">
      <c r="A946" s="4" t="s">
        <v>482</v>
      </c>
      <c r="B946" s="4" t="s">
        <v>96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483</v>
      </c>
      <c r="B947" s="0" t="s">
        <v>116</v>
      </c>
      <c r="C947" s="20" t="n">
        <f aca="false">1+beta*(C946-$C946)/4</f>
        <v>1</v>
      </c>
      <c r="D947" s="20" t="n">
        <f aca="false">1+beta*(D946-$C946)/4</f>
        <v>1.05</v>
      </c>
      <c r="E947" s="20" t="n">
        <f aca="false">1+beta*(E946-$C946)/4</f>
        <v>1.0625</v>
      </c>
      <c r="F947" s="20" t="n">
        <f aca="false">1+beta*(F946-$C946)/4</f>
        <v>1.1</v>
      </c>
      <c r="G947" s="20" t="n">
        <f aca="false">1+beta*(G946-$C946)/4</f>
        <v>1.125</v>
      </c>
      <c r="H947" s="20" t="n">
        <f aca="false">1+beta*(H946-$C946)/4</f>
        <v>1.15</v>
      </c>
    </row>
    <row r="948" customFormat="false" ht="17.15" hidden="false" customHeight="false" outlineLevel="0" collapsed="false">
      <c r="A948" s="4" t="s">
        <v>484</v>
      </c>
      <c r="B948" s="0" t="s">
        <v>69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485</v>
      </c>
    </row>
    <row r="949" customFormat="false" ht="17.15" hidden="false" customHeight="false" outlineLevel="0" collapsed="false">
      <c r="A949" s="0" t="s">
        <v>486</v>
      </c>
      <c r="B949" s="4" t="s">
        <v>447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487</v>
      </c>
      <c r="B950" s="4" t="s">
        <v>447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488</v>
      </c>
    </row>
    <row r="951" customFormat="false" ht="17.15" hidden="false" customHeight="false" outlineLevel="0" collapsed="false">
      <c r="A951" s="0" t="s">
        <v>489</v>
      </c>
      <c r="B951" s="0" t="s">
        <v>69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490</v>
      </c>
      <c r="B952" s="0" t="s">
        <v>69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491</v>
      </c>
      <c r="B953" s="0" t="s">
        <v>69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492</v>
      </c>
      <c r="B954" s="0" t="s">
        <v>69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493</v>
      </c>
      <c r="B955" s="4" t="s">
        <v>447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494</v>
      </c>
    </row>
    <row r="957" customFormat="false" ht="17.15" hidden="false" customHeight="false" outlineLevel="0" collapsed="false">
      <c r="A957" s="4" t="s">
        <v>495</v>
      </c>
      <c r="B957" s="4" t="s">
        <v>233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496</v>
      </c>
    </row>
    <row r="958" customFormat="false" ht="17.15" hidden="false" customHeight="false" outlineLevel="0" collapsed="false">
      <c r="A958" s="0" t="s">
        <v>497</v>
      </c>
      <c r="B958" s="4" t="s">
        <v>233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498</v>
      </c>
    </row>
    <row r="959" customFormat="false" ht="17.15" hidden="false" customHeight="false" outlineLevel="0" collapsed="false">
      <c r="A959" s="4" t="s">
        <v>499</v>
      </c>
      <c r="B959" s="4" t="s">
        <v>500</v>
      </c>
      <c r="C959" s="20" t="n">
        <f aca="false">(C958+D958)/(C955+D955)</f>
        <v>13.7176686415529</v>
      </c>
      <c r="I959" s="4" t="s">
        <v>501</v>
      </c>
    </row>
    <row r="960" customFormat="false" ht="15" hidden="false" customHeight="false" outlineLevel="0" collapsed="false">
      <c r="A960" s="4" t="s">
        <v>401</v>
      </c>
      <c r="B960" s="4" t="s">
        <v>233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502</v>
      </c>
      <c r="B961" s="0" t="s">
        <v>69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503</v>
      </c>
      <c r="B962" s="4" t="s">
        <v>233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504</v>
      </c>
    </row>
    <row r="963" customFormat="false" ht="17.15" hidden="false" customHeight="false" outlineLevel="0" collapsed="false">
      <c r="A963" s="4" t="s">
        <v>470</v>
      </c>
      <c r="B963" s="0" t="s">
        <v>69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505</v>
      </c>
    </row>
    <row r="964" customFormat="false" ht="15" hidden="false" customHeight="false" outlineLevel="0" collapsed="false">
      <c r="A964" s="4" t="s">
        <v>406</v>
      </c>
      <c r="B964" s="4" t="s">
        <v>233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409</v>
      </c>
      <c r="B965" s="4" t="s">
        <v>233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412</v>
      </c>
      <c r="B966" s="0" t="s">
        <v>69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471</v>
      </c>
      <c r="B967" s="4" t="s">
        <v>233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472</v>
      </c>
      <c r="B968" s="0" t="s">
        <v>309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506</v>
      </c>
      <c r="B969" s="4" t="s">
        <v>233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507</v>
      </c>
    </row>
    <row r="970" customFormat="false" ht="15" hidden="false" customHeight="false" outlineLevel="0" collapsed="false">
      <c r="A970" s="4" t="s">
        <v>508</v>
      </c>
      <c r="B970" s="0" t="s">
        <v>340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800</v>
      </c>
    </row>
    <row r="981" customFormat="false" ht="15" hidden="false" customHeight="false" outlineLevel="0" collapsed="false">
      <c r="A981" s="5" t="s">
        <v>21</v>
      </c>
      <c r="B981" s="5" t="s">
        <v>22</v>
      </c>
      <c r="C981" s="13" t="s">
        <v>435</v>
      </c>
      <c r="D981" s="13" t="s">
        <v>436</v>
      </c>
      <c r="E981" s="13" t="s">
        <v>437</v>
      </c>
      <c r="F981" s="13" t="s">
        <v>438</v>
      </c>
      <c r="G981" s="13" t="s">
        <v>439</v>
      </c>
      <c r="H981" s="13" t="s">
        <v>440</v>
      </c>
      <c r="I981" s="5" t="s">
        <v>441</v>
      </c>
    </row>
    <row r="982" customFormat="false" ht="17.15" hidden="false" customHeight="false" outlineLevel="0" collapsed="false">
      <c r="A982" s="6" t="s">
        <v>475</v>
      </c>
    </row>
    <row r="983" customFormat="false" ht="17.15" hidden="false" customHeight="false" outlineLevel="0" collapsed="false">
      <c r="A983" s="0" t="s">
        <v>476</v>
      </c>
      <c r="B983" s="0" t="s">
        <v>32</v>
      </c>
      <c r="C983" s="19" t="n">
        <f aca="false">hsA_25</f>
        <v>2.22511470588235</v>
      </c>
      <c r="D983" s="19" t="n">
        <f aca="false">hsA_26</f>
        <v>3.782695</v>
      </c>
      <c r="E983" s="19" t="n">
        <f aca="false">hsA_27</f>
        <v>5.86317725</v>
      </c>
      <c r="F983" s="19" t="n">
        <f aca="false">hsA_28</f>
        <v>8.5016070125</v>
      </c>
      <c r="G983" s="19" t="n">
        <f aca="false">hsA_29</f>
        <v>11.477169466875</v>
      </c>
      <c r="H983" s="19" t="n">
        <f aca="false">G983*(1+g_tail)</f>
        <v>12.6248864135625</v>
      </c>
      <c r="I983" s="8" t="s">
        <v>477</v>
      </c>
    </row>
    <row r="984" customFormat="false" ht="17.15" hidden="false" customHeight="false" outlineLevel="0" collapsed="false">
      <c r="A984" s="0" t="s">
        <v>478</v>
      </c>
      <c r="B984" s="0" t="s">
        <v>479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480</v>
      </c>
      <c r="B985" s="4" t="s">
        <v>445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481</v>
      </c>
    </row>
    <row r="986" customFormat="false" ht="15" hidden="false" customHeight="false" outlineLevel="0" collapsed="false">
      <c r="A986" s="4" t="s">
        <v>482</v>
      </c>
      <c r="B986" s="4" t="s">
        <v>96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483</v>
      </c>
      <c r="B987" s="0" t="s">
        <v>116</v>
      </c>
      <c r="C987" s="20" t="n">
        <f aca="false">1+beta*(C986-$C986)/4</f>
        <v>1</v>
      </c>
      <c r="D987" s="20" t="n">
        <f aca="false">1+beta*(D986-$C986)/4</f>
        <v>1.05</v>
      </c>
      <c r="E987" s="20" t="n">
        <f aca="false">1+beta*(E986-$C986)/4</f>
        <v>1.0625</v>
      </c>
      <c r="F987" s="20" t="n">
        <f aca="false">1+beta*(F986-$C986)/4</f>
        <v>1.1</v>
      </c>
      <c r="G987" s="20" t="n">
        <f aca="false">1+beta*(G986-$C986)/4</f>
        <v>1.125</v>
      </c>
      <c r="H987" s="20" t="n">
        <f aca="false">1+beta*(H986-$C986)/4</f>
        <v>1.15</v>
      </c>
    </row>
    <row r="988" customFormat="false" ht="17.15" hidden="false" customHeight="false" outlineLevel="0" collapsed="false">
      <c r="A988" s="4" t="s">
        <v>484</v>
      </c>
      <c r="B988" s="0" t="s">
        <v>69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485</v>
      </c>
    </row>
    <row r="989" customFormat="false" ht="17.15" hidden="false" customHeight="false" outlineLevel="0" collapsed="false">
      <c r="A989" s="0" t="s">
        <v>486</v>
      </c>
      <c r="B989" s="4" t="s">
        <v>447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487</v>
      </c>
      <c r="B990" s="4" t="s">
        <v>447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488</v>
      </c>
    </row>
    <row r="991" customFormat="false" ht="17.15" hidden="false" customHeight="false" outlineLevel="0" collapsed="false">
      <c r="A991" s="0" t="s">
        <v>489</v>
      </c>
      <c r="B991" s="0" t="s">
        <v>69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490</v>
      </c>
      <c r="B992" s="0" t="s">
        <v>69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491</v>
      </c>
      <c r="B993" s="0" t="s">
        <v>69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492</v>
      </c>
      <c r="B994" s="0" t="s">
        <v>69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493</v>
      </c>
      <c r="B995" s="4" t="s">
        <v>447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494</v>
      </c>
    </row>
    <row r="997" customFormat="false" ht="17.15" hidden="false" customHeight="false" outlineLevel="0" collapsed="false">
      <c r="A997" s="4" t="s">
        <v>495</v>
      </c>
      <c r="B997" s="4" t="s">
        <v>233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496</v>
      </c>
    </row>
    <row r="998" customFormat="false" ht="17.15" hidden="false" customHeight="false" outlineLevel="0" collapsed="false">
      <c r="A998" s="0" t="s">
        <v>497</v>
      </c>
      <c r="B998" s="4" t="s">
        <v>233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498</v>
      </c>
    </row>
    <row r="999" customFormat="false" ht="17.15" hidden="false" customHeight="false" outlineLevel="0" collapsed="false">
      <c r="A999" s="4" t="s">
        <v>499</v>
      </c>
      <c r="B999" s="4" t="s">
        <v>500</v>
      </c>
      <c r="C999" s="20" t="n">
        <f aca="false">(C998+D998)/(C995+D995)</f>
        <v>13.7176686415529</v>
      </c>
      <c r="I999" s="4" t="s">
        <v>501</v>
      </c>
    </row>
    <row r="1000" customFormat="false" ht="15" hidden="false" customHeight="false" outlineLevel="0" collapsed="false">
      <c r="A1000" s="4" t="s">
        <v>401</v>
      </c>
      <c r="B1000" s="4" t="s">
        <v>233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502</v>
      </c>
      <c r="B1001" s="0" t="s">
        <v>69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503</v>
      </c>
      <c r="B1002" s="4" t="s">
        <v>233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504</v>
      </c>
    </row>
    <row r="1003" customFormat="false" ht="17.15" hidden="false" customHeight="false" outlineLevel="0" collapsed="false">
      <c r="A1003" s="4" t="s">
        <v>470</v>
      </c>
      <c r="B1003" s="0" t="s">
        <v>69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505</v>
      </c>
    </row>
    <row r="1004" customFormat="false" ht="15" hidden="false" customHeight="false" outlineLevel="0" collapsed="false">
      <c r="A1004" s="4" t="s">
        <v>406</v>
      </c>
      <c r="B1004" s="4" t="s">
        <v>233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409</v>
      </c>
      <c r="B1005" s="4" t="s">
        <v>233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412</v>
      </c>
      <c r="B1006" s="0" t="s">
        <v>69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471</v>
      </c>
      <c r="B1007" s="4" t="s">
        <v>233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472</v>
      </c>
      <c r="B1008" s="0" t="s">
        <v>309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506</v>
      </c>
      <c r="B1009" s="4" t="s">
        <v>233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507</v>
      </c>
    </row>
    <row r="1010" customFormat="false" ht="15" hidden="false" customHeight="false" outlineLevel="0" collapsed="false">
      <c r="A1010" s="4" t="s">
        <v>508</v>
      </c>
      <c r="B1010" s="0" t="s">
        <v>340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801</v>
      </c>
    </row>
    <row r="1021" customFormat="false" ht="15" hidden="false" customHeight="false" outlineLevel="0" collapsed="false">
      <c r="A1021" s="5" t="s">
        <v>21</v>
      </c>
      <c r="B1021" s="5" t="s">
        <v>22</v>
      </c>
      <c r="C1021" s="13" t="s">
        <v>435</v>
      </c>
      <c r="D1021" s="13" t="s">
        <v>436</v>
      </c>
      <c r="E1021" s="13" t="s">
        <v>437</v>
      </c>
      <c r="F1021" s="13" t="s">
        <v>438</v>
      </c>
      <c r="G1021" s="13" t="s">
        <v>439</v>
      </c>
      <c r="H1021" s="13" t="s">
        <v>440</v>
      </c>
      <c r="I1021" s="5" t="s">
        <v>441</v>
      </c>
    </row>
    <row r="1022" customFormat="false" ht="17.15" hidden="false" customHeight="false" outlineLevel="0" collapsed="false">
      <c r="A1022" s="6" t="s">
        <v>475</v>
      </c>
    </row>
    <row r="1023" customFormat="false" ht="17.15" hidden="false" customHeight="false" outlineLevel="0" collapsed="false">
      <c r="A1023" s="0" t="s">
        <v>476</v>
      </c>
      <c r="B1023" s="0" t="s">
        <v>32</v>
      </c>
      <c r="C1023" s="19" t="n">
        <f aca="false">hsA_25</f>
        <v>2.22511470588235</v>
      </c>
      <c r="D1023" s="19" t="n">
        <f aca="false">hsA_26</f>
        <v>3.782695</v>
      </c>
      <c r="E1023" s="19" t="n">
        <f aca="false">hsA_27</f>
        <v>5.86317725</v>
      </c>
      <c r="F1023" s="19" t="n">
        <f aca="false">hsA_28</f>
        <v>8.5016070125</v>
      </c>
      <c r="G1023" s="19" t="n">
        <f aca="false">hsA_29</f>
        <v>11.477169466875</v>
      </c>
      <c r="H1023" s="19" t="n">
        <f aca="false">G1023*(1+g_tail)</f>
        <v>12.6248864135625</v>
      </c>
      <c r="I1023" s="8" t="s">
        <v>477</v>
      </c>
    </row>
    <row r="1024" customFormat="false" ht="17.15" hidden="false" customHeight="false" outlineLevel="0" collapsed="false">
      <c r="A1024" s="0" t="s">
        <v>478</v>
      </c>
      <c r="B1024" s="0" t="s">
        <v>479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480</v>
      </c>
      <c r="B1025" s="4" t="s">
        <v>445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481</v>
      </c>
    </row>
    <row r="1026" customFormat="false" ht="15" hidden="false" customHeight="false" outlineLevel="0" collapsed="false">
      <c r="A1026" s="4" t="s">
        <v>482</v>
      </c>
      <c r="B1026" s="4" t="s">
        <v>96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483</v>
      </c>
      <c r="B1027" s="0" t="s">
        <v>116</v>
      </c>
      <c r="C1027" s="20" t="n">
        <f aca="false">1+beta*(C1026-$C1026)/4</f>
        <v>1</v>
      </c>
      <c r="D1027" s="20" t="n">
        <f aca="false">1+beta*(D1026-$C1026)/4</f>
        <v>1.05</v>
      </c>
      <c r="E1027" s="20" t="n">
        <f aca="false">1+beta*(E1026-$C1026)/4</f>
        <v>1.0625</v>
      </c>
      <c r="F1027" s="20" t="n">
        <f aca="false">1+beta*(F1026-$C1026)/4</f>
        <v>1.1</v>
      </c>
      <c r="G1027" s="20" t="n">
        <f aca="false">1+beta*(G1026-$C1026)/4</f>
        <v>1.125</v>
      </c>
      <c r="H1027" s="20" t="n">
        <f aca="false">1+beta*(H1026-$C1026)/4</f>
        <v>1.15</v>
      </c>
    </row>
    <row r="1028" customFormat="false" ht="17.15" hidden="false" customHeight="false" outlineLevel="0" collapsed="false">
      <c r="A1028" s="4" t="s">
        <v>484</v>
      </c>
      <c r="B1028" s="0" t="s">
        <v>69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485</v>
      </c>
    </row>
    <row r="1029" customFormat="false" ht="17.15" hidden="false" customHeight="false" outlineLevel="0" collapsed="false">
      <c r="A1029" s="0" t="s">
        <v>486</v>
      </c>
      <c r="B1029" s="4" t="s">
        <v>447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487</v>
      </c>
      <c r="B1030" s="4" t="s">
        <v>447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488</v>
      </c>
    </row>
    <row r="1031" customFormat="false" ht="17.15" hidden="false" customHeight="false" outlineLevel="0" collapsed="false">
      <c r="A1031" s="0" t="s">
        <v>489</v>
      </c>
      <c r="B1031" s="0" t="s">
        <v>69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490</v>
      </c>
      <c r="B1032" s="0" t="s">
        <v>69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491</v>
      </c>
      <c r="B1033" s="0" t="s">
        <v>69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492</v>
      </c>
      <c r="B1034" s="0" t="s">
        <v>69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493</v>
      </c>
      <c r="B1035" s="4" t="s">
        <v>447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494</v>
      </c>
    </row>
    <row r="1037" customFormat="false" ht="17.15" hidden="false" customHeight="false" outlineLevel="0" collapsed="false">
      <c r="A1037" s="4" t="s">
        <v>495</v>
      </c>
      <c r="B1037" s="4" t="s">
        <v>233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496</v>
      </c>
    </row>
    <row r="1038" customFormat="false" ht="17.15" hidden="false" customHeight="false" outlineLevel="0" collapsed="false">
      <c r="A1038" s="0" t="s">
        <v>497</v>
      </c>
      <c r="B1038" s="4" t="s">
        <v>233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498</v>
      </c>
    </row>
    <row r="1039" customFormat="false" ht="17.15" hidden="false" customHeight="false" outlineLevel="0" collapsed="false">
      <c r="A1039" s="4" t="s">
        <v>499</v>
      </c>
      <c r="B1039" s="4" t="s">
        <v>500</v>
      </c>
      <c r="C1039" s="20" t="n">
        <f aca="false">(C1038+D1038)/(C1035+D1035)</f>
        <v>13.7176686415529</v>
      </c>
      <c r="I1039" s="4" t="s">
        <v>501</v>
      </c>
    </row>
    <row r="1040" customFormat="false" ht="15" hidden="false" customHeight="false" outlineLevel="0" collapsed="false">
      <c r="A1040" s="4" t="s">
        <v>401</v>
      </c>
      <c r="B1040" s="4" t="s">
        <v>233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502</v>
      </c>
      <c r="B1041" s="0" t="s">
        <v>69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503</v>
      </c>
      <c r="B1042" s="4" t="s">
        <v>233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504</v>
      </c>
    </row>
    <row r="1043" customFormat="false" ht="17.15" hidden="false" customHeight="false" outlineLevel="0" collapsed="false">
      <c r="A1043" s="4" t="s">
        <v>470</v>
      </c>
      <c r="B1043" s="0" t="s">
        <v>69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505</v>
      </c>
    </row>
    <row r="1044" customFormat="false" ht="15" hidden="false" customHeight="false" outlineLevel="0" collapsed="false">
      <c r="A1044" s="4" t="s">
        <v>406</v>
      </c>
      <c r="B1044" s="4" t="s">
        <v>233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409</v>
      </c>
      <c r="B1045" s="4" t="s">
        <v>233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412</v>
      </c>
      <c r="B1046" s="0" t="s">
        <v>69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471</v>
      </c>
      <c r="B1047" s="4" t="s">
        <v>233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472</v>
      </c>
      <c r="B1048" s="0" t="s">
        <v>309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506</v>
      </c>
      <c r="B1049" s="4" t="s">
        <v>233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507</v>
      </c>
    </row>
    <row r="1050" customFormat="false" ht="15" hidden="false" customHeight="false" outlineLevel="0" collapsed="false">
      <c r="A1050" s="4" t="s">
        <v>508</v>
      </c>
      <c r="B1050" s="0" t="s">
        <v>340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802</v>
      </c>
    </row>
    <row r="1061" customFormat="false" ht="15" hidden="false" customHeight="false" outlineLevel="0" collapsed="false">
      <c r="A1061" s="5" t="s">
        <v>21</v>
      </c>
      <c r="B1061" s="5" t="s">
        <v>22</v>
      </c>
      <c r="C1061" s="13" t="s">
        <v>435</v>
      </c>
      <c r="D1061" s="13" t="s">
        <v>436</v>
      </c>
      <c r="E1061" s="13" t="s">
        <v>437</v>
      </c>
      <c r="F1061" s="13" t="s">
        <v>438</v>
      </c>
      <c r="G1061" s="13" t="s">
        <v>439</v>
      </c>
      <c r="H1061" s="13" t="s">
        <v>440</v>
      </c>
      <c r="I1061" s="5" t="s">
        <v>441</v>
      </c>
    </row>
    <row r="1062" customFormat="false" ht="17.15" hidden="false" customHeight="false" outlineLevel="0" collapsed="false">
      <c r="A1062" s="6" t="s">
        <v>475</v>
      </c>
    </row>
    <row r="1063" customFormat="false" ht="17.15" hidden="false" customHeight="false" outlineLevel="0" collapsed="false">
      <c r="A1063" s="0" t="s">
        <v>476</v>
      </c>
      <c r="B1063" s="0" t="s">
        <v>32</v>
      </c>
      <c r="C1063" s="19" t="n">
        <f aca="false">hsA_25</f>
        <v>2.22511470588235</v>
      </c>
      <c r="D1063" s="19" t="n">
        <f aca="false">hsA_26</f>
        <v>3.782695</v>
      </c>
      <c r="E1063" s="19" t="n">
        <f aca="false">hsA_27</f>
        <v>5.86317725</v>
      </c>
      <c r="F1063" s="19" t="n">
        <f aca="false">hsA_28</f>
        <v>8.5016070125</v>
      </c>
      <c r="G1063" s="19" t="n">
        <f aca="false">hsA_29</f>
        <v>11.477169466875</v>
      </c>
      <c r="H1063" s="19" t="n">
        <f aca="false">G1063*(1+g_tail)</f>
        <v>12.6248864135625</v>
      </c>
      <c r="I1063" s="8" t="s">
        <v>477</v>
      </c>
    </row>
    <row r="1064" customFormat="false" ht="17.15" hidden="false" customHeight="false" outlineLevel="0" collapsed="false">
      <c r="A1064" s="0" t="s">
        <v>478</v>
      </c>
      <c r="B1064" s="0" t="s">
        <v>479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480</v>
      </c>
      <c r="B1065" s="4" t="s">
        <v>445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481</v>
      </c>
    </row>
    <row r="1066" customFormat="false" ht="15" hidden="false" customHeight="false" outlineLevel="0" collapsed="false">
      <c r="A1066" s="4" t="s">
        <v>482</v>
      </c>
      <c r="B1066" s="4" t="s">
        <v>96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483</v>
      </c>
      <c r="B1067" s="0" t="s">
        <v>116</v>
      </c>
      <c r="C1067" s="20" t="n">
        <f aca="false">1+beta*(C1066-$C1066)/4</f>
        <v>1</v>
      </c>
      <c r="D1067" s="20" t="n">
        <f aca="false">1+beta*(D1066-$C1066)/4</f>
        <v>1.05</v>
      </c>
      <c r="E1067" s="20" t="n">
        <f aca="false">1+beta*(E1066-$C1066)/4</f>
        <v>1.0625</v>
      </c>
      <c r="F1067" s="20" t="n">
        <f aca="false">1+beta*(F1066-$C1066)/4</f>
        <v>1.1</v>
      </c>
      <c r="G1067" s="20" t="n">
        <f aca="false">1+beta*(G1066-$C1066)/4</f>
        <v>1.125</v>
      </c>
      <c r="H1067" s="20" t="n">
        <f aca="false">1+beta*(H1066-$C1066)/4</f>
        <v>1.15</v>
      </c>
    </row>
    <row r="1068" customFormat="false" ht="17.15" hidden="false" customHeight="false" outlineLevel="0" collapsed="false">
      <c r="A1068" s="4" t="s">
        <v>484</v>
      </c>
      <c r="B1068" s="0" t="s">
        <v>69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485</v>
      </c>
    </row>
    <row r="1069" customFormat="false" ht="17.15" hidden="false" customHeight="false" outlineLevel="0" collapsed="false">
      <c r="A1069" s="0" t="s">
        <v>486</v>
      </c>
      <c r="B1069" s="4" t="s">
        <v>447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487</v>
      </c>
      <c r="B1070" s="4" t="s">
        <v>447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488</v>
      </c>
    </row>
    <row r="1071" customFormat="false" ht="17.15" hidden="false" customHeight="false" outlineLevel="0" collapsed="false">
      <c r="A1071" s="0" t="s">
        <v>489</v>
      </c>
      <c r="B1071" s="0" t="s">
        <v>69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490</v>
      </c>
      <c r="B1072" s="0" t="s">
        <v>69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491</v>
      </c>
      <c r="B1073" s="0" t="s">
        <v>69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492</v>
      </c>
      <c r="B1074" s="0" t="s">
        <v>69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493</v>
      </c>
      <c r="B1075" s="4" t="s">
        <v>447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494</v>
      </c>
    </row>
    <row r="1077" customFormat="false" ht="17.15" hidden="false" customHeight="false" outlineLevel="0" collapsed="false">
      <c r="A1077" s="4" t="s">
        <v>495</v>
      </c>
      <c r="B1077" s="4" t="s">
        <v>233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496</v>
      </c>
    </row>
    <row r="1078" customFormat="false" ht="17.15" hidden="false" customHeight="false" outlineLevel="0" collapsed="false">
      <c r="A1078" s="0" t="s">
        <v>497</v>
      </c>
      <c r="B1078" s="4" t="s">
        <v>233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498</v>
      </c>
    </row>
    <row r="1079" customFormat="false" ht="17.15" hidden="false" customHeight="false" outlineLevel="0" collapsed="false">
      <c r="A1079" s="4" t="s">
        <v>499</v>
      </c>
      <c r="B1079" s="4" t="s">
        <v>500</v>
      </c>
      <c r="C1079" s="20" t="n">
        <f aca="false">(C1078+D1078)/(C1075+D1075)</f>
        <v>13.7176686415529</v>
      </c>
      <c r="I1079" s="4" t="s">
        <v>501</v>
      </c>
    </row>
    <row r="1080" customFormat="false" ht="15" hidden="false" customHeight="false" outlineLevel="0" collapsed="false">
      <c r="A1080" s="4" t="s">
        <v>401</v>
      </c>
      <c r="B1080" s="4" t="s">
        <v>233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502</v>
      </c>
      <c r="B1081" s="0" t="s">
        <v>69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503</v>
      </c>
      <c r="B1082" s="4" t="s">
        <v>233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504</v>
      </c>
    </row>
    <row r="1083" customFormat="false" ht="17.15" hidden="false" customHeight="false" outlineLevel="0" collapsed="false">
      <c r="A1083" s="4" t="s">
        <v>470</v>
      </c>
      <c r="B1083" s="0" t="s">
        <v>69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505</v>
      </c>
    </row>
    <row r="1084" customFormat="false" ht="15" hidden="false" customHeight="false" outlineLevel="0" collapsed="false">
      <c r="A1084" s="4" t="s">
        <v>406</v>
      </c>
      <c r="B1084" s="4" t="s">
        <v>233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409</v>
      </c>
      <c r="B1085" s="4" t="s">
        <v>233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412</v>
      </c>
      <c r="B1086" s="0" t="s">
        <v>69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471</v>
      </c>
      <c r="B1087" s="4" t="s">
        <v>233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472</v>
      </c>
      <c r="B1088" s="0" t="s">
        <v>309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506</v>
      </c>
      <c r="B1089" s="4" t="s">
        <v>233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507</v>
      </c>
    </row>
    <row r="1090" customFormat="false" ht="15" hidden="false" customHeight="false" outlineLevel="0" collapsed="false">
      <c r="A1090" s="4" t="s">
        <v>508</v>
      </c>
      <c r="B1090" s="0" t="s">
        <v>340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803</v>
      </c>
    </row>
    <row r="1101" customFormat="false" ht="15" hidden="false" customHeight="false" outlineLevel="0" collapsed="false">
      <c r="A1101" s="5" t="s">
        <v>21</v>
      </c>
      <c r="B1101" s="5" t="s">
        <v>22</v>
      </c>
      <c r="C1101" s="13" t="s">
        <v>435</v>
      </c>
      <c r="D1101" s="13" t="s">
        <v>436</v>
      </c>
      <c r="E1101" s="13" t="s">
        <v>437</v>
      </c>
      <c r="F1101" s="13" t="s">
        <v>438</v>
      </c>
      <c r="G1101" s="13" t="s">
        <v>439</v>
      </c>
      <c r="H1101" s="13" t="s">
        <v>440</v>
      </c>
      <c r="I1101" s="5" t="s">
        <v>441</v>
      </c>
    </row>
    <row r="1102" customFormat="false" ht="17.15" hidden="false" customHeight="false" outlineLevel="0" collapsed="false">
      <c r="A1102" s="6" t="s">
        <v>475</v>
      </c>
    </row>
    <row r="1103" customFormat="false" ht="17.15" hidden="false" customHeight="false" outlineLevel="0" collapsed="false">
      <c r="A1103" s="0" t="s">
        <v>476</v>
      </c>
      <c r="B1103" s="0" t="s">
        <v>32</v>
      </c>
      <c r="C1103" s="19" t="n">
        <f aca="false">hsA_25</f>
        <v>2.22511470588235</v>
      </c>
      <c r="D1103" s="19" t="n">
        <f aca="false">hsA_26</f>
        <v>3.782695</v>
      </c>
      <c r="E1103" s="19" t="n">
        <f aca="false">hsA_27</f>
        <v>5.86317725</v>
      </c>
      <c r="F1103" s="19" t="n">
        <f aca="false">hsA_28</f>
        <v>8.5016070125</v>
      </c>
      <c r="G1103" s="19" t="n">
        <f aca="false">hsA_29</f>
        <v>11.477169466875</v>
      </c>
      <c r="H1103" s="19" t="n">
        <f aca="false">G1103*(1+g_tail)</f>
        <v>12.6248864135625</v>
      </c>
      <c r="I1103" s="8" t="s">
        <v>477</v>
      </c>
    </row>
    <row r="1104" customFormat="false" ht="17.15" hidden="false" customHeight="false" outlineLevel="0" collapsed="false">
      <c r="A1104" s="0" t="s">
        <v>478</v>
      </c>
      <c r="B1104" s="0" t="s">
        <v>479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480</v>
      </c>
      <c r="B1105" s="4" t="s">
        <v>445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481</v>
      </c>
    </row>
    <row r="1106" customFormat="false" ht="15" hidden="false" customHeight="false" outlineLevel="0" collapsed="false">
      <c r="A1106" s="4" t="s">
        <v>482</v>
      </c>
      <c r="B1106" s="4" t="s">
        <v>96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483</v>
      </c>
      <c r="B1107" s="0" t="s">
        <v>116</v>
      </c>
      <c r="C1107" s="20" t="n">
        <f aca="false">1+beta*(C1106-$C1106)/4</f>
        <v>1</v>
      </c>
      <c r="D1107" s="20" t="n">
        <f aca="false">1+beta*(D1106-$C1106)/4</f>
        <v>1.05</v>
      </c>
      <c r="E1107" s="20" t="n">
        <f aca="false">1+beta*(E1106-$C1106)/4</f>
        <v>1.0625</v>
      </c>
      <c r="F1107" s="20" t="n">
        <f aca="false">1+beta*(F1106-$C1106)/4</f>
        <v>1.1</v>
      </c>
      <c r="G1107" s="20" t="n">
        <f aca="false">1+beta*(G1106-$C1106)/4</f>
        <v>1.125</v>
      </c>
      <c r="H1107" s="20" t="n">
        <f aca="false">1+beta*(H1106-$C1106)/4</f>
        <v>1.15</v>
      </c>
    </row>
    <row r="1108" customFormat="false" ht="17.15" hidden="false" customHeight="false" outlineLevel="0" collapsed="false">
      <c r="A1108" s="4" t="s">
        <v>484</v>
      </c>
      <c r="B1108" s="0" t="s">
        <v>69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485</v>
      </c>
    </row>
    <row r="1109" customFormat="false" ht="17.15" hidden="false" customHeight="false" outlineLevel="0" collapsed="false">
      <c r="A1109" s="0" t="s">
        <v>486</v>
      </c>
      <c r="B1109" s="4" t="s">
        <v>447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487</v>
      </c>
      <c r="B1110" s="4" t="s">
        <v>447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488</v>
      </c>
    </row>
    <row r="1111" customFormat="false" ht="17.15" hidden="false" customHeight="false" outlineLevel="0" collapsed="false">
      <c r="A1111" s="0" t="s">
        <v>489</v>
      </c>
      <c r="B1111" s="0" t="s">
        <v>69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490</v>
      </c>
      <c r="B1112" s="0" t="s">
        <v>69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491</v>
      </c>
      <c r="B1113" s="0" t="s">
        <v>69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492</v>
      </c>
      <c r="B1114" s="0" t="s">
        <v>69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493</v>
      </c>
      <c r="B1115" s="4" t="s">
        <v>447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494</v>
      </c>
    </row>
    <row r="1117" customFormat="false" ht="17.15" hidden="false" customHeight="false" outlineLevel="0" collapsed="false">
      <c r="A1117" s="4" t="s">
        <v>495</v>
      </c>
      <c r="B1117" s="4" t="s">
        <v>233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496</v>
      </c>
    </row>
    <row r="1118" customFormat="false" ht="17.15" hidden="false" customHeight="false" outlineLevel="0" collapsed="false">
      <c r="A1118" s="0" t="s">
        <v>497</v>
      </c>
      <c r="B1118" s="4" t="s">
        <v>233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498</v>
      </c>
    </row>
    <row r="1119" customFormat="false" ht="17.15" hidden="false" customHeight="false" outlineLevel="0" collapsed="false">
      <c r="A1119" s="4" t="s">
        <v>499</v>
      </c>
      <c r="B1119" s="4" t="s">
        <v>500</v>
      </c>
      <c r="C1119" s="20" t="n">
        <f aca="false">(C1118+D1118)/(C1115+D1115)</f>
        <v>13.7176686415529</v>
      </c>
      <c r="I1119" s="4" t="s">
        <v>501</v>
      </c>
    </row>
    <row r="1120" customFormat="false" ht="15" hidden="false" customHeight="false" outlineLevel="0" collapsed="false">
      <c r="A1120" s="4" t="s">
        <v>401</v>
      </c>
      <c r="B1120" s="4" t="s">
        <v>233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502</v>
      </c>
      <c r="B1121" s="0" t="s">
        <v>69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503</v>
      </c>
      <c r="B1122" s="4" t="s">
        <v>233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504</v>
      </c>
    </row>
    <row r="1123" customFormat="false" ht="17.15" hidden="false" customHeight="false" outlineLevel="0" collapsed="false">
      <c r="A1123" s="4" t="s">
        <v>470</v>
      </c>
      <c r="B1123" s="0" t="s">
        <v>69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505</v>
      </c>
    </row>
    <row r="1124" customFormat="false" ht="15" hidden="false" customHeight="false" outlineLevel="0" collapsed="false">
      <c r="A1124" s="4" t="s">
        <v>406</v>
      </c>
      <c r="B1124" s="4" t="s">
        <v>233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409</v>
      </c>
      <c r="B1125" s="4" t="s">
        <v>233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412</v>
      </c>
      <c r="B1126" s="0" t="s">
        <v>69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471</v>
      </c>
      <c r="B1127" s="4" t="s">
        <v>233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472</v>
      </c>
      <c r="B1128" s="0" t="s">
        <v>309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506</v>
      </c>
      <c r="B1129" s="4" t="s">
        <v>233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507</v>
      </c>
    </row>
    <row r="1130" customFormat="false" ht="15" hidden="false" customHeight="false" outlineLevel="0" collapsed="false">
      <c r="A1130" s="4" t="s">
        <v>508</v>
      </c>
      <c r="B1130" s="0" t="s">
        <v>340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804</v>
      </c>
    </row>
    <row r="1134" customFormat="false" ht="17.15" hidden="false" customHeight="false" outlineLevel="0" collapsed="false">
      <c r="A1134" s="5" t="s">
        <v>718</v>
      </c>
      <c r="B1134" s="5" t="s">
        <v>719</v>
      </c>
      <c r="C1134" s="13" t="s">
        <v>805</v>
      </c>
      <c r="D1134" s="13" t="s">
        <v>806</v>
      </c>
      <c r="E1134" s="5" t="s">
        <v>807</v>
      </c>
      <c r="F1134" s="5" t="s">
        <v>722</v>
      </c>
    </row>
    <row r="1135" customFormat="false" ht="17.15" hidden="false" customHeight="false" outlineLevel="0" collapsed="false">
      <c r="A1135" s="4" t="s">
        <v>24</v>
      </c>
      <c r="B1135" s="0" t="s">
        <v>808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Val!B107</f>
        <v>68978.7154136744</v>
      </c>
      <c r="E1135" s="14" t="n">
        <f aca="false">tp_w_dcf*C1135+(1-tp_w_dcf)*D1135</f>
        <v>48379.3271291536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809</v>
      </c>
      <c r="B1136" s="0" t="s">
        <v>810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Val!B107</f>
        <v>68978.7154136744</v>
      </c>
      <c r="E1136" s="14" t="n">
        <f aca="false">tp_w_dcf*C1136+(1-tp_w_dcf)*D1136</f>
        <v>46677.5250607345</v>
      </c>
      <c r="F1136" s="10" t="n">
        <f aca="false">E1136/E$1135-1</f>
        <v>-0.0351762244207317</v>
      </c>
    </row>
    <row r="1137" customFormat="false" ht="17.15" hidden="false" customHeight="false" outlineLevel="0" collapsed="false">
      <c r="A1137" s="4" t="s">
        <v>811</v>
      </c>
      <c r="B1137" s="0" t="s">
        <v>812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Val!B107</f>
        <v>68978.7154136744</v>
      </c>
      <c r="E1137" s="14" t="n">
        <f aca="false">tp_w_dcf*C1137+(1-tp_w_dcf)*D1137</f>
        <v>50758.5881595765</v>
      </c>
      <c r="F1137" s="10" t="n">
        <f aca="false">E1137/E$1135-1</f>
        <v>0.049179291478594</v>
      </c>
    </row>
    <row r="1138" customFormat="false" ht="17.15" hidden="false" customHeight="false" outlineLevel="0" collapsed="false">
      <c r="A1138" s="4" t="s">
        <v>813</v>
      </c>
      <c r="B1138" s="0" t="s">
        <v>814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Val!B107</f>
        <v>68978.7154136744</v>
      </c>
      <c r="E1138" s="14" t="n">
        <f aca="false">tp_w_dcf*C1138+(1-tp_w_dcf)*D1138</f>
        <v>49825.4118099511</v>
      </c>
      <c r="F1138" s="10" t="n">
        <f aca="false">E1138/E$1135-1</f>
        <v>0.0298905496750082</v>
      </c>
    </row>
    <row r="1139" customFormat="false" ht="17.15" hidden="false" customHeight="false" outlineLevel="0" collapsed="false">
      <c r="A1139" s="4" t="s">
        <v>815</v>
      </c>
      <c r="B1139" s="0" t="s">
        <v>816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Val!B107</f>
        <v>68978.7154136744</v>
      </c>
      <c r="E1139" s="14" t="n">
        <f aca="false">tp_w_dcf*C1139+(1-tp_w_dcf)*D1139</f>
        <v>47382.2442013502</v>
      </c>
      <c r="F1139" s="10" t="n">
        <f aca="false">E1139/E$1135-1</f>
        <v>-0.0206096898607465</v>
      </c>
    </row>
    <row r="1140" customFormat="false" ht="17.15" hidden="false" customHeight="false" outlineLevel="0" collapsed="false">
      <c r="A1140" s="0" t="s">
        <v>817</v>
      </c>
      <c r="B1140" s="0" t="s">
        <v>818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Val!B107</f>
        <v>68978.7154136744</v>
      </c>
      <c r="E1140" s="14" t="n">
        <f aca="false">0.4*C1140+(1-0.4)*D1140</f>
        <v>52499.2047860578</v>
      </c>
      <c r="F1140" s="10" t="n">
        <f aca="false">E1140/E$1135-1</f>
        <v>0.0851578122594743</v>
      </c>
    </row>
    <row r="1141" customFormat="false" ht="17.15" hidden="false" customHeight="false" outlineLevel="0" collapsed="false">
      <c r="A1141" s="0" t="s">
        <v>819</v>
      </c>
      <c r="B1141" s="0" t="s">
        <v>820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Val!B107</f>
        <v>68978.7154136744</v>
      </c>
      <c r="E1141" s="14" t="n">
        <f aca="false">0.8*C1141+(1-0.8)*D1141</f>
        <v>36019.6941584412</v>
      </c>
      <c r="F1141" s="10" t="n">
        <f aca="false">E1141/E$1135-1</f>
        <v>-0.255473436778423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821</v>
      </c>
    </row>
    <row r="2" customFormat="false" ht="17.15" hidden="false" customHeight="false" outlineLevel="0" collapsed="false">
      <c r="A2" s="4" t="s">
        <v>822</v>
      </c>
      <c r="B2" s="0" t="s">
        <v>823</v>
      </c>
    </row>
    <row r="3" customFormat="false" ht="17.15" hidden="false" customHeight="false" outlineLevel="0" collapsed="false">
      <c r="A3" s="0" t="s">
        <v>824</v>
      </c>
      <c r="B3" s="0" t="s">
        <v>825</v>
      </c>
    </row>
    <row r="4" customFormat="false" ht="17.15" hidden="false" customHeight="false" outlineLevel="0" collapsed="false">
      <c r="A4" s="0" t="s">
        <v>826</v>
      </c>
      <c r="B4" s="0" t="s">
        <v>827</v>
      </c>
    </row>
    <row r="5" customFormat="false" ht="17.15" hidden="false" customHeight="false" outlineLevel="0" collapsed="false">
      <c r="A5" s="0" t="s">
        <v>828</v>
      </c>
      <c r="B5" s="0" t="s">
        <v>829</v>
      </c>
    </row>
    <row r="6" customFormat="false" ht="17.15" hidden="false" customHeight="false" outlineLevel="0" collapsed="false">
      <c r="A6" s="0" t="s">
        <v>830</v>
      </c>
      <c r="B6" s="0" t="s">
        <v>831</v>
      </c>
    </row>
    <row r="7" customFormat="false" ht="17.15" hidden="false" customHeight="false" outlineLevel="0" collapsed="false">
      <c r="A7" s="0" t="s">
        <v>832</v>
      </c>
      <c r="B7" s="0" t="s">
        <v>833</v>
      </c>
    </row>
    <row r="8" customFormat="false" ht="17.15" hidden="false" customHeight="false" outlineLevel="0" collapsed="false">
      <c r="A8" s="0" t="s">
        <v>834</v>
      </c>
      <c r="B8" s="0" t="s">
        <v>835</v>
      </c>
    </row>
    <row r="9" customFormat="false" ht="17.15" hidden="false" customHeight="false" outlineLevel="0" collapsed="false">
      <c r="A9" s="0" t="s">
        <v>836</v>
      </c>
      <c r="B9" s="0" t="s">
        <v>837</v>
      </c>
    </row>
    <row r="10" customFormat="false" ht="17.15" hidden="false" customHeight="false" outlineLevel="0" collapsed="false">
      <c r="A10" s="0" t="s">
        <v>838</v>
      </c>
      <c r="B10" s="0" t="s">
        <v>839</v>
      </c>
    </row>
    <row r="11" customFormat="false" ht="17.15" hidden="false" customHeight="false" outlineLevel="0" collapsed="false">
      <c r="A11" s="0" t="s">
        <v>840</v>
      </c>
      <c r="B11" s="0" t="s">
        <v>841</v>
      </c>
    </row>
    <row r="12" customFormat="false" ht="17.15" hidden="false" customHeight="false" outlineLevel="0" collapsed="false">
      <c r="A12" s="0" t="s">
        <v>842</v>
      </c>
      <c r="B12" s="0" t="s">
        <v>843</v>
      </c>
    </row>
    <row r="13" customFormat="false" ht="17.15" hidden="false" customHeight="false" outlineLevel="0" collapsed="false">
      <c r="A13" s="0" t="s">
        <v>844</v>
      </c>
      <c r="B13" s="0" t="s">
        <v>845</v>
      </c>
    </row>
    <row r="14" customFormat="false" ht="17.15" hidden="false" customHeight="false" outlineLevel="0" collapsed="false">
      <c r="A14" s="0" t="s">
        <v>846</v>
      </c>
      <c r="B14" s="0" t="s">
        <v>847</v>
      </c>
    </row>
    <row r="15" customFormat="false" ht="17.15" hidden="false" customHeight="false" outlineLevel="0" collapsed="false">
      <c r="A15" s="0" t="s">
        <v>848</v>
      </c>
      <c r="B15" s="0" t="s">
        <v>849</v>
      </c>
    </row>
    <row r="16" customFormat="false" ht="17.15" hidden="false" customHeight="false" outlineLevel="0" collapsed="false">
      <c r="A16" s="0" t="s">
        <v>850</v>
      </c>
      <c r="B16" s="0" t="s">
        <v>851</v>
      </c>
    </row>
    <row r="17" customFormat="false" ht="17.15" hidden="false" customHeight="false" outlineLevel="0" collapsed="false">
      <c r="A17" s="0" t="s">
        <v>852</v>
      </c>
      <c r="B17" s="0" t="s">
        <v>853</v>
      </c>
    </row>
    <row r="18" customFormat="false" ht="17.15" hidden="false" customHeight="false" outlineLevel="0" collapsed="false">
      <c r="A18" s="0" t="s">
        <v>854</v>
      </c>
      <c r="B18" s="0" t="s">
        <v>855</v>
      </c>
    </row>
    <row r="19" customFormat="false" ht="17.15" hidden="false" customHeight="false" outlineLevel="0" collapsed="false">
      <c r="A19" s="0" t="s">
        <v>856</v>
      </c>
      <c r="B19" s="0" t="s">
        <v>857</v>
      </c>
    </row>
    <row r="20" customFormat="false" ht="17.15" hidden="false" customHeight="false" outlineLevel="0" collapsed="false">
      <c r="A20" s="0" t="s">
        <v>858</v>
      </c>
      <c r="B20" s="0" t="s">
        <v>859</v>
      </c>
    </row>
    <row r="21" customFormat="false" ht="17.15" hidden="false" customHeight="false" outlineLevel="0" collapsed="false">
      <c r="A21" s="4" t="s">
        <v>860</v>
      </c>
    </row>
    <row r="22" customFormat="false" ht="15" hidden="false" customHeight="false" outlineLevel="0" collapsed="false">
      <c r="A22" s="0" t="s">
        <v>861</v>
      </c>
      <c r="B22" s="4" t="s">
        <v>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2026-10-28T08:51:31Z</dcterms:created>
  <dc:creator>openpyxl</dc:creator>
  <dc:description/>
  <dc:language>en-US</dc:language>
  <cp:lastModifiedBy/>
  <dcterms:modified xsi:type="dcterms:W3CDTF">2026-10-28T08:51:32Z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